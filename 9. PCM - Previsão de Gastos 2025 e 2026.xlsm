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zeluzjunior\PycharmProjects\teste_visual\"/>
    </mc:Choice>
  </mc:AlternateContent>
  <xr:revisionPtr revIDLastSave="0" documentId="13_ncr:1_{214E9B35-607B-4D73-9EB3-95ACE239697B}" xr6:coauthVersionLast="47" xr6:coauthVersionMax="47" xr10:uidLastSave="{00000000-0000-0000-0000-000000000000}"/>
  <bookViews>
    <workbookView xWindow="-120" yWindow="-120" windowWidth="29040" windowHeight="16440" activeTab="2" xr2:uid="{093689EF-D701-4890-B8A9-8BD8B50DC7E2}"/>
  </bookViews>
  <sheets>
    <sheet name="DADOS" sheetId="2" r:id="rId1"/>
    <sheet name="DASHBOARD" sheetId="3" r:id="rId2"/>
    <sheet name="GASTOS" sheetId="1" r:id="rId3"/>
  </sheets>
  <definedNames>
    <definedName name="_xlnm._FilterDatabase" localSheetId="2" hidden="1">GASTOS!$A$2:$R$18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<sst xmlns="http://schemas.openxmlformats.org/spreadsheetml/2006/main" count="208" uniqueCount="94">
  <si>
    <t>Status</t>
  </si>
  <si>
    <t xml:space="preserve">SETOR </t>
  </si>
  <si>
    <t>USO CONTABIL</t>
  </si>
  <si>
    <t>Mês</t>
  </si>
  <si>
    <t>SERVIÇO CONCLUÍDO</t>
  </si>
  <si>
    <t>NF DE SERVIÇO RECEBIDA</t>
  </si>
  <si>
    <t xml:space="preserve">NF ENVIADA PARA LANÇAMENTO </t>
  </si>
  <si>
    <t>TIPO DE SOLICITAÇÃO</t>
  </si>
  <si>
    <t>1. TURNO A</t>
  </si>
  <si>
    <t>OUTUBRO / 2025</t>
  </si>
  <si>
    <t>SIM</t>
  </si>
  <si>
    <t>2. TURNO B</t>
  </si>
  <si>
    <t>NOVEMBRO / 2025</t>
  </si>
  <si>
    <t>NÃO</t>
  </si>
  <si>
    <t>3. TURNO C</t>
  </si>
  <si>
    <t>DEZEMBRO / 2025</t>
  </si>
  <si>
    <t>INDEFINIDO</t>
  </si>
  <si>
    <t>4. EXTERNA</t>
  </si>
  <si>
    <t>JANEIRO / 2026</t>
  </si>
  <si>
    <t>5. UTILIDADES</t>
  </si>
  <si>
    <t>FEVEREIRO / 2026</t>
  </si>
  <si>
    <t>6. ETA / ETE / BIO</t>
  </si>
  <si>
    <t>MARÇO / 2026</t>
  </si>
  <si>
    <t xml:space="preserve">7. AUTOMAÇÃO </t>
  </si>
  <si>
    <t>ABRIL / 2026</t>
  </si>
  <si>
    <t>8. PROJETOS</t>
  </si>
  <si>
    <t>MAIO / 2026</t>
  </si>
  <si>
    <t>9. PCM</t>
  </si>
  <si>
    <t>JUNHO / 2026</t>
  </si>
  <si>
    <t>10. INDEFINIDO</t>
  </si>
  <si>
    <t>JULHO / 2026</t>
  </si>
  <si>
    <t>AGOSTO / 2026</t>
  </si>
  <si>
    <t>SETEMBRO / 2026</t>
  </si>
  <si>
    <t>OUTUBRO / 2026</t>
  </si>
  <si>
    <t>NOVEMBRO / 2026</t>
  </si>
  <si>
    <t>DEZEMBRO / 2026</t>
  </si>
  <si>
    <t>SEM PREVISÃO</t>
  </si>
  <si>
    <t>Rótulos de Linha</t>
  </si>
  <si>
    <t>Soma de VALOR TOTAL</t>
  </si>
  <si>
    <t>-</t>
  </si>
  <si>
    <t>(vazio)</t>
  </si>
  <si>
    <t>Total Geral</t>
  </si>
  <si>
    <t>ID</t>
  </si>
  <si>
    <t>SOLICITANTE</t>
  </si>
  <si>
    <t>DESCRIÇÃO DO SERVIÇO</t>
  </si>
  <si>
    <t>VALOR TOTAL</t>
  </si>
  <si>
    <t>PREVISÃO 
P/ EXECUÇÃO</t>
  </si>
  <si>
    <t>USO 
CONTÁBIL</t>
  </si>
  <si>
    <t>ORDEM 
DE SERVIÇO</t>
  </si>
  <si>
    <t>DATA DE ABERTURA 
DA REQUISIÇÃO</t>
  </si>
  <si>
    <t>FORNECEDOR
CNPJ</t>
  </si>
  <si>
    <t>NF DE SERVIÇO
 RECEBIDA</t>
  </si>
  <si>
    <t xml:space="preserve">NF ENVIADA
 PARA LANÇAMENTO </t>
  </si>
  <si>
    <t>OBSERVAÇÕES</t>
  </si>
  <si>
    <t>CLEITON-DESTRI</t>
  </si>
  <si>
    <t>MULT-TEC</t>
  </si>
  <si>
    <t xml:space="preserve">MANUTENÇÃO NOS BLOCOS DE VACUO DA R145 DO CURADOS </t>
  </si>
  <si>
    <t xml:space="preserve">REVISAO DAS PLACAS DA BASE DA R535 DA PRESUNTARIA </t>
  </si>
  <si>
    <t xml:space="preserve">CABO SENSOR DE SEGURANÇA DE 6 METROS </t>
  </si>
  <si>
    <t xml:space="preserve">REVISÃO DOS PISTOES DA ELEVAÇÃO DAS GRELHAS DE ALIMENTAÇÃO DA R535 PRESENTARIA </t>
  </si>
  <si>
    <t xml:space="preserve">SERVIÇO PARA REALIZAR BECKUP DO SISTEMA DAS TERMOFORMADORAS </t>
  </si>
  <si>
    <t xml:space="preserve">USICASTRO </t>
  </si>
  <si>
    <t xml:space="preserve">SERVIÇO PARA RECUPERAR CAIXA DE SELAGEM DA PRESUNTARIA </t>
  </si>
  <si>
    <t>ID02</t>
  </si>
  <si>
    <t>ID03</t>
  </si>
  <si>
    <t>ID06</t>
  </si>
  <si>
    <t>FORNECEDOR</t>
  </si>
  <si>
    <t>NF: SERVIÇO OU MATERIAL</t>
  </si>
  <si>
    <t>TIPO DE GASTO</t>
  </si>
  <si>
    <t>ID07</t>
  </si>
  <si>
    <t>ID08</t>
  </si>
  <si>
    <t>ID19</t>
  </si>
  <si>
    <t>ID20</t>
  </si>
  <si>
    <t>a</t>
  </si>
  <si>
    <t>asd</t>
  </si>
  <si>
    <t>ID21</t>
  </si>
  <si>
    <t>ID22</t>
  </si>
  <si>
    <t>ID23</t>
  </si>
  <si>
    <t>dsad</t>
  </si>
  <si>
    <t>ID24</t>
  </si>
  <si>
    <t>PEDIDO DE COMPRA</t>
  </si>
  <si>
    <t>REQUISIÇÃO 
DE COMPRA</t>
  </si>
  <si>
    <t>ID01</t>
  </si>
  <si>
    <t>ID04</t>
  </si>
  <si>
    <t>ID05</t>
  </si>
  <si>
    <t>ID09</t>
  </si>
  <si>
    <t>ID10</t>
  </si>
  <si>
    <t>MATERIAL DO ALMOXARIFADO</t>
  </si>
  <si>
    <t>MATERIAL DE SERVIÇO</t>
  </si>
  <si>
    <t>SERVIÇO EXTERNO</t>
  </si>
  <si>
    <t>TESTE</t>
  </si>
  <si>
    <t>ID25</t>
  </si>
  <si>
    <t>ID27</t>
  </si>
  <si>
    <t>ID28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</si>
</sst>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[$R$-416]\ * #,##0.00_-;\-[$R$-416]\ * #,##0.00_-;_-[$R$-416]\ * &quot;-&quot;??_-;_-@_-"/>
    <numFmt numFmtId="165" formatCode="[$R$-416]\ #,##0.0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0"/>
      <name val="Arial"/>
    </font>
    <font>
      <sz val="10"/>
      <color theme="1"/>
      <name val="Arial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4" fillId="0" borderId="0" applyNumberFormat="0"/>
  </cellStyleXfs>
  <cellXfs count="71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3" borderId="0" xfId="0" applyFill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0" fillId="4" borderId="0" xfId="0" applyFill="1"/>
    <xf numFmtId="0" fontId="0" fillId="2" borderId="0" xfId="0" applyFill="1"/>
    <xf numFmtId="164" fontId="0" fillId="2" borderId="0" xfId="0" applyNumberFormat="1" applyFill="1"/>
    <xf numFmtId="0" fontId="0" fillId="0" borderId="0" xfId="0" applyProtection="1">
      <protection locked="0"/>
    </xf>
    <xf numFmtId="0" fontId="0" fillId="0" borderId="1" xfId="0" applyBorder="1" applyAlignment="1">
      <alignment horizontal="left"/>
    </xf>
    <xf numFmtId="165" fontId="0" fillId="0" borderId="1" xfId="0" applyNumberFormat="1" applyBorder="1"/>
    <xf numFmtId="0" fontId="6" fillId="0" borderId="1" xfId="0" applyFont="1" applyBorder="1" applyAlignment="1" applyProtection="1">
      <alignment horizontal="center" vertical="center"/>
      <protection locked="0"/>
    </xf>
    <xf numFmtId="164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17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wrapText="1"/>
      <protection locked="0"/>
    </xf>
    <xf numFmtId="0" fontId="6" fillId="0" borderId="0" xfId="0" applyFont="1" applyProtection="1">
      <protection locked="0"/>
    </xf>
    <xf numFmtId="0" fontId="6" fillId="0" borderId="4" xfId="0" applyFont="1" applyBorder="1" applyAlignment="1" applyProtection="1">
      <alignment horizontal="center" wrapText="1"/>
      <protection locked="0"/>
    </xf>
    <xf numFmtId="0" fontId="5" fillId="6" borderId="2" xfId="0" applyFont="1" applyFill="1" applyBorder="1" applyAlignment="1" applyProtection="1">
      <alignment horizontal="center" vertical="center" wrapText="1"/>
      <protection locked="0"/>
    </xf>
    <xf numFmtId="0" fontId="5" fillId="6" borderId="2" xfId="0" applyFont="1" applyFill="1" applyBorder="1" applyAlignment="1" applyProtection="1">
      <alignment wrapText="1"/>
      <protection locked="0"/>
    </xf>
    <xf numFmtId="0" fontId="5" fillId="6" borderId="2" xfId="0" applyFont="1" applyFill="1" applyBorder="1" applyAlignment="1" applyProtection="1">
      <alignment horizontal="center" wrapText="1"/>
      <protection locked="0"/>
    </xf>
    <xf numFmtId="0" fontId="5" fillId="6" borderId="1" xfId="0" applyFont="1" applyFill="1" applyBorder="1" applyAlignment="1" applyProtection="1">
      <alignment horizontal="center" wrapText="1"/>
      <protection locked="0"/>
    </xf>
    <xf numFmtId="14" fontId="5" fillId="6" borderId="2" xfId="0" applyNumberFormat="1" applyFont="1" applyFill="1" applyBorder="1" applyAlignment="1" applyProtection="1">
      <alignment horizontal="center" wrapText="1"/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5" fillId="6" borderId="6" xfId="0" applyFont="1" applyFill="1" applyBorder="1" applyAlignment="1" applyProtection="1">
      <alignment horizontal="center" vertical="center" wrapText="1"/>
      <protection locked="0"/>
    </xf>
    <xf numFmtId="0" fontId="5" fillId="6" borderId="6" xfId="0" applyFont="1" applyFill="1" applyBorder="1" applyAlignment="1" applyProtection="1">
      <alignment wrapText="1"/>
      <protection locked="0"/>
    </xf>
    <xf numFmtId="0" fontId="5" fillId="6" borderId="6" xfId="0" applyFont="1" applyFill="1" applyBorder="1" applyAlignment="1" applyProtection="1">
      <alignment horizontal="center" wrapText="1"/>
      <protection locked="0"/>
    </xf>
    <xf numFmtId="14" fontId="5" fillId="6" borderId="6" xfId="0" applyNumberFormat="1" applyFont="1" applyFill="1" applyBorder="1" applyAlignment="1" applyProtection="1">
      <alignment horizontal="center" wrapText="1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wrapText="1"/>
      <protection locked="0"/>
    </xf>
    <xf numFmtId="164" fontId="5" fillId="3" borderId="8" xfId="0" applyNumberFormat="1" applyFont="1" applyFill="1" applyBorder="1" applyAlignment="1" applyProtection="1">
      <alignment horizontal="center" vertical="center" wrapText="1"/>
      <protection locked="0"/>
    </xf>
    <xf numFmtId="17" fontId="5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8" xfId="0" applyFont="1" applyFill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 wrapText="1"/>
      <protection locked="0"/>
    </xf>
    <xf numFmtId="0" fontId="5" fillId="6" borderId="7" xfId="0" applyFont="1" applyFill="1" applyBorder="1" applyAlignment="1" applyProtection="1">
      <alignment horizontal="center" wrapText="1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5" fillId="6" borderId="8" xfId="0" applyFont="1" applyFill="1" applyBorder="1" applyAlignment="1" applyProtection="1">
      <alignment horizontal="center" wrapText="1"/>
      <protection locked="0"/>
    </xf>
    <xf numFmtId="14" fontId="5" fillId="6" borderId="7" xfId="0" applyNumberFormat="1" applyFont="1" applyFill="1" applyBorder="1" applyAlignment="1" applyProtection="1">
      <alignment horizontal="center" wrapText="1"/>
      <protection locked="0"/>
    </xf>
    <xf numFmtId="0" fontId="6" fillId="3" borderId="9" xfId="0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0" fontId="5" fillId="6" borderId="1" xfId="0" applyFont="1" applyFill="1" applyBorder="1" applyAlignment="1" applyProtection="1">
      <alignment wrapText="1"/>
      <protection locked="0"/>
    </xf>
    <xf numFmtId="0" fontId="6" fillId="0" borderId="1" xfId="0" applyFont="1" applyBorder="1" applyAlignment="1" applyProtection="1">
      <alignment horizontal="center" wrapText="1"/>
      <protection locked="0"/>
    </xf>
    <xf numFmtId="14" fontId="5" fillId="6" borderId="1" xfId="0" applyNumberFormat="1" applyFont="1" applyFill="1" applyBorder="1" applyAlignment="1" applyProtection="1">
      <alignment horizontal="center" wrapText="1"/>
      <protection locked="0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wrapText="1"/>
      <protection locked="0"/>
    </xf>
    <xf numFmtId="164" fontId="1" fillId="0" borderId="1" xfId="1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7" fillId="5" borderId="1" xfId="0" applyFont="1" applyFill="1" applyBorder="1" applyAlignment="1" applyProtection="1">
      <alignment horizontal="center" wrapText="1"/>
      <protection locked="0"/>
    </xf>
    <xf numFmtId="0" fontId="8" fillId="2" borderId="1" xfId="0" applyFont="1" applyFill="1" applyBorder="1" applyAlignment="1" applyProtection="1">
      <alignment horizontal="center" wrapText="1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2" xfId="0" applyFont="1" applyFill="1" applyBorder="1" applyAlignment="1" applyProtection="1">
      <alignment horizontal="center" wrapText="1"/>
      <protection locked="0"/>
    </xf>
    <xf numFmtId="164" fontId="5" fillId="3" borderId="11" xfId="0" applyNumberFormat="1" applyFont="1" applyFill="1" applyBorder="1" applyAlignment="1" applyProtection="1">
      <alignment horizontal="center" vertical="center" wrapText="1"/>
      <protection locked="0"/>
    </xf>
    <xf numFmtId="17" fontId="5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11" xfId="0" applyFont="1" applyFill="1" applyBorder="1" applyAlignment="1" applyProtection="1">
      <alignment horizontal="center" vertical="center" wrapText="1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 applyProtection="1">
      <alignment horizontal="center" wrapText="1"/>
      <protection locked="0"/>
    </xf>
    <xf numFmtId="0" fontId="8" fillId="7" borderId="2" xfId="0" applyFont="1" applyFill="1" applyBorder="1" applyAlignment="1" applyProtection="1">
      <alignment horizontal="center" wrapText="1"/>
      <protection locked="0"/>
    </xf>
    <xf numFmtId="0" fontId="8" fillId="7" borderId="1" xfId="0" applyFont="1" applyFill="1" applyBorder="1" applyAlignment="1" applyProtection="1">
      <alignment horizontal="center" wrapText="1"/>
      <protection locked="0"/>
    </xf>
  </cellXfs>
  <cellStyles count="3">
    <cellStyle name="Moeda" xfId="1" builtinId="4"/>
    <cellStyle name="Normal" xfId="0" builtinId="0"/>
    <cellStyle name="normal 2" xfId="2" xr:uid="{5F3565CC-B7E1-4600-8CE0-2FF16F9B60ED}"/>
  </cellStyles>
  <dxfs count="1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R$-416]\ 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_-[$R$-416]\ * #,##0.00_-;\-[$R$-416]\ * #,##0.00_-;_-[$R$-416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[9. PCM - Previsão de Gastos 2025 e 2026.xlsm]DASHBOARD!Tabela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PREVISÃO</a:t>
            </a:r>
            <a:r>
              <a:rPr lang="en-US" baseline="0"/>
              <a:t> DE GASTOS - SETOR 1. MANUTENÇÃO TURNO A</a:t>
            </a:r>
          </a:p>
        </c:rich>
      </c:tx>
      <c:layout>
        <c:manualLayout>
          <c:xMode val="edge"/>
          <c:yMode val="edge"/>
          <c:x val="0.34935973311051216"/>
          <c:y val="7.1895774932895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DASHBOARD!$C$4:$C$12</c:f>
              <c:strCache>
                <c:ptCount val="8"/>
                <c:pt idx="0">
                  <c:v>-</c:v>
                </c:pt>
                <c:pt idx="1">
                  <c:v>DEZEMBRO / 2025</c:v>
                </c:pt>
                <c:pt idx="2">
                  <c:v>FEVEREIRO / 2026</c:v>
                </c:pt>
                <c:pt idx="3">
                  <c:v>JANEIRO / 2026</c:v>
                </c:pt>
                <c:pt idx="4">
                  <c:v>MARÇO / 2026</c:v>
                </c:pt>
                <c:pt idx="5">
                  <c:v>(vazio)</c:v>
                </c:pt>
                <c:pt idx="6">
                  <c:v>SEM PREVISÃO</c:v>
                </c:pt>
                <c:pt idx="7">
                  <c:v>ABRIL / 2026</c:v>
                </c:pt>
              </c:strCache>
            </c:strRef>
          </c:cat>
          <c:val>
            <c:numRef>
              <c:f>DASHBOARD!$D$4:$D$12</c:f>
              <c:numCache>
                <c:formatCode>[$R$-416]\ #,##0.00</c:formatCode>
                <c:ptCount val="8"/>
                <c:pt idx="0">
                  <c:v>0</c:v>
                </c:pt>
                <c:pt idx="1">
                  <c:v>38804.79</c:v>
                </c:pt>
                <c:pt idx="2">
                  <c:v>483172.23000000004</c:v>
                </c:pt>
                <c:pt idx="3">
                  <c:v>0</c:v>
                </c:pt>
                <c:pt idx="4">
                  <c:v>391442.98000000004</c:v>
                </c:pt>
                <c:pt idx="6">
                  <c:v>257814.19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C-415A-9CE7-1277D53E1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212575"/>
        <c:axId val="511213535"/>
      </c:barChart>
      <c:catAx>
        <c:axId val="51121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13535"/>
        <c:crosses val="autoZero"/>
        <c:auto val="1"/>
        <c:lblAlgn val="ctr"/>
        <c:lblOffset val="100"/>
        <c:noMultiLvlLbl val="0"/>
      </c:catAx>
      <c:valAx>
        <c:axId val="51121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R$-416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1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923925</xdr:colOff>
      <xdr:row>17</xdr:row>
      <xdr:rowOff>19050</xdr:rowOff>
    </xdr:from>
    <xdr:to>
      <xdr:col>18</xdr:col>
      <xdr:colOff>361950</xdr:colOff>
      <xdr:row>38</xdr:row>
      <xdr:rowOff>47625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8B3026C-9652-4D1F-A187-52F15AD4DAE3}"/>
            </a:ext>
          </a:extLst>
        </xdr:cNvPr>
        <xdr:cNvSpPr/>
      </xdr:nvSpPr>
      <xdr:spPr>
        <a:xfrm>
          <a:off x="6115050" y="3429000"/>
          <a:ext cx="10610850" cy="40290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19049</xdr:rowOff>
    </xdr:from>
    <xdr:to>
      <xdr:col>25</xdr:col>
      <xdr:colOff>481853</xdr:colOff>
      <xdr:row>26</xdr:row>
      <xdr:rowOff>22412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8ED26DE-F351-6AF3-6828-FAD1612CF3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3724275</xdr:colOff>
          <xdr:row>0</xdr:row>
          <xdr:rowOff>152400</xdr:rowOff>
        </xdr:from>
        <xdr:to>
          <xdr:col>1</xdr:col>
          <xdr:colOff>4610100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Congelar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0</xdr:row>
          <xdr:rowOff>152400</xdr:rowOff>
        </xdr:from>
        <xdr:to>
          <xdr:col>1</xdr:col>
          <xdr:colOff>2133600</xdr:colOff>
          <xdr:row>0</xdr:row>
          <xdr:rowOff>495300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Ids dos Serviços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eluzjunior" refreshedDate="46066.535406597221" createdVersion="8" refreshedVersion="8" minRefreshableVersion="3" recordCount="501" xr:uid="{56332D3B-67C9-4FD9-B762-5A17C06DD789}">
  <cacheSource type="worksheet">
    <worksheetSource ref="A1:Q1048576" sheet="GASTOS"/>
  </cacheSource>
  <cacheFields count="17">
    <cacheField name="SETOR " numFmtId="0">
      <sharedItems containsBlank="1"/>
    </cacheField>
    <cacheField name="SOLICITANTE" numFmtId="0">
      <sharedItems containsBlank="1" count="7">
        <s v="CLEITON"/>
        <s v="RHUAN"/>
        <s v="JOSÉ"/>
        <s v="CLEITON "/>
        <m/>
        <s v="-"/>
        <s v="EDER-BUENO" u="1"/>
      </sharedItems>
    </cacheField>
    <cacheField name="FORNECEDOR_x000a_NOME FANTASIA" numFmtId="0">
      <sharedItems containsBlank="1"/>
    </cacheField>
    <cacheField name="DESCRIÇÃO DO SERVIÇO" numFmtId="0">
      <sharedItems containsBlank="1"/>
    </cacheField>
    <cacheField name="VALOR TOTAL" numFmtId="0">
      <sharedItems containsBlank="1" containsMixedTypes="1" containsNumber="1" minValue="0" maxValue="150000"/>
    </cacheField>
    <cacheField name="PREVISÃO _x000a_P/ EXECUÇÃO" numFmtId="0">
      <sharedItems containsBlank="1" count="11">
        <m/>
        <s v="DEZEMBRO / 2025"/>
        <s v="FEVEREIRO / 2026"/>
        <s v="MARÇO / 2026"/>
        <s v="ABRIL / 2026"/>
        <s v="JANEIRO / 2026"/>
        <s v="SEM PREVISÃO"/>
        <s v="-"/>
        <s v="FEVEREIO / 2026" u="1"/>
        <s v="OUTUBRO / 2025" u="1"/>
        <s v="NOVEMBRO / 2025" u="1"/>
      </sharedItems>
    </cacheField>
    <cacheField name="USO _x000a_CONTÁBIL" numFmtId="0">
      <sharedItems containsBlank="1" containsMixedTypes="1" containsNumber="1" containsInteger="1" minValue="242" maxValue="242"/>
    </cacheField>
    <cacheField name="NÚMERO DA _x000a_NOTA FISCAL" numFmtId="0">
      <sharedItems containsBlank="1" containsMixedTypes="1" containsNumber="1" containsInteger="1" minValue="338" maxValue="7104"/>
    </cacheField>
    <cacheField name="TIPO DE _x000a_SOLICITAÇÃO" numFmtId="0">
      <sharedItems containsBlank="1"/>
    </cacheField>
    <cacheField name="ORDEM _x000a_DE SERVIÇO" numFmtId="0">
      <sharedItems containsBlank="1" containsMixedTypes="1" containsNumber="1" containsInteger="1" minValue="77410" maxValue="101907"/>
    </cacheField>
    <cacheField name="DATA DE ABERTURA _x000a_DA REQUISIÇÃO" numFmtId="0">
      <sharedItems containsDate="1" containsBlank="1" containsMixedTypes="1" minDate="2025-08-18T00:00:00" maxDate="2423-04-13T00:00:00"/>
    </cacheField>
    <cacheField name="FORNECEDOR_x000a_CNPJ" numFmtId="0">
      <sharedItems containsBlank="1"/>
    </cacheField>
    <cacheField name="NÚEMRO DA REQUISIÇÃO _x000a_DE COMPRA" numFmtId="0">
      <sharedItems containsBlank="1" containsMixedTypes="1" containsNumber="1" containsInteger="1" minValue="4214651" maxValue="4388731"/>
    </cacheField>
    <cacheField name="NÚMERO DO _x000a_PEDIDO DE COMPRA" numFmtId="0">
      <sharedItems containsBlank="1" containsMixedTypes="1" containsNumber="1" containsInteger="1" minValue="4336280" maxValue="4488525"/>
    </cacheField>
    <cacheField name="SERVIÇO CONCLUÍDO" numFmtId="0">
      <sharedItems containsBlank="1"/>
    </cacheField>
    <cacheField name="NF DE SERVIÇO_x000a_ RECEBIDA" numFmtId="0">
      <sharedItems containsBlank="1"/>
    </cacheField>
    <cacheField name="NF ENVIADA_x000a_ PARA LANÇAMENTO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s v="9. PCM"/>
    <x v="0"/>
    <s v="MULT-TEC"/>
    <s v="MANUTENÇÃO NOS BLOCOS DE VACUO DA R145 DO CURADOS "/>
    <m/>
    <x v="0"/>
    <n v="242"/>
    <m/>
    <m/>
    <n v="88639"/>
    <d v="2025-10-29T00:00:00"/>
    <m/>
    <n v="4285510"/>
    <n v="4408524"/>
    <s v="-"/>
    <s v="-"/>
    <s v="-"/>
  </r>
  <r>
    <s v="9. PCM"/>
    <x v="0"/>
    <s v="MULT-TEC"/>
    <s v="REVISAO DAS PLACAS DA BASE DA R535 DA PRESUNTARIA "/>
    <m/>
    <x v="0"/>
    <n v="242"/>
    <m/>
    <m/>
    <n v="86826"/>
    <d v="2025-10-14T00:00:00"/>
    <m/>
    <n v="4274405"/>
    <n v="4399765"/>
    <s v="SIM"/>
    <s v="SIM"/>
    <s v="SIM"/>
  </r>
  <r>
    <s v="9. PCM"/>
    <x v="0"/>
    <s v="MULT-TEC"/>
    <s v="CABO SENSOR DE SEGURANÇA DE 6 METROS "/>
    <m/>
    <x v="0"/>
    <n v="242"/>
    <m/>
    <m/>
    <n v="87008"/>
    <d v="2025-10-15T00:00:00"/>
    <m/>
    <n v="4274431"/>
    <n v="4399761"/>
    <s v="SIM"/>
    <s v="SIM"/>
    <s v="SIM"/>
  </r>
  <r>
    <s v="9. PCM"/>
    <x v="0"/>
    <s v="MULT-TEC"/>
    <s v="REVISÃO DOS PISTOES DA ELEVAÇÃO DAS GRELHAS DE ALIMENTAÇÃO DA R535 PRESENTARIA "/>
    <m/>
    <x v="0"/>
    <n v="242"/>
    <m/>
    <m/>
    <n v="86824"/>
    <d v="2025-10-14T00:00:00"/>
    <m/>
    <n v="4271140"/>
    <n v="4390655"/>
    <s v="SIM"/>
    <s v="SIM"/>
    <s v="SIM"/>
  </r>
  <r>
    <s v="9. PCM"/>
    <x v="0"/>
    <s v="MULT-TEC"/>
    <s v="SERVIÇO PARA REALIZAR BECKUP DO SISTEMA DAS TERMOFORMADORAS "/>
    <m/>
    <x v="0"/>
    <n v="242"/>
    <m/>
    <m/>
    <n v="86833"/>
    <d v="2025-10-14T00:00:00"/>
    <m/>
    <n v="4271154"/>
    <n v="4390653"/>
    <s v="SIM"/>
    <s v="SIM"/>
    <s v="SIM"/>
  </r>
  <r>
    <s v="9. PCM"/>
    <x v="0"/>
    <s v="USICASTRO "/>
    <s v="SERVIÇO PARA RECUPERAR CAIXA DE SELAGEM DA PRESUNTARIA "/>
    <m/>
    <x v="0"/>
    <n v="242"/>
    <m/>
    <m/>
    <n v="87782"/>
    <d v="2025-10-22T00:00:00"/>
    <m/>
    <n v="4282004"/>
    <n v="4399466"/>
    <s v="SIM"/>
    <s v="SIM"/>
    <s v="SIM"/>
  </r>
  <r>
    <s v="9. PCM"/>
    <x v="1"/>
    <s v="USICASTRO (PHDS)"/>
    <s v="SERVIÇO USINAGEM EM BUCHA DO EIXO DO MOEDOR FRESCAL"/>
    <m/>
    <x v="0"/>
    <m/>
    <n v="404"/>
    <m/>
    <s v="91702 "/>
    <m/>
    <m/>
    <n v="4302330"/>
    <n v="4417893"/>
    <s v="SIM"/>
    <s v="SIM"/>
    <s v="SIM"/>
  </r>
  <r>
    <s v="9. PCM"/>
    <x v="0"/>
    <s v="MULT-TEC"/>
    <s v="VISITA TÉCNICA PARA MANUTENÇÃO E ACOMPANHAMENTO NOS EQUIPAMENTOS"/>
    <m/>
    <x v="0"/>
    <m/>
    <n v="338"/>
    <m/>
    <n v="90496"/>
    <m/>
    <m/>
    <n v="4296561"/>
    <n v="4413697"/>
    <s v="SIM"/>
    <s v="SIM"/>
    <s v="NAO "/>
  </r>
  <r>
    <s v="9. PCM"/>
    <x v="2"/>
    <s v="PESO EXATO"/>
    <s v="CALIBRAÇÃO DE BALANÇAS RODOVIÁRIAS (FATURAMENTO E RECEPÇÃO)"/>
    <n v="11000"/>
    <x v="1"/>
    <n v="242"/>
    <s v="-"/>
    <m/>
    <s v="-"/>
    <s v="-"/>
    <m/>
    <s v="-"/>
    <s v="-"/>
    <s v="-"/>
    <s v="-"/>
    <s v="-"/>
  </r>
  <r>
    <s v="9. PCM"/>
    <x v="1"/>
    <s v="USICASTRO (PHDS)"/>
    <s v="CONFECÇÃO DE CAVALETE PARA REVISÃO DE REDUTORES DE DIGESTORES"/>
    <n v="7500"/>
    <x v="1"/>
    <n v="242"/>
    <n v="433"/>
    <m/>
    <n v="78710"/>
    <d v="2025-08-29T00:00:00"/>
    <m/>
    <n v="4225517"/>
    <n v="4350050"/>
    <s v="SIM"/>
    <s v="SIM"/>
    <s v="SIM"/>
  </r>
  <r>
    <s v="9. PCM"/>
    <x v="1"/>
    <s v="VELOTANO"/>
    <s v="SERVICO TORNO COM DIVISAO / SERVIÇO DE USINAGEM EM KIT ENGRENAGEM SKINNER"/>
    <n v="3480"/>
    <x v="1"/>
    <n v="242"/>
    <s v="-"/>
    <m/>
    <n v="91597"/>
    <d v="2025-11-13T00:00:00"/>
    <m/>
    <n v="4300441"/>
    <n v="4416482"/>
    <s v="-"/>
    <s v="-"/>
    <s v="-"/>
  </r>
  <r>
    <s v="9. PCM"/>
    <x v="1"/>
    <s v="USIMEC"/>
    <s v="SERVIÇO DE MÃO DE OBRA PARA REVISÃO DO EXAUSTOR DO CHAMUSCADOR"/>
    <n v="3800"/>
    <x v="1"/>
    <n v="242"/>
    <s v="-"/>
    <m/>
    <s v="91312 "/>
    <d v="2025-11-12T00:00:00"/>
    <m/>
    <n v="4299409"/>
    <n v="4419988"/>
    <s v="-"/>
    <s v="-"/>
    <s v="-"/>
  </r>
  <r>
    <s v="9. PCM"/>
    <x v="1"/>
    <s v="VELOTANO"/>
    <s v="SERVIÇO DE USINAGEM EM EIXOS DO REDUTOR DA PRENSA EXPELLER"/>
    <n v="2050"/>
    <x v="1"/>
    <n v="242"/>
    <n v="3195"/>
    <m/>
    <s v="91288 "/>
    <d v="2025-11-12T00:00:00"/>
    <m/>
    <n v="4299199"/>
    <n v="4413962"/>
    <s v="SIM"/>
    <s v="SIM"/>
    <s v="SIM"/>
  </r>
  <r>
    <s v="9. PCM"/>
    <x v="1"/>
    <s v="USICASTRO (PHDS)"/>
    <s v="SERVIÇO DE USINAGEM EM POLIA DE ALUMINIO DA NÓRIA DE MÍUDOS"/>
    <n v="765"/>
    <x v="1"/>
    <n v="242"/>
    <n v="432"/>
    <m/>
    <n v="91709"/>
    <d v="2025-11-17T00:00:00"/>
    <m/>
    <n v="4303272"/>
    <n v="4424780"/>
    <s v="SIM"/>
    <s v="SIM"/>
    <s v="SIM"/>
  </r>
  <r>
    <s v="9. PCM"/>
    <x v="2"/>
    <s v="FOSS"/>
    <s v="SERVIÇO DE MANUTENÇÃO PREVENTIVA E CALIBRAÇÃO - EQUIPAMENTO FOODSCAN (CURADOS)"/>
    <n v="5500"/>
    <x v="1"/>
    <n v="242"/>
    <s v="-"/>
    <m/>
    <s v="-"/>
    <s v="-"/>
    <m/>
    <s v="-"/>
    <s v="-"/>
    <s v="-"/>
    <s v="-"/>
    <s v="-"/>
  </r>
  <r>
    <s v="9. PCM"/>
    <x v="1"/>
    <s v="MAREL"/>
    <s v="SERVIÇO DE TERCEIRO PARA: MÃO DE OBRA PARA DIA EXTRA DE ACOMPANHAMENTO DE UM TÉCNICO DA MAREL, PARA O EQUIPAMENTO V-CUT 240"/>
    <n v="4709.79"/>
    <x v="1"/>
    <n v="242"/>
    <s v="-"/>
    <m/>
    <s v="97841 "/>
    <d v="2025-12-23T00:00:00"/>
    <m/>
    <n v="4340072"/>
    <s v="-"/>
    <s v="-"/>
    <s v="-"/>
    <s v="-"/>
  </r>
  <r>
    <s v="9. PCM"/>
    <x v="0"/>
    <s v="MULT-TEC"/>
    <s v="RFORMA F200 EMBALAGEM "/>
    <n v="150000"/>
    <x v="2"/>
    <n v="242"/>
    <m/>
    <m/>
    <n v="91042"/>
    <d v="2025-11-11T00:00:00"/>
    <m/>
    <n v="4298167"/>
    <n v="4417448"/>
    <m/>
    <m/>
    <m/>
  </r>
  <r>
    <s v="9. PCM"/>
    <x v="1"/>
    <s v="PCR ARTEFATOS DE BORRACHA"/>
    <s v="SERVIÇO DE MATERIAL E MÃO DE OBRA PARA REFORMA DE CILINDROS DO EQUIPAMENTO MÁQUINA DE TRIPAS"/>
    <n v="20706"/>
    <x v="2"/>
    <n v="242"/>
    <m/>
    <m/>
    <n v="100100"/>
    <d v="2026-01-14T00:00:00"/>
    <m/>
    <n v="4359906"/>
    <s v="-"/>
    <m/>
    <m/>
    <m/>
  </r>
  <r>
    <s v="9. PCM"/>
    <x v="1"/>
    <s v="SERPONTES COMERCIO DE PEÇAS LTDA"/>
    <s v="OS 101907 - SERVIÇO TERCEIRO: MATERIAL E MÃO DE OBRA PARA CONSERTO DE FURADEIRA DE IMPACTO BOSCH."/>
    <n v="406.9"/>
    <x v="2"/>
    <n v="242"/>
    <m/>
    <m/>
    <n v="101907"/>
    <d v="2026-01-28T00:00:00"/>
    <m/>
    <n v="4373587"/>
    <n v="4488525"/>
    <m/>
    <m/>
    <m/>
  </r>
  <r>
    <s v="9. PCM"/>
    <x v="1"/>
    <s v="SERPONTES COMERCIO DE PEÇAS LTDA"/>
    <s v="OS 101859 - SERVIÇO TERCEIRO: MATERIAL E MÃO DE OBRA PARA CONSERTO DE ESMIRILHADEIRA BOSCH."/>
    <n v="555.12"/>
    <x v="2"/>
    <n v="242"/>
    <m/>
    <m/>
    <n v="101859"/>
    <d v="2026-01-28T00:00:00"/>
    <m/>
    <s v="4373606 "/>
    <n v="4488524"/>
    <m/>
    <m/>
    <m/>
  </r>
  <r>
    <s v="9. PCM"/>
    <x v="1"/>
    <s v="FAST"/>
    <s v="SERVIÇO DE MATERIAL E MÃO DE OBRA PARA REVISÃO PREVENTIVA DA CENTRIFUGA TRIDECANTER DCT SATURNO 3 (N° 3019)"/>
    <n v="44500"/>
    <x v="2"/>
    <n v="242"/>
    <m/>
    <m/>
    <n v="96044"/>
    <d v="2025-12-16T00:00:00"/>
    <m/>
    <n v="4331892"/>
    <n v="4462966"/>
    <m/>
    <m/>
    <m/>
  </r>
  <r>
    <s v="9. PCM"/>
    <x v="3"/>
    <s v="MULTIVAC"/>
    <s v="REFORMA F200 EMBALGEM "/>
    <n v="90"/>
    <x v="2"/>
    <n v="242"/>
    <m/>
    <m/>
    <m/>
    <d v="2395-11-25T00:00:00"/>
    <m/>
    <n v="4304053"/>
    <m/>
    <m/>
    <m/>
    <m/>
  </r>
  <r>
    <s v="9. PCM"/>
    <x v="3"/>
    <s v="MULTIVAC "/>
    <s v="TROCA DA IHM DO PRESUNTO"/>
    <n v="75000"/>
    <x v="2"/>
    <n v="242"/>
    <m/>
    <m/>
    <m/>
    <d v="2423-04-12T00:00:00"/>
    <m/>
    <n v="4305416"/>
    <m/>
    <m/>
    <m/>
    <m/>
  </r>
  <r>
    <s v="9. PCM"/>
    <x v="3"/>
    <s v="USINOX "/>
    <s v="VISITA TECNICO USINOX PARA TREINAMENTO E LEVANTAMENTO DE PEÇAS DAS DUAS USINOX "/>
    <n v="12900"/>
    <x v="2"/>
    <n v="242"/>
    <m/>
    <m/>
    <n v="90443"/>
    <d v="2025-11-07T00:00:00"/>
    <m/>
    <n v="4294295"/>
    <m/>
    <m/>
    <m/>
    <m/>
  </r>
  <r>
    <s v="9. PCM"/>
    <x v="3"/>
    <s v="POLYCLIP"/>
    <s v="VISITA TECNICO POLYCLIP PARA REVISÃO NA ICA8700 DO LOG  "/>
    <n v="21984.21"/>
    <x v="2"/>
    <n v="242"/>
    <m/>
    <m/>
    <n v="100069"/>
    <d v="2026-01-12T00:00:00"/>
    <m/>
    <n v="4361017"/>
    <m/>
    <m/>
    <m/>
    <m/>
  </r>
  <r>
    <s v="9. PCM"/>
    <x v="3"/>
    <s v="METALQUIMIA"/>
    <s v="TROCA ROLAMENTO TUMBLER "/>
    <n v="150000"/>
    <x v="2"/>
    <n v="242"/>
    <m/>
    <m/>
    <m/>
    <d v="2026-12-10T00:00:00"/>
    <m/>
    <m/>
    <m/>
    <m/>
    <m/>
    <m/>
  </r>
  <r>
    <s v="9. PCM"/>
    <x v="0"/>
    <s v="MULT-TEC"/>
    <s v="RFORMA F200 EMBALAGEM "/>
    <n v="150000"/>
    <x v="3"/>
    <n v="242"/>
    <m/>
    <m/>
    <n v="91042"/>
    <d v="2025-11-11T00:00:00"/>
    <m/>
    <n v="4298167"/>
    <n v="4417448"/>
    <m/>
    <m/>
    <m/>
  </r>
  <r>
    <s v="9. PCM"/>
    <x v="0"/>
    <s v="METALMARC"/>
    <s v="TROCA CORPO EMBUTIDEIRA PRESUNTO "/>
    <n v="120000"/>
    <x v="3"/>
    <n v="242"/>
    <m/>
    <m/>
    <n v="77410"/>
    <d v="2025-08-18T00:00:00"/>
    <m/>
    <n v="4214651"/>
    <n v="4336280"/>
    <m/>
    <m/>
    <m/>
  </r>
  <r>
    <s v="9. PCM"/>
    <x v="1"/>
    <s v="FAST"/>
    <s v="SERVIÇO DE MATERIAL E MÃO DE OBRA PARA REVISÃO PREVENTIVA DA CENTRIFUGA DECANTER DC MARTE 3 (N° 3019"/>
    <n v="19885"/>
    <x v="3"/>
    <n v="242"/>
    <m/>
    <m/>
    <n v="96040"/>
    <d v="2025-12-16T00:00:00"/>
    <m/>
    <n v="4331901"/>
    <n v="4462967"/>
    <m/>
    <m/>
    <m/>
  </r>
  <r>
    <s v="9. PCM"/>
    <x v="1"/>
    <s v="GRATT"/>
    <s v="SERVIÇO DE TERCEIRO: MATERIAL E MÃO DE OBRA PARA REVISÃO PREVENTIVA DA CENTRIFUGA DECANTER GRATT MODELO GMT 230S N/S D230S 61A (REDUTOR 301)."/>
    <n v="37363.58"/>
    <x v="3"/>
    <n v="242"/>
    <m/>
    <m/>
    <n v="100524"/>
    <d v="2026-01-15T00:00:00"/>
    <m/>
    <s v="4361035 - SERÁ FEITO OUTRA"/>
    <s v="-"/>
    <m/>
    <m/>
    <m/>
  </r>
  <r>
    <s v="9. PCM"/>
    <x v="1"/>
    <s v="GRATT"/>
    <s v="SERVIÇO DE TERCEIRO: MATERIAL E MÃO DE OBRA PARA REVISÃO PREVENTIVA DA CENTRIFUGA DECANTER GRATT MODELO GMT 230S N/S D230S 61A (REDUTOR 301)."/>
    <n v="64194.400000000001"/>
    <x v="3"/>
    <n v="242"/>
    <m/>
    <m/>
    <n v="100524"/>
    <m/>
    <m/>
    <m/>
    <s v="-"/>
    <m/>
    <m/>
    <m/>
  </r>
  <r>
    <s v="9. PCM"/>
    <x v="1"/>
    <s v="MAREL"/>
    <s v="SERVIÇO TERCEIRO: MATERIAL E MÃO DE OBRA PARA REVISÃO DO EQUIPAMENTO SERRA AUTOMÁTICA SPLITTER MSP6040"/>
    <s v="EUR 43.675,85 (R$ 274.000,00)"/>
    <x v="3"/>
    <n v="242"/>
    <m/>
    <m/>
    <n v="100300"/>
    <d v="2026-01-13T00:00:00"/>
    <m/>
    <s v="4358231 "/>
    <s v="-"/>
    <m/>
    <m/>
    <m/>
  </r>
  <r>
    <s v="9. PCM"/>
    <x v="1"/>
    <s v="MAREL"/>
    <s v="SERVIÇO TERCEIRO: MATERIAL E MÃO DE OBRA PARA REVISÃO DO EQUIPAMENTO DEBOFLEX LINHA 1."/>
    <s v="EUR 7.484,31 (R$ 46.285,23)"/>
    <x v="4"/>
    <n v="242"/>
    <m/>
    <m/>
    <s v="105171 "/>
    <d v="2026-02-11T00:00:00"/>
    <m/>
    <n v="4388731"/>
    <m/>
    <m/>
    <m/>
    <m/>
  </r>
  <r>
    <s v="9. PCM"/>
    <x v="1"/>
    <s v="FLUXO"/>
    <s v="SERVIÇO DE CONSERTO EM MODULO CONTROLADOR INSENSIBILIZADOR DE CHOQUE MANUAL"/>
    <n v="7030"/>
    <x v="2"/>
    <n v="242"/>
    <n v="7104"/>
    <m/>
    <n v="100105"/>
    <d v="2026-01-14T00:00:00"/>
    <m/>
    <n v="4359896"/>
    <n v="4478325"/>
    <m/>
    <m/>
    <m/>
  </r>
  <r>
    <s v="9. PCM"/>
    <x v="1"/>
    <s v="AUTRON"/>
    <s v="SERVIÇO DE CONSERTO EM SERVOMOTOR DE ACIONAMENTO PORTA V-CUT"/>
    <n v="0"/>
    <x v="5"/>
    <n v="242"/>
    <m/>
    <m/>
    <m/>
    <m/>
    <m/>
    <m/>
    <m/>
    <m/>
    <m/>
    <m/>
  </r>
  <r>
    <s v="9. PCM"/>
    <x v="1"/>
    <s v="FPN - CONTROLE E AUTOMACAO INDUSTRIAL"/>
    <s v="SERVIÇO DE CONSERTO EM INVERSOR LENZE E84AVSCE7514SB0   - PEDIDO DEVOLUÇÃO DEVIDO ALTO VALOR"/>
    <n v="0"/>
    <x v="5"/>
    <n v="242"/>
    <m/>
    <m/>
    <m/>
    <m/>
    <m/>
    <m/>
    <m/>
    <m/>
    <m/>
    <m/>
  </r>
  <r>
    <s v="9. PCM"/>
    <x v="1"/>
    <s v="DHEYTÉCNICA"/>
    <s v="SERVIÇO DE TERCEIRO: MATERIAL E MÃO DE OBRA PARA REVISÃO PREVENTIVA DA CENTRIFUGA DECANTER Centrífugo 3501D. NS974903."/>
    <m/>
    <x v="6"/>
    <n v="242"/>
    <m/>
    <m/>
    <m/>
    <m/>
    <m/>
    <m/>
    <m/>
    <m/>
    <m/>
    <m/>
  </r>
  <r>
    <s v="9. PCM"/>
    <x v="1"/>
    <s v="EQUIPARE"/>
    <s v="REVISÃO PREVENTIVA TRITURADOR DE OSSOS GRX - MATERIAL + MÃO DE OBRA"/>
    <n v="111534.19"/>
    <x v="6"/>
    <n v="242"/>
    <m/>
    <m/>
    <m/>
    <m/>
    <m/>
    <m/>
    <m/>
    <m/>
    <m/>
    <m/>
  </r>
  <r>
    <s v="9. PCM"/>
    <x v="1"/>
    <s v="EQUIPARE"/>
    <s v="REVISÃO PREVENTIVA PRENSA EXPELLER 3000 FFG - MATERIAL + MÃO DE OBRA"/>
    <n v="146280"/>
    <x v="6"/>
    <n v="242"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s v="-"/>
    <x v="5"/>
    <s v="-"/>
    <s v="-"/>
    <s v="-"/>
    <x v="7"/>
    <s v="-"/>
    <s v="-"/>
    <s v="-"/>
    <s v="-"/>
    <s v="-"/>
    <s v="-"/>
    <s v="-"/>
    <s v="-"/>
    <s v="-"/>
    <s v="-"/>
    <s v="-"/>
  </r>
  <r>
    <m/>
    <x v="4"/>
    <m/>
    <m/>
    <m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62E1A-D9A7-4B7F-87EB-71919FB939AC}" name="Tabela dinâmica1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">
  <location ref="C3:D12" firstHeaderRow="1" firstDataRow="1" firstDataCol="1"/>
  <pivotFields count="17">
    <pivotField showAll="0"/>
    <pivotField showAll="0">
      <items count="8">
        <item x="5"/>
        <item x="0"/>
        <item x="2"/>
        <item x="1"/>
        <item x="4"/>
        <item m="1" x="6"/>
        <item x="3"/>
        <item t="default"/>
      </items>
    </pivotField>
    <pivotField showAll="0"/>
    <pivotField showAll="0"/>
    <pivotField dataField="1" showAll="0"/>
    <pivotField axis="axisRow" showAll="0">
      <items count="12">
        <item x="7"/>
        <item x="1"/>
        <item x="2"/>
        <item x="5"/>
        <item x="3"/>
        <item m="1" x="10"/>
        <item m="1" x="9"/>
        <item x="0"/>
        <item x="6"/>
        <item m="1" x="8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10"/>
    </i>
    <i t="grand">
      <x/>
    </i>
  </rowItems>
  <colItems count="1">
    <i/>
  </colItems>
  <dataFields count="1">
    <dataField name="Soma de VALOR TOTAL" fld="4" baseField="0" baseItem="0" numFmtId="165"/>
  </dataFields>
  <formats count="18">
    <format dxfId="17">
      <pivotArea grandRow="1"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/>
    </format>
    <format dxfId="13">
      <pivotArea dataOnly="0" labelOnly="1" grandRow="1" outline="0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5" count="0"/>
        </references>
      </pivotArea>
    </format>
    <format dxfId="9">
      <pivotArea dataOnly="0" labelOnly="1" grandRow="1" outline="0" fieldPosition="0"/>
    </format>
    <format dxfId="8">
      <pivotArea outline="0" collapsedLevelsAreSubtotals="1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grandRow="1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5" type="button" dataOnly="0" labelOnly="1" outline="0" axis="axisRow" fieldPosition="0"/>
    </format>
    <format dxfId="2">
      <pivotArea dataOnly="0" labelOnly="1" fieldPosition="0">
        <references count="1">
          <reference field="5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09D9C-E791-48E2-AC72-7D0345E1E97F}">
  <sheetPr codeName="Planilha1"/>
  <dimension ref="A1:S17"/>
  <sheetViews>
    <sheetView workbookViewId="0">
      <selection activeCell="C21" sqref="C21"/>
    </sheetView>
  </sheetViews>
  <sheetFormatPr defaultRowHeight="15" x14ac:dyDescent="0.25"/>
  <cols>
    <col min="1" max="1" width="11" style="3" customWidth="1"/>
    <col min="2" max="2" width="23.5703125" style="3" customWidth="1"/>
    <col min="3" max="3" width="19.42578125" style="3" customWidth="1"/>
    <col min="4" max="4" width="23.85546875" style="3" customWidth="1"/>
    <col min="5" max="5" width="17.28515625" style="3" customWidth="1"/>
    <col min="6" max="6" width="20.28515625" style="3" customWidth="1"/>
    <col min="7" max="7" width="22.42578125" style="3" customWidth="1"/>
    <col min="8" max="8" width="26.5703125" style="9" customWidth="1"/>
    <col min="9" max="9" width="9" style="1"/>
  </cols>
  <sheetData>
    <row r="1" spans="1:19" s="7" customFormat="1" ht="28.5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9" t="s">
        <v>7</v>
      </c>
      <c r="I1" s="6"/>
    </row>
    <row r="2" spans="1:19" x14ac:dyDescent="0.25">
      <c r="A2" s="2"/>
      <c r="B2" s="2" t="s">
        <v>8</v>
      </c>
      <c r="C2" s="2">
        <v>5</v>
      </c>
      <c r="D2" s="5" t="s">
        <v>9</v>
      </c>
      <c r="E2" s="2" t="s">
        <v>10</v>
      </c>
      <c r="F2" s="2" t="s">
        <v>10</v>
      </c>
      <c r="G2" s="10" t="s">
        <v>10</v>
      </c>
      <c r="H2" s="5" t="s">
        <v>89</v>
      </c>
      <c r="S2" t="s">
        <v>82</v>
      </c>
    </row>
    <row r="3" spans="1:19" ht="28.5" x14ac:dyDescent="0.25">
      <c r="A3" s="2"/>
      <c r="B3" s="2" t="s">
        <v>11</v>
      </c>
      <c r="C3" s="2">
        <v>242</v>
      </c>
      <c r="D3" s="5" t="s">
        <v>12</v>
      </c>
      <c r="E3" s="2" t="s">
        <v>13</v>
      </c>
      <c r="F3" s="2" t="s">
        <v>13</v>
      </c>
      <c r="G3" s="10" t="s">
        <v>13</v>
      </c>
      <c r="H3" s="5" t="s">
        <v>87</v>
      </c>
      <c r="S3" t="s">
        <v>63</v>
      </c>
    </row>
    <row r="4" spans="1:19" x14ac:dyDescent="0.25">
      <c r="A4" s="2"/>
      <c r="B4" s="2" t="s">
        <v>14</v>
      </c>
      <c r="C4" s="2">
        <v>170</v>
      </c>
      <c r="D4" s="4" t="s">
        <v>15</v>
      </c>
      <c r="E4" s="2" t="s">
        <v>16</v>
      </c>
      <c r="F4" s="2" t="s">
        <v>16</v>
      </c>
      <c r="G4" s="10" t="s">
        <v>16</v>
      </c>
      <c r="H4" s="5" t="s">
        <v>88</v>
      </c>
      <c r="S4" t="s">
        <v>64</v>
      </c>
    </row>
    <row r="5" spans="1:19" x14ac:dyDescent="0.25">
      <c r="A5" s="2"/>
      <c r="B5" s="2" t="s">
        <v>17</v>
      </c>
      <c r="C5" s="2" t="s">
        <v>16</v>
      </c>
      <c r="D5" s="4" t="s">
        <v>18</v>
      </c>
      <c r="E5" s="2"/>
      <c r="F5" s="2"/>
      <c r="G5" s="10"/>
      <c r="H5" s="5" t="s">
        <v>16</v>
      </c>
      <c r="S5" t="s">
        <v>83</v>
      </c>
    </row>
    <row r="6" spans="1:19" x14ac:dyDescent="0.25">
      <c r="A6" s="2"/>
      <c r="B6" s="2" t="s">
        <v>19</v>
      </c>
      <c r="C6" s="2"/>
      <c r="D6" s="4" t="s">
        <v>20</v>
      </c>
      <c r="E6" s="2"/>
      <c r="F6" s="2"/>
      <c r="G6" s="10"/>
      <c r="H6" s="5"/>
      <c r="S6" t="s">
        <v>84</v>
      </c>
    </row>
    <row r="7" spans="1:19" x14ac:dyDescent="0.25">
      <c r="A7" s="2"/>
      <c r="B7" s="2" t="s">
        <v>21</v>
      </c>
      <c r="C7" s="2"/>
      <c r="D7" s="4" t="s">
        <v>22</v>
      </c>
      <c r="E7" s="2"/>
      <c r="F7" s="2"/>
      <c r="G7" s="10"/>
      <c r="H7" s="5"/>
      <c r="S7" t="s">
        <v>65</v>
      </c>
    </row>
    <row r="8" spans="1:19" x14ac:dyDescent="0.25">
      <c r="A8" s="2"/>
      <c r="B8" s="2" t="s">
        <v>23</v>
      </c>
      <c r="C8" s="2"/>
      <c r="D8" s="4" t="s">
        <v>24</v>
      </c>
      <c r="E8" s="2"/>
      <c r="F8" s="2"/>
      <c r="G8" s="10"/>
      <c r="H8" s="5"/>
      <c r="S8" t="s">
        <v>69</v>
      </c>
    </row>
    <row r="9" spans="1:19" x14ac:dyDescent="0.25">
      <c r="A9" s="2"/>
      <c r="B9" s="2" t="s">
        <v>25</v>
      </c>
      <c r="C9" s="2"/>
      <c r="D9" s="4" t="s">
        <v>26</v>
      </c>
      <c r="E9" s="2"/>
      <c r="F9" s="2"/>
      <c r="G9" s="10"/>
      <c r="H9" s="5"/>
      <c r="S9" t="s">
        <v>70</v>
      </c>
    </row>
    <row r="10" spans="1:19" x14ac:dyDescent="0.25">
      <c r="A10" s="2"/>
      <c r="B10" s="2" t="s">
        <v>27</v>
      </c>
      <c r="C10" s="2"/>
      <c r="D10" s="4" t="s">
        <v>28</v>
      </c>
      <c r="E10" s="2"/>
      <c r="F10" s="2"/>
      <c r="G10" s="10"/>
      <c r="H10" s="5"/>
      <c r="S10" t="s">
        <v>85</v>
      </c>
    </row>
    <row r="11" spans="1:19" x14ac:dyDescent="0.25">
      <c r="A11" s="2"/>
      <c r="B11" s="2" t="s">
        <v>29</v>
      </c>
      <c r="C11" s="2"/>
      <c r="D11" s="4" t="s">
        <v>30</v>
      </c>
      <c r="E11" s="2"/>
      <c r="F11" s="2"/>
      <c r="G11" s="10"/>
      <c r="H11" s="5"/>
      <c r="S11" t="s">
        <v>86</v>
      </c>
    </row>
    <row r="12" spans="1:19" x14ac:dyDescent="0.25">
      <c r="A12" s="2"/>
      <c r="B12" s="2"/>
      <c r="C12" s="2"/>
      <c r="D12" s="4" t="s">
        <v>31</v>
      </c>
      <c r="E12" s="2"/>
      <c r="F12" s="2"/>
      <c r="G12" s="10"/>
      <c r="H12" s="5"/>
    </row>
    <row r="13" spans="1:19" x14ac:dyDescent="0.25">
      <c r="A13" s="2"/>
      <c r="B13" s="2"/>
      <c r="C13" s="2"/>
      <c r="D13" s="4" t="s">
        <v>32</v>
      </c>
      <c r="E13" s="2"/>
      <c r="F13" s="2"/>
      <c r="G13" s="10"/>
      <c r="H13" s="5"/>
    </row>
    <row r="14" spans="1:19" x14ac:dyDescent="0.25">
      <c r="A14" s="2"/>
      <c r="B14" s="2"/>
      <c r="C14" s="2"/>
      <c r="D14" s="4" t="s">
        <v>33</v>
      </c>
      <c r="E14" s="2"/>
      <c r="F14" s="2"/>
      <c r="G14" s="10"/>
      <c r="H14" s="5"/>
    </row>
    <row r="15" spans="1:19" x14ac:dyDescent="0.25">
      <c r="A15" s="2"/>
      <c r="B15" s="2"/>
      <c r="C15" s="2"/>
      <c r="D15" s="4" t="s">
        <v>34</v>
      </c>
      <c r="E15" s="2"/>
      <c r="F15" s="2"/>
      <c r="G15" s="10"/>
      <c r="H15" s="5"/>
    </row>
    <row r="16" spans="1:19" x14ac:dyDescent="0.25">
      <c r="D16" s="4" t="s">
        <v>35</v>
      </c>
      <c r="H16" s="5"/>
    </row>
    <row r="17" spans="4:8" x14ac:dyDescent="0.25">
      <c r="D17" s="4" t="s">
        <v>36</v>
      </c>
      <c r="H17" s="5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6FC4B-CBAA-4EA2-9E15-76188666193F}">
  <sheetPr codeName="Planilha2"/>
  <dimension ref="A1:AL48"/>
  <sheetViews>
    <sheetView zoomScale="85" zoomScaleNormal="85" workbookViewId="0">
      <selection activeCell="AA9" sqref="AA9"/>
    </sheetView>
  </sheetViews>
  <sheetFormatPr defaultRowHeight="15" x14ac:dyDescent="0.25"/>
  <cols>
    <col min="1" max="1" width="3.28515625" style="8" customWidth="1"/>
    <col min="2" max="2" width="2.7109375" style="8" customWidth="1"/>
    <col min="3" max="3" width="18.42578125" style="8" bestFit="1" customWidth="1"/>
    <col min="4" max="4" width="25.5703125" style="8" customWidth="1"/>
    <col min="5" max="5" width="3" style="8" customWidth="1"/>
    <col min="6" max="7" width="11.42578125" style="8" customWidth="1"/>
    <col min="8" max="38" width="9.140625" style="8"/>
  </cols>
  <sheetData>
    <row r="1" spans="1:35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5">
      <c r="A2" s="11"/>
      <c r="B2" s="12"/>
      <c r="C2" s="12"/>
      <c r="D2" s="12"/>
      <c r="E2" s="12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5">
      <c r="A3" s="11"/>
      <c r="B3" s="12"/>
      <c r="C3" t="s">
        <v>37</v>
      </c>
      <c r="D3" t="s">
        <v>38</v>
      </c>
      <c r="E3" s="12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5">
      <c r="A4" s="11"/>
      <c r="B4" s="12"/>
      <c r="C4" s="15" t="s">
        <v>39</v>
      </c>
      <c r="D4" s="16">
        <v>0</v>
      </c>
      <c r="E4" s="13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5">
      <c r="A5" s="11"/>
      <c r="B5" s="12"/>
      <c r="C5" s="15" t="s">
        <v>15</v>
      </c>
      <c r="D5" s="16">
        <v>38804.79</v>
      </c>
      <c r="E5" s="13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5">
      <c r="A6" s="11"/>
      <c r="B6" s="12"/>
      <c r="C6" s="15" t="s">
        <v>20</v>
      </c>
      <c r="D6" s="16">
        <v>483172.23000000004</v>
      </c>
      <c r="E6" s="13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2"/>
      <c r="C7" s="15" t="s">
        <v>18</v>
      </c>
      <c r="D7" s="16">
        <v>0</v>
      </c>
      <c r="E7" s="13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5">
      <c r="A8" s="11"/>
      <c r="B8" s="12"/>
      <c r="C8" s="15" t="s">
        <v>22</v>
      </c>
      <c r="D8" s="16">
        <v>391442.98000000004</v>
      </c>
      <c r="E8" s="13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5">
      <c r="A9" s="11"/>
      <c r="B9" s="12"/>
      <c r="C9" s="15" t="s">
        <v>40</v>
      </c>
      <c r="D9" s="16"/>
      <c r="E9" s="13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5">
      <c r="A10" s="11"/>
      <c r="B10" s="12"/>
      <c r="C10" s="15" t="s">
        <v>36</v>
      </c>
      <c r="D10" s="16">
        <v>257814.19</v>
      </c>
      <c r="E10" s="13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5">
      <c r="A11" s="11"/>
      <c r="B11" s="12"/>
      <c r="C11" s="15" t="s">
        <v>24</v>
      </c>
      <c r="D11" s="16">
        <v>0</v>
      </c>
      <c r="E11" s="13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5">
      <c r="A12" s="11"/>
      <c r="B12" s="12"/>
      <c r="C12" s="15" t="s">
        <v>41</v>
      </c>
      <c r="D12" s="16">
        <v>1171234.19</v>
      </c>
      <c r="E12" s="13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5">
      <c r="A13" s="11"/>
      <c r="B13" s="12"/>
      <c r="C13"/>
      <c r="D13"/>
      <c r="E13" s="13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2"/>
      <c r="C14"/>
      <c r="D14"/>
      <c r="E14" s="13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2"/>
      <c r="C15"/>
      <c r="D15"/>
      <c r="E15" s="13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2"/>
      <c r="C16"/>
      <c r="D16"/>
      <c r="E16" s="13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2"/>
      <c r="C17"/>
      <c r="D17"/>
      <c r="E17" s="13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2"/>
      <c r="C18"/>
      <c r="D18"/>
      <c r="E18" s="13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2"/>
      <c r="C19"/>
      <c r="D19"/>
      <c r="E19" s="13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5">
      <c r="A20" s="11"/>
      <c r="B20" s="12"/>
      <c r="C20"/>
      <c r="D20"/>
      <c r="E20" s="12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5">
      <c r="A21" s="11"/>
      <c r="B21" s="12"/>
      <c r="C21"/>
      <c r="D21"/>
      <c r="E21" s="13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2"/>
      <c r="C22"/>
      <c r="D22"/>
      <c r="E22" s="12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5">
      <c r="A23" s="11"/>
      <c r="B23" s="12"/>
      <c r="C23"/>
      <c r="D23"/>
      <c r="E23" s="12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12"/>
      <c r="C24"/>
      <c r="D24"/>
      <c r="E24" s="1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12"/>
      <c r="C25"/>
      <c r="D25"/>
      <c r="E25" s="12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5">
      <c r="A26" s="11"/>
      <c r="B26" s="12"/>
      <c r="C26" s="12"/>
      <c r="D26" s="12"/>
      <c r="E26" s="12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ED07C-DAA3-4D41-A63E-9156D961F4A2}">
  <sheetPr codeName="Planilha3"/>
  <dimension ref="A1:S20"/>
  <sheetViews>
    <sheetView tabSelected="1" zoomScaleNormal="100" workbookViewId="0">
      <pane xSplit="6" ySplit="2" topLeftCell="P3" activePane="bottomRight" state="frozen"/>
      <selection pane="topRight" activeCell="G1" sqref="G1"/>
      <selection pane="bottomLeft" activeCell="A3" sqref="A3"/>
      <selection pane="bottomRight" activeCell="C10" sqref="C10"/>
    </sheetView>
  </sheetViews>
  <sheetFormatPr defaultRowHeight="15" x14ac:dyDescent="0.25"/>
  <cols>
    <col min="1" max="1" width="19.85546875" style="53" customWidth="1"/>
    <col min="2" max="2" width="71.5703125" style="54" customWidth="1"/>
    <col min="3" max="3" width="20.140625" style="55" customWidth="1"/>
    <col min="4" max="4" width="23" style="56" customWidth="1"/>
    <col min="5" max="5" width="13.42578125" style="57" customWidth="1"/>
    <col min="6" max="6" width="17.85546875" style="58" customWidth="1"/>
    <col min="7" max="7" width="20.5703125" style="58" customWidth="1"/>
    <col min="8" max="8" width="15.140625" style="58" customWidth="1"/>
    <col min="9" max="9" width="14.7109375" style="58" customWidth="1"/>
    <col min="10" max="10" width="12.85546875" style="56" customWidth="1"/>
    <col min="11" max="11" width="19" style="56" customWidth="1"/>
    <col min="12" max="12" width="17.5703125" style="56" customWidth="1"/>
    <col min="13" max="13" width="18.5703125" style="58" customWidth="1"/>
    <col min="14" max="14" width="25.28515625" style="56" customWidth="1"/>
    <col min="15" max="15" width="14.140625" style="58" customWidth="1"/>
    <col min="16" max="16" width="16.28515625" style="58" customWidth="1"/>
    <col min="17" max="17" width="20.5703125" style="58" customWidth="1"/>
    <col min="18" max="18" width="40.85546875" style="58" customWidth="1"/>
    <col min="19" max="19" width="8.28515625" style="59" customWidth="1"/>
    <col min="20" max="16384" width="9.140625" style="14"/>
  </cols>
  <sheetData>
    <row r="1" spans="1:19" ht="49.5" customHeight="1" x14ac:dyDescent="0.25">
      <c r="A1" s="68"/>
      <c r="B1" s="68"/>
      <c r="C1" s="68"/>
      <c r="D1" s="68"/>
      <c r="E1" s="68"/>
      <c r="F1" s="68"/>
      <c r="G1" s="69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</row>
    <row r="2" spans="1:19" s="62" customFormat="1" ht="39" x14ac:dyDescent="0.25">
      <c r="A2" s="60" t="s">
        <v>66</v>
      </c>
      <c r="B2" s="60" t="s">
        <v>44</v>
      </c>
      <c r="C2" s="60" t="s">
        <v>45</v>
      </c>
      <c r="D2" s="60" t="s">
        <v>46</v>
      </c>
      <c r="E2" s="60" t="s">
        <v>47</v>
      </c>
      <c r="F2" s="60" t="s">
        <v>67</v>
      </c>
      <c r="G2" s="63" t="s">
        <v>68</v>
      </c>
      <c r="H2" s="61" t="s">
        <v>81</v>
      </c>
      <c r="I2" s="61" t="s">
        <v>80</v>
      </c>
      <c r="J2" s="61" t="s">
        <v>1</v>
      </c>
      <c r="K2" s="61" t="s">
        <v>43</v>
      </c>
      <c r="L2" s="61" t="s">
        <v>48</v>
      </c>
      <c r="M2" s="61" t="s">
        <v>49</v>
      </c>
      <c r="N2" s="61" t="s">
        <v>50</v>
      </c>
      <c r="O2" s="61" t="s">
        <v>4</v>
      </c>
      <c r="P2" s="61" t="s">
        <v>51</v>
      </c>
      <c r="Q2" s="61" t="s">
        <v>52</v>
      </c>
      <c r="R2" s="61" t="s">
        <v>53</v>
      </c>
      <c r="S2" s="61" t="s">
        <v>42</v>
      </c>
    </row>
    <row r="3" spans="1:19" s="23" customFormat="1" ht="12.75" x14ac:dyDescent="0.2">
      <c r="A3" s="31" t="s">
        <v>55</v>
      </c>
      <c r="B3" s="32" t="s">
        <v>56</v>
      </c>
      <c r="C3" s="64">
        <v>10617.86</v>
      </c>
      <c r="D3" s="65" t="s">
        <v>9</v>
      </c>
      <c r="E3" s="66">
        <v>242</v>
      </c>
      <c r="F3" s="67">
        <v>325</v>
      </c>
      <c r="G3" s="22" t="s">
        <v>16</v>
      </c>
      <c r="H3" s="27">
        <v>4285510</v>
      </c>
      <c r="I3" s="27">
        <v>4408524</v>
      </c>
      <c r="J3" s="17" t="s">
        <v>27</v>
      </c>
      <c r="K3" s="28" t="s">
        <v>54</v>
      </c>
      <c r="L3" s="25">
        <v>88639</v>
      </c>
      <c r="M3" s="29">
        <v>45959</v>
      </c>
      <c r="N3" s="17"/>
      <c r="O3" s="30" t="s">
        <v>39</v>
      </c>
      <c r="P3" s="30" t="s">
        <v>39</v>
      </c>
      <c r="Q3" s="30" t="s">
        <v>39</v>
      </c>
      <c r="R3" s="30" t="s">
        <v>39</v>
      </c>
      <c r="S3" s="17">
        <v>1</v>
      </c>
    </row>
    <row r="4" spans="1:19" s="23" customFormat="1" ht="12.75" x14ac:dyDescent="0.2">
      <c r="A4" s="25" t="s">
        <v>55</v>
      </c>
      <c r="B4" s="26" t="s">
        <v>57</v>
      </c>
      <c r="C4" s="18">
        <v>12085</v>
      </c>
      <c r="D4" s="19" t="s">
        <v>9</v>
      </c>
      <c r="E4" s="20">
        <v>242</v>
      </c>
      <c r="F4" s="24">
        <v>320</v>
      </c>
      <c r="G4" s="22"/>
      <c r="H4" s="27">
        <v>4274405</v>
      </c>
      <c r="I4" s="27">
        <v>4399765</v>
      </c>
      <c r="J4" s="17" t="s">
        <v>27</v>
      </c>
      <c r="K4" s="28" t="s">
        <v>54</v>
      </c>
      <c r="L4" s="25">
        <v>86826</v>
      </c>
      <c r="M4" s="29">
        <v>45944</v>
      </c>
      <c r="N4" s="17"/>
      <c r="O4" s="30" t="s">
        <v>10</v>
      </c>
      <c r="P4" s="30" t="s">
        <v>10</v>
      </c>
      <c r="Q4" s="30" t="s">
        <v>10</v>
      </c>
      <c r="R4" s="30" t="s">
        <v>39</v>
      </c>
      <c r="S4" s="35" t="s">
        <v>73</v>
      </c>
    </row>
    <row r="5" spans="1:19" s="23" customFormat="1" ht="12.75" x14ac:dyDescent="0.2">
      <c r="A5" s="31" t="s">
        <v>55</v>
      </c>
      <c r="B5" s="32" t="s">
        <v>58</v>
      </c>
      <c r="C5" s="18">
        <v>1913.2</v>
      </c>
      <c r="D5" s="19" t="s">
        <v>9</v>
      </c>
      <c r="E5" s="20">
        <v>242</v>
      </c>
      <c r="F5" s="21">
        <v>317</v>
      </c>
      <c r="G5" s="22"/>
      <c r="H5" s="33">
        <v>4274431</v>
      </c>
      <c r="I5" s="33">
        <v>4399761</v>
      </c>
      <c r="J5" s="17" t="s">
        <v>27</v>
      </c>
      <c r="K5" s="28" t="s">
        <v>54</v>
      </c>
      <c r="L5" s="31">
        <v>87008</v>
      </c>
      <c r="M5" s="34">
        <v>45945</v>
      </c>
      <c r="N5" s="17"/>
      <c r="O5" s="30" t="s">
        <v>10</v>
      </c>
      <c r="P5" s="30" t="s">
        <v>10</v>
      </c>
      <c r="Q5" s="30" t="s">
        <v>10</v>
      </c>
      <c r="R5" s="30" t="s">
        <v>39</v>
      </c>
      <c r="S5" s="17" t="s">
        <v>63</v>
      </c>
    </row>
    <row r="6" spans="1:19" s="23" customFormat="1" ht="12.75" x14ac:dyDescent="0.2">
      <c r="A6" s="31" t="s">
        <v>55</v>
      </c>
      <c r="B6" s="32" t="s">
        <v>58</v>
      </c>
      <c r="C6" s="18">
        <v>1913.2</v>
      </c>
      <c r="D6" s="19" t="s">
        <v>9</v>
      </c>
      <c r="E6" s="20">
        <v>242</v>
      </c>
      <c r="F6" s="21">
        <v>317</v>
      </c>
      <c r="G6" s="22"/>
      <c r="H6" s="33"/>
      <c r="I6" s="33"/>
      <c r="J6" s="17"/>
      <c r="K6" s="28"/>
      <c r="L6" s="31"/>
      <c r="M6" s="34"/>
      <c r="N6" s="17"/>
      <c r="O6" s="30"/>
      <c r="P6" s="30"/>
      <c r="Q6" s="30"/>
      <c r="R6" s="30"/>
      <c r="S6" s="35" t="s">
        <v>71</v>
      </c>
    </row>
    <row r="7" spans="1:19" s="23" customFormat="1" ht="12.75" x14ac:dyDescent="0.2">
      <c r="A7" s="31" t="s">
        <v>55</v>
      </c>
      <c r="B7" s="32" t="s">
        <v>58</v>
      </c>
      <c r="C7" s="18">
        <v>1913.2</v>
      </c>
      <c r="D7" s="19" t="s">
        <v>9</v>
      </c>
      <c r="E7" s="20">
        <v>242</v>
      </c>
      <c r="F7" s="21">
        <v>317</v>
      </c>
      <c r="G7" s="22"/>
      <c r="H7" s="33"/>
      <c r="I7" s="33"/>
      <c r="J7" s="17"/>
      <c r="K7" s="28"/>
      <c r="L7" s="31"/>
      <c r="M7" s="34"/>
      <c r="N7" s="17"/>
      <c r="O7" s="30"/>
      <c r="P7" s="30"/>
      <c r="Q7" s="30"/>
      <c r="R7" s="30"/>
      <c r="S7" s="35" t="s">
        <v>72</v>
      </c>
    </row>
    <row r="8" spans="1:19" s="23" customFormat="1" ht="12.75" x14ac:dyDescent="0.2">
      <c r="A8" s="31" t="s">
        <v>55</v>
      </c>
      <c r="B8" s="32" t="s">
        <v>58</v>
      </c>
      <c r="C8" s="18">
        <v>1913.2</v>
      </c>
      <c r="D8" s="19" t="s">
        <v>9</v>
      </c>
      <c r="E8" s="20">
        <v>242</v>
      </c>
      <c r="F8" s="21">
        <v>317</v>
      </c>
      <c r="G8" s="22"/>
      <c r="H8" s="33"/>
      <c r="I8" s="33"/>
      <c r="J8" s="17"/>
      <c r="K8" s="28"/>
      <c r="L8" s="31"/>
      <c r="M8" s="34"/>
      <c r="N8" s="17"/>
      <c r="O8" s="30"/>
      <c r="P8" s="30"/>
      <c r="Q8" s="30"/>
      <c r="R8" s="30"/>
      <c r="S8" s="35" t="s">
        <v>75</v>
      </c>
    </row>
    <row r="9" spans="1:19" s="23" customFormat="1" ht="12.75" x14ac:dyDescent="0.2">
      <c r="A9" s="31" t="s">
        <v>55</v>
      </c>
      <c r="B9" s="32" t="s">
        <v>58</v>
      </c>
      <c r="C9" s="18">
        <v>1913.2</v>
      </c>
      <c r="D9" s="19" t="s">
        <v>9</v>
      </c>
      <c r="E9" s="20">
        <v>242</v>
      </c>
      <c r="F9" s="21">
        <v>317</v>
      </c>
      <c r="G9" s="22"/>
      <c r="H9" s="33"/>
      <c r="I9" s="33"/>
      <c r="J9" s="17"/>
      <c r="K9" s="28"/>
      <c r="L9" s="31"/>
      <c r="M9" s="34"/>
      <c r="N9" s="17"/>
      <c r="O9" s="30"/>
      <c r="P9" s="30"/>
      <c r="Q9" s="30"/>
      <c r="R9" s="30"/>
      <c r="S9" s="35" t="s">
        <v>74</v>
      </c>
    </row>
    <row r="10" spans="1:19" s="23" customFormat="1" ht="12.75" x14ac:dyDescent="0.2">
      <c r="A10" s="31" t="s">
        <v>55</v>
      </c>
      <c r="B10" s="32" t="s">
        <v>58</v>
      </c>
      <c r="C10" s="18">
        <v>1913.2</v>
      </c>
      <c r="D10" s="19" t="s">
        <v>9</v>
      </c>
      <c r="E10" s="20">
        <v>242</v>
      </c>
      <c r="F10" s="21">
        <v>317</v>
      </c>
      <c r="G10" s="22"/>
      <c r="H10" s="33"/>
      <c r="I10" s="33"/>
      <c r="J10" s="17"/>
      <c r="K10" s="28"/>
      <c r="L10" s="31"/>
      <c r="M10" s="34"/>
      <c r="N10" s="17"/>
      <c r="O10" s="30"/>
      <c r="P10" s="30"/>
      <c r="Q10" s="30"/>
      <c r="R10" s="30"/>
      <c r="S10" s="35" t="s">
        <v>91</v>
      </c>
    </row>
    <row r="11" spans="1:19" s="23" customFormat="1" ht="25.5" x14ac:dyDescent="0.2">
      <c r="A11" s="31" t="s">
        <v>55</v>
      </c>
      <c r="B11" s="32" t="s">
        <v>59</v>
      </c>
      <c r="C11" s="18">
        <v>2500</v>
      </c>
      <c r="D11" s="19" t="s">
        <v>9</v>
      </c>
      <c r="E11" s="20">
        <v>242</v>
      </c>
      <c r="F11" s="21">
        <v>318</v>
      </c>
      <c r="G11" s="22"/>
      <c r="H11" s="33">
        <v>4271140</v>
      </c>
      <c r="I11" s="33">
        <v>4390655</v>
      </c>
      <c r="J11" s="17" t="s">
        <v>27</v>
      </c>
      <c r="K11" s="28" t="s">
        <v>54</v>
      </c>
      <c r="L11" s="31">
        <v>86824</v>
      </c>
      <c r="M11" s="34">
        <v>45944</v>
      </c>
      <c r="N11" s="17"/>
      <c r="O11" s="30" t="s">
        <v>10</v>
      </c>
      <c r="P11" s="30" t="s">
        <v>10</v>
      </c>
      <c r="Q11" s="30" t="s">
        <v>10</v>
      </c>
      <c r="R11" s="30" t="s">
        <v>39</v>
      </c>
      <c r="S11" s="17" t="s">
        <v>64</v>
      </c>
    </row>
    <row r="12" spans="1:19" s="23" customFormat="1" ht="25.5" x14ac:dyDescent="0.2">
      <c r="A12" s="31" t="s">
        <v>55</v>
      </c>
      <c r="B12" s="32" t="s">
        <v>59</v>
      </c>
      <c r="C12" s="18">
        <v>2500</v>
      </c>
      <c r="D12" s="19" t="s">
        <v>9</v>
      </c>
      <c r="E12" s="20">
        <v>242</v>
      </c>
      <c r="F12" s="21">
        <v>318</v>
      </c>
      <c r="G12" s="22"/>
      <c r="H12" s="33"/>
      <c r="I12" s="33"/>
      <c r="J12" s="17"/>
      <c r="K12" s="28"/>
      <c r="L12" s="31"/>
      <c r="M12" s="34"/>
      <c r="N12" s="17"/>
      <c r="O12" s="30"/>
      <c r="P12" s="30"/>
      <c r="Q12" s="30"/>
      <c r="R12" s="30"/>
      <c r="S12" s="35" t="s">
        <v>78</v>
      </c>
    </row>
    <row r="13" spans="1:19" s="23" customFormat="1" ht="25.5" x14ac:dyDescent="0.2">
      <c r="A13" s="31" t="s">
        <v>55</v>
      </c>
      <c r="B13" s="32" t="s">
        <v>59</v>
      </c>
      <c r="C13" s="18">
        <v>2500</v>
      </c>
      <c r="D13" s="19" t="s">
        <v>9</v>
      </c>
      <c r="E13" s="20">
        <v>242</v>
      </c>
      <c r="F13" s="21">
        <v>318</v>
      </c>
      <c r="G13" s="22"/>
      <c r="H13" s="33"/>
      <c r="I13" s="33"/>
      <c r="J13" s="17"/>
      <c r="K13" s="28"/>
      <c r="L13" s="31"/>
      <c r="M13" s="34"/>
      <c r="N13" s="17"/>
      <c r="O13" s="30"/>
      <c r="P13" s="30"/>
      <c r="Q13" s="30"/>
      <c r="R13" s="30"/>
      <c r="S13" s="35" t="s">
        <v>79</v>
      </c>
    </row>
    <row r="14" spans="1:19" s="23" customFormat="1" ht="25.5" x14ac:dyDescent="0.2">
      <c r="A14" s="31" t="s">
        <v>55</v>
      </c>
      <c r="B14" s="32" t="s">
        <v>59</v>
      </c>
      <c r="C14" s="18">
        <v>2500</v>
      </c>
      <c r="D14" s="19" t="s">
        <v>9</v>
      </c>
      <c r="E14" s="20">
        <v>242</v>
      </c>
      <c r="F14" s="21">
        <v>318</v>
      </c>
      <c r="G14" s="22"/>
      <c r="H14" s="33"/>
      <c r="I14" s="33"/>
      <c r="J14" s="17"/>
      <c r="K14" s="28"/>
      <c r="L14" s="31"/>
      <c r="M14" s="34"/>
      <c r="N14" s="17"/>
      <c r="O14" s="30"/>
      <c r="P14" s="30"/>
      <c r="Q14" s="30"/>
      <c r="R14" s="30"/>
      <c r="S14" s="17" t="s">
        <v>77</v>
      </c>
    </row>
    <row r="15" spans="1:19" s="23" customFormat="1" ht="25.5" x14ac:dyDescent="0.2">
      <c r="A15" s="31" t="s">
        <v>55</v>
      </c>
      <c r="B15" s="32" t="s">
        <v>59</v>
      </c>
      <c r="C15" s="18">
        <v>2500</v>
      </c>
      <c r="D15" s="19" t="s">
        <v>9</v>
      </c>
      <c r="E15" s="20">
        <v>242</v>
      </c>
      <c r="F15" s="21">
        <v>318</v>
      </c>
      <c r="G15" s="22"/>
      <c r="H15" s="33"/>
      <c r="I15" s="33"/>
      <c r="J15" s="17"/>
      <c r="K15" s="28"/>
      <c r="L15" s="31"/>
      <c r="M15" s="34"/>
      <c r="N15" s="17"/>
      <c r="O15" s="30"/>
      <c r="P15" s="30"/>
      <c r="Q15" s="30"/>
      <c r="R15" s="30"/>
      <c r="S15" s="17" t="s">
        <v>76</v>
      </c>
    </row>
    <row r="16" spans="1:19" s="23" customFormat="1" ht="25.5" x14ac:dyDescent="0.2">
      <c r="A16" s="31" t="s">
        <v>55</v>
      </c>
      <c r="B16" s="32" t="s">
        <v>59</v>
      </c>
      <c r="C16" s="18">
        <v>1500</v>
      </c>
      <c r="D16" s="19" t="s">
        <v>9</v>
      </c>
      <c r="E16" s="20">
        <v>242</v>
      </c>
      <c r="F16" s="21">
        <v>318</v>
      </c>
      <c r="G16" s="22"/>
      <c r="H16" s="33">
        <v>4271140</v>
      </c>
      <c r="I16" s="33">
        <v>4390655</v>
      </c>
      <c r="J16" s="17" t="s">
        <v>27</v>
      </c>
      <c r="K16" s="28" t="s">
        <v>54</v>
      </c>
      <c r="L16" s="31">
        <v>86824</v>
      </c>
      <c r="M16" s="34">
        <v>45944</v>
      </c>
      <c r="N16" s="17"/>
      <c r="O16" s="30" t="s">
        <v>10</v>
      </c>
      <c r="P16" s="30" t="s">
        <v>10</v>
      </c>
      <c r="Q16" s="30" t="s">
        <v>10</v>
      </c>
      <c r="R16" s="30" t="s">
        <v>39</v>
      </c>
      <c r="S16" s="17" t="s">
        <v>65</v>
      </c>
    </row>
    <row r="17" spans="1:19" s="23" customFormat="1" ht="25.5" x14ac:dyDescent="0.2">
      <c r="A17" s="36" t="s">
        <v>55</v>
      </c>
      <c r="B17" s="37" t="s">
        <v>60</v>
      </c>
      <c r="C17" s="38">
        <v>8100.19</v>
      </c>
      <c r="D17" s="39" t="s">
        <v>9</v>
      </c>
      <c r="E17" s="40">
        <v>242</v>
      </c>
      <c r="F17" s="41">
        <v>319</v>
      </c>
      <c r="G17" s="42"/>
      <c r="H17" s="43">
        <v>4271154</v>
      </c>
      <c r="I17" s="43">
        <v>4390653</v>
      </c>
      <c r="J17" s="44" t="s">
        <v>27</v>
      </c>
      <c r="K17" s="45" t="s">
        <v>54</v>
      </c>
      <c r="L17" s="36">
        <v>86833</v>
      </c>
      <c r="M17" s="46">
        <v>45944</v>
      </c>
      <c r="N17" s="44"/>
      <c r="O17" s="47" t="s">
        <v>10</v>
      </c>
      <c r="P17" s="47" t="s">
        <v>10</v>
      </c>
      <c r="Q17" s="47" t="s">
        <v>10</v>
      </c>
      <c r="R17" s="47" t="s">
        <v>39</v>
      </c>
      <c r="S17" s="44" t="s">
        <v>69</v>
      </c>
    </row>
    <row r="18" spans="1:19" s="23" customFormat="1" ht="12.75" x14ac:dyDescent="0.2">
      <c r="A18" s="48" t="s">
        <v>61</v>
      </c>
      <c r="B18" s="49" t="s">
        <v>62</v>
      </c>
      <c r="C18" s="18">
        <v>2980.3</v>
      </c>
      <c r="D18" s="19" t="s">
        <v>9</v>
      </c>
      <c r="E18" s="20">
        <v>242</v>
      </c>
      <c r="F18" s="17">
        <v>319</v>
      </c>
      <c r="G18" s="50"/>
      <c r="H18" s="28">
        <v>4282004</v>
      </c>
      <c r="I18" s="28">
        <v>4399466</v>
      </c>
      <c r="J18" s="17" t="s">
        <v>27</v>
      </c>
      <c r="K18" s="28" t="s">
        <v>54</v>
      </c>
      <c r="L18" s="48">
        <v>87782</v>
      </c>
      <c r="M18" s="51">
        <v>45952</v>
      </c>
      <c r="N18" s="17"/>
      <c r="O18" s="52" t="s">
        <v>10</v>
      </c>
      <c r="P18" s="52" t="s">
        <v>10</v>
      </c>
      <c r="Q18" s="52" t="s">
        <v>10</v>
      </c>
      <c r="R18" s="52" t="s">
        <v>39</v>
      </c>
      <c r="S18" s="17" t="s">
        <v>70</v>
      </c>
    </row>
    <row r="19" spans="1:19" x14ac:dyDescent="0.25">
      <c r="A19" s="53" t="s">
        <v>90</v>
      </c>
      <c r="B19" s="54" t="s">
        <v>90</v>
      </c>
      <c r="C19" s="55">
        <v>2500</v>
      </c>
      <c r="D19" s="56" t="s">
        <v>20</v>
      </c>
      <c r="E19" s="57">
        <v>170</v>
      </c>
      <c r="F19" s="58">
        <v>254</v>
      </c>
      <c r="S19" s="59" t="s">
        <v>93</v>
      </c>
    </row>
    <row r="20" spans="1:19" s="23" customFormat="1" ht="12.75" x14ac:dyDescent="0.2">
      <c r="A20" s="48" t="s">
        <v>61</v>
      </c>
      <c r="B20" s="49" t="s">
        <v>62</v>
      </c>
      <c r="C20" s="18">
        <v>2980.3</v>
      </c>
      <c r="D20" s="19" t="s">
        <v>9</v>
      </c>
      <c r="E20" s="20">
        <v>242</v>
      </c>
      <c r="F20" s="17">
        <v>319</v>
      </c>
      <c r="G20" s="50"/>
      <c r="H20" s="28">
        <v>4282004</v>
      </c>
      <c r="I20" s="28">
        <v>4399466</v>
      </c>
      <c r="J20" s="17" t="s">
        <v>27</v>
      </c>
      <c r="K20" s="28" t="s">
        <v>54</v>
      </c>
      <c r="L20" s="48">
        <v>87782</v>
      </c>
      <c r="M20" s="51">
        <v>45952</v>
      </c>
      <c r="N20" s="17"/>
      <c r="O20" s="52" t="s">
        <v>10</v>
      </c>
      <c r="P20" s="52" t="s">
        <v>10</v>
      </c>
      <c r="Q20" s="52" t="s">
        <v>10</v>
      </c>
      <c r="R20" s="52" t="s">
        <v>39</v>
      </c>
      <c r="S20" s="17" t="s">
        <v>92</v>
      </c>
    </row>
  </sheetData>
  <sheetProtection formatCells="0" formatColumns="0" formatRows="0" insertColumns="0" insertRows="0" insertHyperlinks="0" deleteColumns="0" deleteRows="0" sort="0" autoFilter="0" pivotTables="0"/>
  <autoFilter ref="A2:R18" xr:uid="{E76ED07C-DAA3-4D41-A63E-9156D961F4A2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AlternarCongelamento.AlternarCongelamento">
                <anchor moveWithCells="1" sizeWithCells="1">
                  <from>
                    <xdr:col>1</xdr:col>
                    <xdr:colOff>3724275</xdr:colOff>
                    <xdr:row>0</xdr:row>
                    <xdr:rowOff>152400</xdr:rowOff>
                  </from>
                  <to>
                    <xdr:col>1</xdr:col>
                    <xdr:colOff>4610100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GerarIDs.GerarIDs">
                <anchor moveWithCells="1" sizeWithCells="1">
                  <from>
                    <xdr:col>1</xdr:col>
                    <xdr:colOff>238125</xdr:colOff>
                    <xdr:row>0</xdr:row>
                    <xdr:rowOff>152400</xdr:rowOff>
                  </from>
                  <to>
                    <xdr:col>1</xdr:col>
                    <xdr:colOff>2133600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BCC596A-8F6E-4002-8EE0-4DEF79BC6697}">
          <x14:formula1>
            <xm:f>DADOS!$C$2:$C$5</xm:f>
          </x14:formula1>
          <xm:sqref>E3:E1048576</xm:sqref>
        </x14:dataValidation>
        <x14:dataValidation type="list" allowBlank="1" showInputMessage="1" showErrorMessage="1" xr:uid="{6301E476-8B0D-4FEC-83CC-54871B5A47EA}">
          <x14:formula1>
            <xm:f>DADOS!$B$2:$B$11</xm:f>
          </x14:formula1>
          <xm:sqref>J3:J1048576</xm:sqref>
        </x14:dataValidation>
        <x14:dataValidation type="list" allowBlank="1" showInputMessage="1" showErrorMessage="1" xr:uid="{84016561-14A1-481E-BE50-2C31D3C19206}">
          <x14:formula1>
            <xm:f>DADOS!$D$2:$D$17</xm:f>
          </x14:formula1>
          <xm:sqref>D3:D1048576</xm:sqref>
        </x14:dataValidation>
        <x14:dataValidation type="list" allowBlank="1" showInputMessage="1" showErrorMessage="1" xr:uid="{B028E6F7-88DE-47C1-BDF8-BAF8EAE8C97F}">
          <x14:formula1>
            <xm:f>DADOS!$E$2:$E$4</xm:f>
          </x14:formula1>
          <xm:sqref>O4:O1048576</xm:sqref>
        </x14:dataValidation>
        <x14:dataValidation type="list" allowBlank="1" showInputMessage="1" showErrorMessage="1" xr:uid="{9BBAFE6D-9BE1-4314-A179-F0E071556114}">
          <x14:formula1>
            <xm:f>DADOS!$H$2:$H$5</xm:f>
          </x14:formula1>
          <xm:sqref>G3:G1048576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bcbc56-3d12-411a-a735-f36ec8e8bfd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220A11FEA46C4886D3604CC483AD6B" ma:contentTypeVersion="15" ma:contentTypeDescription="Crie um novo documento." ma:contentTypeScope="" ma:versionID="bb07fbe832bfbac930195f44faefcab7">
  <xsd:schema xmlns:xsd="http://www.w3.org/2001/XMLSchema" xmlns:xs="http://www.w3.org/2001/XMLSchema" xmlns:p="http://schemas.microsoft.com/office/2006/metadata/properties" xmlns:ns2="6dbcbc56-3d12-411a-a735-f36ec8e8bfd2" xmlns:ns3="8de5c96d-c68a-4bc1-8ca7-a6766c74fd4d" targetNamespace="http://schemas.microsoft.com/office/2006/metadata/properties" ma:root="true" ma:fieldsID="71ce47b93599878504e7d9a94c5299da" ns2:_="" ns3:_="">
    <xsd:import namespace="6dbcbc56-3d12-411a-a735-f36ec8e8bfd2"/>
    <xsd:import namespace="8de5c96d-c68a-4bc1-8ca7-a6766c74fd4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2:MediaServiceOCR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bcbc56-3d12-411a-a735-f36ec8e8bf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69df8bfc-69f5-472b-bcc3-14f5ad47a7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e5c96d-c68a-4bc1-8ca7-a6766c74fd4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DA4EE2-72BB-4CD5-80FF-EAFC698EEAB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0843E7F-DCA1-4FBE-8AEE-F739F63FAD5F}">
  <ds:schemaRefs>
    <ds:schemaRef ds:uri="http://schemas.microsoft.com/office/2006/metadata/properties"/>
    <ds:schemaRef ds:uri="http://schemas.microsoft.com/office/infopath/2007/PartnerControls"/>
    <ds:schemaRef ds:uri="6dbcbc56-3d12-411a-a735-f36ec8e8bfd2"/>
  </ds:schemaRefs>
</ds:datastoreItem>
</file>

<file path=customXml/itemProps3.xml><?xml version="1.0" encoding="utf-8"?>
<ds:datastoreItem xmlns:ds="http://schemas.openxmlformats.org/officeDocument/2006/customXml" ds:itemID="{13C5C945-474E-4133-9AF8-55A4124AD5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bcbc56-3d12-411a-a735-f36ec8e8bfd2"/>
    <ds:schemaRef ds:uri="8de5c96d-c68a-4bc1-8ca7-a6766c74fd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DASHBOARD</vt:lpstr>
      <vt:lpstr>GASTOS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José Adenilson</dc:creator>
  <cp:keywords/>
  <dc:description/>
  <cp:lastModifiedBy>José Adenilson</cp:lastModifiedBy>
  <cp:revision/>
  <dcterms:created xsi:type="dcterms:W3CDTF">2025-12-11T15:06:21Z</dcterms:created>
  <dcterms:modified xsi:type="dcterms:W3CDTF">2026-04-18T04:45:35Z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0x01010071220A11FEA46C4886D3604CC483AD6B</vt:lpwstr>
  </property>
  <property fmtid="{D5CDD505-2E9C-101B-9397-08002B2CF9AE}" pid="3" name="MediaServiceImageTags">
    <vt:lpwstr/>
  </property>
</Properties>
</file>