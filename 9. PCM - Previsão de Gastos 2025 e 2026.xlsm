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C:\Users\zeluzjunior\Downloads\"/>
    </mc:Choice>
  </mc:AlternateContent>
  <xr:revisionPtr revIDLastSave="0" documentId="13_ncr:1_{967F3114-5FA6-4208-994E-028B890DE652}" xr6:coauthVersionLast="47" xr6:coauthVersionMax="47" xr10:uidLastSave="{00000000-0000-0000-0000-000000000000}"/>
  <bookViews>
    <workbookView xWindow="-120" yWindow="-120" windowWidth="29040" windowHeight="16440" firstSheet="2" activeTab="2" xr2:uid="{093689EF-D701-4890-B8A9-8BD8B50DC7E2}"/>
  </bookViews>
  <sheets>
    <sheet name="DADOS" sheetId="2" r:id="rId1"/>
    <sheet name="DASHBOARD" sheetId="3" r:id="rId2"/>
    <sheet name="GASTOS" sheetId="1" r:id="rId3"/>
  </sheets>
  <definedNames>
    <definedName name="_xlnm._FilterDatabase" localSheetId="2" hidden="1">GASTOS!$A$1:$R$8</definedName>
  </definedNames>
  <calcPr calcId="191028"/>
  <pivotCaches>
    <pivotCache cacheId="0" r:id="rId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<sst xmlns="http://schemas.openxmlformats.org/spreadsheetml/2006/main" count="146" uniqueCount="76">
  <si>
    <t>Status</t>
  </si>
  <si>
    <t xml:space="preserve">SETOR </t>
  </si>
  <si>
    <t>USO CONTABIL</t>
  </si>
  <si>
    <t>Mês</t>
  </si>
  <si>
    <t>SERVIÇO CONCLUÍDO</t>
  </si>
  <si>
    <t>NF DE SERVIÇO RECEBIDA</t>
  </si>
  <si>
    <t xml:space="preserve">NF ENVIADA PARA LANÇAMENTO </t>
  </si>
  <si>
    <t>TIPO DE SOLICITAÇÃO</t>
  </si>
  <si>
    <t>1. TURNO A</t>
  </si>
  <si>
    <t>OUTUBRO / 2025</t>
  </si>
  <si>
    <t>SIM</t>
  </si>
  <si>
    <t xml:space="preserve">SERVIÇO </t>
  </si>
  <si>
    <t>2. TURNO B</t>
  </si>
  <si>
    <t>NOVEMBRO / 2025</t>
  </si>
  <si>
    <t>NÃO</t>
  </si>
  <si>
    <t>MATERIAL</t>
  </si>
  <si>
    <t>3. TURNO C</t>
  </si>
  <si>
    <t>DEZEMBRO / 2025</t>
  </si>
  <si>
    <t>INDEFINIDO</t>
  </si>
  <si>
    <t>4. EXTERNA</t>
  </si>
  <si>
    <t>JANEIRO / 2026</t>
  </si>
  <si>
    <t>5. UTILIDADES</t>
  </si>
  <si>
    <t>FEVEREIRO / 2026</t>
  </si>
  <si>
    <t>6. ETA / ETE / BIO</t>
  </si>
  <si>
    <t>MARÇO / 2026</t>
  </si>
  <si>
    <t xml:space="preserve">7. AUTOMAÇÃO </t>
  </si>
  <si>
    <t>ABRIL / 2026</t>
  </si>
  <si>
    <t>8. PROJETOS</t>
  </si>
  <si>
    <t>MAIO / 2026</t>
  </si>
  <si>
    <t>9. PCM</t>
  </si>
  <si>
    <t>JUNHO / 2026</t>
  </si>
  <si>
    <t>10. INDEFINIDO</t>
  </si>
  <si>
    <t>JULHO / 2026</t>
  </si>
  <si>
    <t>AGOSTO / 2026</t>
  </si>
  <si>
    <t>SETEMBRO / 2026</t>
  </si>
  <si>
    <t>OUTUBRO / 2026</t>
  </si>
  <si>
    <t>NOVEMBRO / 2026</t>
  </si>
  <si>
    <t>DEZEMBRO / 2026</t>
  </si>
  <si>
    <t>SEM PREVISÃO</t>
  </si>
  <si>
    <t>Rótulos de Linha</t>
  </si>
  <si>
    <t>Soma de VALOR TOTAL</t>
  </si>
  <si>
    <t>-</t>
  </si>
  <si>
    <t>(vazio)</t>
  </si>
  <si>
    <t>Total Geral</t>
  </si>
  <si>
    <t>ID</t>
  </si>
  <si>
    <t>SOLICITANTE</t>
  </si>
  <si>
    <t>DESCRIÇÃO DO SERVIÇO</t>
  </si>
  <si>
    <t>VALOR TOTAL</t>
  </si>
  <si>
    <t>PREVISÃO 
P/ EXECUÇÃO</t>
  </si>
  <si>
    <t>USO 
CONTÁBIL</t>
  </si>
  <si>
    <t>ORDEM 
DE SERVIÇO</t>
  </si>
  <si>
    <t>DATA DE ABERTURA 
DA REQUISIÇÃO</t>
  </si>
  <si>
    <t>FORNECEDOR
CNPJ</t>
  </si>
  <si>
    <t>NÚEMRO DA REQUISIÇÃO 
DE COMPRA</t>
  </si>
  <si>
    <t>NÚMERO DO 
PEDIDO DE COMPRA</t>
  </si>
  <si>
    <t>NF DE SERVIÇO
 RECEBIDA</t>
  </si>
  <si>
    <t xml:space="preserve">NF ENVIADA
 PARA LANÇAMENTO </t>
  </si>
  <si>
    <t>OBSERVAÇÕES</t>
  </si>
  <si>
    <t>CLEITON-DESTRI</t>
  </si>
  <si>
    <t>MULT-TEC</t>
  </si>
  <si>
    <t xml:space="preserve">MANUTENÇÃO NOS BLOCOS DE VACUO DA R145 DO CURADOS </t>
  </si>
  <si>
    <t xml:space="preserve">REVISAO DAS PLACAS DA BASE DA R535 DA PRESUNTARIA </t>
  </si>
  <si>
    <t xml:space="preserve">CABO SENSOR DE SEGURANÇA DE 6 METROS </t>
  </si>
  <si>
    <t xml:space="preserve">REVISÃO DOS PISTOES DA ELEVAÇÃO DAS GRELHAS DE ALIMENTAÇÃO DA R535 PRESENTARIA </t>
  </si>
  <si>
    <t xml:space="preserve">SERVIÇO PARA REALIZAR BECKUP DO SISTEMA DAS TERMOFORMADORAS </t>
  </si>
  <si>
    <t xml:space="preserve">USICASTRO </t>
  </si>
  <si>
    <t xml:space="preserve">SERVIÇO PARA RECUPERAR CAIXA DE SELAGEM DA PRESUNTARIA </t>
  </si>
  <si>
    <t>ID01</t>
  </si>
  <si>
    <t>ID02</t>
  </si>
  <si>
    <t>ID03</t>
  </si>
  <si>
    <t>ID06</t>
  </si>
  <si>
    <t>FORNECEDOR</t>
  </si>
  <si>
    <t>NF: SERVIÇO OU MATERIAL</t>
  </si>
  <si>
    <t>TIPO DE GASTO</t>
  </si>
  <si>
    <t>ID07</t>
  </si>
  <si>
    <t>ID08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</si>
</sst>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4" formatCode="_-* #,##0.00\ &quot;€&quot;_-;\-* #,##0.00\ &quot;€&quot;_-;_-* &quot;-&quot;??\ &quot;€&quot;_-;_-@_-"/>
    <numFmt numFmtId="164" formatCode="_-[$R$-416]\ * #,##0.00_-;\-[$R$-416]\ * #,##0.00_-;_-[$R$-416]\ * &quot;-&quot;??_-;_-@_-"/>
    <numFmt numFmtId="165" formatCode="[$R$-416]\ #,##0.00"/>
  </numFmts>
  <fonts count="10" x14ac:knownFonts="1">
    <font>
      <sz val="11"/>
      <color theme="1"/>
      <name val="Aptos Narrow"/>
      <family val="2"/>
      <scheme val="minor"/>
    </font>
    <font>
      <sz val="11"/>
      <color theme="1"/>
      <name val="Arial"/>
      <family val="2"/>
    </font>
    <font>
      <sz val="8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rgb="FF000000"/>
      <name val="Calibri"/>
      <family val="2"/>
    </font>
    <font>
      <sz val="10"/>
      <name val="Arial"/>
    </font>
    <font>
      <sz val="10"/>
      <color theme="1"/>
      <name val="Arial"/>
    </font>
    <font>
      <b/>
      <sz val="10"/>
      <color theme="0"/>
      <name val="Arial"/>
      <family val="2"/>
    </font>
    <font>
      <b/>
      <sz val="10"/>
      <color theme="1"/>
      <name val="Arial"/>
      <family val="2"/>
    </font>
    <font>
      <sz val="10"/>
      <color theme="1"/>
      <name val="Aptos Narrow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3" tint="0.249977111117893"/>
        <bgColor indexed="64"/>
      </patternFill>
    </fill>
    <fill>
      <patternFill patternType="solid">
        <fgColor rgb="FFFFFFFF"/>
        <bgColor rgb="FF000000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3">
    <xf numFmtId="0" fontId="0" fillId="0" borderId="0"/>
    <xf numFmtId="44" fontId="3" fillId="0" borderId="0" applyFont="0" applyFill="0" applyBorder="0" applyAlignment="0" applyProtection="0"/>
    <xf numFmtId="0" fontId="4" fillId="0" borderId="0" applyNumberFormat="0"/>
  </cellStyleXfs>
  <cellXfs count="47">
    <xf numFmtId="0" fontId="0" fillId="0" borderId="0" xfId="0"/>
    <xf numFmtId="0" fontId="1" fillId="0" borderId="0" xfId="0" applyFont="1"/>
    <xf numFmtId="0" fontId="1" fillId="0" borderId="1" xfId="0" applyFont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49" fontId="1" fillId="0" borderId="1" xfId="0" applyNumberFormat="1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 wrapText="1"/>
    </xf>
    <xf numFmtId="0" fontId="1" fillId="0" borderId="0" xfId="0" applyFont="1" applyAlignment="1">
      <alignment wrapText="1"/>
    </xf>
    <xf numFmtId="0" fontId="0" fillId="0" borderId="0" xfId="0" applyAlignment="1">
      <alignment wrapText="1"/>
    </xf>
    <xf numFmtId="0" fontId="0" fillId="3" borderId="0" xfId="0" applyFill="1"/>
    <xf numFmtId="0" fontId="1" fillId="0" borderId="0" xfId="0" applyFont="1" applyAlignment="1">
      <alignment horizontal="center" vertical="center" wrapText="1"/>
    </xf>
    <xf numFmtId="0" fontId="1" fillId="0" borderId="3" xfId="0" applyFont="1" applyBorder="1" applyAlignment="1">
      <alignment horizontal="center" vertical="center"/>
    </xf>
    <xf numFmtId="0" fontId="1" fillId="0" borderId="0" xfId="0" applyFont="1" applyAlignment="1" applyProtection="1">
      <alignment horizontal="center" vertical="center"/>
      <protection locked="0"/>
    </xf>
    <xf numFmtId="0" fontId="1" fillId="0" borderId="0" xfId="0" applyFont="1" applyAlignment="1" applyProtection="1">
      <alignment horizontal="center" vertical="center" wrapText="1"/>
      <protection locked="0"/>
    </xf>
    <xf numFmtId="0" fontId="1" fillId="0" borderId="0" xfId="0" applyFont="1" applyAlignment="1" applyProtection="1">
      <alignment wrapText="1"/>
      <protection locked="0"/>
    </xf>
    <xf numFmtId="164" fontId="1" fillId="0" borderId="0" xfId="1" applyNumberFormat="1" applyFont="1" applyAlignment="1" applyProtection="1">
      <alignment horizontal="center" vertical="center"/>
      <protection locked="0"/>
    </xf>
    <xf numFmtId="0" fontId="1" fillId="0" borderId="0" xfId="0" applyFont="1" applyAlignment="1" applyProtection="1">
      <alignment horizontal="center"/>
      <protection locked="0"/>
    </xf>
    <xf numFmtId="0" fontId="1" fillId="0" borderId="0" xfId="0" applyFont="1" applyProtection="1">
      <protection locked="0"/>
    </xf>
    <xf numFmtId="0" fontId="0" fillId="4" borderId="0" xfId="0" applyFill="1"/>
    <xf numFmtId="0" fontId="0" fillId="2" borderId="0" xfId="0" applyFill="1"/>
    <xf numFmtId="164" fontId="0" fillId="2" borderId="0" xfId="0" applyNumberFormat="1" applyFill="1"/>
    <xf numFmtId="0" fontId="0" fillId="0" borderId="0" xfId="0" applyProtection="1">
      <protection locked="0"/>
    </xf>
    <xf numFmtId="0" fontId="0" fillId="0" borderId="1" xfId="0" applyBorder="1" applyAlignment="1">
      <alignment horizontal="left"/>
    </xf>
    <xf numFmtId="165" fontId="0" fillId="0" borderId="1" xfId="0" applyNumberFormat="1" applyBorder="1"/>
    <xf numFmtId="0" fontId="5" fillId="6" borderId="1" xfId="0" applyFont="1" applyFill="1" applyBorder="1" applyAlignment="1">
      <alignment horizontal="center" wrapText="1"/>
    </xf>
    <xf numFmtId="0" fontId="6" fillId="0" borderId="1" xfId="0" applyFont="1" applyBorder="1" applyAlignment="1">
      <alignment horizontal="center" vertical="center"/>
    </xf>
    <xf numFmtId="0" fontId="6" fillId="0" borderId="1" xfId="0" applyFont="1" applyBorder="1" applyAlignment="1" applyProtection="1">
      <alignment horizontal="center" vertical="center"/>
      <protection locked="0"/>
    </xf>
    <xf numFmtId="0" fontId="5" fillId="6" borderId="2" xfId="0" applyFont="1" applyFill="1" applyBorder="1" applyAlignment="1">
      <alignment horizontal="center" vertical="center" wrapText="1"/>
    </xf>
    <xf numFmtId="0" fontId="5" fillId="6" borderId="2" xfId="0" applyFont="1" applyFill="1" applyBorder="1" applyAlignment="1">
      <alignment wrapText="1"/>
    </xf>
    <xf numFmtId="164" fontId="5" fillId="3" borderId="1" xfId="0" applyNumberFormat="1" applyFont="1" applyFill="1" applyBorder="1" applyAlignment="1" applyProtection="1">
      <alignment horizontal="center" vertical="center" wrapText="1"/>
      <protection locked="0"/>
    </xf>
    <xf numFmtId="17" fontId="5" fillId="3" borderId="1" xfId="0" applyNumberFormat="1" applyFont="1" applyFill="1" applyBorder="1" applyAlignment="1" applyProtection="1">
      <alignment horizontal="center" vertical="center" wrapText="1"/>
      <protection locked="0"/>
    </xf>
    <xf numFmtId="0" fontId="5" fillId="3" borderId="1" xfId="0" applyFont="1" applyFill="1" applyBorder="1" applyAlignment="1" applyProtection="1">
      <alignment horizontal="center" vertical="center" wrapText="1"/>
      <protection locked="0"/>
    </xf>
    <xf numFmtId="0" fontId="6" fillId="0" borderId="4" xfId="0" applyFont="1" applyBorder="1" applyAlignment="1" applyProtection="1">
      <alignment horizontal="center" vertical="center"/>
      <protection locked="0"/>
    </xf>
    <xf numFmtId="0" fontId="6" fillId="0" borderId="5" xfId="0" applyFont="1" applyBorder="1" applyAlignment="1" applyProtection="1">
      <alignment horizontal="center" wrapText="1"/>
      <protection locked="0"/>
    </xf>
    <xf numFmtId="14" fontId="5" fillId="6" borderId="2" xfId="0" applyNumberFormat="1" applyFont="1" applyFill="1" applyBorder="1" applyAlignment="1">
      <alignment horizontal="center" wrapText="1"/>
    </xf>
    <xf numFmtId="0" fontId="5" fillId="6" borderId="2" xfId="0" applyFont="1" applyFill="1" applyBorder="1" applyAlignment="1">
      <alignment horizontal="center" wrapText="1"/>
    </xf>
    <xf numFmtId="0" fontId="6" fillId="3" borderId="4" xfId="0" applyFont="1" applyFill="1" applyBorder="1" applyAlignment="1">
      <alignment horizontal="center" vertical="center" wrapText="1"/>
    </xf>
    <xf numFmtId="0" fontId="6" fillId="0" borderId="0" xfId="0" applyFont="1" applyProtection="1">
      <protection locked="0"/>
    </xf>
    <xf numFmtId="0" fontId="6" fillId="0" borderId="4" xfId="0" applyFont="1" applyBorder="1" applyAlignment="1" applyProtection="1">
      <alignment horizontal="center" wrapText="1"/>
      <protection locked="0"/>
    </xf>
    <xf numFmtId="0" fontId="5" fillId="6" borderId="6" xfId="0" applyFont="1" applyFill="1" applyBorder="1" applyAlignment="1">
      <alignment horizontal="center" vertical="center" wrapText="1"/>
    </xf>
    <xf numFmtId="0" fontId="5" fillId="6" borderId="6" xfId="0" applyFont="1" applyFill="1" applyBorder="1" applyAlignment="1">
      <alignment wrapText="1"/>
    </xf>
    <xf numFmtId="14" fontId="5" fillId="6" borderId="6" xfId="0" applyNumberFormat="1" applyFont="1" applyFill="1" applyBorder="1" applyAlignment="1">
      <alignment horizontal="center" wrapText="1"/>
    </xf>
    <xf numFmtId="0" fontId="5" fillId="6" borderId="6" xfId="0" applyFont="1" applyFill="1" applyBorder="1" applyAlignment="1">
      <alignment horizontal="center" wrapText="1"/>
    </xf>
    <xf numFmtId="0" fontId="6" fillId="0" borderId="4" xfId="0" applyFont="1" applyBorder="1" applyAlignment="1" applyProtection="1">
      <alignment horizontal="center"/>
      <protection locked="0"/>
    </xf>
    <xf numFmtId="0" fontId="7" fillId="5" borderId="1" xfId="0" applyFont="1" applyFill="1" applyBorder="1" applyAlignment="1" applyProtection="1">
      <alignment horizontal="center" vertical="center" wrapText="1"/>
      <protection locked="0"/>
    </xf>
    <xf numFmtId="164" fontId="7" fillId="5" borderId="1" xfId="1" applyNumberFormat="1" applyFont="1" applyFill="1" applyBorder="1" applyAlignment="1" applyProtection="1">
      <alignment horizontal="center" vertical="center"/>
      <protection locked="0"/>
    </xf>
    <xf numFmtId="0" fontId="8" fillId="2" borderId="1" xfId="0" applyFont="1" applyFill="1" applyBorder="1" applyAlignment="1" applyProtection="1">
      <alignment horizontal="center" vertical="center" wrapText="1"/>
      <protection locked="0"/>
    </xf>
    <xf numFmtId="0" fontId="9" fillId="0" borderId="0" xfId="0" applyFont="1" applyAlignment="1" applyProtection="1">
      <alignment horizontal="center" vertical="center"/>
      <protection locked="0"/>
    </xf>
  </cellXfs>
  <cellStyles count="3">
    <cellStyle name="Moeda" xfId="1" builtinId="4"/>
    <cellStyle name="Normal" xfId="0" builtinId="0"/>
    <cellStyle name="normal 2" xfId="2" xr:uid="{5F3565CC-B7E1-4600-8CE0-2FF16F9B60ED}"/>
  </cellStyles>
  <dxfs count="18"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border>
        <vertical style="thin">
          <color indexed="64"/>
        </vertical>
        <horizontal style="thin">
          <color indexed="64"/>
        </horizontal>
      </border>
    </dxf>
    <dxf>
      <border>
        <vertical style="thin">
          <color indexed="64"/>
        </vertical>
        <horizontal style="thin">
          <color indexed="64"/>
        </horizontal>
      </border>
    </dxf>
    <dxf>
      <border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5" formatCode="[$R$-416]\ #,##0.00"/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numFmt numFmtId="164" formatCode="_-[$R$-416]\ * #,##0.00_-;\-[$R$-416]\ * #,##0.00_-;_-[$R$-416]\ * &quot;-&quot;??_-;_-@_-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ustomXml" Target="../customXml/item3.xml"/><Relationship Id="rId4" Type="http://schemas.openxmlformats.org/officeDocument/2006/relationships/pivotCacheDefinition" Target="pivotCache/pivotCacheDefinition1.xml"/><Relationship Id="rId9" Type="http://schemas.openxmlformats.org/officeDocument/2006/relationships/customXml" Target="../customXml/item2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[9. PCM - Previsão de Gastos 2025 e 2026.xlsm]DASHBOARD!Tabela dinâmica1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PREVISÃO</a:t>
            </a:r>
            <a:r>
              <a:rPr lang="en-US" baseline="0"/>
              <a:t> DE GASTOS - SETOR 1. MANUTENÇÃO TURNO A</a:t>
            </a:r>
          </a:p>
        </c:rich>
      </c:tx>
      <c:layout>
        <c:manualLayout>
          <c:xMode val="edge"/>
          <c:yMode val="edge"/>
          <c:x val="0.34935973311051216"/>
          <c:y val="7.18957749328952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DASHBOARD!$D$3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DASHBOARD!$C$4:$C$12</c:f>
              <c:strCache>
                <c:ptCount val="8"/>
                <c:pt idx="0">
                  <c:v>-</c:v>
                </c:pt>
                <c:pt idx="1">
                  <c:v>DEZEMBRO / 2025</c:v>
                </c:pt>
                <c:pt idx="2">
                  <c:v>FEVEREIRO / 2026</c:v>
                </c:pt>
                <c:pt idx="3">
                  <c:v>JANEIRO / 2026</c:v>
                </c:pt>
                <c:pt idx="4">
                  <c:v>MARÇO / 2026</c:v>
                </c:pt>
                <c:pt idx="5">
                  <c:v>(vazio)</c:v>
                </c:pt>
                <c:pt idx="6">
                  <c:v>SEM PREVISÃO</c:v>
                </c:pt>
                <c:pt idx="7">
                  <c:v>ABRIL / 2026</c:v>
                </c:pt>
              </c:strCache>
            </c:strRef>
          </c:cat>
          <c:val>
            <c:numRef>
              <c:f>DASHBOARD!$D$4:$D$12</c:f>
              <c:numCache>
                <c:formatCode>[$R$-416]\ #,##0.00</c:formatCode>
                <c:ptCount val="8"/>
                <c:pt idx="0">
                  <c:v>0</c:v>
                </c:pt>
                <c:pt idx="1">
                  <c:v>38804.79</c:v>
                </c:pt>
                <c:pt idx="2">
                  <c:v>483172.23000000004</c:v>
                </c:pt>
                <c:pt idx="3">
                  <c:v>0</c:v>
                </c:pt>
                <c:pt idx="4">
                  <c:v>391442.98000000004</c:v>
                </c:pt>
                <c:pt idx="6">
                  <c:v>257814.19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B8C-415A-9CE7-1277D53E14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11212575"/>
        <c:axId val="511213535"/>
      </c:barChart>
      <c:catAx>
        <c:axId val="51121257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511213535"/>
        <c:crosses val="autoZero"/>
        <c:auto val="1"/>
        <c:lblAlgn val="ctr"/>
        <c:lblOffset val="100"/>
        <c:noMultiLvlLbl val="0"/>
      </c:catAx>
      <c:valAx>
        <c:axId val="5112135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[$R$-416]\ 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51121257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19050</xdr:colOff>
      <xdr:row>12</xdr:row>
      <xdr:rowOff>47625</xdr:rowOff>
    </xdr:from>
    <xdr:to>
      <xdr:col>19</xdr:col>
      <xdr:colOff>0</xdr:colOff>
      <xdr:row>33</xdr:row>
      <xdr:rowOff>76200</xdr:rowOff>
    </xdr:to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id="{88B3026C-9652-4D1F-A187-52F15AD4DAE3}"/>
            </a:ext>
          </a:extLst>
        </xdr:cNvPr>
        <xdr:cNvSpPr/>
      </xdr:nvSpPr>
      <xdr:spPr>
        <a:xfrm>
          <a:off x="6362700" y="2505075"/>
          <a:ext cx="10610850" cy="4029075"/>
        </a:xfrm>
        <a:prstGeom prst="rect">
          <a:avLst/>
        </a:prstGeom>
        <a:solidFill>
          <a:schemeClr val="bg1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219075</xdr:colOff>
      <xdr:row>1</xdr:row>
      <xdr:rowOff>19049</xdr:rowOff>
    </xdr:from>
    <xdr:to>
      <xdr:col>25</xdr:col>
      <xdr:colOff>481853</xdr:colOff>
      <xdr:row>26</xdr:row>
      <xdr:rowOff>22412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C8ED26DE-F351-6AF3-6828-FAD1612CF3C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257175</xdr:colOff>
          <xdr:row>0</xdr:row>
          <xdr:rowOff>123825</xdr:rowOff>
        </xdr:from>
        <xdr:to>
          <xdr:col>1</xdr:col>
          <xdr:colOff>962025</xdr:colOff>
          <xdr:row>0</xdr:row>
          <xdr:rowOff>485775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ptos Narrow"/>
                </a:rPr>
                <a:t>IDS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3600450</xdr:colOff>
          <xdr:row>0</xdr:row>
          <xdr:rowOff>123825</xdr:rowOff>
        </xdr:from>
        <xdr:to>
          <xdr:col>1</xdr:col>
          <xdr:colOff>4486275</xdr:colOff>
          <xdr:row>0</xdr:row>
          <xdr:rowOff>533400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2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ptos Narrow"/>
                </a:rPr>
                <a:t>Congelar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zeluzjunior" refreshedDate="46066.535406597221" createdVersion="8" refreshedVersion="8" minRefreshableVersion="3" recordCount="501" xr:uid="{56332D3B-67C9-4FD9-B762-5A17C06DD789}">
  <cacheSource type="worksheet">
    <worksheetSource ref="A1:Q1048576" sheet="GASTOS"/>
  </cacheSource>
  <cacheFields count="17">
    <cacheField name="SETOR " numFmtId="0">
      <sharedItems containsBlank="1"/>
    </cacheField>
    <cacheField name="SOLICITANTE" numFmtId="0">
      <sharedItems containsBlank="1" count="7">
        <s v="CLEITON"/>
        <s v="RHUAN"/>
        <s v="JOSÉ"/>
        <s v="CLEITON "/>
        <m/>
        <s v="-"/>
        <s v="EDER-BUENO" u="1"/>
      </sharedItems>
    </cacheField>
    <cacheField name="FORNECEDOR_x000a_NOME FANTASIA" numFmtId="0">
      <sharedItems containsBlank="1"/>
    </cacheField>
    <cacheField name="DESCRIÇÃO DO SERVIÇO" numFmtId="0">
      <sharedItems containsBlank="1"/>
    </cacheField>
    <cacheField name="VALOR TOTAL" numFmtId="0">
      <sharedItems containsBlank="1" containsMixedTypes="1" containsNumber="1" minValue="0" maxValue="150000"/>
    </cacheField>
    <cacheField name="PREVISÃO _x000a_P/ EXECUÇÃO" numFmtId="0">
      <sharedItems containsBlank="1" count="11">
        <m/>
        <s v="DEZEMBRO / 2025"/>
        <s v="FEVEREIRO / 2026"/>
        <s v="MARÇO / 2026"/>
        <s v="ABRIL / 2026"/>
        <s v="JANEIRO / 2026"/>
        <s v="SEM PREVISÃO"/>
        <s v="-"/>
        <s v="FEVEREIO / 2026" u="1"/>
        <s v="OUTUBRO / 2025" u="1"/>
        <s v="NOVEMBRO / 2025" u="1"/>
      </sharedItems>
    </cacheField>
    <cacheField name="USO _x000a_CONTÁBIL" numFmtId="0">
      <sharedItems containsBlank="1" containsMixedTypes="1" containsNumber="1" containsInteger="1" minValue="242" maxValue="242"/>
    </cacheField>
    <cacheField name="NÚMERO DA _x000a_NOTA FISCAL" numFmtId="0">
      <sharedItems containsBlank="1" containsMixedTypes="1" containsNumber="1" containsInteger="1" minValue="338" maxValue="7104"/>
    </cacheField>
    <cacheField name="TIPO DE _x000a_SOLICITAÇÃO" numFmtId="0">
      <sharedItems containsBlank="1"/>
    </cacheField>
    <cacheField name="ORDEM _x000a_DE SERVIÇO" numFmtId="0">
      <sharedItems containsBlank="1" containsMixedTypes="1" containsNumber="1" containsInteger="1" minValue="77410" maxValue="101907"/>
    </cacheField>
    <cacheField name="DATA DE ABERTURA _x000a_DA REQUISIÇÃO" numFmtId="0">
      <sharedItems containsDate="1" containsBlank="1" containsMixedTypes="1" minDate="2025-08-18T00:00:00" maxDate="2423-04-13T00:00:00"/>
    </cacheField>
    <cacheField name="FORNECEDOR_x000a_CNPJ" numFmtId="0">
      <sharedItems containsBlank="1"/>
    </cacheField>
    <cacheField name="NÚEMRO DA REQUISIÇÃO _x000a_DE COMPRA" numFmtId="0">
      <sharedItems containsBlank="1" containsMixedTypes="1" containsNumber="1" containsInteger="1" minValue="4214651" maxValue="4388731"/>
    </cacheField>
    <cacheField name="NÚMERO DO _x000a_PEDIDO DE COMPRA" numFmtId="0">
      <sharedItems containsBlank="1" containsMixedTypes="1" containsNumber="1" containsInteger="1" minValue="4336280" maxValue="4488525"/>
    </cacheField>
    <cacheField name="SERVIÇO CONCLUÍDO" numFmtId="0">
      <sharedItems containsBlank="1"/>
    </cacheField>
    <cacheField name="NF DE SERVIÇO_x000a_ RECEBIDA" numFmtId="0">
      <sharedItems containsBlank="1"/>
    </cacheField>
    <cacheField name="NF ENVIADA_x000a_ PARA LANÇAMENTO 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01">
  <r>
    <s v="9. PCM"/>
    <x v="0"/>
    <s v="MULT-TEC"/>
    <s v="MANUTENÇÃO NOS BLOCOS DE VACUO DA R145 DO CURADOS "/>
    <m/>
    <x v="0"/>
    <n v="242"/>
    <m/>
    <m/>
    <n v="88639"/>
    <d v="2025-10-29T00:00:00"/>
    <m/>
    <n v="4285510"/>
    <n v="4408524"/>
    <s v="-"/>
    <s v="-"/>
    <s v="-"/>
  </r>
  <r>
    <s v="9. PCM"/>
    <x v="0"/>
    <s v="MULT-TEC"/>
    <s v="REVISAO DAS PLACAS DA BASE DA R535 DA PRESUNTARIA "/>
    <m/>
    <x v="0"/>
    <n v="242"/>
    <m/>
    <m/>
    <n v="86826"/>
    <d v="2025-10-14T00:00:00"/>
    <m/>
    <n v="4274405"/>
    <n v="4399765"/>
    <s v="SIM"/>
    <s v="SIM"/>
    <s v="SIM"/>
  </r>
  <r>
    <s v="9. PCM"/>
    <x v="0"/>
    <s v="MULT-TEC"/>
    <s v="CABO SENSOR DE SEGURANÇA DE 6 METROS "/>
    <m/>
    <x v="0"/>
    <n v="242"/>
    <m/>
    <m/>
    <n v="87008"/>
    <d v="2025-10-15T00:00:00"/>
    <m/>
    <n v="4274431"/>
    <n v="4399761"/>
    <s v="SIM"/>
    <s v="SIM"/>
    <s v="SIM"/>
  </r>
  <r>
    <s v="9. PCM"/>
    <x v="0"/>
    <s v="MULT-TEC"/>
    <s v="REVISÃO DOS PISTOES DA ELEVAÇÃO DAS GRELHAS DE ALIMENTAÇÃO DA R535 PRESENTARIA "/>
    <m/>
    <x v="0"/>
    <n v="242"/>
    <m/>
    <m/>
    <n v="86824"/>
    <d v="2025-10-14T00:00:00"/>
    <m/>
    <n v="4271140"/>
    <n v="4390655"/>
    <s v="SIM"/>
    <s v="SIM"/>
    <s v="SIM"/>
  </r>
  <r>
    <s v="9. PCM"/>
    <x v="0"/>
    <s v="MULT-TEC"/>
    <s v="SERVIÇO PARA REALIZAR BECKUP DO SISTEMA DAS TERMOFORMADORAS "/>
    <m/>
    <x v="0"/>
    <n v="242"/>
    <m/>
    <m/>
    <n v="86833"/>
    <d v="2025-10-14T00:00:00"/>
    <m/>
    <n v="4271154"/>
    <n v="4390653"/>
    <s v="SIM"/>
    <s v="SIM"/>
    <s v="SIM"/>
  </r>
  <r>
    <s v="9. PCM"/>
    <x v="0"/>
    <s v="USICASTRO "/>
    <s v="SERVIÇO PARA RECUPERAR CAIXA DE SELAGEM DA PRESUNTARIA "/>
    <m/>
    <x v="0"/>
    <n v="242"/>
    <m/>
    <m/>
    <n v="87782"/>
    <d v="2025-10-22T00:00:00"/>
    <m/>
    <n v="4282004"/>
    <n v="4399466"/>
    <s v="SIM"/>
    <s v="SIM"/>
    <s v="SIM"/>
  </r>
  <r>
    <s v="9. PCM"/>
    <x v="1"/>
    <s v="USICASTRO (PHDS)"/>
    <s v="SERVIÇO USINAGEM EM BUCHA DO EIXO DO MOEDOR FRESCAL"/>
    <m/>
    <x v="0"/>
    <m/>
    <n v="404"/>
    <m/>
    <s v="91702 "/>
    <m/>
    <m/>
    <n v="4302330"/>
    <n v="4417893"/>
    <s v="SIM"/>
    <s v="SIM"/>
    <s v="SIM"/>
  </r>
  <r>
    <s v="9. PCM"/>
    <x v="0"/>
    <s v="MULT-TEC"/>
    <s v="VISITA TÉCNICA PARA MANUTENÇÃO E ACOMPANHAMENTO NOS EQUIPAMENTOS"/>
    <m/>
    <x v="0"/>
    <m/>
    <n v="338"/>
    <m/>
    <n v="90496"/>
    <m/>
    <m/>
    <n v="4296561"/>
    <n v="4413697"/>
    <s v="SIM"/>
    <s v="SIM"/>
    <s v="NAO "/>
  </r>
  <r>
    <s v="9. PCM"/>
    <x v="2"/>
    <s v="PESO EXATO"/>
    <s v="CALIBRAÇÃO DE BALANÇAS RODOVIÁRIAS (FATURAMENTO E RECEPÇÃO)"/>
    <n v="11000"/>
    <x v="1"/>
    <n v="242"/>
    <s v="-"/>
    <m/>
    <s v="-"/>
    <s v="-"/>
    <m/>
    <s v="-"/>
    <s v="-"/>
    <s v="-"/>
    <s v="-"/>
    <s v="-"/>
  </r>
  <r>
    <s v="9. PCM"/>
    <x v="1"/>
    <s v="USICASTRO (PHDS)"/>
    <s v="CONFECÇÃO DE CAVALETE PARA REVISÃO DE REDUTORES DE DIGESTORES"/>
    <n v="7500"/>
    <x v="1"/>
    <n v="242"/>
    <n v="433"/>
    <m/>
    <n v="78710"/>
    <d v="2025-08-29T00:00:00"/>
    <m/>
    <n v="4225517"/>
    <n v="4350050"/>
    <s v="SIM"/>
    <s v="SIM"/>
    <s v="SIM"/>
  </r>
  <r>
    <s v="9. PCM"/>
    <x v="1"/>
    <s v="VELOTANO"/>
    <s v="SERVICO TORNO COM DIVISAO / SERVIÇO DE USINAGEM EM KIT ENGRENAGEM SKINNER"/>
    <n v="3480"/>
    <x v="1"/>
    <n v="242"/>
    <s v="-"/>
    <m/>
    <n v="91597"/>
    <d v="2025-11-13T00:00:00"/>
    <m/>
    <n v="4300441"/>
    <n v="4416482"/>
    <s v="-"/>
    <s v="-"/>
    <s v="-"/>
  </r>
  <r>
    <s v="9. PCM"/>
    <x v="1"/>
    <s v="USIMEC"/>
    <s v="SERVIÇO DE MÃO DE OBRA PARA REVISÃO DO EXAUSTOR DO CHAMUSCADOR"/>
    <n v="3800"/>
    <x v="1"/>
    <n v="242"/>
    <s v="-"/>
    <m/>
    <s v="91312 "/>
    <d v="2025-11-12T00:00:00"/>
    <m/>
    <n v="4299409"/>
    <n v="4419988"/>
    <s v="-"/>
    <s v="-"/>
    <s v="-"/>
  </r>
  <r>
    <s v="9. PCM"/>
    <x v="1"/>
    <s v="VELOTANO"/>
    <s v="SERVIÇO DE USINAGEM EM EIXOS DO REDUTOR DA PRENSA EXPELLER"/>
    <n v="2050"/>
    <x v="1"/>
    <n v="242"/>
    <n v="3195"/>
    <m/>
    <s v="91288 "/>
    <d v="2025-11-12T00:00:00"/>
    <m/>
    <n v="4299199"/>
    <n v="4413962"/>
    <s v="SIM"/>
    <s v="SIM"/>
    <s v="SIM"/>
  </r>
  <r>
    <s v="9. PCM"/>
    <x v="1"/>
    <s v="USICASTRO (PHDS)"/>
    <s v="SERVIÇO DE USINAGEM EM POLIA DE ALUMINIO DA NÓRIA DE MÍUDOS"/>
    <n v="765"/>
    <x v="1"/>
    <n v="242"/>
    <n v="432"/>
    <m/>
    <n v="91709"/>
    <d v="2025-11-17T00:00:00"/>
    <m/>
    <n v="4303272"/>
    <n v="4424780"/>
    <s v="SIM"/>
    <s v="SIM"/>
    <s v="SIM"/>
  </r>
  <r>
    <s v="9. PCM"/>
    <x v="2"/>
    <s v="FOSS"/>
    <s v="SERVIÇO DE MANUTENÇÃO PREVENTIVA E CALIBRAÇÃO - EQUIPAMENTO FOODSCAN (CURADOS)"/>
    <n v="5500"/>
    <x v="1"/>
    <n v="242"/>
    <s v="-"/>
    <m/>
    <s v="-"/>
    <s v="-"/>
    <m/>
    <s v="-"/>
    <s v="-"/>
    <s v="-"/>
    <s v="-"/>
    <s v="-"/>
  </r>
  <r>
    <s v="9. PCM"/>
    <x v="1"/>
    <s v="MAREL"/>
    <s v="SERVIÇO DE TERCEIRO PARA: MÃO DE OBRA PARA DIA EXTRA DE ACOMPANHAMENTO DE UM TÉCNICO DA MAREL, PARA O EQUIPAMENTO V-CUT 240"/>
    <n v="4709.79"/>
    <x v="1"/>
    <n v="242"/>
    <s v="-"/>
    <m/>
    <s v="97841 "/>
    <d v="2025-12-23T00:00:00"/>
    <m/>
    <n v="4340072"/>
    <s v="-"/>
    <s v="-"/>
    <s v="-"/>
    <s v="-"/>
  </r>
  <r>
    <s v="9. PCM"/>
    <x v="0"/>
    <s v="MULT-TEC"/>
    <s v="RFORMA F200 EMBALAGEM "/>
    <n v="150000"/>
    <x v="2"/>
    <n v="242"/>
    <m/>
    <m/>
    <n v="91042"/>
    <d v="2025-11-11T00:00:00"/>
    <m/>
    <n v="4298167"/>
    <n v="4417448"/>
    <m/>
    <m/>
    <m/>
  </r>
  <r>
    <s v="9. PCM"/>
    <x v="1"/>
    <s v="PCR ARTEFATOS DE BORRACHA"/>
    <s v="SERVIÇO DE MATERIAL E MÃO DE OBRA PARA REFORMA DE CILINDROS DO EQUIPAMENTO MÁQUINA DE TRIPAS"/>
    <n v="20706"/>
    <x v="2"/>
    <n v="242"/>
    <m/>
    <m/>
    <n v="100100"/>
    <d v="2026-01-14T00:00:00"/>
    <m/>
    <n v="4359906"/>
    <s v="-"/>
    <m/>
    <m/>
    <m/>
  </r>
  <r>
    <s v="9. PCM"/>
    <x v="1"/>
    <s v="SERPONTES COMERCIO DE PEÇAS LTDA"/>
    <s v="OS 101907 - SERVIÇO TERCEIRO: MATERIAL E MÃO DE OBRA PARA CONSERTO DE FURADEIRA DE IMPACTO BOSCH."/>
    <n v="406.9"/>
    <x v="2"/>
    <n v="242"/>
    <m/>
    <m/>
    <n v="101907"/>
    <d v="2026-01-28T00:00:00"/>
    <m/>
    <n v="4373587"/>
    <n v="4488525"/>
    <m/>
    <m/>
    <m/>
  </r>
  <r>
    <s v="9. PCM"/>
    <x v="1"/>
    <s v="SERPONTES COMERCIO DE PEÇAS LTDA"/>
    <s v="OS 101859 - SERVIÇO TERCEIRO: MATERIAL E MÃO DE OBRA PARA CONSERTO DE ESMIRILHADEIRA BOSCH."/>
    <n v="555.12"/>
    <x v="2"/>
    <n v="242"/>
    <m/>
    <m/>
    <n v="101859"/>
    <d v="2026-01-28T00:00:00"/>
    <m/>
    <s v="4373606 "/>
    <n v="4488524"/>
    <m/>
    <m/>
    <m/>
  </r>
  <r>
    <s v="9. PCM"/>
    <x v="1"/>
    <s v="FAST"/>
    <s v="SERVIÇO DE MATERIAL E MÃO DE OBRA PARA REVISÃO PREVENTIVA DA CENTRIFUGA TRIDECANTER DCT SATURNO 3 (N° 3019)"/>
    <n v="44500"/>
    <x v="2"/>
    <n v="242"/>
    <m/>
    <m/>
    <n v="96044"/>
    <d v="2025-12-16T00:00:00"/>
    <m/>
    <n v="4331892"/>
    <n v="4462966"/>
    <m/>
    <m/>
    <m/>
  </r>
  <r>
    <s v="9. PCM"/>
    <x v="3"/>
    <s v="MULTIVAC"/>
    <s v="REFORMA F200 EMBALGEM "/>
    <n v="90"/>
    <x v="2"/>
    <n v="242"/>
    <m/>
    <m/>
    <m/>
    <d v="2395-11-25T00:00:00"/>
    <m/>
    <n v="4304053"/>
    <m/>
    <m/>
    <m/>
    <m/>
  </r>
  <r>
    <s v="9. PCM"/>
    <x v="3"/>
    <s v="MULTIVAC "/>
    <s v="TROCA DA IHM DO PRESUNTO"/>
    <n v="75000"/>
    <x v="2"/>
    <n v="242"/>
    <m/>
    <m/>
    <m/>
    <d v="2423-04-12T00:00:00"/>
    <m/>
    <n v="4305416"/>
    <m/>
    <m/>
    <m/>
    <m/>
  </r>
  <r>
    <s v="9. PCM"/>
    <x v="3"/>
    <s v="USINOX "/>
    <s v="VISITA TECNICO USINOX PARA TREINAMENTO E LEVANTAMENTO DE PEÇAS DAS DUAS USINOX "/>
    <n v="12900"/>
    <x v="2"/>
    <n v="242"/>
    <m/>
    <m/>
    <n v="90443"/>
    <d v="2025-11-07T00:00:00"/>
    <m/>
    <n v="4294295"/>
    <m/>
    <m/>
    <m/>
    <m/>
  </r>
  <r>
    <s v="9. PCM"/>
    <x v="3"/>
    <s v="POLYCLIP"/>
    <s v="VISITA TECNICO POLYCLIP PARA REVISÃO NA ICA8700 DO LOG  "/>
    <n v="21984.21"/>
    <x v="2"/>
    <n v="242"/>
    <m/>
    <m/>
    <n v="100069"/>
    <d v="2026-01-12T00:00:00"/>
    <m/>
    <n v="4361017"/>
    <m/>
    <m/>
    <m/>
    <m/>
  </r>
  <r>
    <s v="9. PCM"/>
    <x v="3"/>
    <s v="METALQUIMIA"/>
    <s v="TROCA ROLAMENTO TUMBLER "/>
    <n v="150000"/>
    <x v="2"/>
    <n v="242"/>
    <m/>
    <m/>
    <m/>
    <d v="2026-12-10T00:00:00"/>
    <m/>
    <m/>
    <m/>
    <m/>
    <m/>
    <m/>
  </r>
  <r>
    <s v="9. PCM"/>
    <x v="0"/>
    <s v="MULT-TEC"/>
    <s v="RFORMA F200 EMBALAGEM "/>
    <n v="150000"/>
    <x v="3"/>
    <n v="242"/>
    <m/>
    <m/>
    <n v="91042"/>
    <d v="2025-11-11T00:00:00"/>
    <m/>
    <n v="4298167"/>
    <n v="4417448"/>
    <m/>
    <m/>
    <m/>
  </r>
  <r>
    <s v="9. PCM"/>
    <x v="0"/>
    <s v="METALMARC"/>
    <s v="TROCA CORPO EMBUTIDEIRA PRESUNTO "/>
    <n v="120000"/>
    <x v="3"/>
    <n v="242"/>
    <m/>
    <m/>
    <n v="77410"/>
    <d v="2025-08-18T00:00:00"/>
    <m/>
    <n v="4214651"/>
    <n v="4336280"/>
    <m/>
    <m/>
    <m/>
  </r>
  <r>
    <s v="9. PCM"/>
    <x v="1"/>
    <s v="FAST"/>
    <s v="SERVIÇO DE MATERIAL E MÃO DE OBRA PARA REVISÃO PREVENTIVA DA CENTRIFUGA DECANTER DC MARTE 3 (N° 3019"/>
    <n v="19885"/>
    <x v="3"/>
    <n v="242"/>
    <m/>
    <m/>
    <n v="96040"/>
    <d v="2025-12-16T00:00:00"/>
    <m/>
    <n v="4331901"/>
    <n v="4462967"/>
    <m/>
    <m/>
    <m/>
  </r>
  <r>
    <s v="9. PCM"/>
    <x v="1"/>
    <s v="GRATT"/>
    <s v="SERVIÇO DE TERCEIRO: MATERIAL E MÃO DE OBRA PARA REVISÃO PREVENTIVA DA CENTRIFUGA DECANTER GRATT MODELO GMT 230S N/S D230S 61A (REDUTOR 301)."/>
    <n v="37363.58"/>
    <x v="3"/>
    <n v="242"/>
    <m/>
    <m/>
    <n v="100524"/>
    <d v="2026-01-15T00:00:00"/>
    <m/>
    <s v="4361035 - SERÁ FEITO OUTRA"/>
    <s v="-"/>
    <m/>
    <m/>
    <m/>
  </r>
  <r>
    <s v="9. PCM"/>
    <x v="1"/>
    <s v="GRATT"/>
    <s v="SERVIÇO DE TERCEIRO: MATERIAL E MÃO DE OBRA PARA REVISÃO PREVENTIVA DA CENTRIFUGA DECANTER GRATT MODELO GMT 230S N/S D230S 61A (REDUTOR 301)."/>
    <n v="64194.400000000001"/>
    <x v="3"/>
    <n v="242"/>
    <m/>
    <m/>
    <n v="100524"/>
    <m/>
    <m/>
    <m/>
    <s v="-"/>
    <m/>
    <m/>
    <m/>
  </r>
  <r>
    <s v="9. PCM"/>
    <x v="1"/>
    <s v="MAREL"/>
    <s v="SERVIÇO TERCEIRO: MATERIAL E MÃO DE OBRA PARA REVISÃO DO EQUIPAMENTO SERRA AUTOMÁTICA SPLITTER MSP6040"/>
    <s v="EUR 43.675,85 (R$ 274.000,00)"/>
    <x v="3"/>
    <n v="242"/>
    <m/>
    <m/>
    <n v="100300"/>
    <d v="2026-01-13T00:00:00"/>
    <m/>
    <s v="4358231 "/>
    <s v="-"/>
    <m/>
    <m/>
    <m/>
  </r>
  <r>
    <s v="9. PCM"/>
    <x v="1"/>
    <s v="MAREL"/>
    <s v="SERVIÇO TERCEIRO: MATERIAL E MÃO DE OBRA PARA REVISÃO DO EQUIPAMENTO DEBOFLEX LINHA 1."/>
    <s v="EUR 7.484,31 (R$ 46.285,23)"/>
    <x v="4"/>
    <n v="242"/>
    <m/>
    <m/>
    <s v="105171 "/>
    <d v="2026-02-11T00:00:00"/>
    <m/>
    <n v="4388731"/>
    <m/>
    <m/>
    <m/>
    <m/>
  </r>
  <r>
    <s v="9. PCM"/>
    <x v="1"/>
    <s v="FLUXO"/>
    <s v="SERVIÇO DE CONSERTO EM MODULO CONTROLADOR INSENSIBILIZADOR DE CHOQUE MANUAL"/>
    <n v="7030"/>
    <x v="2"/>
    <n v="242"/>
    <n v="7104"/>
    <m/>
    <n v="100105"/>
    <d v="2026-01-14T00:00:00"/>
    <m/>
    <n v="4359896"/>
    <n v="4478325"/>
    <m/>
    <m/>
    <m/>
  </r>
  <r>
    <s v="9. PCM"/>
    <x v="1"/>
    <s v="AUTRON"/>
    <s v="SERVIÇO DE CONSERTO EM SERVOMOTOR DE ACIONAMENTO PORTA V-CUT"/>
    <n v="0"/>
    <x v="5"/>
    <n v="242"/>
    <m/>
    <m/>
    <m/>
    <m/>
    <m/>
    <m/>
    <m/>
    <m/>
    <m/>
    <m/>
  </r>
  <r>
    <s v="9. PCM"/>
    <x v="1"/>
    <s v="FPN - CONTROLE E AUTOMACAO INDUSTRIAL"/>
    <s v="SERVIÇO DE CONSERTO EM INVERSOR LENZE E84AVSCE7514SB0   - PEDIDO DEVOLUÇÃO DEVIDO ALTO VALOR"/>
    <n v="0"/>
    <x v="5"/>
    <n v="242"/>
    <m/>
    <m/>
    <m/>
    <m/>
    <m/>
    <m/>
    <m/>
    <m/>
    <m/>
    <m/>
  </r>
  <r>
    <s v="9. PCM"/>
    <x v="1"/>
    <s v="DHEYTÉCNICA"/>
    <s v="SERVIÇO DE TERCEIRO: MATERIAL E MÃO DE OBRA PARA REVISÃO PREVENTIVA DA CENTRIFUGA DECANTER Centrífugo 3501D. NS974903."/>
    <m/>
    <x v="6"/>
    <n v="242"/>
    <m/>
    <m/>
    <m/>
    <m/>
    <m/>
    <m/>
    <m/>
    <m/>
    <m/>
    <m/>
  </r>
  <r>
    <s v="9. PCM"/>
    <x v="1"/>
    <s v="EQUIPARE"/>
    <s v="REVISÃO PREVENTIVA TRITURADOR DE OSSOS GRX - MATERIAL + MÃO DE OBRA"/>
    <n v="111534.19"/>
    <x v="6"/>
    <n v="242"/>
    <m/>
    <m/>
    <m/>
    <m/>
    <m/>
    <m/>
    <m/>
    <m/>
    <m/>
    <m/>
  </r>
  <r>
    <s v="9. PCM"/>
    <x v="1"/>
    <s v="EQUIPARE"/>
    <s v="REVISÃO PREVENTIVA PRENSA EXPELLER 3000 FFG - MATERIAL + MÃO DE OBRA"/>
    <n v="146280"/>
    <x v="6"/>
    <n v="242"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m/>
    <x v="4"/>
    <m/>
    <m/>
    <m/>
    <x v="0"/>
    <m/>
    <m/>
    <m/>
    <m/>
    <m/>
    <m/>
    <m/>
    <m/>
    <m/>
    <m/>
    <m/>
  </r>
  <r>
    <s v="-"/>
    <x v="5"/>
    <s v="-"/>
    <s v="-"/>
    <s v="-"/>
    <x v="7"/>
    <s v="-"/>
    <s v="-"/>
    <s v="-"/>
    <s v="-"/>
    <s v="-"/>
    <s v="-"/>
    <s v="-"/>
    <s v="-"/>
    <s v="-"/>
    <s v="-"/>
    <s v="-"/>
  </r>
  <r>
    <m/>
    <x v="4"/>
    <m/>
    <m/>
    <m/>
    <x v="0"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5662E1A-D9A7-4B7F-87EB-71919FB939AC}" name="Tabela dinâmica1" cacheId="0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 chartFormat="2">
  <location ref="C3:D12" firstHeaderRow="1" firstDataRow="1" firstDataCol="1"/>
  <pivotFields count="17">
    <pivotField showAll="0"/>
    <pivotField showAll="0">
      <items count="8">
        <item x="5"/>
        <item x="0"/>
        <item x="2"/>
        <item x="1"/>
        <item x="4"/>
        <item m="1" x="6"/>
        <item x="3"/>
        <item t="default"/>
      </items>
    </pivotField>
    <pivotField showAll="0"/>
    <pivotField showAll="0"/>
    <pivotField dataField="1" showAll="0"/>
    <pivotField axis="axisRow" showAll="0">
      <items count="12">
        <item x="7"/>
        <item x="1"/>
        <item x="2"/>
        <item x="5"/>
        <item x="3"/>
        <item m="1" x="10"/>
        <item m="1" x="9"/>
        <item x="0"/>
        <item x="6"/>
        <item m="1" x="8"/>
        <item x="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5"/>
  </rowFields>
  <rowItems count="9">
    <i>
      <x/>
    </i>
    <i>
      <x v="1"/>
    </i>
    <i>
      <x v="2"/>
    </i>
    <i>
      <x v="3"/>
    </i>
    <i>
      <x v="4"/>
    </i>
    <i>
      <x v="7"/>
    </i>
    <i>
      <x v="8"/>
    </i>
    <i>
      <x v="10"/>
    </i>
    <i t="grand">
      <x/>
    </i>
  </rowItems>
  <colItems count="1">
    <i/>
  </colItems>
  <dataFields count="1">
    <dataField name="Soma de VALOR TOTAL" fld="4" baseField="0" baseItem="0" numFmtId="165"/>
  </dataFields>
  <formats count="18">
    <format dxfId="17">
      <pivotArea grandRow="1" outline="0" collapsedLevelsAreSubtotals="1" fieldPosition="0"/>
    </format>
    <format dxfId="16">
      <pivotArea type="all" dataOnly="0" outline="0" fieldPosition="0"/>
    </format>
    <format dxfId="15">
      <pivotArea outline="0" collapsedLevelsAreSubtotals="1" fieldPosition="0"/>
    </format>
    <format dxfId="14">
      <pivotArea field="1" type="button" dataOnly="0" labelOnly="1" outline="0"/>
    </format>
    <format dxfId="13">
      <pivotArea dataOnly="0" labelOnly="1" grandRow="1" outline="0" fieldPosition="0"/>
    </format>
    <format dxfId="12">
      <pivotArea outline="0" fieldPosition="0">
        <references count="1">
          <reference field="4294967294" count="1">
            <x v="0"/>
          </reference>
        </references>
      </pivotArea>
    </format>
    <format dxfId="11">
      <pivotArea outline="0" collapsedLevelsAreSubtotals="1" fieldPosition="0"/>
    </format>
    <format dxfId="10">
      <pivotArea dataOnly="0" labelOnly="1" fieldPosition="0">
        <references count="1">
          <reference field="5" count="0"/>
        </references>
      </pivotArea>
    </format>
    <format dxfId="9">
      <pivotArea dataOnly="0" labelOnly="1" grandRow="1" outline="0" fieldPosition="0"/>
    </format>
    <format dxfId="8">
      <pivotArea outline="0" collapsedLevelsAreSubtotals="1" fieldPosition="0"/>
    </format>
    <format dxfId="7">
      <pivotArea dataOnly="0" labelOnly="1" fieldPosition="0">
        <references count="1">
          <reference field="5" count="0"/>
        </references>
      </pivotArea>
    </format>
    <format dxfId="6">
      <pivotArea dataOnly="0" labelOnly="1" grandRow="1" outline="0" fieldPosition="0"/>
    </format>
    <format dxfId="5">
      <pivotArea type="all" dataOnly="0" outline="0" fieldPosition="0"/>
    </format>
    <format dxfId="4">
      <pivotArea outline="0" collapsedLevelsAreSubtotals="1" fieldPosition="0"/>
    </format>
    <format dxfId="3">
      <pivotArea field="5" type="button" dataOnly="0" labelOnly="1" outline="0" axis="axisRow" fieldPosition="0"/>
    </format>
    <format dxfId="2">
      <pivotArea dataOnly="0" labelOnly="1" fieldPosition="0">
        <references count="1">
          <reference field="5" count="0"/>
        </references>
      </pivotArea>
    </format>
    <format dxfId="1">
      <pivotArea dataOnly="0" labelOnly="1" grandRow="1" outline="0" fieldPosition="0"/>
    </format>
    <format dxfId="0">
      <pivotArea dataOnly="0" labelOnly="1" outline="0" axis="axisValues" fieldPosition="0"/>
    </format>
  </format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609D9C-E791-48E2-AC72-7D0345E1E97F}">
  <sheetPr codeName="Planilha1"/>
  <dimension ref="A1:I17"/>
  <sheetViews>
    <sheetView workbookViewId="0">
      <selection activeCell="D2" sqref="D2"/>
    </sheetView>
  </sheetViews>
  <sheetFormatPr defaultRowHeight="15" x14ac:dyDescent="0.25"/>
  <cols>
    <col min="1" max="1" width="11" style="3" customWidth="1"/>
    <col min="2" max="2" width="23.5703125" style="3" customWidth="1"/>
    <col min="3" max="3" width="19.42578125" style="3" customWidth="1"/>
    <col min="4" max="4" width="23.85546875" style="3" customWidth="1"/>
    <col min="5" max="5" width="17.28515625" style="3" customWidth="1"/>
    <col min="6" max="6" width="20.28515625" style="3" customWidth="1"/>
    <col min="7" max="7" width="22.42578125" style="3" customWidth="1"/>
    <col min="8" max="8" width="16.28515625" style="3" customWidth="1"/>
    <col min="9" max="9" width="9" style="1"/>
  </cols>
  <sheetData>
    <row r="1" spans="1:9" s="7" customFormat="1" ht="28.5" x14ac:dyDescent="0.25">
      <c r="A1" s="5" t="s">
        <v>0</v>
      </c>
      <c r="B1" s="5" t="s">
        <v>1</v>
      </c>
      <c r="C1" s="5" t="s">
        <v>2</v>
      </c>
      <c r="D1" s="5" t="s">
        <v>3</v>
      </c>
      <c r="E1" s="5" t="s">
        <v>4</v>
      </c>
      <c r="F1" s="5" t="s">
        <v>5</v>
      </c>
      <c r="G1" s="5" t="s">
        <v>6</v>
      </c>
      <c r="H1" s="9" t="s">
        <v>7</v>
      </c>
      <c r="I1" s="6"/>
    </row>
    <row r="2" spans="1:9" x14ac:dyDescent="0.25">
      <c r="A2" s="2"/>
      <c r="B2" s="2" t="s">
        <v>8</v>
      </c>
      <c r="C2" s="2">
        <v>5</v>
      </c>
      <c r="D2" s="5" t="s">
        <v>9</v>
      </c>
      <c r="E2" s="2" t="s">
        <v>10</v>
      </c>
      <c r="F2" s="2" t="s">
        <v>10</v>
      </c>
      <c r="G2" s="10" t="s">
        <v>10</v>
      </c>
      <c r="H2" s="2" t="s">
        <v>11</v>
      </c>
    </row>
    <row r="3" spans="1:9" x14ac:dyDescent="0.25">
      <c r="A3" s="2"/>
      <c r="B3" s="2" t="s">
        <v>12</v>
      </c>
      <c r="C3" s="2">
        <v>242</v>
      </c>
      <c r="D3" s="5" t="s">
        <v>13</v>
      </c>
      <c r="E3" s="2" t="s">
        <v>14</v>
      </c>
      <c r="F3" s="2" t="s">
        <v>14</v>
      </c>
      <c r="G3" s="10" t="s">
        <v>14</v>
      </c>
      <c r="H3" s="2" t="s">
        <v>15</v>
      </c>
    </row>
    <row r="4" spans="1:9" x14ac:dyDescent="0.25">
      <c r="A4" s="2"/>
      <c r="B4" s="2" t="s">
        <v>16</v>
      </c>
      <c r="C4" s="2">
        <v>170</v>
      </c>
      <c r="D4" s="4" t="s">
        <v>17</v>
      </c>
      <c r="E4" s="2" t="s">
        <v>18</v>
      </c>
      <c r="F4" s="2" t="s">
        <v>18</v>
      </c>
      <c r="G4" s="10" t="s">
        <v>18</v>
      </c>
      <c r="H4" s="2" t="s">
        <v>18</v>
      </c>
    </row>
    <row r="5" spans="1:9" x14ac:dyDescent="0.25">
      <c r="A5" s="2"/>
      <c r="B5" s="2" t="s">
        <v>19</v>
      </c>
      <c r="C5" s="2" t="s">
        <v>18</v>
      </c>
      <c r="D5" s="4" t="s">
        <v>20</v>
      </c>
      <c r="E5" s="2"/>
      <c r="F5" s="2"/>
      <c r="G5" s="10"/>
      <c r="H5" s="2"/>
    </row>
    <row r="6" spans="1:9" x14ac:dyDescent="0.25">
      <c r="A6" s="2"/>
      <c r="B6" s="2" t="s">
        <v>21</v>
      </c>
      <c r="C6" s="2"/>
      <c r="D6" s="4" t="s">
        <v>22</v>
      </c>
      <c r="E6" s="2"/>
      <c r="F6" s="2"/>
      <c r="G6" s="10"/>
      <c r="H6" s="2"/>
    </row>
    <row r="7" spans="1:9" x14ac:dyDescent="0.25">
      <c r="A7" s="2"/>
      <c r="B7" s="2" t="s">
        <v>23</v>
      </c>
      <c r="C7" s="2"/>
      <c r="D7" s="4" t="s">
        <v>24</v>
      </c>
      <c r="E7" s="2"/>
      <c r="F7" s="2"/>
      <c r="G7" s="10"/>
      <c r="H7" s="2"/>
    </row>
    <row r="8" spans="1:9" x14ac:dyDescent="0.25">
      <c r="A8" s="2"/>
      <c r="B8" s="2" t="s">
        <v>25</v>
      </c>
      <c r="C8" s="2"/>
      <c r="D8" s="4" t="s">
        <v>26</v>
      </c>
      <c r="E8" s="2"/>
      <c r="F8" s="2"/>
      <c r="G8" s="10"/>
      <c r="H8" s="2"/>
    </row>
    <row r="9" spans="1:9" x14ac:dyDescent="0.25">
      <c r="A9" s="2"/>
      <c r="B9" s="2" t="s">
        <v>27</v>
      </c>
      <c r="C9" s="2"/>
      <c r="D9" s="4" t="s">
        <v>28</v>
      </c>
      <c r="E9" s="2"/>
      <c r="F9" s="2"/>
      <c r="G9" s="10"/>
      <c r="H9" s="2"/>
    </row>
    <row r="10" spans="1:9" x14ac:dyDescent="0.25">
      <c r="A10" s="2"/>
      <c r="B10" s="2" t="s">
        <v>29</v>
      </c>
      <c r="C10" s="2"/>
      <c r="D10" s="4" t="s">
        <v>30</v>
      </c>
      <c r="E10" s="2"/>
      <c r="F10" s="2"/>
      <c r="G10" s="10"/>
      <c r="H10" s="2"/>
    </row>
    <row r="11" spans="1:9" x14ac:dyDescent="0.25">
      <c r="A11" s="2"/>
      <c r="B11" s="2" t="s">
        <v>31</v>
      </c>
      <c r="C11" s="2"/>
      <c r="D11" s="4" t="s">
        <v>32</v>
      </c>
      <c r="E11" s="2"/>
      <c r="F11" s="2"/>
      <c r="G11" s="10"/>
      <c r="H11" s="2"/>
    </row>
    <row r="12" spans="1:9" x14ac:dyDescent="0.25">
      <c r="A12" s="2"/>
      <c r="B12" s="2"/>
      <c r="C12" s="2"/>
      <c r="D12" s="4" t="s">
        <v>33</v>
      </c>
      <c r="E12" s="2"/>
      <c r="F12" s="2"/>
      <c r="G12" s="10"/>
      <c r="H12" s="2"/>
    </row>
    <row r="13" spans="1:9" x14ac:dyDescent="0.25">
      <c r="A13" s="2"/>
      <c r="B13" s="2"/>
      <c r="C13" s="2"/>
      <c r="D13" s="4" t="s">
        <v>34</v>
      </c>
      <c r="E13" s="2"/>
      <c r="F13" s="2"/>
      <c r="G13" s="10"/>
      <c r="H13" s="2"/>
    </row>
    <row r="14" spans="1:9" x14ac:dyDescent="0.25">
      <c r="A14" s="2"/>
      <c r="B14" s="2"/>
      <c r="C14" s="2"/>
      <c r="D14" s="4" t="s">
        <v>35</v>
      </c>
      <c r="E14" s="2"/>
      <c r="F14" s="2"/>
      <c r="G14" s="10"/>
      <c r="H14" s="2"/>
    </row>
    <row r="15" spans="1:9" x14ac:dyDescent="0.25">
      <c r="A15" s="2"/>
      <c r="B15" s="2"/>
      <c r="C15" s="2"/>
      <c r="D15" s="4" t="s">
        <v>36</v>
      </c>
      <c r="E15" s="2"/>
      <c r="F15" s="2"/>
      <c r="G15" s="10"/>
      <c r="H15" s="2"/>
    </row>
    <row r="16" spans="1:9" x14ac:dyDescent="0.25">
      <c r="D16" s="4" t="s">
        <v>37</v>
      </c>
      <c r="H16" s="2"/>
    </row>
    <row r="17" spans="4:4" x14ac:dyDescent="0.25">
      <c r="D17" s="4" t="s">
        <v>38</v>
      </c>
    </row>
  </sheetData>
  <phoneticPr fontId="2" type="noConversion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16FC4B-CBAA-4EA2-9E15-76188666193F}">
  <sheetPr codeName="Planilha2"/>
  <dimension ref="A1:AL48"/>
  <sheetViews>
    <sheetView topLeftCell="A13" zoomScale="85" zoomScaleNormal="85" workbookViewId="0">
      <selection activeCell="AA9" sqref="AA9"/>
    </sheetView>
  </sheetViews>
  <sheetFormatPr defaultRowHeight="15" x14ac:dyDescent="0.25"/>
  <cols>
    <col min="1" max="1" width="3.28515625" style="8" customWidth="1"/>
    <col min="2" max="2" width="2.7109375" style="8" customWidth="1"/>
    <col min="3" max="3" width="18.42578125" style="8" bestFit="1" customWidth="1"/>
    <col min="4" max="4" width="25.5703125" style="8" customWidth="1"/>
    <col min="5" max="5" width="3" style="8" customWidth="1"/>
    <col min="6" max="7" width="11.42578125" style="8" customWidth="1"/>
    <col min="8" max="38" width="9.140625" style="8"/>
  </cols>
  <sheetData>
    <row r="1" spans="1:35" x14ac:dyDescent="0.25">
      <c r="A1" s="17"/>
      <c r="B1" s="17"/>
      <c r="C1" s="17"/>
      <c r="D1" s="17"/>
      <c r="E1" s="17"/>
      <c r="F1" s="17"/>
      <c r="G1" s="17"/>
      <c r="H1" s="17"/>
      <c r="I1" s="17"/>
      <c r="J1" s="17"/>
      <c r="K1" s="17"/>
      <c r="L1" s="17"/>
      <c r="M1" s="17"/>
      <c r="N1" s="17"/>
      <c r="O1" s="17"/>
      <c r="P1" s="17"/>
      <c r="Q1" s="17"/>
      <c r="R1" s="17"/>
      <c r="S1" s="17"/>
      <c r="T1" s="17"/>
      <c r="U1" s="17"/>
      <c r="V1" s="17"/>
      <c r="W1" s="17"/>
      <c r="X1" s="17"/>
      <c r="Y1" s="17"/>
      <c r="Z1" s="17"/>
      <c r="AA1" s="17"/>
      <c r="AB1" s="17"/>
      <c r="AC1" s="17"/>
      <c r="AD1" s="17"/>
      <c r="AE1" s="17"/>
      <c r="AF1" s="17"/>
      <c r="AG1" s="17"/>
      <c r="AH1" s="17"/>
      <c r="AI1" s="17"/>
    </row>
    <row r="2" spans="1:35" x14ac:dyDescent="0.25">
      <c r="A2" s="17"/>
      <c r="B2" s="18"/>
      <c r="C2" s="18"/>
      <c r="D2" s="18"/>
      <c r="E2" s="18"/>
      <c r="F2" s="17"/>
      <c r="G2" s="17"/>
      <c r="H2" s="17"/>
      <c r="I2" s="17"/>
      <c r="J2" s="17"/>
      <c r="K2" s="17"/>
      <c r="L2" s="17"/>
      <c r="M2" s="17"/>
      <c r="N2" s="17"/>
      <c r="O2" s="17"/>
      <c r="P2" s="17"/>
      <c r="Q2" s="17"/>
      <c r="R2" s="17"/>
      <c r="S2" s="17"/>
      <c r="T2" s="17"/>
      <c r="U2" s="17"/>
      <c r="V2" s="17"/>
      <c r="W2" s="17"/>
      <c r="X2" s="17"/>
      <c r="Y2" s="17"/>
      <c r="Z2" s="17"/>
      <c r="AA2" s="17"/>
      <c r="AB2" s="17"/>
      <c r="AC2" s="17"/>
      <c r="AD2" s="17"/>
      <c r="AE2" s="17"/>
      <c r="AF2" s="17"/>
      <c r="AG2" s="17"/>
      <c r="AH2" s="17"/>
      <c r="AI2" s="17"/>
    </row>
    <row r="3" spans="1:35" x14ac:dyDescent="0.25">
      <c r="A3" s="17"/>
      <c r="B3" s="18"/>
      <c r="C3" t="s">
        <v>39</v>
      </c>
      <c r="D3" t="s">
        <v>40</v>
      </c>
      <c r="E3" s="18"/>
      <c r="F3" s="17"/>
      <c r="G3" s="17"/>
      <c r="H3" s="17"/>
      <c r="I3" s="17"/>
      <c r="J3" s="17"/>
      <c r="K3" s="17"/>
      <c r="L3" s="17"/>
      <c r="M3" s="17"/>
      <c r="N3" s="17"/>
      <c r="O3" s="17"/>
      <c r="P3" s="17"/>
      <c r="Q3" s="17"/>
      <c r="R3" s="17"/>
      <c r="S3" s="17"/>
      <c r="T3" s="17"/>
      <c r="U3" s="17"/>
      <c r="V3" s="17"/>
      <c r="W3" s="17"/>
      <c r="X3" s="17"/>
      <c r="Y3" s="17"/>
      <c r="Z3" s="17"/>
      <c r="AA3" s="17"/>
      <c r="AB3" s="17"/>
      <c r="AC3" s="17"/>
      <c r="AD3" s="17"/>
      <c r="AE3" s="17"/>
      <c r="AF3" s="17"/>
      <c r="AG3" s="17"/>
      <c r="AH3" s="17"/>
      <c r="AI3" s="17"/>
    </row>
    <row r="4" spans="1:35" x14ac:dyDescent="0.25">
      <c r="A4" s="17"/>
      <c r="B4" s="18"/>
      <c r="C4" s="21" t="s">
        <v>41</v>
      </c>
      <c r="D4" s="22">
        <v>0</v>
      </c>
      <c r="E4" s="19"/>
      <c r="F4" s="17"/>
      <c r="G4" s="17"/>
      <c r="H4" s="17"/>
      <c r="I4" s="17"/>
      <c r="J4" s="17"/>
      <c r="K4" s="17"/>
      <c r="L4" s="17"/>
      <c r="M4" s="17"/>
      <c r="N4" s="17"/>
      <c r="O4" s="17"/>
      <c r="P4" s="17"/>
      <c r="Q4" s="17"/>
      <c r="R4" s="17"/>
      <c r="S4" s="17"/>
      <c r="T4" s="17"/>
      <c r="U4" s="17"/>
      <c r="V4" s="17"/>
      <c r="W4" s="17"/>
      <c r="X4" s="17"/>
      <c r="Y4" s="17"/>
      <c r="Z4" s="17"/>
      <c r="AA4" s="17"/>
      <c r="AB4" s="17"/>
      <c r="AC4" s="17"/>
      <c r="AD4" s="17"/>
      <c r="AE4" s="17"/>
      <c r="AF4" s="17"/>
      <c r="AG4" s="17"/>
      <c r="AH4" s="17"/>
      <c r="AI4" s="17"/>
    </row>
    <row r="5" spans="1:35" x14ac:dyDescent="0.25">
      <c r="A5" s="17"/>
      <c r="B5" s="18"/>
      <c r="C5" s="21" t="s">
        <v>17</v>
      </c>
      <c r="D5" s="22">
        <v>38804.79</v>
      </c>
      <c r="E5" s="19"/>
      <c r="F5" s="17"/>
      <c r="G5" s="17"/>
      <c r="H5" s="17"/>
      <c r="I5" s="17"/>
      <c r="J5" s="17"/>
      <c r="K5" s="17"/>
      <c r="L5" s="17"/>
      <c r="M5" s="17"/>
      <c r="N5" s="17"/>
      <c r="O5" s="17"/>
      <c r="P5" s="17"/>
      <c r="Q5" s="17"/>
      <c r="R5" s="17"/>
      <c r="S5" s="17"/>
      <c r="T5" s="17"/>
      <c r="U5" s="17"/>
      <c r="V5" s="17"/>
      <c r="W5" s="17"/>
      <c r="X5" s="17"/>
      <c r="Y5" s="17"/>
      <c r="Z5" s="17"/>
      <c r="AA5" s="17"/>
      <c r="AB5" s="17"/>
      <c r="AC5" s="17"/>
      <c r="AD5" s="17"/>
      <c r="AE5" s="17"/>
      <c r="AF5" s="17"/>
      <c r="AG5" s="17"/>
      <c r="AH5" s="17"/>
      <c r="AI5" s="17"/>
    </row>
    <row r="6" spans="1:35" x14ac:dyDescent="0.25">
      <c r="A6" s="17"/>
      <c r="B6" s="18"/>
      <c r="C6" s="21" t="s">
        <v>22</v>
      </c>
      <c r="D6" s="22">
        <v>483172.23000000004</v>
      </c>
      <c r="E6" s="19"/>
      <c r="F6" s="17"/>
      <c r="G6" s="17"/>
      <c r="H6" s="17"/>
      <c r="I6" s="17"/>
      <c r="J6" s="17"/>
      <c r="K6" s="17"/>
      <c r="L6" s="17"/>
      <c r="M6" s="17"/>
      <c r="N6" s="17"/>
      <c r="O6" s="17"/>
      <c r="P6" s="17"/>
      <c r="Q6" s="17"/>
      <c r="R6" s="17"/>
      <c r="S6" s="17"/>
      <c r="T6" s="17"/>
      <c r="U6" s="17"/>
      <c r="V6" s="17"/>
      <c r="W6" s="17"/>
      <c r="X6" s="17"/>
      <c r="Y6" s="17"/>
      <c r="Z6" s="17"/>
      <c r="AA6" s="17"/>
      <c r="AB6" s="17"/>
      <c r="AC6" s="17"/>
      <c r="AD6" s="17"/>
      <c r="AE6" s="17"/>
      <c r="AF6" s="17"/>
      <c r="AG6" s="17"/>
      <c r="AH6" s="17"/>
      <c r="AI6" s="17"/>
    </row>
    <row r="7" spans="1:35" x14ac:dyDescent="0.25">
      <c r="A7" s="17"/>
      <c r="B7" s="18"/>
      <c r="C7" s="21" t="s">
        <v>20</v>
      </c>
      <c r="D7" s="22">
        <v>0</v>
      </c>
      <c r="E7" s="19"/>
      <c r="F7" s="17"/>
      <c r="G7" s="17"/>
      <c r="H7" s="17"/>
      <c r="I7" s="17"/>
      <c r="J7" s="17"/>
      <c r="K7" s="17"/>
      <c r="L7" s="17"/>
      <c r="M7" s="17"/>
      <c r="N7" s="17"/>
      <c r="O7" s="17"/>
      <c r="P7" s="17"/>
      <c r="Q7" s="17"/>
      <c r="R7" s="17"/>
      <c r="S7" s="17"/>
      <c r="T7" s="17"/>
      <c r="U7" s="17"/>
      <c r="V7" s="17"/>
      <c r="W7" s="17"/>
      <c r="X7" s="17"/>
      <c r="Y7" s="17"/>
      <c r="Z7" s="17"/>
      <c r="AA7" s="17"/>
      <c r="AB7" s="17"/>
      <c r="AC7" s="17"/>
      <c r="AD7" s="17"/>
      <c r="AE7" s="17"/>
      <c r="AF7" s="17"/>
      <c r="AG7" s="17"/>
      <c r="AH7" s="17"/>
      <c r="AI7" s="17"/>
    </row>
    <row r="8" spans="1:35" x14ac:dyDescent="0.25">
      <c r="A8" s="17"/>
      <c r="B8" s="18"/>
      <c r="C8" s="21" t="s">
        <v>24</v>
      </c>
      <c r="D8" s="22">
        <v>391442.98000000004</v>
      </c>
      <c r="E8" s="19"/>
      <c r="F8" s="17"/>
      <c r="G8" s="17"/>
      <c r="H8" s="17"/>
      <c r="I8" s="17"/>
      <c r="J8" s="17"/>
      <c r="K8" s="17"/>
      <c r="L8" s="17"/>
      <c r="M8" s="17"/>
      <c r="N8" s="17"/>
      <c r="O8" s="17"/>
      <c r="P8" s="17"/>
      <c r="Q8" s="17"/>
      <c r="R8" s="17"/>
      <c r="S8" s="17"/>
      <c r="T8" s="17"/>
      <c r="U8" s="17"/>
      <c r="V8" s="17"/>
      <c r="W8" s="17"/>
      <c r="X8" s="17"/>
      <c r="Y8" s="17"/>
      <c r="Z8" s="17"/>
      <c r="AA8" s="17"/>
      <c r="AB8" s="17"/>
      <c r="AC8" s="17"/>
      <c r="AD8" s="17"/>
      <c r="AE8" s="17"/>
      <c r="AF8" s="17"/>
      <c r="AG8" s="17"/>
      <c r="AH8" s="17"/>
      <c r="AI8" s="17"/>
    </row>
    <row r="9" spans="1:35" x14ac:dyDescent="0.25">
      <c r="A9" s="17"/>
      <c r="B9" s="18"/>
      <c r="C9" s="21" t="s">
        <v>42</v>
      </c>
      <c r="D9" s="22"/>
      <c r="E9" s="19"/>
      <c r="F9" s="17"/>
      <c r="G9" s="17"/>
      <c r="H9" s="17"/>
      <c r="I9" s="17"/>
      <c r="J9" s="17"/>
      <c r="K9" s="17"/>
      <c r="L9" s="17"/>
      <c r="M9" s="17"/>
      <c r="N9" s="17"/>
      <c r="O9" s="17"/>
      <c r="P9" s="17"/>
      <c r="Q9" s="17"/>
      <c r="R9" s="17"/>
      <c r="S9" s="17"/>
      <c r="T9" s="17"/>
      <c r="U9" s="17"/>
      <c r="V9" s="17"/>
      <c r="W9" s="17"/>
      <c r="X9" s="17"/>
      <c r="Y9" s="17"/>
      <c r="Z9" s="17"/>
      <c r="AA9" s="17"/>
      <c r="AB9" s="17"/>
      <c r="AC9" s="17"/>
      <c r="AD9" s="17"/>
      <c r="AE9" s="17"/>
      <c r="AF9" s="17"/>
      <c r="AG9" s="17"/>
      <c r="AH9" s="17"/>
      <c r="AI9" s="17"/>
    </row>
    <row r="10" spans="1:35" x14ac:dyDescent="0.25">
      <c r="A10" s="17"/>
      <c r="B10" s="18"/>
      <c r="C10" s="21" t="s">
        <v>38</v>
      </c>
      <c r="D10" s="22">
        <v>257814.19</v>
      </c>
      <c r="E10" s="19"/>
      <c r="F10" s="17"/>
      <c r="G10" s="17"/>
      <c r="H10" s="17"/>
      <c r="I10" s="17"/>
      <c r="J10" s="17"/>
      <c r="K10" s="17"/>
      <c r="L10" s="17"/>
      <c r="M10" s="17"/>
      <c r="N10" s="17"/>
      <c r="O10" s="17"/>
      <c r="P10" s="17"/>
      <c r="Q10" s="17"/>
      <c r="R10" s="17"/>
      <c r="S10" s="17"/>
      <c r="T10" s="17"/>
      <c r="U10" s="17"/>
      <c r="V10" s="17"/>
      <c r="W10" s="17"/>
      <c r="X10" s="17"/>
      <c r="Y10" s="17"/>
      <c r="Z10" s="17"/>
      <c r="AA10" s="17"/>
      <c r="AB10" s="17"/>
      <c r="AC10" s="17"/>
      <c r="AD10" s="17"/>
      <c r="AE10" s="17"/>
      <c r="AF10" s="17"/>
      <c r="AG10" s="17"/>
      <c r="AH10" s="17"/>
      <c r="AI10" s="17"/>
    </row>
    <row r="11" spans="1:35" x14ac:dyDescent="0.25">
      <c r="A11" s="17"/>
      <c r="B11" s="18"/>
      <c r="C11" s="21" t="s">
        <v>26</v>
      </c>
      <c r="D11" s="22">
        <v>0</v>
      </c>
      <c r="E11" s="19"/>
      <c r="F11" s="17"/>
      <c r="G11" s="17"/>
      <c r="H11" s="17"/>
      <c r="I11" s="17"/>
      <c r="J11" s="17"/>
      <c r="K11" s="17"/>
      <c r="L11" s="17"/>
      <c r="M11" s="17"/>
      <c r="N11" s="17"/>
      <c r="O11" s="17"/>
      <c r="P11" s="17"/>
      <c r="Q11" s="17"/>
      <c r="R11" s="17"/>
      <c r="S11" s="17"/>
      <c r="T11" s="17"/>
      <c r="U11" s="17"/>
      <c r="V11" s="17"/>
      <c r="W11" s="17"/>
      <c r="X11" s="17"/>
      <c r="Y11" s="17"/>
      <c r="Z11" s="17"/>
      <c r="AA11" s="17"/>
      <c r="AB11" s="17"/>
      <c r="AC11" s="17"/>
      <c r="AD11" s="17"/>
      <c r="AE11" s="17"/>
      <c r="AF11" s="17"/>
      <c r="AG11" s="17"/>
      <c r="AH11" s="17"/>
      <c r="AI11" s="17"/>
    </row>
    <row r="12" spans="1:35" x14ac:dyDescent="0.25">
      <c r="A12" s="17"/>
      <c r="B12" s="18"/>
      <c r="C12" s="21" t="s">
        <v>43</v>
      </c>
      <c r="D12" s="22">
        <v>1171234.19</v>
      </c>
      <c r="E12" s="19"/>
      <c r="F12" s="17"/>
      <c r="G12" s="17"/>
      <c r="H12" s="17"/>
      <c r="I12" s="17"/>
      <c r="J12" s="17"/>
      <c r="K12" s="17"/>
      <c r="L12" s="17"/>
      <c r="M12" s="17"/>
      <c r="N12" s="17"/>
      <c r="O12" s="17"/>
      <c r="P12" s="17"/>
      <c r="Q12" s="17"/>
      <c r="R12" s="17"/>
      <c r="S12" s="17"/>
      <c r="T12" s="17"/>
      <c r="U12" s="17"/>
      <c r="V12" s="17"/>
      <c r="W12" s="17"/>
      <c r="X12" s="17"/>
      <c r="Y12" s="17"/>
      <c r="Z12" s="17"/>
      <c r="AA12" s="17"/>
      <c r="AB12" s="17"/>
      <c r="AC12" s="17"/>
      <c r="AD12" s="17"/>
      <c r="AE12" s="17"/>
      <c r="AF12" s="17"/>
      <c r="AG12" s="17"/>
      <c r="AH12" s="17"/>
      <c r="AI12" s="17"/>
    </row>
    <row r="13" spans="1:35" x14ac:dyDescent="0.25">
      <c r="A13" s="17"/>
      <c r="B13" s="18"/>
      <c r="C13"/>
      <c r="D13"/>
      <c r="E13" s="19"/>
      <c r="F13" s="17"/>
      <c r="G13" s="17"/>
      <c r="H13" s="17"/>
      <c r="I13" s="17"/>
      <c r="J13" s="17"/>
      <c r="K13" s="17"/>
      <c r="L13" s="17"/>
      <c r="M13" s="17"/>
      <c r="N13" s="17"/>
      <c r="O13" s="17"/>
      <c r="P13" s="17"/>
      <c r="Q13" s="17"/>
      <c r="R13" s="17"/>
      <c r="S13" s="17"/>
      <c r="T13" s="17"/>
      <c r="U13" s="17"/>
      <c r="V13" s="17"/>
      <c r="W13" s="17"/>
      <c r="X13" s="17"/>
      <c r="Y13" s="17"/>
      <c r="Z13" s="17"/>
      <c r="AA13" s="17"/>
      <c r="AB13" s="17"/>
      <c r="AC13" s="17"/>
      <c r="AD13" s="17"/>
      <c r="AE13" s="17"/>
      <c r="AF13" s="17"/>
      <c r="AG13" s="17"/>
      <c r="AH13" s="17"/>
      <c r="AI13" s="17"/>
    </row>
    <row r="14" spans="1:35" x14ac:dyDescent="0.25">
      <c r="A14" s="17"/>
      <c r="B14" s="18"/>
      <c r="C14"/>
      <c r="D14"/>
      <c r="E14" s="19"/>
      <c r="F14" s="17"/>
      <c r="G14" s="17"/>
      <c r="H14" s="17"/>
      <c r="I14" s="17"/>
      <c r="J14" s="17"/>
      <c r="K14" s="17"/>
      <c r="L14" s="17"/>
      <c r="M14" s="17"/>
      <c r="N14" s="17"/>
      <c r="O14" s="17"/>
      <c r="P14" s="17"/>
      <c r="Q14" s="17"/>
      <c r="R14" s="17"/>
      <c r="S14" s="17"/>
      <c r="T14" s="17"/>
      <c r="U14" s="17"/>
      <c r="V14" s="17"/>
      <c r="W14" s="17"/>
      <c r="X14" s="17"/>
      <c r="Y14" s="17"/>
      <c r="Z14" s="17"/>
      <c r="AA14" s="17"/>
      <c r="AB14" s="17"/>
      <c r="AC14" s="17"/>
      <c r="AD14" s="17"/>
      <c r="AE14" s="17"/>
      <c r="AF14" s="17"/>
      <c r="AG14" s="17"/>
      <c r="AH14" s="17"/>
      <c r="AI14" s="17"/>
    </row>
    <row r="15" spans="1:35" x14ac:dyDescent="0.25">
      <c r="A15" s="17"/>
      <c r="B15" s="18"/>
      <c r="C15"/>
      <c r="D15"/>
      <c r="E15" s="19"/>
      <c r="F15" s="17"/>
      <c r="G15" s="17"/>
      <c r="H15" s="17"/>
      <c r="I15" s="17"/>
      <c r="J15" s="17"/>
      <c r="K15" s="17"/>
      <c r="L15" s="17"/>
      <c r="M15" s="17"/>
      <c r="N15" s="17"/>
      <c r="O15" s="17"/>
      <c r="P15" s="17"/>
      <c r="Q15" s="17"/>
      <c r="R15" s="17"/>
      <c r="S15" s="17"/>
      <c r="T15" s="17"/>
      <c r="U15" s="17"/>
      <c r="V15" s="17"/>
      <c r="W15" s="17"/>
      <c r="X15" s="17"/>
      <c r="Y15" s="17"/>
      <c r="Z15" s="17"/>
      <c r="AA15" s="17"/>
      <c r="AB15" s="17"/>
      <c r="AC15" s="17"/>
      <c r="AD15" s="17"/>
      <c r="AE15" s="17"/>
      <c r="AF15" s="17"/>
      <c r="AG15" s="17"/>
      <c r="AH15" s="17"/>
      <c r="AI15" s="17"/>
    </row>
    <row r="16" spans="1:35" x14ac:dyDescent="0.25">
      <c r="A16" s="17"/>
      <c r="B16" s="18"/>
      <c r="C16"/>
      <c r="D16"/>
      <c r="E16" s="19"/>
      <c r="F16" s="17"/>
      <c r="G16" s="17"/>
      <c r="H16" s="17"/>
      <c r="I16" s="17"/>
      <c r="J16" s="17"/>
      <c r="K16" s="17"/>
      <c r="L16" s="17"/>
      <c r="M16" s="17"/>
      <c r="N16" s="17"/>
      <c r="O16" s="17"/>
      <c r="P16" s="17"/>
      <c r="Q16" s="17"/>
      <c r="R16" s="17"/>
      <c r="S16" s="17"/>
      <c r="T16" s="17"/>
      <c r="U16" s="17"/>
      <c r="V16" s="17"/>
      <c r="W16" s="17"/>
      <c r="X16" s="17"/>
      <c r="Y16" s="17"/>
      <c r="Z16" s="17"/>
      <c r="AA16" s="17"/>
      <c r="AB16" s="17"/>
      <c r="AC16" s="17"/>
      <c r="AD16" s="17"/>
      <c r="AE16" s="17"/>
      <c r="AF16" s="17"/>
      <c r="AG16" s="17"/>
      <c r="AH16" s="17"/>
      <c r="AI16" s="17"/>
    </row>
    <row r="17" spans="1:35" x14ac:dyDescent="0.25">
      <c r="A17" s="17"/>
      <c r="B17" s="18"/>
      <c r="C17"/>
      <c r="D17"/>
      <c r="E17" s="19"/>
      <c r="F17" s="17"/>
      <c r="G17" s="17"/>
      <c r="H17" s="17"/>
      <c r="I17" s="17"/>
      <c r="J17" s="17"/>
      <c r="K17" s="17"/>
      <c r="L17" s="17"/>
      <c r="M17" s="17"/>
      <c r="N17" s="17"/>
      <c r="O17" s="17"/>
      <c r="P17" s="17"/>
      <c r="Q17" s="17"/>
      <c r="R17" s="17"/>
      <c r="S17" s="17"/>
      <c r="T17" s="17"/>
      <c r="U17" s="17"/>
      <c r="V17" s="17"/>
      <c r="W17" s="17"/>
      <c r="X17" s="17"/>
      <c r="Y17" s="17"/>
      <c r="Z17" s="17"/>
      <c r="AA17" s="17"/>
      <c r="AB17" s="17"/>
      <c r="AC17" s="17"/>
      <c r="AD17" s="17"/>
      <c r="AE17" s="17"/>
      <c r="AF17" s="17"/>
      <c r="AG17" s="17"/>
      <c r="AH17" s="17"/>
      <c r="AI17" s="17"/>
    </row>
    <row r="18" spans="1:35" x14ac:dyDescent="0.25">
      <c r="A18" s="17"/>
      <c r="B18" s="18"/>
      <c r="C18"/>
      <c r="D18"/>
      <c r="E18" s="19"/>
      <c r="F18" s="17"/>
      <c r="G18" s="17"/>
      <c r="H18" s="17"/>
      <c r="I18" s="17"/>
      <c r="J18" s="17"/>
      <c r="K18" s="17"/>
      <c r="L18" s="17"/>
      <c r="M18" s="17"/>
      <c r="N18" s="17"/>
      <c r="O18" s="17"/>
      <c r="P18" s="17"/>
      <c r="Q18" s="17"/>
      <c r="R18" s="17"/>
      <c r="S18" s="17"/>
      <c r="T18" s="17"/>
      <c r="U18" s="17"/>
      <c r="V18" s="17"/>
      <c r="W18" s="17"/>
      <c r="X18" s="17"/>
      <c r="Y18" s="17"/>
      <c r="Z18" s="17"/>
      <c r="AA18" s="17"/>
      <c r="AB18" s="17"/>
      <c r="AC18" s="17"/>
      <c r="AD18" s="17"/>
      <c r="AE18" s="17"/>
      <c r="AF18" s="17"/>
      <c r="AG18" s="17"/>
      <c r="AH18" s="17"/>
      <c r="AI18" s="17"/>
    </row>
    <row r="19" spans="1:35" x14ac:dyDescent="0.25">
      <c r="A19" s="17"/>
      <c r="B19" s="18"/>
      <c r="C19"/>
      <c r="D19"/>
      <c r="E19" s="19"/>
      <c r="F19" s="17"/>
      <c r="G19" s="17"/>
      <c r="H19" s="17"/>
      <c r="I19" s="17"/>
      <c r="J19" s="17"/>
      <c r="K19" s="17"/>
      <c r="L19" s="17"/>
      <c r="M19" s="17"/>
      <c r="N19" s="17"/>
      <c r="O19" s="17"/>
      <c r="P19" s="17"/>
      <c r="Q19" s="17"/>
      <c r="R19" s="17"/>
      <c r="S19" s="17"/>
      <c r="T19" s="17"/>
      <c r="U19" s="17"/>
      <c r="V19" s="17"/>
      <c r="W19" s="17"/>
      <c r="X19" s="17"/>
      <c r="Y19" s="17"/>
      <c r="Z19" s="17"/>
      <c r="AA19" s="17"/>
      <c r="AB19" s="17"/>
      <c r="AC19" s="17"/>
      <c r="AD19" s="17"/>
      <c r="AE19" s="17"/>
      <c r="AF19" s="17"/>
      <c r="AG19" s="17"/>
      <c r="AH19" s="17"/>
      <c r="AI19" s="17"/>
    </row>
    <row r="20" spans="1:35" x14ac:dyDescent="0.25">
      <c r="A20" s="17"/>
      <c r="B20" s="18"/>
      <c r="C20"/>
      <c r="D20"/>
      <c r="E20" s="18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7"/>
      <c r="U20" s="17"/>
      <c r="V20" s="17"/>
      <c r="W20" s="17"/>
      <c r="X20" s="17"/>
      <c r="Y20" s="17"/>
      <c r="Z20" s="17"/>
      <c r="AA20" s="17"/>
      <c r="AB20" s="17"/>
      <c r="AC20" s="17"/>
      <c r="AD20" s="17"/>
      <c r="AE20" s="17"/>
      <c r="AF20" s="17"/>
      <c r="AG20" s="17"/>
      <c r="AH20" s="17"/>
      <c r="AI20" s="17"/>
    </row>
    <row r="21" spans="1:35" x14ac:dyDescent="0.25">
      <c r="A21" s="17"/>
      <c r="B21" s="18"/>
      <c r="C21"/>
      <c r="D21"/>
      <c r="E21" s="19"/>
      <c r="F21" s="17"/>
      <c r="G21" s="17"/>
      <c r="H21" s="17"/>
      <c r="I21" s="17"/>
      <c r="J21" s="17"/>
      <c r="K21" s="17"/>
      <c r="L21" s="17"/>
      <c r="M21" s="17"/>
      <c r="N21" s="17"/>
      <c r="O21" s="17"/>
      <c r="P21" s="17"/>
      <c r="Q21" s="17"/>
      <c r="R21" s="17"/>
      <c r="S21" s="17"/>
      <c r="T21" s="17"/>
      <c r="U21" s="17"/>
      <c r="V21" s="17"/>
      <c r="W21" s="17"/>
      <c r="X21" s="17"/>
      <c r="Y21" s="17"/>
      <c r="Z21" s="17"/>
      <c r="AA21" s="17"/>
      <c r="AB21" s="17"/>
      <c r="AC21" s="17"/>
      <c r="AD21" s="17"/>
      <c r="AE21" s="17"/>
      <c r="AF21" s="17"/>
      <c r="AG21" s="17"/>
      <c r="AH21" s="17"/>
      <c r="AI21" s="17"/>
    </row>
    <row r="22" spans="1:35" x14ac:dyDescent="0.25">
      <c r="A22" s="17"/>
      <c r="B22" s="18"/>
      <c r="C22"/>
      <c r="D22"/>
      <c r="E22" s="18"/>
      <c r="F22" s="17"/>
      <c r="G22" s="17"/>
      <c r="H22" s="17"/>
      <c r="I22" s="17"/>
      <c r="J22" s="17"/>
      <c r="K22" s="17"/>
      <c r="L22" s="17"/>
      <c r="M22" s="17"/>
      <c r="N22" s="17"/>
      <c r="O22" s="17"/>
      <c r="P22" s="17"/>
      <c r="Q22" s="17"/>
      <c r="R22" s="17"/>
      <c r="S22" s="17"/>
      <c r="T22" s="17"/>
      <c r="U22" s="17"/>
      <c r="V22" s="17"/>
      <c r="W22" s="17"/>
      <c r="X22" s="17"/>
      <c r="Y22" s="17"/>
      <c r="Z22" s="17"/>
      <c r="AA22" s="17"/>
      <c r="AB22" s="17"/>
      <c r="AC22" s="17"/>
      <c r="AD22" s="17"/>
      <c r="AE22" s="17"/>
      <c r="AF22" s="17"/>
      <c r="AG22" s="17"/>
      <c r="AH22" s="17"/>
      <c r="AI22" s="17"/>
    </row>
    <row r="23" spans="1:35" x14ac:dyDescent="0.25">
      <c r="A23" s="17"/>
      <c r="B23" s="18"/>
      <c r="C23"/>
      <c r="D23"/>
      <c r="E23" s="18"/>
      <c r="F23" s="17"/>
      <c r="G23" s="17"/>
      <c r="H23" s="17"/>
      <c r="I23" s="17"/>
      <c r="J23" s="17"/>
      <c r="K23" s="17"/>
      <c r="L23" s="17"/>
      <c r="M23" s="17"/>
      <c r="N23" s="17"/>
      <c r="O23" s="17"/>
      <c r="P23" s="17"/>
      <c r="Q23" s="17"/>
      <c r="R23" s="17"/>
      <c r="S23" s="17"/>
      <c r="T23" s="17"/>
      <c r="U23" s="17"/>
      <c r="V23" s="17"/>
      <c r="W23" s="17"/>
      <c r="X23" s="17"/>
      <c r="Y23" s="17"/>
      <c r="Z23" s="17"/>
      <c r="AA23" s="17"/>
      <c r="AB23" s="17"/>
      <c r="AC23" s="17"/>
      <c r="AD23" s="17"/>
      <c r="AE23" s="17"/>
      <c r="AF23" s="17"/>
      <c r="AG23" s="17"/>
      <c r="AH23" s="17"/>
      <c r="AI23" s="17"/>
    </row>
    <row r="24" spans="1:35" x14ac:dyDescent="0.25">
      <c r="A24" s="17"/>
      <c r="B24" s="18"/>
      <c r="C24"/>
      <c r="D24"/>
      <c r="E24" s="18"/>
      <c r="F24" s="17"/>
      <c r="G24" s="17"/>
      <c r="H24" s="17"/>
      <c r="I24" s="17"/>
      <c r="J24" s="17"/>
      <c r="K24" s="17"/>
      <c r="L24" s="17"/>
      <c r="M24" s="17"/>
      <c r="N24" s="17"/>
      <c r="O24" s="17"/>
      <c r="P24" s="17"/>
      <c r="Q24" s="17"/>
      <c r="R24" s="17"/>
      <c r="S24" s="17"/>
      <c r="T24" s="17"/>
      <c r="U24" s="17"/>
      <c r="V24" s="17"/>
      <c r="W24" s="17"/>
      <c r="X24" s="17"/>
      <c r="Y24" s="17"/>
      <c r="Z24" s="17"/>
      <c r="AA24" s="17"/>
      <c r="AB24" s="17"/>
      <c r="AC24" s="17"/>
      <c r="AD24" s="17"/>
      <c r="AE24" s="17"/>
      <c r="AF24" s="17"/>
      <c r="AG24" s="17"/>
      <c r="AH24" s="17"/>
      <c r="AI24" s="17"/>
    </row>
    <row r="25" spans="1:35" x14ac:dyDescent="0.25">
      <c r="A25" s="17"/>
      <c r="B25" s="18"/>
      <c r="C25"/>
      <c r="D25"/>
      <c r="E25" s="18"/>
      <c r="F25" s="17"/>
      <c r="G25" s="17"/>
      <c r="H25" s="17"/>
      <c r="I25" s="17"/>
      <c r="J25" s="17"/>
      <c r="K25" s="17"/>
      <c r="L25" s="17"/>
      <c r="M25" s="17"/>
      <c r="N25" s="17"/>
      <c r="O25" s="17"/>
      <c r="P25" s="17"/>
      <c r="Q25" s="17"/>
      <c r="R25" s="17"/>
      <c r="S25" s="17"/>
      <c r="T25" s="17"/>
      <c r="U25" s="17"/>
      <c r="V25" s="17"/>
      <c r="W25" s="17"/>
      <c r="X25" s="17"/>
      <c r="Y25" s="17"/>
      <c r="Z25" s="17"/>
      <c r="AA25" s="17"/>
      <c r="AB25" s="17"/>
      <c r="AC25" s="17"/>
      <c r="AD25" s="17"/>
      <c r="AE25" s="17"/>
      <c r="AF25" s="17"/>
      <c r="AG25" s="17"/>
      <c r="AH25" s="17"/>
      <c r="AI25" s="17"/>
    </row>
    <row r="26" spans="1:35" x14ac:dyDescent="0.25">
      <c r="A26" s="17"/>
      <c r="B26" s="18"/>
      <c r="C26" s="18"/>
      <c r="D26" s="18"/>
      <c r="E26" s="18"/>
      <c r="F26" s="17"/>
      <c r="G26" s="17"/>
      <c r="H26" s="17"/>
      <c r="I26" s="17"/>
      <c r="J26" s="17"/>
      <c r="K26" s="17"/>
      <c r="L26" s="17"/>
      <c r="M26" s="17"/>
      <c r="N26" s="17"/>
      <c r="O26" s="17"/>
      <c r="P26" s="17"/>
      <c r="Q26" s="17"/>
      <c r="R26" s="17"/>
      <c r="S26" s="17"/>
      <c r="T26" s="17"/>
      <c r="U26" s="17"/>
      <c r="V26" s="17"/>
      <c r="W26" s="17"/>
      <c r="X26" s="17"/>
      <c r="Y26" s="17"/>
      <c r="Z26" s="17"/>
      <c r="AA26" s="17"/>
      <c r="AB26" s="17"/>
      <c r="AC26" s="17"/>
      <c r="AD26" s="17"/>
      <c r="AE26" s="17"/>
      <c r="AF26" s="17"/>
      <c r="AG26" s="17"/>
      <c r="AH26" s="17"/>
      <c r="AI26" s="17"/>
    </row>
    <row r="27" spans="1:35" x14ac:dyDescent="0.25">
      <c r="A27" s="17"/>
      <c r="B27" s="17"/>
      <c r="C27" s="17"/>
      <c r="D27" s="17"/>
      <c r="E27" s="17"/>
      <c r="F27" s="17"/>
      <c r="G27" s="17"/>
      <c r="H27" s="17"/>
      <c r="I27" s="17"/>
      <c r="J27" s="17"/>
      <c r="K27" s="17"/>
      <c r="L27" s="17"/>
      <c r="M27" s="17"/>
      <c r="N27" s="17"/>
      <c r="O27" s="17"/>
      <c r="P27" s="17"/>
      <c r="Q27" s="17"/>
      <c r="R27" s="17"/>
      <c r="S27" s="17"/>
      <c r="T27" s="17"/>
      <c r="U27" s="17"/>
      <c r="V27" s="17"/>
      <c r="W27" s="17"/>
      <c r="X27" s="17"/>
      <c r="Y27" s="17"/>
      <c r="Z27" s="17"/>
      <c r="AA27" s="17"/>
      <c r="AB27" s="17"/>
      <c r="AC27" s="17"/>
      <c r="AD27" s="17"/>
      <c r="AE27" s="17"/>
      <c r="AF27" s="17"/>
      <c r="AG27" s="17"/>
      <c r="AH27" s="17"/>
      <c r="AI27" s="17"/>
    </row>
    <row r="28" spans="1:35" x14ac:dyDescent="0.25">
      <c r="A28" s="17"/>
      <c r="B28" s="17"/>
      <c r="C28" s="17"/>
      <c r="D28" s="17"/>
      <c r="E28" s="17"/>
      <c r="F28" s="17"/>
      <c r="G28" s="17"/>
      <c r="H28" s="17"/>
      <c r="I28" s="17"/>
      <c r="J28" s="17"/>
      <c r="K28" s="17"/>
      <c r="L28" s="17"/>
      <c r="M28" s="17"/>
      <c r="N28" s="17"/>
      <c r="O28" s="17"/>
      <c r="P28" s="17"/>
      <c r="Q28" s="17"/>
      <c r="R28" s="17"/>
      <c r="S28" s="17"/>
      <c r="T28" s="17"/>
      <c r="U28" s="17"/>
      <c r="V28" s="17"/>
      <c r="W28" s="17"/>
      <c r="X28" s="17"/>
      <c r="Y28" s="17"/>
      <c r="Z28" s="17"/>
      <c r="AA28" s="17"/>
      <c r="AB28" s="17"/>
      <c r="AC28" s="17"/>
      <c r="AD28" s="17"/>
      <c r="AE28" s="17"/>
      <c r="AF28" s="17"/>
      <c r="AG28" s="17"/>
      <c r="AH28" s="17"/>
      <c r="AI28" s="17"/>
    </row>
    <row r="29" spans="1:35" x14ac:dyDescent="0.25">
      <c r="A29" s="17"/>
      <c r="B29" s="17"/>
      <c r="C29" s="17"/>
      <c r="D29" s="17"/>
      <c r="E29" s="17"/>
      <c r="F29" s="17"/>
      <c r="G29" s="17"/>
      <c r="H29" s="17"/>
      <c r="I29" s="17"/>
      <c r="J29" s="17"/>
      <c r="K29" s="17"/>
      <c r="L29" s="17"/>
      <c r="M29" s="17"/>
      <c r="N29" s="17"/>
      <c r="O29" s="17"/>
      <c r="P29" s="17"/>
      <c r="Q29" s="17"/>
      <c r="R29" s="17"/>
      <c r="S29" s="17"/>
      <c r="T29" s="17"/>
      <c r="U29" s="17"/>
      <c r="V29" s="17"/>
      <c r="W29" s="17"/>
      <c r="X29" s="17"/>
      <c r="Y29" s="17"/>
      <c r="Z29" s="17"/>
      <c r="AA29" s="17"/>
      <c r="AB29" s="17"/>
      <c r="AC29" s="17"/>
      <c r="AD29" s="17"/>
      <c r="AE29" s="17"/>
      <c r="AF29" s="17"/>
      <c r="AG29" s="17"/>
      <c r="AH29" s="17"/>
      <c r="AI29" s="17"/>
    </row>
    <row r="30" spans="1:35" x14ac:dyDescent="0.25">
      <c r="A30" s="17"/>
      <c r="B30" s="17"/>
      <c r="C30" s="17"/>
      <c r="D30" s="17"/>
      <c r="E30" s="17"/>
      <c r="F30" s="17"/>
      <c r="G30" s="17"/>
      <c r="H30" s="17"/>
      <c r="I30" s="17"/>
      <c r="J30" s="17"/>
      <c r="K30" s="17"/>
      <c r="L30" s="17"/>
      <c r="M30" s="17"/>
      <c r="N30" s="17"/>
      <c r="O30" s="17"/>
      <c r="P30" s="17"/>
      <c r="Q30" s="17"/>
      <c r="R30" s="17"/>
      <c r="S30" s="17"/>
      <c r="T30" s="17"/>
      <c r="U30" s="17"/>
      <c r="V30" s="17"/>
      <c r="W30" s="17"/>
      <c r="X30" s="17"/>
      <c r="Y30" s="17"/>
      <c r="Z30" s="17"/>
      <c r="AA30" s="17"/>
      <c r="AB30" s="17"/>
      <c r="AC30" s="17"/>
      <c r="AD30" s="17"/>
      <c r="AE30" s="17"/>
      <c r="AF30" s="17"/>
      <c r="AG30" s="17"/>
      <c r="AH30" s="17"/>
      <c r="AI30" s="17"/>
    </row>
    <row r="31" spans="1:35" x14ac:dyDescent="0.25">
      <c r="A31" s="17"/>
      <c r="B31" s="17"/>
      <c r="C31" s="17"/>
      <c r="D31" s="17"/>
      <c r="E31" s="17"/>
      <c r="F31" s="17"/>
      <c r="G31" s="17"/>
      <c r="H31" s="17"/>
      <c r="I31" s="17"/>
      <c r="J31" s="17"/>
      <c r="K31" s="17"/>
      <c r="L31" s="17"/>
      <c r="M31" s="17"/>
      <c r="N31" s="17"/>
      <c r="O31" s="17"/>
      <c r="P31" s="17"/>
      <c r="Q31" s="17"/>
      <c r="R31" s="17"/>
      <c r="S31" s="17"/>
      <c r="T31" s="17"/>
      <c r="U31" s="17"/>
      <c r="V31" s="17"/>
      <c r="W31" s="17"/>
      <c r="X31" s="17"/>
      <c r="Y31" s="17"/>
      <c r="Z31" s="17"/>
      <c r="AA31" s="17"/>
      <c r="AB31" s="17"/>
      <c r="AC31" s="17"/>
      <c r="AD31" s="17"/>
      <c r="AE31" s="17"/>
      <c r="AF31" s="17"/>
      <c r="AG31" s="17"/>
      <c r="AH31" s="17"/>
      <c r="AI31" s="17"/>
    </row>
    <row r="32" spans="1:35" x14ac:dyDescent="0.25">
      <c r="A32" s="17"/>
      <c r="B32" s="17"/>
      <c r="C32" s="17"/>
      <c r="D32" s="17"/>
      <c r="E32" s="17"/>
      <c r="F32" s="17"/>
      <c r="G32" s="17"/>
      <c r="H32" s="17"/>
      <c r="I32" s="17"/>
      <c r="J32" s="17"/>
      <c r="K32" s="17"/>
      <c r="L32" s="17"/>
      <c r="M32" s="17"/>
      <c r="N32" s="17"/>
      <c r="O32" s="17"/>
      <c r="P32" s="17"/>
      <c r="Q32" s="17"/>
      <c r="R32" s="17"/>
      <c r="S32" s="17"/>
      <c r="T32" s="17"/>
      <c r="U32" s="17"/>
      <c r="V32" s="17"/>
      <c r="W32" s="17"/>
      <c r="X32" s="17"/>
      <c r="Y32" s="17"/>
      <c r="Z32" s="17"/>
      <c r="AA32" s="17"/>
      <c r="AB32" s="17"/>
      <c r="AC32" s="17"/>
      <c r="AD32" s="17"/>
      <c r="AE32" s="17"/>
      <c r="AF32" s="17"/>
      <c r="AG32" s="17"/>
      <c r="AH32" s="17"/>
      <c r="AI32" s="17"/>
    </row>
    <row r="33" spans="1:35" x14ac:dyDescent="0.25">
      <c r="A33" s="17"/>
      <c r="B33" s="17"/>
      <c r="C33" s="17"/>
      <c r="D33" s="17"/>
      <c r="E33" s="17"/>
      <c r="F33" s="17"/>
      <c r="G33" s="17"/>
      <c r="H33" s="17"/>
      <c r="I33" s="17"/>
      <c r="J33" s="17"/>
      <c r="K33" s="17"/>
      <c r="L33" s="17"/>
      <c r="M33" s="17"/>
      <c r="N33" s="17"/>
      <c r="O33" s="17"/>
      <c r="P33" s="17"/>
      <c r="Q33" s="17"/>
      <c r="R33" s="17"/>
      <c r="S33" s="17"/>
      <c r="T33" s="17"/>
      <c r="U33" s="17"/>
      <c r="V33" s="17"/>
      <c r="W33" s="17"/>
      <c r="X33" s="17"/>
      <c r="Y33" s="17"/>
      <c r="Z33" s="17"/>
      <c r="AA33" s="17"/>
      <c r="AB33" s="17"/>
      <c r="AC33" s="17"/>
      <c r="AD33" s="17"/>
      <c r="AE33" s="17"/>
      <c r="AF33" s="17"/>
      <c r="AG33" s="17"/>
      <c r="AH33" s="17"/>
      <c r="AI33" s="17"/>
    </row>
    <row r="34" spans="1:35" x14ac:dyDescent="0.25">
      <c r="A34" s="17"/>
      <c r="B34" s="17"/>
      <c r="C34" s="17"/>
      <c r="D34" s="17"/>
      <c r="E34" s="17"/>
      <c r="F34" s="17"/>
      <c r="G34" s="17"/>
      <c r="H34" s="17"/>
      <c r="I34" s="17"/>
      <c r="J34" s="17"/>
      <c r="K34" s="17"/>
      <c r="L34" s="17"/>
      <c r="M34" s="17"/>
      <c r="N34" s="17"/>
      <c r="O34" s="17"/>
      <c r="P34" s="17"/>
      <c r="Q34" s="17"/>
      <c r="R34" s="17"/>
      <c r="S34" s="17"/>
      <c r="T34" s="17"/>
      <c r="U34" s="17"/>
      <c r="V34" s="17"/>
      <c r="W34" s="17"/>
      <c r="X34" s="17"/>
      <c r="Y34" s="17"/>
      <c r="Z34" s="17"/>
      <c r="AA34" s="17"/>
      <c r="AB34" s="17"/>
      <c r="AC34" s="17"/>
      <c r="AD34" s="17"/>
      <c r="AE34" s="17"/>
      <c r="AF34" s="17"/>
      <c r="AG34" s="17"/>
      <c r="AH34" s="17"/>
      <c r="AI34" s="17"/>
    </row>
    <row r="35" spans="1:35" x14ac:dyDescent="0.25">
      <c r="A35" s="17"/>
      <c r="B35" s="17"/>
      <c r="C35" s="17"/>
      <c r="D35" s="17"/>
      <c r="E35" s="17"/>
      <c r="F35" s="17"/>
      <c r="G35" s="17"/>
      <c r="H35" s="17"/>
      <c r="I35" s="17"/>
      <c r="J35" s="17"/>
      <c r="K35" s="17"/>
      <c r="L35" s="17"/>
      <c r="M35" s="17"/>
      <c r="N35" s="17"/>
      <c r="O35" s="17"/>
      <c r="P35" s="17"/>
      <c r="Q35" s="17"/>
      <c r="R35" s="17"/>
      <c r="S35" s="17"/>
      <c r="T35" s="17"/>
      <c r="U35" s="17"/>
      <c r="V35" s="17"/>
      <c r="W35" s="17"/>
      <c r="X35" s="17"/>
      <c r="Y35" s="17"/>
      <c r="Z35" s="17"/>
      <c r="AA35" s="17"/>
      <c r="AB35" s="17"/>
      <c r="AC35" s="17"/>
      <c r="AD35" s="17"/>
      <c r="AE35" s="17"/>
      <c r="AF35" s="17"/>
      <c r="AG35" s="17"/>
      <c r="AH35" s="17"/>
      <c r="AI35" s="17"/>
    </row>
    <row r="36" spans="1:35" x14ac:dyDescent="0.25">
      <c r="A36" s="17"/>
      <c r="B36" s="17"/>
      <c r="C36" s="17"/>
      <c r="D36" s="17"/>
      <c r="E36" s="17"/>
      <c r="F36" s="17"/>
      <c r="G36" s="17"/>
      <c r="H36" s="17"/>
      <c r="I36" s="17"/>
      <c r="J36" s="17"/>
      <c r="K36" s="17"/>
      <c r="L36" s="17"/>
      <c r="M36" s="17"/>
      <c r="N36" s="17"/>
      <c r="O36" s="17"/>
      <c r="P36" s="17"/>
      <c r="Q36" s="17"/>
      <c r="R36" s="17"/>
      <c r="S36" s="17"/>
      <c r="T36" s="17"/>
      <c r="U36" s="17"/>
      <c r="V36" s="17"/>
      <c r="W36" s="17"/>
      <c r="X36" s="17"/>
      <c r="Y36" s="17"/>
      <c r="Z36" s="17"/>
      <c r="AA36" s="17"/>
      <c r="AB36" s="17"/>
      <c r="AC36" s="17"/>
      <c r="AD36" s="17"/>
      <c r="AE36" s="17"/>
      <c r="AF36" s="17"/>
      <c r="AG36" s="17"/>
      <c r="AH36" s="17"/>
      <c r="AI36" s="17"/>
    </row>
    <row r="37" spans="1:35" x14ac:dyDescent="0.25">
      <c r="A37" s="17"/>
      <c r="B37" s="17"/>
      <c r="C37" s="17"/>
      <c r="D37" s="17"/>
      <c r="E37" s="17"/>
      <c r="F37" s="17"/>
      <c r="G37" s="17"/>
      <c r="H37" s="17"/>
      <c r="I37" s="17"/>
      <c r="J37" s="17"/>
      <c r="K37" s="17"/>
      <c r="L37" s="17"/>
      <c r="M37" s="17"/>
      <c r="N37" s="17"/>
      <c r="O37" s="17"/>
      <c r="P37" s="17"/>
      <c r="Q37" s="17"/>
      <c r="R37" s="17"/>
      <c r="S37" s="17"/>
      <c r="T37" s="17"/>
      <c r="U37" s="17"/>
      <c r="V37" s="17"/>
      <c r="W37" s="17"/>
      <c r="X37" s="17"/>
      <c r="Y37" s="17"/>
      <c r="Z37" s="17"/>
      <c r="AA37" s="17"/>
      <c r="AB37" s="17"/>
      <c r="AC37" s="17"/>
      <c r="AD37" s="17"/>
      <c r="AE37" s="17"/>
      <c r="AF37" s="17"/>
      <c r="AG37" s="17"/>
      <c r="AH37" s="17"/>
      <c r="AI37" s="17"/>
    </row>
    <row r="38" spans="1:35" x14ac:dyDescent="0.25">
      <c r="A38" s="17"/>
      <c r="B38" s="17"/>
      <c r="C38" s="17"/>
      <c r="D38" s="17"/>
      <c r="E38" s="17"/>
      <c r="F38" s="17"/>
      <c r="G38" s="17"/>
      <c r="H38" s="17"/>
      <c r="I38" s="17"/>
      <c r="J38" s="17"/>
      <c r="K38" s="17"/>
      <c r="L38" s="17"/>
      <c r="M38" s="17"/>
      <c r="N38" s="17"/>
      <c r="O38" s="17"/>
      <c r="P38" s="17"/>
      <c r="Q38" s="17"/>
      <c r="R38" s="17"/>
      <c r="S38" s="17"/>
      <c r="T38" s="17"/>
      <c r="U38" s="17"/>
      <c r="V38" s="17"/>
      <c r="W38" s="17"/>
      <c r="X38" s="17"/>
      <c r="Y38" s="17"/>
      <c r="Z38" s="17"/>
      <c r="AA38" s="17"/>
      <c r="AB38" s="17"/>
      <c r="AC38" s="17"/>
      <c r="AD38" s="17"/>
      <c r="AE38" s="17"/>
      <c r="AF38" s="17"/>
      <c r="AG38" s="17"/>
      <c r="AH38" s="17"/>
      <c r="AI38" s="17"/>
    </row>
    <row r="39" spans="1:35" x14ac:dyDescent="0.25">
      <c r="A39" s="17"/>
      <c r="B39" s="17"/>
      <c r="C39" s="17"/>
      <c r="D39" s="17"/>
      <c r="E39" s="17"/>
      <c r="F39" s="17"/>
      <c r="G39" s="17"/>
      <c r="H39" s="17"/>
      <c r="I39" s="17"/>
      <c r="J39" s="17"/>
      <c r="K39" s="17"/>
      <c r="L39" s="17"/>
      <c r="M39" s="17"/>
      <c r="N39" s="17"/>
      <c r="O39" s="17"/>
      <c r="P39" s="17"/>
      <c r="Q39" s="17"/>
      <c r="R39" s="17"/>
      <c r="S39" s="17"/>
      <c r="T39" s="17"/>
      <c r="U39" s="17"/>
      <c r="V39" s="17"/>
      <c r="W39" s="17"/>
      <c r="X39" s="17"/>
      <c r="Y39" s="17"/>
      <c r="Z39" s="17"/>
      <c r="AA39" s="17"/>
      <c r="AB39" s="17"/>
      <c r="AC39" s="17"/>
      <c r="AD39" s="17"/>
      <c r="AE39" s="17"/>
      <c r="AF39" s="17"/>
      <c r="AG39" s="17"/>
      <c r="AH39" s="17"/>
      <c r="AI39" s="17"/>
    </row>
    <row r="40" spans="1:35" x14ac:dyDescent="0.25">
      <c r="A40" s="17"/>
      <c r="B40" s="17"/>
      <c r="C40" s="17"/>
      <c r="D40" s="17"/>
      <c r="E40" s="17"/>
      <c r="F40" s="17"/>
      <c r="G40" s="17"/>
      <c r="H40" s="17"/>
      <c r="I40" s="17"/>
      <c r="J40" s="17"/>
      <c r="K40" s="17"/>
      <c r="L40" s="17"/>
      <c r="M40" s="17"/>
      <c r="N40" s="17"/>
      <c r="O40" s="17"/>
      <c r="P40" s="17"/>
      <c r="Q40" s="17"/>
      <c r="R40" s="17"/>
      <c r="S40" s="17"/>
      <c r="T40" s="17"/>
      <c r="U40" s="17"/>
      <c r="V40" s="17"/>
      <c r="W40" s="17"/>
      <c r="X40" s="17"/>
      <c r="Y40" s="17"/>
      <c r="Z40" s="17"/>
      <c r="AA40" s="17"/>
      <c r="AB40" s="17"/>
      <c r="AC40" s="17"/>
      <c r="AD40" s="17"/>
      <c r="AE40" s="17"/>
      <c r="AF40" s="17"/>
      <c r="AG40" s="17"/>
      <c r="AH40" s="17"/>
      <c r="AI40" s="17"/>
    </row>
    <row r="41" spans="1:35" x14ac:dyDescent="0.25">
      <c r="A41" s="17"/>
      <c r="B41" s="17"/>
      <c r="C41" s="17"/>
      <c r="D41" s="17"/>
      <c r="E41" s="17"/>
      <c r="F41" s="17"/>
      <c r="G41" s="17"/>
      <c r="H41" s="17"/>
      <c r="I41" s="17"/>
      <c r="J41" s="17"/>
      <c r="K41" s="17"/>
      <c r="L41" s="17"/>
      <c r="M41" s="17"/>
      <c r="N41" s="17"/>
      <c r="O41" s="17"/>
      <c r="P41" s="17"/>
      <c r="Q41" s="17"/>
      <c r="R41" s="17"/>
      <c r="S41" s="17"/>
      <c r="T41" s="17"/>
      <c r="U41" s="17"/>
      <c r="V41" s="17"/>
      <c r="W41" s="17"/>
      <c r="X41" s="17"/>
      <c r="Y41" s="17"/>
      <c r="Z41" s="17"/>
      <c r="AA41" s="17"/>
      <c r="AB41" s="17"/>
      <c r="AC41" s="17"/>
      <c r="AD41" s="17"/>
      <c r="AE41" s="17"/>
      <c r="AF41" s="17"/>
      <c r="AG41" s="17"/>
      <c r="AH41" s="17"/>
      <c r="AI41" s="17"/>
    </row>
    <row r="42" spans="1:35" x14ac:dyDescent="0.25">
      <c r="A42" s="17"/>
      <c r="B42" s="17"/>
      <c r="C42" s="17"/>
      <c r="D42" s="17"/>
      <c r="E42" s="17"/>
      <c r="F42" s="17"/>
      <c r="G42" s="17"/>
      <c r="H42" s="17"/>
      <c r="I42" s="17"/>
      <c r="J42" s="17"/>
      <c r="K42" s="17"/>
      <c r="L42" s="17"/>
      <c r="M42" s="17"/>
      <c r="N42" s="17"/>
      <c r="O42" s="17"/>
      <c r="P42" s="17"/>
      <c r="Q42" s="17"/>
      <c r="R42" s="17"/>
      <c r="S42" s="17"/>
      <c r="T42" s="17"/>
      <c r="U42" s="17"/>
      <c r="V42" s="17"/>
      <c r="W42" s="17"/>
      <c r="X42" s="17"/>
      <c r="Y42" s="17"/>
      <c r="Z42" s="17"/>
      <c r="AA42" s="17"/>
      <c r="AB42" s="17"/>
      <c r="AC42" s="17"/>
      <c r="AD42" s="17"/>
      <c r="AE42" s="17"/>
      <c r="AF42" s="17"/>
      <c r="AG42" s="17"/>
      <c r="AH42" s="17"/>
      <c r="AI42" s="17"/>
    </row>
    <row r="43" spans="1:35" x14ac:dyDescent="0.25">
      <c r="A43" s="17"/>
      <c r="B43" s="17"/>
      <c r="C43" s="17"/>
      <c r="D43" s="17"/>
      <c r="E43" s="17"/>
      <c r="F43" s="17"/>
      <c r="G43" s="17"/>
      <c r="H43" s="17"/>
      <c r="I43" s="17"/>
      <c r="J43" s="17"/>
      <c r="K43" s="17"/>
      <c r="L43" s="17"/>
      <c r="M43" s="17"/>
      <c r="N43" s="17"/>
      <c r="O43" s="17"/>
      <c r="P43" s="17"/>
      <c r="Q43" s="17"/>
      <c r="R43" s="17"/>
      <c r="S43" s="17"/>
      <c r="T43" s="17"/>
      <c r="U43" s="17"/>
      <c r="V43" s="17"/>
      <c r="W43" s="17"/>
      <c r="X43" s="17"/>
      <c r="Y43" s="17"/>
      <c r="Z43" s="17"/>
      <c r="AA43" s="17"/>
      <c r="AB43" s="17"/>
      <c r="AC43" s="17"/>
      <c r="AD43" s="17"/>
      <c r="AE43" s="17"/>
      <c r="AF43" s="17"/>
      <c r="AG43" s="17"/>
      <c r="AH43" s="17"/>
      <c r="AI43" s="17"/>
    </row>
    <row r="44" spans="1:35" x14ac:dyDescent="0.25">
      <c r="A44" s="17"/>
      <c r="B44" s="17"/>
      <c r="C44" s="17"/>
      <c r="D44" s="17"/>
      <c r="E44" s="17"/>
      <c r="F44" s="17"/>
      <c r="G44" s="17"/>
      <c r="H44" s="17"/>
      <c r="I44" s="17"/>
      <c r="J44" s="17"/>
      <c r="K44" s="17"/>
      <c r="L44" s="17"/>
      <c r="M44" s="17"/>
      <c r="N44" s="17"/>
      <c r="O44" s="17"/>
      <c r="P44" s="17"/>
      <c r="Q44" s="17"/>
      <c r="R44" s="17"/>
      <c r="S44" s="17"/>
      <c r="T44" s="17"/>
      <c r="U44" s="17"/>
      <c r="V44" s="17"/>
      <c r="W44" s="17"/>
      <c r="X44" s="17"/>
      <c r="Y44" s="17"/>
      <c r="Z44" s="17"/>
      <c r="AA44" s="17"/>
      <c r="AB44" s="17"/>
      <c r="AC44" s="17"/>
      <c r="AD44" s="17"/>
      <c r="AE44" s="17"/>
      <c r="AF44" s="17"/>
      <c r="AG44" s="17"/>
      <c r="AH44" s="17"/>
      <c r="AI44" s="17"/>
    </row>
    <row r="45" spans="1:35" x14ac:dyDescent="0.25">
      <c r="A45" s="17"/>
      <c r="B45" s="17"/>
      <c r="C45" s="17"/>
      <c r="D45" s="17"/>
      <c r="E45" s="17"/>
      <c r="F45" s="17"/>
      <c r="G45" s="17"/>
      <c r="H45" s="17"/>
      <c r="I45" s="17"/>
      <c r="J45" s="17"/>
      <c r="K45" s="17"/>
      <c r="L45" s="17"/>
      <c r="M45" s="17"/>
      <c r="N45" s="17"/>
      <c r="O45" s="17"/>
      <c r="P45" s="17"/>
      <c r="Q45" s="17"/>
      <c r="R45" s="17"/>
      <c r="S45" s="17"/>
      <c r="T45" s="17"/>
      <c r="U45" s="17"/>
      <c r="V45" s="17"/>
      <c r="W45" s="17"/>
      <c r="X45" s="17"/>
      <c r="Y45" s="17"/>
      <c r="Z45" s="17"/>
      <c r="AA45" s="17"/>
      <c r="AB45" s="17"/>
      <c r="AC45" s="17"/>
      <c r="AD45" s="17"/>
      <c r="AE45" s="17"/>
      <c r="AF45" s="17"/>
      <c r="AG45" s="17"/>
      <c r="AH45" s="17"/>
      <c r="AI45" s="17"/>
    </row>
    <row r="46" spans="1:35" x14ac:dyDescent="0.25">
      <c r="A46" s="17"/>
      <c r="B46" s="17"/>
      <c r="C46" s="17"/>
      <c r="D46" s="17"/>
      <c r="E46" s="17"/>
      <c r="F46" s="17"/>
      <c r="G46" s="17"/>
      <c r="H46" s="17"/>
      <c r="I46" s="17"/>
      <c r="J46" s="17"/>
      <c r="K46" s="17"/>
      <c r="L46" s="17"/>
      <c r="M46" s="17"/>
      <c r="N46" s="17"/>
      <c r="O46" s="17"/>
      <c r="P46" s="17"/>
      <c r="Q46" s="17"/>
      <c r="R46" s="17"/>
      <c r="S46" s="17"/>
      <c r="T46" s="17"/>
      <c r="U46" s="17"/>
      <c r="V46" s="17"/>
      <c r="W46" s="17"/>
      <c r="X46" s="17"/>
      <c r="Y46" s="17"/>
      <c r="Z46" s="17"/>
      <c r="AA46" s="17"/>
      <c r="AB46" s="17"/>
      <c r="AC46" s="17"/>
      <c r="AD46" s="17"/>
      <c r="AE46" s="17"/>
      <c r="AF46" s="17"/>
      <c r="AG46" s="17"/>
      <c r="AH46" s="17"/>
      <c r="AI46" s="17"/>
    </row>
    <row r="47" spans="1:35" x14ac:dyDescent="0.25">
      <c r="A47" s="17"/>
      <c r="B47" s="17"/>
      <c r="C47" s="17"/>
      <c r="D47" s="17"/>
      <c r="E47" s="17"/>
      <c r="F47" s="17"/>
      <c r="G47" s="17"/>
      <c r="H47" s="17"/>
      <c r="I47" s="17"/>
      <c r="J47" s="17"/>
      <c r="K47" s="17"/>
      <c r="L47" s="17"/>
      <c r="M47" s="17"/>
      <c r="N47" s="17"/>
      <c r="O47" s="17"/>
      <c r="P47" s="17"/>
      <c r="Q47" s="17"/>
      <c r="R47" s="17"/>
      <c r="S47" s="17"/>
      <c r="T47" s="17"/>
      <c r="U47" s="17"/>
      <c r="V47" s="17"/>
      <c r="W47" s="17"/>
      <c r="X47" s="17"/>
      <c r="Y47" s="17"/>
      <c r="Z47" s="17"/>
      <c r="AA47" s="17"/>
      <c r="AB47" s="17"/>
      <c r="AC47" s="17"/>
      <c r="AD47" s="17"/>
      <c r="AE47" s="17"/>
      <c r="AF47" s="17"/>
      <c r="AG47" s="17"/>
      <c r="AH47" s="17"/>
      <c r="AI47" s="17"/>
    </row>
    <row r="48" spans="1:35" x14ac:dyDescent="0.25">
      <c r="A48" s="17"/>
      <c r="B48" s="17"/>
      <c r="C48" s="17"/>
      <c r="D48" s="17"/>
      <c r="E48" s="17"/>
      <c r="F48" s="17"/>
      <c r="G48" s="17"/>
      <c r="H48" s="17"/>
      <c r="I48" s="17"/>
      <c r="J48" s="17"/>
      <c r="K48" s="17"/>
      <c r="L48" s="17"/>
      <c r="M48" s="17"/>
      <c r="N48" s="17"/>
      <c r="O48" s="17"/>
      <c r="P48" s="17"/>
      <c r="Q48" s="17"/>
      <c r="R48" s="17"/>
      <c r="S48" s="17"/>
      <c r="T48" s="17"/>
      <c r="U48" s="17"/>
      <c r="V48" s="17"/>
      <c r="W48" s="17"/>
      <c r="X48" s="17"/>
      <c r="Y48" s="17"/>
      <c r="Z48" s="17"/>
      <c r="AA48" s="17"/>
      <c r="AB48" s="17"/>
      <c r="AC48" s="17"/>
      <c r="AD48" s="17"/>
      <c r="AE48" s="17"/>
      <c r="AF48" s="17"/>
      <c r="AG48" s="17"/>
      <c r="AH48" s="17"/>
      <c r="AI48" s="17"/>
    </row>
  </sheetData>
  <pageMargins left="0.511811024" right="0.511811024" top="0.78740157499999996" bottom="0.78740157499999996" header="0.31496062000000002" footer="0.31496062000000002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6ED07C-DAA3-4D41-A63E-9156D961F4A2}">
  <sheetPr codeName="Planilha3"/>
  <dimension ref="A1:S8"/>
  <sheetViews>
    <sheetView tabSelected="1" zoomScaleNormal="100" workbookViewId="0">
      <pane xSplit="5" ySplit="1" topLeftCell="F2" activePane="bottomRight" state="frozen"/>
      <selection pane="topRight" activeCell="F1" sqref="F1"/>
      <selection pane="bottomLeft" activeCell="A2" sqref="A2"/>
      <selection pane="bottomRight" activeCell="F25" sqref="F25"/>
    </sheetView>
  </sheetViews>
  <sheetFormatPr defaultRowHeight="15" x14ac:dyDescent="0.25"/>
  <cols>
    <col min="1" max="1" width="22.42578125" style="12" customWidth="1"/>
    <col min="2" max="2" width="71.5703125" style="13" customWidth="1"/>
    <col min="3" max="3" width="20.140625" style="14" customWidth="1"/>
    <col min="4" max="4" width="23" style="11" customWidth="1"/>
    <col min="5" max="5" width="13.42578125" style="15" customWidth="1"/>
    <col min="6" max="6" width="17.85546875" style="16" customWidth="1"/>
    <col min="7" max="7" width="20.5703125" style="16" customWidth="1"/>
    <col min="8" max="8" width="24.85546875" style="16" customWidth="1"/>
    <col min="9" max="9" width="23.5703125" style="16" customWidth="1"/>
    <col min="10" max="10" width="12.85546875" style="11" customWidth="1"/>
    <col min="11" max="11" width="19.5703125" style="11" customWidth="1"/>
    <col min="12" max="12" width="19.42578125" style="11" customWidth="1"/>
    <col min="13" max="13" width="25" style="16" customWidth="1"/>
    <col min="14" max="14" width="24.85546875" style="11" customWidth="1"/>
    <col min="15" max="16" width="21.85546875" style="16" customWidth="1"/>
    <col min="17" max="17" width="33" style="16" customWidth="1"/>
    <col min="18" max="18" width="40.85546875" style="16" customWidth="1"/>
    <col min="19" max="19" width="8.28515625" customWidth="1"/>
    <col min="20" max="16384" width="9.140625" style="20"/>
  </cols>
  <sheetData>
    <row r="1" spans="1:19" s="46" customFormat="1" ht="52.5" customHeight="1" x14ac:dyDescent="0.25">
      <c r="A1" s="43" t="s">
        <v>71</v>
      </c>
      <c r="B1" s="43" t="s">
        <v>46</v>
      </c>
      <c r="C1" s="44" t="s">
        <v>47</v>
      </c>
      <c r="D1" s="43" t="s">
        <v>48</v>
      </c>
      <c r="E1" s="43" t="s">
        <v>49</v>
      </c>
      <c r="F1" s="43" t="s">
        <v>72</v>
      </c>
      <c r="G1" s="45" t="s">
        <v>73</v>
      </c>
      <c r="H1" s="45" t="s">
        <v>53</v>
      </c>
      <c r="I1" s="45" t="s">
        <v>54</v>
      </c>
      <c r="J1" s="45" t="s">
        <v>1</v>
      </c>
      <c r="K1" s="45" t="s">
        <v>45</v>
      </c>
      <c r="L1" s="45" t="s">
        <v>50</v>
      </c>
      <c r="M1" s="45" t="s">
        <v>51</v>
      </c>
      <c r="N1" s="45" t="s">
        <v>52</v>
      </c>
      <c r="O1" s="45" t="s">
        <v>4</v>
      </c>
      <c r="P1" s="45" t="s">
        <v>55</v>
      </c>
      <c r="Q1" s="45" t="s">
        <v>56</v>
      </c>
      <c r="R1" s="45" t="s">
        <v>57</v>
      </c>
      <c r="S1" s="45" t="s">
        <v>44</v>
      </c>
    </row>
    <row r="2" spans="1:19" s="36" customFormat="1" ht="12.75" x14ac:dyDescent="0.2">
      <c r="A2" s="26" t="s">
        <v>59</v>
      </c>
      <c r="B2" s="27" t="s">
        <v>60</v>
      </c>
      <c r="C2" s="28">
        <v>10617.86</v>
      </c>
      <c r="D2" s="29" t="s">
        <v>9</v>
      </c>
      <c r="E2" s="30">
        <v>242</v>
      </c>
      <c r="F2" s="31">
        <v>325</v>
      </c>
      <c r="G2" s="32"/>
      <c r="H2" s="34">
        <v>4285510</v>
      </c>
      <c r="I2" s="34">
        <v>4408524</v>
      </c>
      <c r="J2" s="25" t="s">
        <v>29</v>
      </c>
      <c r="K2" s="23" t="s">
        <v>58</v>
      </c>
      <c r="L2" s="26">
        <v>88639</v>
      </c>
      <c r="M2" s="33">
        <v>45959</v>
      </c>
      <c r="N2" s="25"/>
      <c r="O2" s="35" t="s">
        <v>41</v>
      </c>
      <c r="P2" s="35" t="s">
        <v>41</v>
      </c>
      <c r="Q2" s="35" t="s">
        <v>41</v>
      </c>
      <c r="R2" s="35" t="s">
        <v>41</v>
      </c>
      <c r="S2" s="24">
        <v>1</v>
      </c>
    </row>
    <row r="3" spans="1:19" s="36" customFormat="1" ht="12.75" x14ac:dyDescent="0.2">
      <c r="A3" s="26" t="s">
        <v>59</v>
      </c>
      <c r="B3" s="27" t="s">
        <v>61</v>
      </c>
      <c r="C3" s="28">
        <v>12085</v>
      </c>
      <c r="D3" s="29" t="s">
        <v>9</v>
      </c>
      <c r="E3" s="30">
        <v>242</v>
      </c>
      <c r="F3" s="37">
        <v>320</v>
      </c>
      <c r="G3" s="32"/>
      <c r="H3" s="34">
        <v>4274405</v>
      </c>
      <c r="I3" s="34">
        <v>4399765</v>
      </c>
      <c r="J3" s="25" t="s">
        <v>29</v>
      </c>
      <c r="K3" s="23" t="s">
        <v>58</v>
      </c>
      <c r="L3" s="26">
        <v>86826</v>
      </c>
      <c r="M3" s="33">
        <v>45944</v>
      </c>
      <c r="N3" s="25"/>
      <c r="O3" s="35" t="s">
        <v>10</v>
      </c>
      <c r="P3" s="35" t="s">
        <v>10</v>
      </c>
      <c r="Q3" s="35" t="s">
        <v>10</v>
      </c>
      <c r="R3" s="35" t="s">
        <v>41</v>
      </c>
      <c r="S3" s="24" t="s">
        <v>67</v>
      </c>
    </row>
    <row r="4" spans="1:19" s="36" customFormat="1" ht="12.75" x14ac:dyDescent="0.2">
      <c r="A4" s="38" t="s">
        <v>59</v>
      </c>
      <c r="B4" s="39" t="s">
        <v>62</v>
      </c>
      <c r="C4" s="28">
        <v>1913.2</v>
      </c>
      <c r="D4" s="29" t="s">
        <v>9</v>
      </c>
      <c r="E4" s="30">
        <v>242</v>
      </c>
      <c r="F4" s="31">
        <v>317</v>
      </c>
      <c r="G4" s="32"/>
      <c r="H4" s="41">
        <v>4274431</v>
      </c>
      <c r="I4" s="41">
        <v>4399761</v>
      </c>
      <c r="J4" s="25" t="s">
        <v>29</v>
      </c>
      <c r="K4" s="23" t="s">
        <v>58</v>
      </c>
      <c r="L4" s="38">
        <v>87008</v>
      </c>
      <c r="M4" s="40">
        <v>45945</v>
      </c>
      <c r="N4" s="25"/>
      <c r="O4" s="35" t="s">
        <v>10</v>
      </c>
      <c r="P4" s="35" t="s">
        <v>10</v>
      </c>
      <c r="Q4" s="35" t="s">
        <v>10</v>
      </c>
      <c r="R4" s="35" t="s">
        <v>41</v>
      </c>
      <c r="S4" s="24" t="s">
        <v>68</v>
      </c>
    </row>
    <row r="5" spans="1:19" s="36" customFormat="1" ht="25.5" x14ac:dyDescent="0.2">
      <c r="A5" s="38" t="s">
        <v>59</v>
      </c>
      <c r="B5" s="39" t="s">
        <v>63</v>
      </c>
      <c r="C5" s="28">
        <v>2500</v>
      </c>
      <c r="D5" s="29" t="s">
        <v>9</v>
      </c>
      <c r="E5" s="30">
        <v>242</v>
      </c>
      <c r="F5" s="31">
        <v>318</v>
      </c>
      <c r="G5" s="32"/>
      <c r="H5" s="41">
        <v>4271140</v>
      </c>
      <c r="I5" s="41">
        <v>4390655</v>
      </c>
      <c r="J5" s="25" t="s">
        <v>29</v>
      </c>
      <c r="K5" s="23" t="s">
        <v>58</v>
      </c>
      <c r="L5" s="38">
        <v>86824</v>
      </c>
      <c r="M5" s="40">
        <v>45944</v>
      </c>
      <c r="N5" s="25"/>
      <c r="O5" s="35" t="s">
        <v>10</v>
      </c>
      <c r="P5" s="35" t="s">
        <v>10</v>
      </c>
      <c r="Q5" s="35" t="s">
        <v>10</v>
      </c>
      <c r="R5" s="35" t="s">
        <v>41</v>
      </c>
      <c r="S5" s="24" t="s">
        <v>69</v>
      </c>
    </row>
    <row r="6" spans="1:19" s="36" customFormat="1" ht="25.5" x14ac:dyDescent="0.2">
      <c r="A6" s="38" t="s">
        <v>59</v>
      </c>
      <c r="B6" s="39" t="s">
        <v>63</v>
      </c>
      <c r="C6" s="28">
        <v>1500</v>
      </c>
      <c r="D6" s="29" t="s">
        <v>9</v>
      </c>
      <c r="E6" s="30">
        <v>242</v>
      </c>
      <c r="F6" s="31">
        <v>318</v>
      </c>
      <c r="G6" s="32"/>
      <c r="H6" s="41">
        <v>4271140</v>
      </c>
      <c r="I6" s="41">
        <v>4390655</v>
      </c>
      <c r="J6" s="25" t="s">
        <v>29</v>
      </c>
      <c r="K6" s="23" t="s">
        <v>58</v>
      </c>
      <c r="L6" s="38">
        <v>86824</v>
      </c>
      <c r="M6" s="40">
        <v>45944</v>
      </c>
      <c r="N6" s="25"/>
      <c r="O6" s="35" t="s">
        <v>10</v>
      </c>
      <c r="P6" s="35" t="s">
        <v>10</v>
      </c>
      <c r="Q6" s="35" t="s">
        <v>10</v>
      </c>
      <c r="R6" s="35" t="s">
        <v>41</v>
      </c>
      <c r="S6" s="24" t="s">
        <v>70</v>
      </c>
    </row>
    <row r="7" spans="1:19" s="36" customFormat="1" ht="25.5" x14ac:dyDescent="0.2">
      <c r="A7" s="38" t="s">
        <v>59</v>
      </c>
      <c r="B7" s="39" t="s">
        <v>64</v>
      </c>
      <c r="C7" s="28">
        <v>8100.19</v>
      </c>
      <c r="D7" s="29" t="s">
        <v>9</v>
      </c>
      <c r="E7" s="30">
        <v>242</v>
      </c>
      <c r="F7" s="42">
        <v>319</v>
      </c>
      <c r="G7" s="32"/>
      <c r="H7" s="41">
        <v>4271154</v>
      </c>
      <c r="I7" s="41">
        <v>4390653</v>
      </c>
      <c r="J7" s="25" t="s">
        <v>29</v>
      </c>
      <c r="K7" s="23" t="s">
        <v>58</v>
      </c>
      <c r="L7" s="38">
        <v>86833</v>
      </c>
      <c r="M7" s="40">
        <v>45944</v>
      </c>
      <c r="N7" s="25"/>
      <c r="O7" s="35" t="s">
        <v>10</v>
      </c>
      <c r="P7" s="35" t="s">
        <v>10</v>
      </c>
      <c r="Q7" s="35" t="s">
        <v>10</v>
      </c>
      <c r="R7" s="35" t="s">
        <v>41</v>
      </c>
      <c r="S7" s="24" t="s">
        <v>74</v>
      </c>
    </row>
    <row r="8" spans="1:19" s="36" customFormat="1" ht="12.75" x14ac:dyDescent="0.2">
      <c r="A8" s="38" t="s">
        <v>65</v>
      </c>
      <c r="B8" s="39" t="s">
        <v>66</v>
      </c>
      <c r="C8" s="28">
        <v>2980.3</v>
      </c>
      <c r="D8" s="29" t="s">
        <v>9</v>
      </c>
      <c r="E8" s="30">
        <v>242</v>
      </c>
      <c r="F8" s="31">
        <v>319</v>
      </c>
      <c r="G8" s="32"/>
      <c r="H8" s="41">
        <v>4282004</v>
      </c>
      <c r="I8" s="41">
        <v>4399466</v>
      </c>
      <c r="J8" s="25" t="s">
        <v>29</v>
      </c>
      <c r="K8" s="23" t="s">
        <v>58</v>
      </c>
      <c r="L8" s="38">
        <v>87782</v>
      </c>
      <c r="M8" s="40">
        <v>45952</v>
      </c>
      <c r="N8" s="25"/>
      <c r="O8" s="35" t="s">
        <v>10</v>
      </c>
      <c r="P8" s="35" t="s">
        <v>10</v>
      </c>
      <c r="Q8" s="35" t="s">
        <v>10</v>
      </c>
      <c r="R8" s="35" t="s">
        <v>41</v>
      </c>
      <c r="S8" s="24" t="s">
        <v>75</v>
      </c>
    </row>
  </sheetData>
  <sheetProtection formatCells="0" formatColumns="0" formatRows="0" insertHyperlinks="0" sort="0" autoFilter="0" pivotTables="0"/>
  <autoFilter ref="A1:R8" xr:uid="{E76ED07C-DAA3-4D41-A63E-9156D961F4A2}"/>
  <dataValidations count="1">
    <dataValidation type="list" allowBlank="1" showInputMessage="1" showErrorMessage="1" sqref="G2:G8" xr:uid="{62A7ECC1-2907-4030-A2B9-E591C241F2EA}">
      <formula1>"SERV EXTERNO, COMPRA SERVIÇO, COMPRA MATERIAL"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GerarIDs.GerarIDs">
                <anchor moveWithCells="1" sizeWithCells="1">
                  <from>
                    <xdr:col>1</xdr:col>
                    <xdr:colOff>257175</xdr:colOff>
                    <xdr:row>0</xdr:row>
                    <xdr:rowOff>123825</xdr:rowOff>
                  </from>
                  <to>
                    <xdr:col>1</xdr:col>
                    <xdr:colOff>962025</xdr:colOff>
                    <xdr:row>0</xdr:row>
                    <xdr:rowOff>485775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5" name="Button 6">
              <controlPr defaultSize="0" print="0" autoFill="0" autoPict="0" macro="[0]!AlternarCongelamento.AlternarCongelamento">
                <anchor moveWithCells="1" sizeWithCells="1">
                  <from>
                    <xdr:col>1</xdr:col>
                    <xdr:colOff>3600450</xdr:colOff>
                    <xdr:row>0</xdr:row>
                    <xdr:rowOff>123825</xdr:rowOff>
                  </from>
                  <to>
                    <xdr:col>1</xdr:col>
                    <xdr:colOff>4486275</xdr:colOff>
                    <xdr:row>0</xdr:row>
                    <xdr:rowOff>533400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2BCC596A-8F6E-4002-8EE0-4DEF79BC6697}">
          <x14:formula1>
            <xm:f>DADOS!$C$2:$C$5</xm:f>
          </x14:formula1>
          <xm:sqref>E2:E8</xm:sqref>
        </x14:dataValidation>
        <x14:dataValidation type="list" allowBlank="1" showInputMessage="1" showErrorMessage="1" xr:uid="{6301E476-8B0D-4FEC-83CC-54871B5A47EA}">
          <x14:formula1>
            <xm:f>DADOS!$B$2:$B$11</xm:f>
          </x14:formula1>
          <xm:sqref>J2:J8</xm:sqref>
        </x14:dataValidation>
        <x14:dataValidation type="list" allowBlank="1" showInputMessage="1" showErrorMessage="1" xr:uid="{84016561-14A1-481E-BE50-2C31D3C19206}">
          <x14:formula1>
            <xm:f>DADOS!$D$2:$D$17</xm:f>
          </x14:formula1>
          <xm:sqref>D2:D8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6dbcbc56-3d12-411a-a735-f36ec8e8bfd2">
      <Terms xmlns="http://schemas.microsoft.com/office/infopath/2007/PartnerControls"/>
    </lcf76f155ced4ddcb4097134ff3c332f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71220A11FEA46C4886D3604CC483AD6B" ma:contentTypeVersion="15" ma:contentTypeDescription="Crie um novo documento." ma:contentTypeScope="" ma:versionID="bb07fbe832bfbac930195f44faefcab7">
  <xsd:schema xmlns:xsd="http://www.w3.org/2001/XMLSchema" xmlns:xs="http://www.w3.org/2001/XMLSchema" xmlns:p="http://schemas.microsoft.com/office/2006/metadata/properties" xmlns:ns2="6dbcbc56-3d12-411a-a735-f36ec8e8bfd2" xmlns:ns3="8de5c96d-c68a-4bc1-8ca7-a6766c74fd4d" targetNamespace="http://schemas.microsoft.com/office/2006/metadata/properties" ma:root="true" ma:fieldsID="71ce47b93599878504e7d9a94c5299da" ns2:_="" ns3:_="">
    <xsd:import namespace="6dbcbc56-3d12-411a-a735-f36ec8e8bfd2"/>
    <xsd:import namespace="8de5c96d-c68a-4bc1-8ca7-a6766c74fd4d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2:MediaServiceOCR" minOccurs="0"/>
                <xsd:element ref="ns2:MediaServiceLocation" minOccurs="0"/>
                <xsd:element ref="ns2:MediaServiceSearchPropertie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dbcbc56-3d12-411a-a735-f36ec8e8bfd2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0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1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4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18" nillable="true" ma:taxonomy="true" ma:internalName="lcf76f155ced4ddcb4097134ff3c332f" ma:taxonomyFieldName="MediaServiceImageTags" ma:displayName="Marcações de imagem" ma:readOnly="false" ma:fieldId="{5cf76f15-5ced-4ddc-b409-7134ff3c332f}" ma:taxonomyMulti="true" ma:sspId="69df8bfc-69f5-472b-bcc3-14f5ad47a75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9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Location" ma:index="20" nillable="true" ma:displayName="Location" ma:description="" ma:indexed="true" ma:internalName="MediaServiceLocation" ma:readOnly="true">
      <xsd:simpleType>
        <xsd:restriction base="dms:Text"/>
      </xsd:simpleType>
    </xsd:element>
    <xsd:element name="MediaServiceSearchProperties" ma:index="21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BillingMetadata" ma:index="22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de5c96d-c68a-4bc1-8ca7-a6766c74fd4d" elementFormDefault="qualified">
    <xsd:import namespace="http://schemas.microsoft.com/office/2006/documentManagement/types"/>
    <xsd:import namespace="http://schemas.microsoft.com/office/infopath/2007/PartnerControls"/>
    <xsd:element name="SharedWithUsers" ma:index="15" nillable="true" ma:displayName="Compartilhado com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6" nillable="true" ma:displayName="Detalhes de Compartilhado Com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60843E7F-DCA1-4FBE-8AEE-F739F63FAD5F}">
  <ds:schemaRefs>
    <ds:schemaRef ds:uri="http://schemas.microsoft.com/office/2006/metadata/properties"/>
    <ds:schemaRef ds:uri="http://schemas.microsoft.com/office/infopath/2007/PartnerControls"/>
    <ds:schemaRef ds:uri="6dbcbc56-3d12-411a-a735-f36ec8e8bfd2"/>
  </ds:schemaRefs>
</ds:datastoreItem>
</file>

<file path=customXml/itemProps2.xml><?xml version="1.0" encoding="utf-8"?>
<ds:datastoreItem xmlns:ds="http://schemas.openxmlformats.org/officeDocument/2006/customXml" ds:itemID="{CDDA4EE2-72BB-4CD5-80FF-EAFC698EEABA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13C5C945-474E-4133-9AF8-55A4124AD51D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dbcbc56-3d12-411a-a735-f36ec8e8bfd2"/>
    <ds:schemaRef ds:uri="8de5c96d-c68a-4bc1-8ca7-a6766c74fd4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DADOS</vt:lpstr>
      <vt:lpstr>DASHBOARD</vt:lpstr>
      <vt:lpstr>GASTOS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José Adenilson</dc:creator>
  <cp:keywords/>
  <dc:description/>
  <cp:lastModifiedBy>José Adenilson</cp:lastModifiedBy>
  <cp:revision/>
  <dcterms:created xsi:type="dcterms:W3CDTF">2025-12-11T15:06:21Z</dcterms:created>
  <dcterms:modified xsi:type="dcterms:W3CDTF">2026-04-05T22:43:06Z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0x01010071220A11FEA46C4886D3604CC483AD6B</vt:lpwstr>
  </property>
  <property fmtid="{D5CDD505-2E9C-101B-9397-08002B2CF9AE}" pid="3" name="MediaServiceImageTags">
    <vt:lpwstr/>
  </property>
</Properties>
</file>