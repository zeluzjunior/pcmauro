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C:\Users\camila-ramos\Downloads\"/>
    </mc:Choice>
  </mc:AlternateContent>
  <xr:revisionPtr revIDLastSave="2207" documentId="11_1275DCA3EBC3BC8C8983CF2FF4CEE6DE9BAC1FDD" xr6:coauthVersionLast="47" xr6:coauthVersionMax="47" xr10:uidLastSave="{6F8FBDA0-6B8E-41F5-9948-9CF874D0ED9F}"/>
  <bookViews>
    <workbookView xWindow="0" yWindow="0" windowWidth="30720" windowHeight="13704" xr2:uid="{00000000-000D-0000-FFFF-FFFF00000000}"/>
  </bookViews>
  <sheets>
    <sheet name="CONTROLE RC E NF" sheetId="1" r:id="rId1"/>
    <sheet name="LISTA SUSPENSA - NÃO ALTERAR " sheetId="3" state="hidden" r:id="rId2"/>
    <sheet name="NF FIXA MENSAL - CONTRATO" sheetId="7" r:id="rId3"/>
    <sheet name="CONTROLE - CONTRATOS SERVIÇO" sheetId="4" r:id="rId4"/>
    <sheet name="RATEIO" sheetId="5" r:id="rId5"/>
  </sheets>
  <definedNames>
    <definedName name="_xlnm._FilterDatabase" localSheetId="1" hidden="1">'LISTA SUSPENSA - NÃO ALTERAR '!$E$1:$E$9</definedName>
    <definedName name="_xlnm._FilterDatabase" localSheetId="2" hidden="1">'NF FIXA MENSAL - CONTRATO'!$A$1:$P$251</definedName>
    <definedName name="_xlnm._FilterDatabase" localSheetId="3" hidden="1">'CONTROLE - CONTRATOS SERVIÇO'!$A$1:$AI$24</definedName>
    <definedName name="_xlnm._FilterDatabase" localSheetId="0" hidden="1">'CONTROLE RC E NF'!$B$3:$AB$388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96" i="1" l="1"/>
  <c r="AB365" i="1"/>
  <c r="AB364"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06" i="1"/>
  <c r="AB166"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3" i="1"/>
  <c r="AB294" i="1"/>
  <c r="AB293" i="1"/>
  <c r="AB292" i="1"/>
  <c r="AB291" i="1"/>
  <c r="AB290" i="1"/>
  <c r="AB289" i="1"/>
  <c r="AB119" i="1"/>
  <c r="AB242" i="1"/>
  <c r="AB211" i="1"/>
  <c r="AB210" i="1"/>
  <c r="AB141" i="1"/>
  <c r="AB140" i="1"/>
  <c r="AB138" i="1"/>
  <c r="AB137" i="1"/>
  <c r="AB135" i="1"/>
  <c r="AB133" i="1"/>
  <c r="AB132" i="1"/>
  <c r="AB128" i="1"/>
  <c r="AB127" i="1"/>
  <c r="AB173" i="1"/>
  <c r="AB157" i="1"/>
  <c r="AB150" i="1"/>
  <c r="AB125" i="1"/>
  <c r="AB171" i="1"/>
  <c r="AB80" i="1"/>
  <c r="AB5" i="1"/>
  <c r="AB288" i="1"/>
  <c r="AB286" i="1"/>
  <c r="AB285" i="1"/>
  <c r="AB284" i="1"/>
  <c r="AB283" i="1"/>
  <c r="AB282" i="1"/>
  <c r="AB281" i="1"/>
  <c r="AB280" i="1"/>
  <c r="AB279" i="1"/>
  <c r="AB278" i="1"/>
  <c r="AB277" i="1"/>
  <c r="AB276" i="1"/>
  <c r="AB275" i="1"/>
  <c r="AB274" i="1"/>
  <c r="AB273" i="1"/>
  <c r="AB272" i="1"/>
  <c r="AB271" i="1"/>
  <c r="AB270"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1" i="1"/>
  <c r="AB145" i="1"/>
  <c r="AB129" i="1"/>
  <c r="AB147" i="1"/>
  <c r="AB146" i="1"/>
  <c r="I15" i="5"/>
  <c r="I16" i="5"/>
  <c r="F25" i="5"/>
  <c r="F24" i="5"/>
  <c r="F23" i="5"/>
  <c r="F22" i="5"/>
  <c r="F21" i="5"/>
  <c r="F20" i="5"/>
  <c r="F19" i="5"/>
  <c r="F18" i="5"/>
  <c r="F17" i="5"/>
  <c r="F16" i="5"/>
  <c r="F15" i="5"/>
  <c r="F14" i="5"/>
  <c r="F13" i="5"/>
  <c r="F12" i="5"/>
  <c r="F11" i="5"/>
  <c r="F10" i="5"/>
  <c r="F9" i="5"/>
  <c r="F8" i="5"/>
  <c r="F7" i="5"/>
  <c r="F27" i="5" s="1"/>
  <c r="AB57" i="1"/>
  <c r="AB4" i="1"/>
  <c r="AB6" i="1"/>
  <c r="AB7" i="1"/>
  <c r="AB8" i="1"/>
  <c r="AB9" i="1"/>
  <c r="AB10" i="1"/>
  <c r="AB11" i="1"/>
  <c r="AB12"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8" i="1"/>
  <c r="AB59" i="1"/>
  <c r="AB60" i="1"/>
  <c r="AB61" i="1"/>
  <c r="AB62" i="1"/>
  <c r="AB63" i="1"/>
  <c r="AB64" i="1"/>
  <c r="AB65" i="1"/>
  <c r="AB66" i="1"/>
  <c r="AB67" i="1"/>
  <c r="AB68" i="1"/>
  <c r="AB69" i="1"/>
  <c r="AB70" i="1"/>
  <c r="AB71" i="1"/>
  <c r="AB72" i="1"/>
  <c r="AB73" i="1"/>
  <c r="AB74" i="1"/>
  <c r="AB75" i="1"/>
  <c r="AB76" i="1"/>
  <c r="AB77" i="1"/>
  <c r="AB78" i="1"/>
  <c r="AB79" i="1"/>
  <c r="AB81" i="1"/>
  <c r="AB83" i="1"/>
  <c r="AB84" i="1"/>
  <c r="AB85" i="1"/>
  <c r="AB86" i="1"/>
  <c r="AB87" i="1"/>
  <c r="AB88" i="1"/>
  <c r="AB89" i="1"/>
  <c r="AB90" i="1"/>
  <c r="AB91" i="1"/>
  <c r="AB92" i="1"/>
  <c r="AB93" i="1"/>
  <c r="AB94" i="1"/>
  <c r="AB95" i="1"/>
  <c r="AB97" i="1"/>
  <c r="AB99" i="1"/>
  <c r="AB100" i="1"/>
  <c r="AB101" i="1"/>
  <c r="AB102" i="1"/>
  <c r="AB103" i="1"/>
  <c r="AB104" i="1"/>
  <c r="AB105" i="1"/>
  <c r="AB106" i="1"/>
  <c r="AB107" i="1"/>
  <c r="AB108" i="1"/>
  <c r="AB109" i="1"/>
  <c r="AB110" i="1"/>
  <c r="AB111" i="1"/>
  <c r="AB112" i="1"/>
  <c r="AB113" i="1"/>
  <c r="AB114" i="1"/>
  <c r="AB115" i="1"/>
  <c r="AB116" i="1"/>
  <c r="AB117" i="1"/>
  <c r="AB118" i="1"/>
  <c r="AB120" i="1"/>
  <c r="AB121" i="1"/>
  <c r="AB122" i="1"/>
  <c r="AB123" i="1"/>
  <c r="AB124" i="1"/>
  <c r="AB126" i="1"/>
  <c r="AB130" i="1"/>
  <c r="AB131" i="1"/>
  <c r="AB134" i="1"/>
  <c r="AB136" i="1"/>
  <c r="AB139" i="1"/>
  <c r="AB142" i="1"/>
  <c r="AB143" i="1"/>
  <c r="AB144" i="1"/>
  <c r="AB148" i="1"/>
  <c r="AB149" i="1"/>
  <c r="AB151" i="1"/>
  <c r="AB152" i="1"/>
  <c r="AB153" i="1"/>
  <c r="AB154" i="1"/>
  <c r="AB155" i="1"/>
  <c r="AB156" i="1"/>
  <c r="AB158" i="1"/>
  <c r="AB159" i="1"/>
  <c r="AB160" i="1"/>
  <c r="AB161" i="1"/>
  <c r="AB162" i="1"/>
  <c r="AB164" i="1"/>
  <c r="AB165" i="1"/>
  <c r="AB167" i="1"/>
  <c r="AB168" i="1"/>
  <c r="AB169" i="1"/>
  <c r="AB170" i="1"/>
  <c r="AB172"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7" i="1"/>
  <c r="AB208" i="1"/>
  <c r="AB209"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J9" i="5" l="1"/>
  <c r="J8" i="5"/>
  <c r="J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Camila Ramos</author>
    <author>tc={30311ED5-2EA9-4645-94BE-B9B659B66EFF}</author>
  </authors>
  <commentList>
    <comment ref="X59" authorId="0" shapeId="0" xr:uid="{00000000-0006-0000-0000-000001000000}">
      <text>
        <r>
          <rPr>
            <sz val="11"/>
            <color theme="1"/>
            <rFont val="Calibri"/>
            <family val="2"/>
            <scheme val="minor"/>
          </rPr>
          <t>Camila Ramos:
NOTA ENVIADA PARA EMAIL NFE@AURORA NA QUAL NINGUÉM DA UNIDADE RECEBEU PARA DAR AS DEVIDAS TRATATIVAS.
ORIENTADO NOVAMENTE O FORNECEDOR PARA CADASTRAR O EMAIL NFSERVOFAC PARA ENVIO DAS NOTAS DE SERVIÇO.</t>
        </r>
      </text>
    </comment>
    <comment ref="M231" authorId="0" shapeId="0" xr:uid="{00000000-0006-0000-0000-000002000000}">
      <text>
        <r>
          <rPr>
            <sz val="11"/>
            <color theme="1"/>
            <rFont val="Calibri"/>
            <family val="2"/>
            <scheme val="minor"/>
          </rPr>
          <t>Camila Ramos:
Serviço prestado final de 2024 pelo Leonardo Gava, onde tanto o encarregado quanto o fornecedor esqueceram de dar andamento para pagamento do serviço.</t>
        </r>
      </text>
    </comment>
    <comment ref="T235" authorId="0" shapeId="0" xr:uid="{00000000-0006-0000-0000-000003000000}">
      <text>
        <r>
          <rPr>
            <sz val="11"/>
            <color theme="1"/>
            <rFont val="Calibri"/>
            <family val="2"/>
            <scheme val="minor"/>
          </rPr>
          <t>Camila Ramos:
Referente a entrega da peça, a mesma foi levada no dia 16/11 , não foi emitido nota de retorno pois o material foi retirado com romaneio interno da empresa, retornando com o mesmo.</t>
        </r>
      </text>
    </comment>
    <comment ref="M307" authorId="1" shapeId="0" xr:uid="{30311ED5-2EA9-4645-94BE-B9B659B66EFF}">
      <text>
        <t>[Threaded comment]
Your version of Excel allows you to read this threaded comment; however, any edits to it will get removed if the file is opened in a newer version of Excel. Learn more: https://go.microsoft.com/fwlink/?linkid=870924
Comment:
    SERVIÇO NÃO PRESTADO ANTES DO PEDIDO, APENAS ABERTO COMO 5 POR SER EMERGENCIAL.</t>
      </text>
    </comment>
  </commentList>
</comments>
</file>

<file path=xl/sharedStrings.xml><?xml version="1.0" encoding="utf-8"?>
<sst xmlns="http://schemas.openxmlformats.org/spreadsheetml/2006/main" count="5682" uniqueCount="1177">
  <si>
    <t>NF SAÍDA</t>
  </si>
  <si>
    <t>REQUISIÇÃO DE COMPRA</t>
  </si>
  <si>
    <t>NF DE SERVIÇO</t>
  </si>
  <si>
    <t>STATUS GERAL</t>
  </si>
  <si>
    <t>SOLICITANTE</t>
  </si>
  <si>
    <t>EMPRESA</t>
  </si>
  <si>
    <t>DESCRIÇÃO DO SERVIÇO</t>
  </si>
  <si>
    <t>C.A/RATEIO</t>
  </si>
  <si>
    <t>USO</t>
  </si>
  <si>
    <t>QUEM ABRIU 
A RC</t>
  </si>
  <si>
    <t>ORÇAMENTO</t>
  </si>
  <si>
    <t>O.S</t>
  </si>
  <si>
    <t>CLASSIF.</t>
  </si>
  <si>
    <t>JUSTIFICATIVA CLASSIFICAÇÃO</t>
  </si>
  <si>
    <r>
      <rPr>
        <sz val="9"/>
        <color rgb="FF000000"/>
        <rFont val="Calibri"/>
        <scheme val="minor"/>
      </rPr>
      <t xml:space="preserve">SPAF0009 - Acesso portária </t>
    </r>
    <r>
      <rPr>
        <sz val="9"/>
        <color rgb="FFFF0000"/>
        <rFont val="Calibri"/>
        <scheme val="minor"/>
      </rPr>
      <t>p/ classif. 5 e 8</t>
    </r>
  </si>
  <si>
    <t>RC</t>
  </si>
  <si>
    <t>DATA RC</t>
  </si>
  <si>
    <t>PEDIDO</t>
  </si>
  <si>
    <t>VALOR TOTAL DO PEDIDO</t>
  </si>
  <si>
    <t>PREVISÃO PARA USO</t>
  </si>
  <si>
    <t>NF SERVIÇO</t>
  </si>
  <si>
    <t>NF RETORNO E DATA LANÇAMENTO</t>
  </si>
  <si>
    <t>CNPJ AURORA</t>
  </si>
  <si>
    <t>SIMPLES NACIONAL</t>
  </si>
  <si>
    <t>VALOR NF</t>
  </si>
  <si>
    <t>EMISSÃO</t>
  </si>
  <si>
    <t>INCLUSÃO 198</t>
  </si>
  <si>
    <t>STATUS</t>
  </si>
  <si>
    <t>OBS</t>
  </si>
  <si>
    <t xml:space="preserve">SALDO RESIDUAL PEDIDO </t>
  </si>
  <si>
    <t>Emanuel</t>
  </si>
  <si>
    <t>BALENA</t>
  </si>
  <si>
    <t>TORNO - usinagem roldanas, para Máquina de lavar monobloblo KUCMAQ</t>
  </si>
  <si>
    <t>Camila</t>
  </si>
  <si>
    <t>93887 - BALENA 5.722,31</t>
  </si>
  <si>
    <t>-</t>
  </si>
  <si>
    <t>20319 - 21/10/25</t>
  </si>
  <si>
    <t>OK</t>
  </si>
  <si>
    <t>não</t>
  </si>
  <si>
    <t>9. FINALIZADO 100%</t>
  </si>
  <si>
    <t>TORNO - usinagem peças de regulagem de fluxo das lavadoras de alta pressão higienização.</t>
  </si>
  <si>
    <t>93863 - BALENA 4.928,00</t>
  </si>
  <si>
    <t>20318 - 21/10/25</t>
  </si>
  <si>
    <t>Rhuan</t>
  </si>
  <si>
    <t>EQUIPARE</t>
  </si>
  <si>
    <t xml:space="preserve">SERVIÇO DE MÃO DE OBRA PARA REALIZAR MANUTENÇÃO PREVENTIVA NO TRITURADOR DE OSSOS
</t>
  </si>
  <si>
    <t>6664 - EQUIPARE 39.520,00</t>
  </si>
  <si>
    <t>estamos enviando com apenas um orçamento devido o fornecedor Equipare ser o fabricante da máquina.</t>
  </si>
  <si>
    <t>5. NF - PEDIDO GERADO, AGUARDANDO NF</t>
  </si>
  <si>
    <t>Eric</t>
  </si>
  <si>
    <t>RT INSTALAÇÕES</t>
  </si>
  <si>
    <t>SERVIÇO DE MÃO DE OBRA E MATERIAL PARA REALIZAR A SUBSTITUIÇÃO DAS JUNTAS EM 4 ESTUFAS TVA VEMAG</t>
  </si>
  <si>
    <t>5388 - RT 53.400,00</t>
  </si>
  <si>
    <t>encaminhamos a solicitação com apenas um orçamento, considerando que o fornecedor RT detém o know-how necessário para a execução precisa da atividade, já tendo prestado este serviço anteriormente ao fabricante das estufas em outras unidades da Aurora.</t>
  </si>
  <si>
    <t>J ORTIZ</t>
  </si>
  <si>
    <t>SERVIÇO DE MÃO DE OBRA E MATERIAL PARA: DEMOLIÇÃO E CONSERTO DA ENTRADA DA BALANÇA EM UMA ÁREA DE 5X4,50(22,5M²) E DESTINAÇÃO DE ENTULHOS, DEMOLIÇÃO DE 4 BASES DE CONCRETO ARMADO EXISTENTES E DESTINAÇÃO DE ENTULHOS, EXECUÇÃO DE 04 NOVAS BASES EM CONCRETO ARMADO COM MEDIDAS DE 50 X 120 E EXECUÇÃO DE 22,5M² DE PAVIMENTO RÍGIDO (CONCRETO ARMADO COM VIGA DE CONCRETO ARMADO PARA REFORÇO NO ACESSO BALANÇA).</t>
  </si>
  <si>
    <t>2025220505 - DE PAULA 96.419,84
3179 - J ORTIZ 73.450,00
46 - FINISSIMA 66.832,00</t>
  </si>
  <si>
    <t>BUSCH</t>
  </si>
  <si>
    <t>SERVIÇO DE REVISÃO COM MÃO DE OBRA E PEÇAS, EM DUAS MOTOBOMBAS DE VÁCUO, SENDO:
1 MOTOBOMBA DE VÁCUO BUSCH RA 160 SN C1403000182, DO SETOR FRESCAIS (SFR - 4057);
1 MOTOBOMBA DE VÁCUO BUSCH RA 0305 D 5H3 SN C1434000300, DO SETOR PRESUNTARIA (PRU - 2291).
OBS: REVISÃO SERÁ FEITA NA UNIDADE</t>
  </si>
  <si>
    <t>455000013 - BUSCH 77.730,14</t>
  </si>
  <si>
    <t>estamos enviando com apenas um orçamento, devido o fornecedor ser o fabricante dos equipamentos.</t>
  </si>
  <si>
    <t>SERVIÇO DE CONSERTO EM MOTOBOMBA DE VÁCUO BUSCH 
WV 1000 C 001 SN C1407000742</t>
  </si>
  <si>
    <t>442003939 - BUSCH 47.367,10</t>
  </si>
  <si>
    <t>121467 - 09/12/25
121465 - 09/12/25</t>
  </si>
  <si>
    <t>NÃO</t>
  </si>
  <si>
    <t>10. PARCIALMENTE ATENDIDO</t>
  </si>
  <si>
    <t>SERVIÇO DE CONSERTO EM MOTOBOMBA DE VÁCUO BUSCH WV 0500 C 001 SN C1426000540</t>
  </si>
  <si>
    <t>442003938 BUSCH 64.483,29</t>
  </si>
  <si>
    <t>C O MUELLER</t>
  </si>
  <si>
    <t xml:space="preserve">SERVIÇO DE CONSERTO EM MOTOBOMBA OMEL BVM/11-156/60 SN 206.048
</t>
  </si>
  <si>
    <t>1.517.889 - C O MUELLER 21.371,00</t>
  </si>
  <si>
    <t>68523 - 03/10/25</t>
  </si>
  <si>
    <t>ok</t>
  </si>
  <si>
    <t>SEW</t>
  </si>
  <si>
    <t>SERVIÇO DE CONSERTO EM MOTOREDUTOR SEW KHF37 CM71L/BR/HR/TF/RH1L/KK</t>
  </si>
  <si>
    <t>4827467 - SEW 10.358,24</t>
  </si>
  <si>
    <t>25396 - 16/09/25
25742 - 19/11/25</t>
  </si>
  <si>
    <t>TOLEDO DO BRASIL INDÚSTRIA DE BALAN LTDA</t>
  </si>
  <si>
    <t>SERVIÇO DE MÃO DE OBRA PARA REALIZAR A RETIRADA DA BALANÇA RODOVIÁRIA DO FOSSO, INSTALAÇÃO APÓS AS ADEQUAÇÕES DA BASE E CALIBRAÇÃO.</t>
  </si>
  <si>
    <t xml:space="preserve">Justificativa: estamos enviando com apenas um orçamento devido o fornecedor Toledo ter sido o responsável pelas últimas calibrações do equipamento, e ter realizado o levantamento de todas medidas necessárias e normativas para a realização do serviço.
</t>
  </si>
  <si>
    <t xml:space="preserve">Munters Brasil </t>
  </si>
  <si>
    <t>SERVIÇO DE MÃO DE OBRA E MATERIAL PARA SUBSTITUIÇÃO DO KIT DE SELOS COM CLIPS, CORREIA DE ACIONAMENTO, ROLETE DE SUPORTE PARA CILINDRO, MOTOR DE ACIONAMENTO E CONJUNTO VENTILADOR DO CONE PARA MOTOR DA CARCAÇA DO DESUMIDIFICADOR MUNTERS HCD 4500</t>
  </si>
  <si>
    <t>Justificativa: estamos enviando com apenas um orçamento devido o fornecedor Münters ser o fabricante da máquina.</t>
  </si>
  <si>
    <t>ATIVA PRO</t>
  </si>
  <si>
    <t>CONSERTO EM IHM DA EMBUTIDEIRA HANDTMANN MODELO VF830</t>
  </si>
  <si>
    <t>80194 - ATIVA PRO 5.417,20</t>
  </si>
  <si>
    <t>325 - 19/11/25</t>
  </si>
  <si>
    <t>SIM</t>
  </si>
  <si>
    <t>BERMO</t>
  </si>
  <si>
    <t xml:space="preserve">CONSERTO EM: UMA VÁLVULA REDUTORA DE PRESSÃO DN 2" M14 E UMA VÁLVULA REDUTORA DE PRESSÃO DN 2" MP-10
</t>
  </si>
  <si>
    <t>59.263 - BERMO 6.080,00</t>
  </si>
  <si>
    <t>28536 - 10/11/25</t>
  </si>
  <si>
    <t>SERVIÇO DE CONSERTO EM MOTOBOMBA DE VÁCUO BUSCH RA 
160 SN C1403000182</t>
  </si>
  <si>
    <t>456000126 - BUSCH  40.939,84</t>
  </si>
  <si>
    <t>SERVIÇO DE VERIFICAÇÃO E DETECÇÃO DE VAZAMENTOS NA LINHA DE VÁCUO ATRAVÉS DO DETECTOR DE VAZAMENTOS A HÉLIO ASM340)</t>
  </si>
  <si>
    <t>455000036 - BUSCH 15.339,50</t>
  </si>
  <si>
    <t>estamos enviando com apenas um orçamento, devido ao fornecedor Busch ser o fabricante de todas as nossa motobombas de vácuo e possuir o Know-how para a realização do serviço.</t>
  </si>
  <si>
    <t>CONSERTO DA MOTOBOMBA DE VÁCUO BUSCH RA 0160 D 563 AJXZ SN C1347000561</t>
  </si>
  <si>
    <t>456000132 - BUSCH  56.902,02</t>
  </si>
  <si>
    <t>TORNO - CONFECÇÃO DE SUPORTE COM ESTRUTURA EM NYLON E VISOR EM 
POLICARBONATO PARA RELÓGIO DIGITAL COM VEDAÇÃO HERMÉTICA</t>
  </si>
  <si>
    <t>94024 - BALENA 2.696,00</t>
  </si>
  <si>
    <t>CONSERTO DO MOTOREDUTOR SEW SA77 DRE90L4 SN 
70.0241778806.0004.14</t>
  </si>
  <si>
    <t>4837226 - SEW 10.103,40</t>
  </si>
  <si>
    <r>
      <rPr>
        <sz val="9"/>
        <color rgb="FFFF0000"/>
        <rFont val="Calibri"/>
        <scheme val="minor"/>
      </rPr>
      <t xml:space="preserve">4281804
4294860
</t>
    </r>
    <r>
      <rPr>
        <sz val="9"/>
        <color rgb="FF000000"/>
        <rFont val="Calibri"/>
        <scheme val="minor"/>
      </rPr>
      <t>4306425</t>
    </r>
  </si>
  <si>
    <r>
      <rPr>
        <sz val="9"/>
        <color rgb="FFFF0000"/>
        <rFont val="Calibri"/>
        <scheme val="minor"/>
      </rPr>
      <t xml:space="preserve">27/10/2025
</t>
    </r>
    <r>
      <rPr>
        <sz val="9"/>
        <color rgb="FF000000"/>
        <rFont val="Calibri"/>
        <scheme val="minor"/>
      </rPr>
      <t>20/11/2025</t>
    </r>
  </si>
  <si>
    <t>Mateus Wolfart:
COTAÇÃO EM ABERTO DESDE 28/10, SEM RETORNO COM O PREENCHIMENTO VIA PORTAL;
FORNECEDOR NÃO DEMONSTROU COMPROMETIMENTO EM COTAR DE ACORDO COM OS FLUXOS E PROCESSOS DA AURORA, INCLUSIVE, NÃO RESPEITANDO OS PRAZOS PRÉ ESTIPULADOS.;
FAVOR REPROCESSAR A RC SOMENTE QUANDO O MESMO ESTIVER COMPROMETIDO EM COTAR DE ACORDO COM NOSSOS FLUXOS E PROCESSOS;</t>
  </si>
  <si>
    <t>Igor</t>
  </si>
  <si>
    <t>VELOTANO</t>
  </si>
  <si>
    <t>TORNO - USINAGEM EM CASTANHAS DA RODA DEBOFLEX</t>
  </si>
  <si>
    <t>397 - VELOTANO 4.920,00</t>
  </si>
  <si>
    <t>3942 - 09/10/25</t>
  </si>
  <si>
    <t>TORNO - MÃO DE OBRA PARA REFORMA DE 55 CARRETILHAS</t>
  </si>
  <si>
    <t>93848 - BALENA 11.639,32</t>
  </si>
  <si>
    <t>20289 - 14/10/25</t>
  </si>
  <si>
    <t>CONSERTO DE 40 MANEIAS UTILIZADAS NO TAM DE SANGRIA.</t>
  </si>
  <si>
    <t>93912 - BALENA 23.232,00</t>
  </si>
  <si>
    <t>PHDS</t>
  </si>
  <si>
    <t>EMBUCHAMENTO INTERNO DA ENGRENAGEMØ 101 BILONGAR FUROS PARA RAIO DE 150 (RODA DE TRAÇÃO DE NOREA DE MIUDOS)</t>
  </si>
  <si>
    <t>465 - PHDS 1.880,00</t>
  </si>
  <si>
    <t>Devido às falhas recorrentes observadas na nórea de miúdos, foi constatada a necessidade de substituição das duas rodas de tração. No entanto, as peças disponíveis em estoque apresentavam incompatibilidade na furação em relação às rodas desgastadas. Diante disso, foi necessário adaptar as peças, realizando o alongamento da furação e a confecção de uma bucha centralizadora para garantir o correto alinhamento e funcionamento do sistema. Considerando que a nórea apresentava indícios de mau funcionamento, com paradas frequentes e prolongadas, a intervenção foi realizada em caráter de urgência, a fim de evitar maiores impactos na operação.</t>
  </si>
  <si>
    <t>88 - 02/10/25</t>
  </si>
  <si>
    <t xml:space="preserve">	USINAGEM SUPORTE DA SERRA AUTO SPLITTER.</t>
  </si>
  <si>
    <t>408 - VELOTANO 945,00</t>
  </si>
  <si>
    <t>3954 - 20/10/25</t>
  </si>
  <si>
    <t>sim</t>
  </si>
  <si>
    <t>Marcos</t>
  </si>
  <si>
    <t>TORNO - FABRICAÇÃO DE BOTOEIRAS EM INOX CONFORME AMOSTRAS</t>
  </si>
  <si>
    <t>235 - THOMAZ &amp; BARONI 7.500,00
220 - EDINOX 8.522,73
379 - VELOTANO 7.275,00</t>
  </si>
  <si>
    <t>TORNO - usinagem recuperação caixa selagem F200</t>
  </si>
  <si>
    <t>402 - VELOTANO 4.940,00</t>
  </si>
  <si>
    <t>3946 - 14/10/25</t>
  </si>
  <si>
    <t>TORNO - usinagem borda caixa metálica F200</t>
  </si>
  <si>
    <t>403 - VELOTANO 3.850,00</t>
  </si>
  <si>
    <t>3824 - 28/06/25
3949 - 15/10/25</t>
  </si>
  <si>
    <t>THOMAZ &amp; BARONI</t>
  </si>
  <si>
    <t>SOLDAS SANITÁRIAS NA EMBALAGEM INDUSTRIAL CONFORME SOLICITAÇÃO DO CONTROLE DE QUALIDADE</t>
  </si>
  <si>
    <t>252 - THOMAZ &amp; BARONI 3.500,00</t>
  </si>
  <si>
    <t>Após inspeção realizada in loco pelo setor de Controle de qualidade, foi evidenciado por e-mail para manutenção, a necessidade de refazer soldas em mesas, carrinhos e estruturas de máquinas com soldas em condições "não sanitárias" e descontinuadas (com frestas). Estes pontos foram definidos como potenciais agentes de proliferação de contaminantes por estarem diretamente em contato com os produtos processados no setor.</t>
  </si>
  <si>
    <t>AVF USINAGEM</t>
  </si>
  <si>
    <t>TORNO - Usinagem recuperação de régua da Seladora vácuo VC999</t>
  </si>
  <si>
    <t>Régua de selagem com isoladores e roscas danificados gerando paradas no equipamento durante a semana.  Devido ao processo de produção ocorrer até sábado, para não afetar a entrega de volume, optou-se por enviar a peça no domingo para o reparo definitivo.</t>
  </si>
  <si>
    <t>2000 - 14/10/25</t>
  </si>
  <si>
    <t>TORNO - Usinagem em isoladores para VC999</t>
  </si>
  <si>
    <t>5 - AVF USINAGEM 3.398,00</t>
  </si>
  <si>
    <t>2021 - 25/11/25</t>
  </si>
  <si>
    <t xml:space="preserve">TORNO - Usinagem molde inferior selagem F200 SEI </t>
  </si>
  <si>
    <t>388 - VALOTANO 3.850,00</t>
  </si>
  <si>
    <t>simPLES NACIONAL</t>
  </si>
  <si>
    <t>Thales</t>
  </si>
  <si>
    <t>MAINGER ELECTRIC</t>
  </si>
  <si>
    <t>Serviço de mão de obra e material para realizar o conserto em inversor de frequência Lenze utilizado na Textor.</t>
  </si>
  <si>
    <t>919 - MAINGER ELECTRIC 3.800,00</t>
  </si>
  <si>
    <t>10. SALDO CANCELADO</t>
  </si>
  <si>
    <t>A pedido do Thales.</t>
  </si>
  <si>
    <t>USICASTRO</t>
  </si>
  <si>
    <t>TORNO -  conserto em eixo e rotor da bomba lavadora de monoblocos.</t>
  </si>
  <si>
    <t>220 - USICASTRO 6.456,00</t>
  </si>
  <si>
    <t>4250302
4261100
4269348
4275222
4286249</t>
  </si>
  <si>
    <t>10. RC/PEDIDO CANCELADO</t>
  </si>
  <si>
    <t>SALVA 30/10 - Gieferson Junior Bosa:
novamente não recebemos retorno desta empresa...
a empresa criou vários cnpjs, mas precisamos definir apenas 1 como padrão</t>
  </si>
  <si>
    <t>TORNO - conserto em peça utilizada nos riscadores da deboflex</t>
  </si>
  <si>
    <t>93784 - BALENA 3.455,93</t>
  </si>
  <si>
    <t>20317 - 21/10/25</t>
  </si>
  <si>
    <t>TORNO - confecção de roletes, envolvendo usinagem, para a linha Velati que está sem. A ausência destes acaba aumentando o desgaste do equipamento e esteira.</t>
  </si>
  <si>
    <t>93907 - BALENA 5.627,18
417 - USICASTRO 5.775,00
400 - VELOTANO 2.685,00</t>
  </si>
  <si>
    <t>TORNO - fabricação, envolvendo usinagem, de bucha para máquina desossa de cabeça PHD.</t>
  </si>
  <si>
    <r>
      <rPr>
        <sz val="9"/>
        <color rgb="FFFF0000"/>
        <rFont val="Calibri"/>
        <scheme val="minor"/>
      </rPr>
      <t xml:space="preserve">301031 - USICASTRO 725,00
</t>
    </r>
    <r>
      <rPr>
        <sz val="9"/>
        <color rgb="FF000000"/>
        <rFont val="Calibri"/>
        <scheme val="minor"/>
      </rPr>
      <t>701 - PHDS 725,00</t>
    </r>
  </si>
  <si>
    <t>retirado/emergencial mediante ao fato de que o serviço foi executado e entregue dia 05/05. O atraso no envio da proposta é mediante ao fato do esquecimento na abertura por colaborador que hoje não integra mais o corpo técnico da manutenção. Requisição aberta inicialmente 10/10 porém fornecedor não estava conseguindo responder cotação no portal, devido a isso gerou atraso.</t>
  </si>
  <si>
    <r>
      <rPr>
        <sz val="9"/>
        <color rgb="FFFF0000"/>
        <rFont val="Calibri"/>
        <scheme val="minor"/>
      </rPr>
      <t xml:space="preserve">4267061
4275334
4289274
</t>
    </r>
    <r>
      <rPr>
        <sz val="9"/>
        <color rgb="FF000000"/>
        <rFont val="Calibri"/>
        <scheme val="minor"/>
      </rPr>
      <t>4310530</t>
    </r>
  </si>
  <si>
    <t>144 - 06/05/25</t>
  </si>
  <si>
    <t>AGRINOX</t>
  </si>
  <si>
    <t>substituição de tubulação e isolação no setor de higienização de monoblocos verdes indústria e cozimento de miúdos, conforme descrito em memorial descritivo.</t>
  </si>
  <si>
    <t>35%: 2721
65% 2283</t>
  </si>
  <si>
    <t>115 - USICASTRO 24.642,07
24125 - AGRINOX 12.900,00
2090 - METAL C 21.900,00
222 - EDINOX 15.738,64</t>
  </si>
  <si>
    <t>O motivo da urgência é devido ao fato de que as tubulações descritas no memorial estão bastante oxidadas e expostas aos colaboradores, gerando riscos de queimaduras. O serviço também vem apontado no monitoramento em planilhas de autocontrole que vão para o SIF.</t>
  </si>
  <si>
    <t>conserto em bandejas utilizadas no túnel de congelamento contínuo GEA.</t>
  </si>
  <si>
    <t>24154 - AGRINOX 10.430,00</t>
  </si>
  <si>
    <t>O motivo da urgência é devido ao fato de que não possuímos bandejas reservas para substituição no equipamento.
A falta ou utilização delas quebradas pode prejudicar toda a cadeia de produção da unidade.</t>
  </si>
  <si>
    <t>1154 - 20/10/25</t>
  </si>
  <si>
    <t>TORNO - conserto/usinagem das algemas utilizadas na nórea aérea de pernil.</t>
  </si>
  <si>
    <t>406 - VELOTANO 16.320,00</t>
  </si>
  <si>
    <t>O motivo da urgência é devido ao fato de que as algemas estão com um elevado desgaste na composição que agarra e prende os pernis. Dessa forma, acaba acarretando em diversos problemas como o não travamento da algema e liberação da peça no meio do processo. Os problemas citados acabam gerando um grande retrabalho recorrente para a produção.</t>
  </si>
  <si>
    <r>
      <rPr>
        <sz val="9"/>
        <color rgb="FFFF0000"/>
        <rFont val="Calibri"/>
        <scheme val="minor"/>
      </rPr>
      <t xml:space="preserve">4281809
</t>
    </r>
    <r>
      <rPr>
        <sz val="9"/>
        <color rgb="FF000000"/>
        <rFont val="Calibri"/>
        <scheme val="minor"/>
      </rPr>
      <t>4286337</t>
    </r>
  </si>
  <si>
    <r>
      <rPr>
        <sz val="9"/>
        <color rgb="FFFF0000"/>
        <rFont val="Calibri"/>
        <scheme val="minor"/>
      </rPr>
      <t xml:space="preserve">27/10/2025
</t>
    </r>
    <r>
      <rPr>
        <sz val="9"/>
        <color rgb="FF000000"/>
        <rFont val="Calibri"/>
        <scheme val="minor"/>
      </rPr>
      <t>30/10/2025</t>
    </r>
  </si>
  <si>
    <t>William Felipe</t>
  </si>
  <si>
    <t>TORNO - usinagem em redutor estufas</t>
  </si>
  <si>
    <t>Tayane</t>
  </si>
  <si>
    <t>VELOTANO 372</t>
  </si>
  <si>
    <t xml:space="preserve">3914 - 18/09/25
3882 - 21/08/25
3938 - 01/10/25
3963 - </t>
  </si>
  <si>
    <t>TORNO - usinagem em redutor da esteira textor</t>
  </si>
  <si>
    <t xml:space="preserve">3913 - 19/09/25
3962 - </t>
  </si>
  <si>
    <t>TORNO -  usinagem em placa de selagem multivac f200 finas</t>
  </si>
  <si>
    <t>BRAPENTA</t>
  </si>
  <si>
    <t xml:space="preserve">Serviço assistência técnica detector de metais loma </t>
  </si>
  <si>
    <t>OTECCR250913 - BRAPENTA  3.664,00</t>
  </si>
  <si>
    <t>Detector de metais loma IQ3 da f200 embalagem apresentou falhas onde não conseguimos identificar o problema, assim necessitamos do serviço de um técnico especializado LOMA para nos ajudar, pois foi necessário locar um equipamento para não parar a máquina. Estamos tento custo de aluguel e precisamos consertar o quanto antes nosso detector.</t>
  </si>
  <si>
    <t>TORNO - usinagem placas para o o flap das estufas.</t>
  </si>
  <si>
    <t>384 - PHDS 12.535,80</t>
  </si>
  <si>
    <t>O flap da estufa quebrou, onde o mesmo é responsável por direcionar a fumaça no processo de cozimento dos produtos, devido estar quebrado, a coloração e cozimento do produto estava fora de padrão, pois a fumaça estava apenas de um lado do produto.</t>
  </si>
  <si>
    <t>77 - outras saídas (entrada) - 22/09/25</t>
  </si>
  <si>
    <t>TORNO - usinagem em engrenagem do facão de corte linha velatti + fabricação do eixo das facas circulares mulitvac.</t>
  </si>
  <si>
    <t>11 - PHDS 965,00</t>
  </si>
  <si>
    <t>1°Equipamento parado, devido ao desgaste na engrenagem o facão parou de cortar e não tínhamos outra engrenagem para substituir.
2°Eixo da faca circular da f200, operador forçou o mesmo para retirar o suporte da faca e danificou toda a ponta do eixo impossibilitando a montagem novamente.</t>
  </si>
  <si>
    <t>6 - 22/07/25</t>
  </si>
  <si>
    <t>TORNO - usinagem em molas da tampa da porta do tumbler.</t>
  </si>
  <si>
    <t>367 - VELOTANO 2.400,00</t>
  </si>
  <si>
    <t>TORNO - usinagem em caixa de selagem multivac f200 embalagem.</t>
  </si>
  <si>
    <t>393 - VELOTANO 1.450,00</t>
  </si>
  <si>
    <t>VOLT</t>
  </si>
  <si>
    <t>conserto eletrônico em inversor de frequência sew eurodrive</t>
  </si>
  <si>
    <t>12260 - VOLT 1.230,00</t>
  </si>
  <si>
    <t>11624 - 18/08/25
11783 - 17/10/25
11634 - 21/08/25</t>
  </si>
  <si>
    <t>conserto eletrônico em inversor de frequência mitsubishi</t>
  </si>
  <si>
    <t>12290 - VOLT 911,00</t>
  </si>
  <si>
    <t>11803 - 22/10/25
11674 - 04/09/25</t>
  </si>
  <si>
    <t xml:space="preserve">conserto eletrônico em inversor de frequência </t>
  </si>
  <si>
    <t>12351 - VOLT 1.102,00</t>
  </si>
  <si>
    <t>11804 - 22/10/25</t>
  </si>
  <si>
    <t>METAL C</t>
  </si>
  <si>
    <t>confecção e instalação de 2 sapatas e 2 bases para reparo das portas dos tumbler, fixar 2 sapatas no piso com chumbador químico, realizar corte da base da estrutura da porta e soldar a nova, e realizar o ajuste da porta com o tumbler.</t>
  </si>
  <si>
    <t>2086 - METAL C 18.800,00</t>
  </si>
  <si>
    <t>Durante o processo, o operador está colocando plástico na tampa do tumbler para não dar passagem de vácuo durante o tumbleamento correndo risco de contaminação física com o plástico e perda de produto. Está prejudicando o tempo de montagem operacional no processo, pois o operador precisa ajustar a tampa manualmente porque a porta não possibilita mais regulagem devido a fixação da estrutura do piso estar comprometida.</t>
  </si>
  <si>
    <t>Bruno</t>
  </si>
  <si>
    <t>MALAGUTTI</t>
  </si>
  <si>
    <t>Serviço de material e mão de obra para reparos em 5000 m² no telhado do Abate. Serviço a ser executado na unidade.</t>
  </si>
  <si>
    <t>0 - MALAGUTTI 375.202,85
2575 - CALHAS CHAPECÓ 450.900,00
0 - HERCULES 869..600,00</t>
  </si>
  <si>
    <t>G P DA LUZ</t>
  </si>
  <si>
    <t>SERVIÇOS DE ELETRICA EM GERAL, LIGAÇÃO DE MOTORES, QUADROS, E LUMINÁRIAS. INSTALAÇÃO DE NOVOS PONTOS PARA MOTORES DE VENTILADORES E TOMADAS CONFORME DEMANDA. TODOS SERVIÇOS SERÃO REALIZADOS DENTRO DA UNIDADE EM DIAS DE SEMANA E FINAL DE SEMANA.</t>
  </si>
  <si>
    <t>50% 2224
50% 2488</t>
  </si>
  <si>
    <t>134 - G P DA LUZ 59.280,00
1024 - TESCH  63.000,00.
2 - VOLT 78.540,00</t>
  </si>
  <si>
    <r>
      <rPr>
        <sz val="9"/>
        <color rgb="FFFF0000"/>
        <rFont val="Calibri"/>
        <scheme val="minor"/>
      </rPr>
      <t xml:space="preserve">316
</t>
    </r>
    <r>
      <rPr>
        <sz val="9"/>
        <color rgb="FF000000"/>
        <rFont val="Calibri"/>
        <scheme val="minor"/>
      </rPr>
      <t>317</t>
    </r>
  </si>
  <si>
    <t>William G.</t>
  </si>
  <si>
    <t>TESCH</t>
  </si>
  <si>
    <t>SERVIÇO DE MÃO DE OBRA DE 2 ELETRICISTAS, DURANTE 15 DIAS, PARA CONSERTO, INSPEÇÃO E AJUSTES EM CONTROLADORES DE TEMPERATURA 
DOS SETORES DE PRODUÇÃO</t>
  </si>
  <si>
    <t>893 - TESCH 21.700,00.
3 - VOLT 23.887,50
57 - G P DA LUZ 25.650,00</t>
  </si>
  <si>
    <t>Flavio</t>
  </si>
  <si>
    <t>HAASEN</t>
  </si>
  <si>
    <t>manutenção no trocador de calor água 90°C</t>
  </si>
  <si>
    <t>90625 - TECSUL 19.588,33
HAASEN 11.775,90</t>
  </si>
  <si>
    <t>Somente duas empresas se prontificaram em responder a solicitação, além que as mesmas tem o material a pronta entrega para realizar a manutenção no equipamento.</t>
  </si>
  <si>
    <t>DALCI</t>
  </si>
  <si>
    <t>PRESTAÇÃO DE SERVIÇO COM FORNECIMENTO DE MÃO DE OBRA E MATERIAIS PARA A TROCA DOS ROLAMENTOS DIANTEIRO E TRASEIRO DOS TRÊS DIGESTORES DE VÍSCERAS.</t>
  </si>
  <si>
    <t>6834 - EQUIPARE 89.100,00
3 - PICCOLI 43.000,00
100 - PRESTECNICA    84.000,00</t>
  </si>
  <si>
    <t>José</t>
  </si>
  <si>
    <t>MAREL</t>
  </si>
  <si>
    <t xml:space="preserve">MATERIAL E MÃO DE OBRA PARA REVISÃO PREVENTIVA NA MÁQUINA V-CUT DO SETORDO ESPOSTEJAMENTO </t>
  </si>
  <si>
    <t>201244 - MAREL 673,76 EUR</t>
  </si>
  <si>
    <t>A manutenção é executada pelo fabricante e parte do plano de preventiva PMS, por isso em anexo apenas um orçamento. </t>
  </si>
  <si>
    <t>PMP</t>
  </si>
  <si>
    <t>SERVIÇO COM MATERIAL E MÃO DE OBRA PARA CONFECÇÃO DE 20 
UNIDADES DE PLACAS DE IDENTIFICAÇÃO PARA ALGEMAS DA MÁQUINA DE DESOSSA DE PERNIL AÉREO X-HAM CONFORME DESENHO</t>
  </si>
  <si>
    <t>7187- PMP 338,20</t>
  </si>
  <si>
    <t xml:space="preserve"> Apresenta-se apenas um orçamento pois o fabricante atual das algemas possui o projeto e as dimensões corretas para fabricação das placas de identificação.</t>
  </si>
  <si>
    <r>
      <rPr>
        <sz val="9"/>
        <color rgb="FFFF0000"/>
        <rFont val="Calibri"/>
        <scheme val="minor"/>
      </rPr>
      <t xml:space="preserve">4167693
4169863
</t>
    </r>
    <r>
      <rPr>
        <sz val="9"/>
        <color rgb="FF000000"/>
        <rFont val="Calibri"/>
        <scheme val="minor"/>
      </rPr>
      <t>4170793</t>
    </r>
  </si>
  <si>
    <t>Jeverson</t>
  </si>
  <si>
    <t>MAYEKAWA</t>
  </si>
  <si>
    <t>SERVIÇO DE MANUTENÇÃO COM CONTRATO - PRIVADO, REFERENTE A PREVENTIVA E DIFERENÇA DA REVISÃO DO CP04 200VLD E CP05 250 VMD NA UNIDADE. ATENDIMENTO EM FINAL DE SEMANA DAS 08:00 ÀS 17:00</t>
  </si>
  <si>
    <t>157400 - MAYEKAWA 27.204,82</t>
  </si>
  <si>
    <t>Manutenção será realizada no final de semana e no contrato de prestação de serviço fechado com o fornecedor não está incluso a manutenção em final de semana. Devido a falta de equipamento não conseguimos realizar durante a semana como pede.</t>
  </si>
  <si>
    <t>SERVIÇOS DE ADEQUAÇÕES E MELHORIAS MECÂNICAS,  SOLDA EM TUBULAÇÕES  E CHAPAS, E CONTONEIRAS DE AÇO INOX (SOLDAS EM GERAL) E REALIZAR INSTALAÇÃO DE CHAPAS EM AÇO INOX/ALUMINIO NA PAREDE DE ISOPAINEL PARA PROTEÇÃO. SERVIÇOS A SEREM REALIZADOS DENTRO DA UNIDADE FAC DURANTE SEMANA E FINAIS DE SEMANA.</t>
  </si>
  <si>
    <t>25% - 2488
25% -  2224
25% - 2283
25% - 2232</t>
  </si>
  <si>
    <t>2019 - METAL C 61.360,00
56 - LM MONTAGENS 68.880,00.
66 - USICASTRO 67.742,00
92911 - BALENA 75.294,00</t>
  </si>
  <si>
    <r>
      <rPr>
        <sz val="9"/>
        <color rgb="FFFF0000"/>
        <rFont val="Calibri"/>
        <scheme val="minor"/>
      </rPr>
      <t xml:space="preserve">707 
733
</t>
    </r>
    <r>
      <rPr>
        <sz val="9"/>
        <color rgb="FF000000"/>
        <rFont val="Calibri"/>
        <scheme val="minor"/>
      </rPr>
      <t>737</t>
    </r>
  </si>
  <si>
    <t>Eder</t>
  </si>
  <si>
    <t>BSA</t>
  </si>
  <si>
    <t>Instalações elétricas, automação e melhorias painéis ETA e ETE conforme “MEMORIAL TÉCNICO - Revisão de Painéis elétricos ETA-ETE.pdf”
Serviço deve iniciar dias 26/07 e terminar dias 25/08/25</t>
  </si>
  <si>
    <t>250067A - AUTOMEC 126.987,54
0 - USINAGEM DG 131.653,21
779 - BSA 113.218,17</t>
  </si>
  <si>
    <t>diversas paradas no processo devido a falhas elétricas e em inversores de frequência, provenientes de problemas nas instalações e cabeamentos de rede de automação, também por estarmos com acesso indevido de operadores há cabine elétrica para ligar inversores de forma manual expondo-os ao risco!</t>
  </si>
  <si>
    <t>MULTIVAC</t>
  </si>
  <si>
    <t>SERVIÇO DE MÃO DE OBRA PARA INSPEÇÃO TÉCNICA DOS EQUIPAMENTOS MULTIVAC EXISTENTES NOS SETORES: SEI, SFT, CUR, STP, SFR, PRU. SENDO 3X F200, DE N° SERIE: #324887, #195021, #258094. 1X B625, DE N° SERIE: #337945. 2X R145, DE N° SERIE: #196492, #196494. 1X R535, DE N° SERIE: #196490.</t>
  </si>
  <si>
    <t>62 - MULTIVAC 34.350,00</t>
  </si>
  <si>
    <t>A contratação de mão de obra especializada para a realização de inspeção nos equipamentos, é imprescindível para assegurar a eficiência operacional, a integridade mecânica e a conformidade sanitária das embaladoras. Dada a relevância desses equipamentos no processo produtivo e o risco de impacto direto à linha de produção em caso de falha, a contratação se configura como urgente e estratégica para garantir a continuidade e a segurança da operação.</t>
  </si>
  <si>
    <r>
      <rPr>
        <sz val="9"/>
        <color rgb="FFFF0000"/>
        <rFont val="Calibri"/>
        <scheme val="minor"/>
      </rPr>
      <t xml:space="preserve">4190648
</t>
    </r>
    <r>
      <rPr>
        <sz val="9"/>
        <color rgb="FF000000"/>
        <rFont val="Calibri"/>
        <scheme val="minor"/>
      </rPr>
      <t>4190926</t>
    </r>
  </si>
  <si>
    <t>H BREMER</t>
  </si>
  <si>
    <t>SERVIÇO DE MÃO DE OBRA E MATERIAL PARA SUBSTITUIÇÃO DOS REFRATÁRIOS DA CALDEIRA H.BREMER HBFR 15 TON</t>
  </si>
  <si>
    <t>427394 - H. BREMER 149.796,41</t>
  </si>
  <si>
    <t xml:space="preserve"> Somente um orçamento na qual empresa é fabricante do equipamento.</t>
  </si>
  <si>
    <t>FIEDLER</t>
  </si>
  <si>
    <t>SERVIÇO DE MÃO DE OBRA PARA 2 DIÁRIAS DE SERVIÇO PARA MANUTENÇÃO DE 1 BOMBA GRUNDFOS</t>
  </si>
  <si>
    <t>392416 - FIEDLER 5.500,00</t>
  </si>
  <si>
    <t>Somente um orçamento devido fornecedor ser representante do sistema de bombeamento Grundfos.</t>
  </si>
  <si>
    <t>A pedido do Jeverson por email 24/10.</t>
  </si>
  <si>
    <t>SERVIÇO DE MÃO DE OBRA E MATERIAL PARA MANUTENÇÃO DO TROCADOR DE CALOR ALFA LAVAL MODELO T20MW.</t>
  </si>
  <si>
    <t>07949 - HAASEN 59.135,58
0 - ALMATHI 80.150,154</t>
  </si>
  <si>
    <t>MONTEMIL</t>
  </si>
  <si>
    <t>SERVIÇO DE ASSISTENCIA TÉCNICA E TREINAMENTO OPERACIONAL NOS EQUIPAMENTOS DO ESPOSTEJAMENTO. ACOMPANHAMENTO DO TÉCNICO NO LOCAL EM DIAS DE SEMANA PARA VERIFICAÇÃO E AJUSTES QUE POSSAM DECORRER</t>
  </si>
  <si>
    <t>1003925 - MONTEMIL 14.890,00</t>
  </si>
  <si>
    <t>Devido ser o fabricante do equipamento</t>
  </si>
  <si>
    <t>Rafael B.</t>
  </si>
  <si>
    <t>ORDEM REFERENTE À SERVIÇO COM URGÊNCIA NA TELA DA ROSCA DO PERCOLADOR DEVIDO A POSSÍVEL QUEBRA DO EQUIPAMENTO E PERCA DE PRODUÇÃO E DANOS A DEMAIS EQUIPAMENTOS</t>
  </si>
  <si>
    <t>13 - USICASTRO 62.320,00
2037 - METAL C 59.500,00 
93023  - BALENA 50.318,08</t>
  </si>
  <si>
    <t>Necessidade de serviço urgente na tela da rosca do percolador com urgência devido a possível quebra do equipamento e perca de produção e danos a demais equipamentos.</t>
  </si>
  <si>
    <t>EMS</t>
  </si>
  <si>
    <t>CONTRATAÇÃO DE SERVIÇO E MATERIAIS PARA SUBSTITUIR O TRILHO "T" DA NORIA DE MONOBLOCOS QUE ESTÁ DANIFICADA. SEERVIÇO A SER REALIZADO DENTRO DA UNIDADE EM FINAL DE SEMANA.</t>
  </si>
  <si>
    <t>5532 - RT 385.300,00
9572 - METAL SUL 298.638,90
2507104 - ESTRELA METAIS 305.299,00</t>
  </si>
  <si>
    <r>
      <rPr>
        <sz val="9"/>
        <color rgb="FFFF0000"/>
        <rFont val="Calibri"/>
        <scheme val="minor"/>
      </rPr>
      <t xml:space="preserve">4333415
</t>
    </r>
    <r>
      <rPr>
        <sz val="9"/>
        <color rgb="FF000000"/>
        <rFont val="Calibri"/>
        <scheme val="minor"/>
      </rPr>
      <t>4439475</t>
    </r>
  </si>
  <si>
    <t>Cleiton</t>
  </si>
  <si>
    <t>METAL MARC</t>
  </si>
  <si>
    <t>Serviço de assistência técnica, de quatro dias para a troca do corpo de passagem de massa da embutideira da presuntaria, com acompanhamento um dia antes e um dia após sua substituição.</t>
  </si>
  <si>
    <t>54 - METAL MARC 30.120,00</t>
  </si>
  <si>
    <t xml:space="preserve">APENAS UM ORÇAMENTO POIS A METAL MARC É EMPRSA TERCEIRA REPRESENTANTE DA METALQUIMIA, E POSSUI LIBERAÇÃO PARA REALIZAR MANUTENÇÕES NAS MÁQUINAS E EQUIPAMENTOS.
</t>
  </si>
  <si>
    <t>CONSERTO DA MOTOBOMBA DE LAMELAS EQUIPARE 19 M³/H BRE-19 30CV 02</t>
  </si>
  <si>
    <t>7100 - EQUIPARE 56.000,00</t>
  </si>
  <si>
    <r>
      <rPr>
        <sz val="9"/>
        <color rgb="FFFF0000"/>
        <rFont val="Calibri"/>
        <scheme val="minor"/>
      </rPr>
      <t xml:space="preserve">4281822
4289724
</t>
    </r>
    <r>
      <rPr>
        <sz val="9"/>
        <color rgb="FF000000"/>
        <rFont val="Calibri"/>
        <scheme val="minor"/>
      </rPr>
      <t>4310675</t>
    </r>
  </si>
  <si>
    <t xml:space="preserve">TORNO - usinagem em castanhas utilizadas em ambas Deboflex. </t>
  </si>
  <si>
    <t>410 - VELOTANO 2.304,00</t>
  </si>
  <si>
    <t>3990 - 26/11/25</t>
  </si>
  <si>
    <t>TORNO - usinagem em conjunto mola utilizado na VC999.</t>
  </si>
  <si>
    <t>411 - VELOTANO 690,00</t>
  </si>
  <si>
    <t>MONTAGIO</t>
  </si>
  <si>
    <t>SERVIÇO DE INSPEÇÃO NAS ESTRUTURAS DE ARMAZENAMENTO DA EXPEDIÇÃO. SERVIÇO A SER REALIZADO DENTRO DA UNIDADE EM DIAS NORMAIS E FINAL DE SEMANA.</t>
  </si>
  <si>
    <t>2149 - MONTAGGIO</t>
  </si>
  <si>
    <t>Justificativa um orçamento: Empresa especializada em inspeções de sistemas de armazenamento e indicada pelo fabricante dos porta paletes que temos instalado na unidade.</t>
  </si>
  <si>
    <t>SERVIÇO DE MATERIAL E MÃO DE OBRA PARA CONFECÇÃO DE UM CAVALETE, QUE SERÁ UTILIZADO PARA REMOÇÃO E DESLOCAMENTO DOS REDUTORES DOS DIGESTORES DA FFG.
CAVALETE UTILIZADO NA MANUTENÇÃO PREVENTIVA DE TROCA DOS ROLAMENTOS DOS DIGESTORES.</t>
  </si>
  <si>
    <t>13 - PHDS</t>
  </si>
  <si>
    <t xml:space="preserve">NÃO </t>
  </si>
  <si>
    <t>MATERIAL E MÃO DE OBRA PARA MANUTENÇÃO PREVENTIVA DO MOEDOR BG-40S</t>
  </si>
  <si>
    <t>196232 - MAREL</t>
  </si>
  <si>
    <t xml:space="preserve">Trata-se de orçamento incluso no plano de manutenção preventiva feita pelo próprio fabricante da máquina. </t>
  </si>
  <si>
    <t xml:space="preserve">REALIZAR A SUBSTITUIÇÃO DE APROXIMADAMENTE 48 METROS DE TUBULAÇÃO DE 4”, 48 METROS DE 
TUBULAÇÃO DE 3”, 48 METROS DE TUBULAÇÃO DE 2”, 20 METROS DE TUBULAÇÃO DE 1”, 20 METROS DE 
TUBULAÇÃO DE ¾” E 20 METROS DE TUBULAÇÃO DE ½” (MEDIDAS APROXIMADAS), SUBSTITUIÇÃO DE 
TUBULAÇÃO DE AÇO CARBONO POR TUBOS DE INOX.
</t>
  </si>
  <si>
    <t>4588-2488</t>
  </si>
  <si>
    <t>2013 - METAL C</t>
  </si>
  <si>
    <t>JOACIR</t>
  </si>
  <si>
    <t xml:space="preserve">SERVIÇOS REFERENTE À DE MÃO DE OBRA DE MANUTENÇÃO EM PORTAS MODELO ISOBLOCK SENDO:
• PORTAS INDUSTRIA E ABATE
• TROCA DE BORRACHAS
• FABRICAÇÃO E SUBSTITUIÇÃO DE PERFIS MEIA ESQUADRIA
• CHAPEAR PORTAS
• VEDAÇÕES
• INSTALAÇÃO DE GUIAS
• REGULAGEM DAS PORTAS
• OBS: 03 COLABORADORES / 4 DIÁRIAS FIM DE SEMANA
</t>
  </si>
  <si>
    <t xml:space="preserve"> 762 - JOACIR</t>
  </si>
  <si>
    <t>ÚNICO FORNECEDOR DISPONÍVEL NA REGIÃO QUE TEM CONHECIMENTO MANUSEIO E SERVIÇOS DE ISOPAINEL HOMOLOGADO PELA MANUTENÇÃO, PARA REALIZAÇÃO DE SERVIÇOS DENTRO DA UNIDADE COM CONHECIMENTO DA PLANTA ATENTENDO AS NECESSIDADES REAIS DO PROCESSO</t>
  </si>
  <si>
    <t>DE PAULA SOLUÇÕES</t>
  </si>
  <si>
    <t xml:space="preserve">PREPARAÇÃO E PINTURA DE SUPERFÍCIE, EM EPÓXI BRANCO (450 M²);
PREPARAÇÃO E PINTURA DE RODAPÉS, EM EPÓXI CINZA (100 M²);
PINTURA INTERNA E EXTERNA DE PORTAS, NA COR AMARELA (15 UN.);
PREPARAÇÃO E PINTURA DE VENTILADORES TIPO AVIÁRIO, NA COR CINZA (20 UN.);
</t>
  </si>
  <si>
    <t xml:space="preserve">2488 25%
4588 25%
5345 25%
2283 25%
</t>
  </si>
  <si>
    <t>120902 - DE PAULA SOLUÇÕES</t>
  </si>
  <si>
    <t>NECESSIDADE DE PINTURA COM URGÊNCIA REFERENTE A NECESSIDADE DE ATENDER PRAZOS DE AUTO CONTROLE E PRAZOS DO SIF</t>
  </si>
  <si>
    <t>8. NF INCLUSA NA 198</t>
  </si>
  <si>
    <t xml:space="preserve"> J ORTIZ CASTANHO LTDA</t>
  </si>
  <si>
    <t>SERVIÇO DE ABERTURA DE DOIS VÃOS PARA COLOCAÇÃO DE VENTILADORES PARA REALIZAR A EXAUSTÃO NO SETOR DE GALERIA TÉCNICA - SERVIÇO A SER EXECUTADO DENTRO DA UNIDADE EM FINAL DE SEMANA</t>
  </si>
  <si>
    <t>Francis</t>
  </si>
  <si>
    <t>3333 - J ORTIZ CASTANHO LTDA</t>
  </si>
  <si>
    <t>SERVIÇO DE SUBSTITUIÇÃO DE TUBULAÇÕES QUE ESTÃO OXIDADAS EM DIVERSOS PONTOS SOBRE O PISO TÉCNICO DA UNIDADE - PONTOS PREVISTOS PARA SUBSTITUIÇÃO ABATE, CORTES, MIUDOS INTERNOS E EXTERNOS - SERVIÇO A SER EXECUTADO DENTRO DA UNIDADE EM DIAS DE SEMANA E FINAIS DE SEMANA</t>
  </si>
  <si>
    <t xml:space="preserve">40% - ABATE 2488
40% - ESPOSTEJAMENTO 2224
10% MI - 2739
10% ME - 2721
</t>
  </si>
  <si>
    <t>2097 - METAL C</t>
  </si>
  <si>
    <t>G.P DA LUZ</t>
  </si>
  <si>
    <t>SERVIÇOS DE ELÉTRICA COMO MONTAGEM DE INFRAS E PASSAGEM DE CABOS, MONTAGEM DE TOMADAS, LIGAÇÃO DE APARELHOS E REFORMA DE PAINEIS ELÉTRICOS. SERVIÇO DE DESLIGAMENTO E REMOÇÃO DE INFRAS INUTILIZADAS QUE ESTÃO OBSOLETAS E SEM USO. TODOS OS SERVIÇOS SERÃO EXECUTADOS DENTRO DA UNIDADE FAC EM DIAS DE SEMANA E FINAIS DE SEMANA</t>
  </si>
  <si>
    <t>2224-2488</t>
  </si>
  <si>
    <t>176 - GP DA LUZ</t>
  </si>
  <si>
    <r>
      <rPr>
        <sz val="9"/>
        <color rgb="FFFF0000"/>
        <rFont val="Calibri"/>
        <scheme val="minor"/>
      </rPr>
      <t xml:space="preserve">333
361
</t>
    </r>
    <r>
      <rPr>
        <sz val="9"/>
        <color rgb="FF000000"/>
        <rFont val="Calibri"/>
        <scheme val="minor"/>
      </rPr>
      <t>376</t>
    </r>
  </si>
  <si>
    <t>03/11/2025 - 19/11/2025
01/12/2025</t>
  </si>
  <si>
    <t>Rafael S.</t>
  </si>
  <si>
    <t>VALENGA</t>
  </si>
  <si>
    <t>SERVIÇO DE MANUTENÇÃO PREVENTIVA DE 1000H DA MÁQUINA PÁ CARREGADEIRA BRUTUS E SUBSTITUIÇÃO DE LÂMINA QUE ESTÁ COM DESGASTE.</t>
  </si>
  <si>
    <t>Yasmin</t>
  </si>
  <si>
    <t>207 - VALENGA</t>
  </si>
  <si>
    <t>ENCAMINHADO UM ÚNICO ORÇAMENTO, POIS A MECÂNICA VALENGA É AUTORIZADA BRUTUS PARA PRESTAR A CORRETA E EFICIENTE MANUTENÇÃO PREVENTIVA.</t>
  </si>
  <si>
    <t>ELETROTEC</t>
  </si>
  <si>
    <t>SERVIÇO DE CONSERTO DE MOTOR DO COMPRESSOR DE AMONIA 2 DA SALA DE MÁQUINAS</t>
  </si>
  <si>
    <t>12857 - ELETROTEC</t>
  </si>
  <si>
    <t>ISOBLOCK</t>
  </si>
  <si>
    <t>SERVIÇO DE INSTALAÇÃO DE PORTA FRIGORÍFICA INDUSTRIAL</t>
  </si>
  <si>
    <t xml:space="preserve">124198 - ISOBLOCK </t>
  </si>
  <si>
    <t>: APENAS UM ORÇAMENTO A FIM DE MANTER A PADRONIZAÇÃO DAS PORTAS INSTALADAS NA INDUSTRIA, ONDE JÁ POSSUÍMOS PORTAS INSTALADAS DO MESMO FORNECEDOR.</t>
  </si>
  <si>
    <t>SERVIÇO DE MAO DE OBRA PARA ADEQUAÇÃO DA ESTAÇÃO DE PESAGEM DA MWS DA PALETIZAÇÃO SENDO REFORMA DA ESTEIRA EXISTENTE, DESEMPENAMENTO DA ESTRUTURA , CORREÇÃO E LIMPEZA DE SOLDAS, CONSERTO DOS GUIAS DIRECIONADORES SERVIÇO A SER EXECUTADO FORA DA UNIDADE CONFORME NF DE SAÍDA 37566</t>
  </si>
  <si>
    <t xml:space="preserve"> 93783 - BALENA</t>
  </si>
  <si>
    <t>C&amp;E SERVICE INSTALACOES INDUSTRIAIS LTDA</t>
  </si>
  <si>
    <t>Manutenção preventiva em 37 cabines 
elétricas da unidade</t>
  </si>
  <si>
    <t>725 - C &amp; E SERVICE INSTAÇÕES INDUSTRIAIS LTDA</t>
  </si>
  <si>
    <t>ARTEFATOS DE BORRACHA PCR LTDA</t>
  </si>
  <si>
    <t>Serviço de material e mão de obra para reforma de cilindros de tração do equipamento MÁQUINA DE TRIPAS.</t>
  </si>
  <si>
    <t xml:space="preserve"> 122751 - ARTEFATOS DE BORRACHA PCR LTDA</t>
  </si>
  <si>
    <t>EDINOX MANUTENÇÃO INDUSTRIAL LTDA</t>
  </si>
  <si>
    <t>Remoção e instalação de duto em inox conforme medidas do existente para o sistema de exaustão da sala de pesagem de condimentos</t>
  </si>
  <si>
    <t>232 - EDINOX MANUTENÇÃO INDUSTRIAL LTDA</t>
  </si>
  <si>
    <t>aguardando declaração atualizada</t>
  </si>
  <si>
    <t>S.R GRANDO &amp; CIA</t>
  </si>
  <si>
    <t>FABRICAÇÃO DE DUAS PLACAS IMP UV ACRILICO - ACRÍLICO 3MM BRANCO 30X7CM COM FITA NO VERSO 1UN. VERMELHA / 1 UN. BRANCA</t>
  </si>
  <si>
    <t>119968 - S.R GRANDO &amp; CIA</t>
  </si>
  <si>
    <t>84980 </t>
  </si>
  <si>
    <t>único fornecedor enviou orçamento conforme a normativas solicitadas.</t>
  </si>
  <si>
    <t>SERVIÇOS DE MECÂNICA EM GERAL, CORREÇÃO DE SOLDAS EM ESTRUTURAS DE ESTEIRAS, CHAPAS E PROTEÇÕES DA LINHA DE EVISCERAÇÃO E DO ESPOSTEJAMENTO E CONSERTO DE GAIOLAS E CARRINHOS DE MIUDOS E DE COZIMENTO DAS ESTUFAS. TODOS OS SERVIÇOS SERÃO EXECUTADOS DENTRO DA UNIDADE EM DIAS UTEIS E FINAIS DE SEMANA CONFORME DEMANDA.</t>
  </si>
  <si>
    <t>50%  2488 50%2224</t>
  </si>
  <si>
    <t>2117 - METAL C</t>
  </si>
  <si>
    <t>SERVIÇOS DE AJUSTES E ADEQUAÇÃO DE INFRAS ELÉTRICAS DO ESPOSTEJAMENTO, CONSERTO DE INFRAS DE ILUMINAÇÃO E EQUIPAMENTOS QUE ESTÃO SOLTAS, ADEQUAÇÃO DOS PONTOS E DESCIDAS PARA TMADAS DE BALANÇAS QUE ESTÃO POR BAIXO  DAS ESTEIRAS, REDIMENSIONAMENTO DOS CABOS PARA ATENDER A ALIMENTAÇÃO DOS PONTOS DA LINHA DO CARRÉ E COSTELINHA. TODOS OS SERVIÇOS SERÃO EXECUTADOS DENTRO DA UNIDADE EM DIAS UTEIS E FINAIS DE SEMANA CONFORME DEMANDA.</t>
  </si>
  <si>
    <t>198  - GP. DA LUZ</t>
  </si>
  <si>
    <t>FINISSIMA ACABAMENTOS LTDA</t>
  </si>
  <si>
    <t>61 - FINISSIMA ACABAMENTOS LTDA</t>
  </si>
  <si>
    <t>659
666</t>
  </si>
  <si>
    <t>STEAM PRIME</t>
  </si>
  <si>
    <t>SERVIÇO DE MANUTENÇÃO E RECUPERAÇÃO DE VALVULAS.</t>
  </si>
  <si>
    <t>11610 - S P - STEAM PRIME</t>
  </si>
  <si>
    <t xml:space="preserve">SERVIÇO DE REFORMA E JATEAMENTO DE 5 MESAS DE MEBALAGEM DE PRODUTO NO INDUSTRIALIZADOS CONFORME SOLICITADO PELO CONROLE DE QUALIDADE - SERVIÇO SERÁ EXECUTADO FORA DA UNIDADE E SERÁ ENVIADO UMA DE CADA VEZ ATÉ CONCLUSÃO DAS 5 UNIDADES.
Material saiu com ordem de entrega conforme anexado no e-mail da RC.
</t>
  </si>
  <si>
    <t xml:space="preserve"> 2123 - METAL C</t>
  </si>
  <si>
    <t>Torbim</t>
  </si>
  <si>
    <t xml:space="preserve"> ELO SCIENTIFIC</t>
  </si>
  <si>
    <t>ASSISTÊNCIA TÉCNICA MUFLA DO BIODIGESTOR-CONCERTO CONTROLADOR DE TEMPERATURA, CONJUNTO COMPLETO DE REFRATARIO P/FORNO</t>
  </si>
  <si>
    <t>1222 - ELO SCIENTIFIC</t>
  </si>
  <si>
    <t>Orçamento único devido ser a fabricante do aparelho.</t>
  </si>
  <si>
    <r>
      <rPr>
        <sz val="9"/>
        <color rgb="FFFF0000"/>
        <rFont val="Calibri"/>
        <scheme val="minor"/>
      </rPr>
      <t xml:space="preserve">4270433 </t>
    </r>
    <r>
      <rPr>
        <sz val="9"/>
        <color rgb="FF000000"/>
        <rFont val="Calibri"/>
        <scheme val="minor"/>
      </rPr>
      <t>- 4281983</t>
    </r>
  </si>
  <si>
    <t>MULTTEC</t>
  </si>
  <si>
    <t xml:space="preserve">Serviço de assistência técnica para substituição dos pistões da bandeja de alimentação </t>
  </si>
  <si>
    <t xml:space="preserve">245 - MULTTEC </t>
  </si>
  <si>
    <t>SSU para realizar a troca dos pistões da bandeja de alimentação, os mesmos estão com mal funcionamento, gerando desalinhamento da grelha e impactando no processo. </t>
  </si>
  <si>
    <t xml:space="preserve">Serviço de assistência técnica para realizar o backup do software das multivac da indústria </t>
  </si>
  <si>
    <t>242 - MULTTEC</t>
  </si>
  <si>
    <t xml:space="preserve">SSU para fazer o backup do sistema operacional de todas as multivac da indústria, em conversa com a automação constatamos que não possuímos nenhuma cópia dos arquivos em nosso banco de dados </t>
  </si>
  <si>
    <t>TORNO - USINAGEM COM EMBUCHAMENTO DE PONTEIRAS DE ENGRENAGENS DO REDUTOR.</t>
  </si>
  <si>
    <t>407 - VELOTANO</t>
  </si>
  <si>
    <r>
      <rPr>
        <sz val="9"/>
        <color rgb="FFFF0000"/>
        <rFont val="Calibri"/>
        <scheme val="minor"/>
      </rPr>
      <t xml:space="preserve">4273101
</t>
    </r>
    <r>
      <rPr>
        <sz val="9"/>
        <color rgb="FF000000"/>
        <rFont val="Calibri"/>
        <scheme val="minor"/>
      </rPr>
      <t>4274382</t>
    </r>
  </si>
  <si>
    <t>REFRIGERAÇÃO IAPÓ</t>
  </si>
  <si>
    <t>SERVIÇO DE TROCA DE RELE E PROTETOR TÉRMICO DE COMPRESSOR EM FREEZER (cód. de patrimônio: 055096).</t>
  </si>
  <si>
    <r>
      <rPr>
        <sz val="9"/>
        <color rgb="FFFF0000"/>
        <rFont val="Calibri"/>
        <scheme val="minor"/>
      </rPr>
      <t xml:space="preserve">4273120 </t>
    </r>
    <r>
      <rPr>
        <sz val="9"/>
        <color rgb="FF000000"/>
        <rFont val="Calibri"/>
        <scheme val="minor"/>
      </rPr>
      <t xml:space="preserve">- </t>
    </r>
    <r>
      <rPr>
        <sz val="9"/>
        <color rgb="FFFF0000"/>
        <rFont val="Calibri"/>
        <scheme val="minor"/>
      </rPr>
      <t xml:space="preserve">4284997 </t>
    </r>
  </si>
  <si>
    <t xml:space="preserve">RC CANCELADA PORQUE FOI ABERTA INCORRETAMENTE. </t>
  </si>
  <si>
    <t>VPS</t>
  </si>
  <si>
    <t>MÃO DE OBRA PARA PRESSURIZAÇÃO E POSSÍVEL CORREÇÃO DE VAZAMENTO DO EQUIPAMENTO SPLIT BRITÂNIA.</t>
  </si>
  <si>
    <t>365 - VPS</t>
  </si>
  <si>
    <t>A empresa mencionada já realiza o PMOC nos equipamentos de ar condicionado da unidade. Dessa forma, estamos aproveitando a vinda deles para a execução deste serviço de forma mais ágil.</t>
  </si>
  <si>
    <t>Serviço de assistência técnica para substituição das placas que seguram o filme e as bases de tensionamento das correntes da faca</t>
  </si>
  <si>
    <t>243 - MULT-TEC</t>
  </si>
  <si>
    <t xml:space="preserve">trata se de uma requisição com apenas um orçamento em anexo pois é um serviço que requer uma mão de obra especializada, tanto na execução quanto na confecção das peças e matérias usados na manutenção da máquina, não dispomos de outros profissionais que possam fornecer esse serviço 
</t>
  </si>
  <si>
    <t>Serviço para troca dos cabos do sistema de segurança da multivac F200</t>
  </si>
  <si>
    <t>246 - MULT-TEC</t>
  </si>
  <si>
    <t>Requisição com apenas um orçamento em anexo pois é um serviço que requer uma mão de obra especializada na execução e único fornecedor disponível esta e anexo.</t>
  </si>
  <si>
    <t>THDS</t>
  </si>
  <si>
    <t>TORNO - CORTAR TUBOS COM 150 MM / FAZER ROSCA NA PONTA.</t>
  </si>
  <si>
    <t>131 - THDS USINAGEM</t>
  </si>
  <si>
    <t>Instalações de válvulas em tubulação danificadas de água potável no forro.</t>
  </si>
  <si>
    <t>STARTECH</t>
  </si>
  <si>
    <t>Serviço de concerto no display da tela</t>
  </si>
  <si>
    <t>8760 - STARTECH</t>
  </si>
  <si>
    <t xml:space="preserve"> PARANÁ EQUIPAMENTOS S.A.</t>
  </si>
  <si>
    <t>SERVIÇO DE REPARO EM FREIO ELETROMAGNÉTICO.</t>
  </si>
  <si>
    <t>L21445 - PARANÁ EQUIPAMENTOS S.A.</t>
  </si>
  <si>
    <t>RC FOI CANCELADA E SERÁ SUBSTITUÍDA POR OUTRA.</t>
  </si>
  <si>
    <t>MATERIAL E MÃO DE OBRA PARA MANUTENÇÃO PREVENTIVA DO RECUPERADOR DE CARNE DMM50</t>
  </si>
  <si>
    <t xml:space="preserve"> 206857 - MAREL</t>
  </si>
  <si>
    <t>FOSS</t>
  </si>
  <si>
    <t>SERVIÇO DE MÃO DE OBRA E MATERIAL PARA MANUTENÇÃO PREVENTIVA DA MÁQUINA FOODSCAN 2 DAIRY</t>
  </si>
  <si>
    <t>RGM</t>
  </si>
  <si>
    <t>SERVIÇO DE MÃO DE OBRA E MATERIAL PARA CONSERTO DE SOFT STARTER, MARCA SIEMENS, MODELO CL-3RW4424-1BC44</t>
  </si>
  <si>
    <t>14833 - RGM</t>
  </si>
  <si>
    <t>DEIXAR RC EXPIRAR, POIS FOI SOLICITADO DEVOLUÇÃO PORQUE JÁ HAVIA OUTRA DIGITADA</t>
  </si>
  <si>
    <t>A1 SISTEMAS</t>
  </si>
  <si>
    <t xml:space="preserve">REVISÃO NO SISTEMA DE ANTENAS VIA RÁDIO QUE INTERLIGAM A CAPTAÇÃO DO RIO ATÉ A FÁBRICA (TROCA DE ANTENA COM DEFEITO.
</t>
  </si>
  <si>
    <t>85188 (ADITIVO)</t>
  </si>
  <si>
    <t>4279802 - 4286503</t>
  </si>
  <si>
    <t>aberta nova RC, pois o comprador não aceitou pedido de aditivo</t>
  </si>
  <si>
    <t>FÊNIX</t>
  </si>
  <si>
    <t xml:space="preserve">SERVIÇO DE MANUTENÇÃO MOTOBOMBA BÚFFALO 13HP 
DIESEL 4 POLEGADAS.
</t>
  </si>
  <si>
    <t>125 - FÊNIX</t>
  </si>
  <si>
    <t>MASTER</t>
  </si>
  <si>
    <t>OBRA - ADEQUAÇÕES INICIAIS FRIGORÍFICO FACAS</t>
  </si>
  <si>
    <t>48 - MASTER</t>
  </si>
  <si>
    <t xml:space="preserve">OK </t>
  </si>
  <si>
    <t>TORNO - fabricação de engrenagem para estágio 01 da Finity.</t>
  </si>
  <si>
    <t>566 - PHDS 695,00</t>
  </si>
  <si>
    <t>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t>
  </si>
  <si>
    <t>TORNO - usinagem em rodas e eixo utilizados no elevador 2 pisos da área limpa da lavadora de monoblocos do abate.</t>
  </si>
  <si>
    <t>339 - PHDS 2.985,00</t>
  </si>
  <si>
    <t>O motivo do emergencial é devido ao fato de que o elevador em questão se encontrava travado, no qual tivemos que realizar toda a desmontagem das rodas, guias e eixo e confecção imediata de peças para que fosse possível reutilizar o elevador mais rápido possível.</t>
  </si>
  <si>
    <t>69 - 17/09/25</t>
  </si>
  <si>
    <t>cancelar, Thales enviou duplicadamente para abrir requisição, e já havia a rc 4298985</t>
  </si>
  <si>
    <t>GN9V</t>
  </si>
  <si>
    <t>LOCAÇÃO DE DETECTOR DE METAIS PARA A LINHA DA 
TERMOFORMADORA F200.
 orçamento é referente aos dias residuais de outubro em que o detector ficou locado em nossa unidade.</t>
  </si>
  <si>
    <t>6883 - GN9V - 1.500,00</t>
  </si>
  <si>
    <t>Referente aos dias residuais de outubro em que o detector ficou locado em nossa unidade.</t>
  </si>
  <si>
    <t>4260 - 17/07/25</t>
  </si>
  <si>
    <t xml:space="preserve">SUBSTITUIÇÃO DA PROTEÇÃO EM POLICARBONATO DO DETECTOR DE METAIS QUE ESTAVA LOCADO EM NOSSA UNIDADE.
OBS: PROTEÇÃO FOI DANIFICADA NO PERÍODO DE LOCAÇÃO
</t>
  </si>
  <si>
    <t>2344 - GN9V 1.755,00</t>
  </si>
  <si>
    <t>PROTEÇÃO FOI DANIFICADA NO PERÍODO DE LOCAÇÃO.</t>
  </si>
  <si>
    <t>CONSERTO DO MÓDULO DAS EMBUTIDEIRAS HANDTMANN</t>
  </si>
  <si>
    <t>080219 - ATIVA PRO 3.525,40</t>
  </si>
  <si>
    <t>339 - 08/12/25</t>
  </si>
  <si>
    <t>6. NF - AGUARDANDO APROVAÇÃO PARA LANÇAMENTO</t>
  </si>
  <si>
    <t>AKTUAL SERVICE LTDA</t>
  </si>
  <si>
    <t>MÃO DE OBRA TÉCNICA ESPECIALIZADA A DEVIDO AO DETECTOR DE METAIS DO TRITURADOR DE VÍSCERAS DA GALERIA TÉCNICA NÃO APRESENTAR LEITURA ADEQUADA INTERVINDO DIRETO NA QUALIDADE DO PRODUTO E CONSEQUENTEMENTE POSSÍVEL QUEBRA DO TRITURADOR</t>
  </si>
  <si>
    <t xml:space="preserve">181004182 - AKTUAL SERVICE </t>
  </si>
  <si>
    <t>Necessidade de mão de obra técnica especializada a devido ao detector de metais do triturador de vísceras da galeria técnica não apresentar leitura adequada intervindo direto na qualidade do produto e consequentemente possível quebra do triturador.</t>
  </si>
  <si>
    <r>
      <rPr>
        <sz val="9"/>
        <color rgb="FFFF0000"/>
        <rFont val="Calibri"/>
        <scheme val="minor"/>
      </rPr>
      <t>4281931 -</t>
    </r>
    <r>
      <rPr>
        <sz val="9"/>
        <color rgb="FF000000"/>
        <rFont val="Calibri"/>
        <scheme val="minor"/>
      </rPr>
      <t xml:space="preserve"> </t>
    </r>
    <r>
      <rPr>
        <sz val="9"/>
        <color rgb="FFFF0000"/>
        <rFont val="Calibri"/>
        <scheme val="minor"/>
      </rPr>
      <t>4282587 -</t>
    </r>
    <r>
      <rPr>
        <sz val="9"/>
        <color rgb="FF000000"/>
        <rFont val="Calibri"/>
        <scheme val="minor"/>
      </rPr>
      <t xml:space="preserve"> </t>
    </r>
    <r>
      <rPr>
        <sz val="9"/>
        <color rgb="FFFF0000"/>
        <rFont val="Calibri"/>
        <scheme val="minor"/>
      </rPr>
      <t>4283107 -</t>
    </r>
    <r>
      <rPr>
        <sz val="9"/>
        <color rgb="FF000000"/>
        <rFont val="Calibri"/>
        <scheme val="minor"/>
      </rPr>
      <t xml:space="preserve"> 4289582</t>
    </r>
  </si>
  <si>
    <t>CROWN LIFT TRUCKS DO BRASIL</t>
  </si>
  <si>
    <t xml:space="preserve">SERVIÇO DE CONSERTO E REFORMA DE TRÊS PALETEIRAS EM AÇO INOX DA MARCA BYG - SERVIÇO A SER EXECUTADO FORA DA UNIDADE </t>
  </si>
  <si>
    <t xml:space="preserve">61678 - CROWN LIFT </t>
  </si>
  <si>
    <t xml:space="preserve">TORNO - Concerto caixa de selagem da presuntaria  </t>
  </si>
  <si>
    <t>570 - PHDS USINAGEM</t>
  </si>
  <si>
    <t>Necessidade de reparo na caixa de selagem da multivac da presuntaria, a mesma apresentava avaria não atingindo o vácuo e gerando pera na produção </t>
  </si>
  <si>
    <t>serviço de usinagem</t>
  </si>
  <si>
    <t>SERVIÇO DE MANUTENÇÃO E REPARO NA SOFT STARTER SIEMENS MODELO CL-3RW4424-1BC44 SÉRIE 201208 TIPO 3RW.</t>
  </si>
  <si>
    <t xml:space="preserve">14833 - RGM </t>
  </si>
  <si>
    <t>VENZON</t>
  </si>
  <si>
    <t>AFIAÇÃO DISCO SERRA 440mm MP 5803530.003 MPS</t>
  </si>
  <si>
    <t>9 - VENZON 2.400,00</t>
  </si>
  <si>
    <t>STEMAC</t>
  </si>
  <si>
    <t xml:space="preserve">Manutenção no gerador de energia STEMAC , no qual necessita a troca da bateria que não é adequada hoje e substituição do óleo do motor revisão em geral. </t>
  </si>
  <si>
    <t>20816233 - STEMAC</t>
  </si>
  <si>
    <t xml:space="preserve">JUSTIFICATIVA DE 1 ORÇAMENTO: Necessidade de manutenção no gerador de energia, no qual necessita a troca da bateria que não é adequada hoje e substituição do óleo do motor que conforme orientação do técnico faz necessário devido ao acumulo de água que tivemos neste motor. </t>
  </si>
  <si>
    <t>186516 - 186517</t>
  </si>
  <si>
    <t>7.547,45 
4.304,59</t>
  </si>
  <si>
    <t>22/09/2025 - 10/11/2025</t>
  </si>
  <si>
    <t>CANCELAR SALDO RESÍDUA REFERENTE A IMPOSTO DE NF DE MATERIAL</t>
  </si>
  <si>
    <t>Serviço de manutenção do gerador do ADM, troca do tanque combustível, sensor de rotação e demais itens necessários da última manutenção.</t>
  </si>
  <si>
    <t>20815755 - STEMAC</t>
  </si>
  <si>
    <t>Somente um orçamento na qual fornecedor é fabricante do equipamento.</t>
  </si>
  <si>
    <t>4.820,09
8.454,30</t>
  </si>
  <si>
    <t>18/09/2025 - 10/11/2025</t>
  </si>
  <si>
    <t>C.O. MUELLER</t>
  </si>
  <si>
    <t>Conserto de bomba do tanque de reaproveitamento</t>
  </si>
  <si>
    <t>1517671 - C.O. MUELLER</t>
  </si>
  <si>
    <t>ATENAS BOMBAS</t>
  </si>
  <si>
    <t xml:space="preserve">conserto em bomba do tanque de água 70ºC para a salamaria. </t>
  </si>
  <si>
    <t>13091 - 11/11</t>
  </si>
  <si>
    <t>serviço com material e mão de obra para instalação do painel de transferência para comutação automática do gerador de energia ADM</t>
  </si>
  <si>
    <t>20816066 - STEMAC</t>
  </si>
  <si>
    <t>Somente um fornecedor onde o mesmo é fabricante do equipamento.</t>
  </si>
  <si>
    <t>Conserto para as válvulas de bloqueio de vapor do setor geração de vapor</t>
  </si>
  <si>
    <t xml:space="preserve"> 11467 - STEAM PRIME</t>
  </si>
  <si>
    <t>DUSPOR</t>
  </si>
  <si>
    <t>instalação de porta vai e vem no corredor de acesso das câmaras de resfriamento de carcaça. Uso 05. com material e mão de obra</t>
  </si>
  <si>
    <t xml:space="preserve"> 2890 - DUSPOR</t>
  </si>
  <si>
    <t>Somente uma empresa onde fornecedor possui know-how especifico com experiencia comprovada na área e domínio do processo, garantindo maior confiabilidade, segurança e qualidade.</t>
  </si>
  <si>
    <t>Francilei</t>
  </si>
  <si>
    <t>PROMAEK</t>
  </si>
  <si>
    <t>Inspeção das linhas de vida da unidade.</t>
  </si>
  <si>
    <t>SERVIÇO DE MANUTENÇÃO EM PLACA ELETRÔNICA DO CLIMATIZADOR DE AR.</t>
  </si>
  <si>
    <t>426 - VPS</t>
  </si>
  <si>
    <t>20039 - 11/11</t>
  </si>
  <si>
    <t>SERVIÇO DE MANUTENÇÃO EM BOMBA KSB MOD. ETA OPBA21300715 TAM. 80-40/3.</t>
  </si>
  <si>
    <t>1518200 - C.O. MUELLER</t>
  </si>
  <si>
    <t>TORNO - REALIZAR ADAPTAÇÃO DE BASE PARA SUBSTITUIÇÃO DO REDUTOR PRINCIPAL, MONTAGEM EM LOCO, ALINHAMENTO DA MESMA</t>
  </si>
  <si>
    <t>122 - USICASTRO</t>
  </si>
  <si>
    <t>O REDUTOR QUE ESTÁ NO MOMENTO NO EQUIPAMENTO APRESENTA RISCO DE QUEBRA CAPTADO EM ANÁLISE DE VIBRAÇÃO, IMPACTANDO DIRETAMENTE A PRODUÇÃO DE FARINHA, SERÁ NECESSÁRIO ADAPTAR A BASE DO REDUTOR ORIGINAL, A EMPRESA TAMBÉM FOI A ÚNICA QUE CONSEGUE ATENDER A PRAZO NECESSÁRIO DA EMPRESA</t>
  </si>
  <si>
    <t>3 ORÇ</t>
  </si>
  <si>
    <t>TORNO - confecção de tampas perfuradas para ralos sifonados em inox</t>
  </si>
  <si>
    <t>CONSERTO DO DRIVE NORDAC 511E</t>
  </si>
  <si>
    <t>080218 - ATIVA PRO 4.697,80</t>
  </si>
  <si>
    <t>327 - 24/11/25</t>
  </si>
  <si>
    <t>Tiago F.</t>
  </si>
  <si>
    <t>AWITE SISTEMAS DE ANALISE DE GASES LTDA</t>
  </si>
  <si>
    <t>ASSISTÊNCIA TÉCNICA MANUTENÇÃO E CALIBRAÇÃO DO MEDIDOR DE GASES DO BIODIGESTOR</t>
  </si>
  <si>
    <t>627/1606 - AWITE SISTEMAS DE ANALISE DE GASES</t>
  </si>
  <si>
    <t>Orçamento único devido ser a fabricante do aparelho</t>
  </si>
  <si>
    <r>
      <rPr>
        <sz val="9"/>
        <color rgb="FFFF0000"/>
        <rFont val="Calibri"/>
        <scheme val="minor"/>
      </rPr>
      <t xml:space="preserve">4285178 </t>
    </r>
    <r>
      <rPr>
        <sz val="9"/>
        <color rgb="FF000000"/>
        <rFont val="Calibri"/>
        <scheme val="minor"/>
      </rPr>
      <t>- 4295754</t>
    </r>
  </si>
  <si>
    <t>MULT-TEC ASSISTÊNCIA ESPECIALIZADA LTDA</t>
  </si>
  <si>
    <t>Serviço para a revisão do conjunto de blocos do vácuo da R145 da embalagem e curados</t>
  </si>
  <si>
    <t>250 - MULTTEC</t>
  </si>
  <si>
    <t>Requisição com apenas um orçamento em anexo pois é um serviço que requer uma mão de obra especializada e em contato com outros fornecedores seria o único disponível no momento.</t>
  </si>
  <si>
    <r>
      <rPr>
        <sz val="9"/>
        <color rgb="FFFF0000"/>
        <rFont val="Calibri"/>
        <scheme val="minor"/>
      </rPr>
      <t xml:space="preserve">4285255 - </t>
    </r>
    <r>
      <rPr>
        <sz val="9"/>
        <color rgb="FF000000"/>
        <rFont val="Calibri"/>
        <scheme val="minor"/>
      </rPr>
      <t>4285510</t>
    </r>
  </si>
  <si>
    <t>Locação de 1 Plataforma TESOURA DE 8M</t>
  </si>
  <si>
    <t>2224 - 25%
2488 - 25%
2283 - 25%
2437 - 25%</t>
  </si>
  <si>
    <t>0 - G P DA LUZ 4.600,00</t>
  </si>
  <si>
    <t>Foi enviado apenas um orçamento pois os outros 02 fornecedores que foi consultado não possuíam a disponibilidade de aluguel do equipamento correto para a realização dos serviços no período requerido pois existia conflito de datas de aluguel devido ao equipamento já estar reservado para outra empresa.</t>
  </si>
  <si>
    <r>
      <rPr>
        <sz val="9"/>
        <color rgb="FF000000"/>
        <rFont val="Calibri"/>
        <scheme val="minor"/>
      </rPr>
      <t xml:space="preserve">338
</t>
    </r>
    <r>
      <rPr>
        <sz val="9"/>
        <color rgb="FFFF0000"/>
        <rFont val="Calibri"/>
        <scheme val="minor"/>
      </rPr>
      <t>12</t>
    </r>
  </si>
  <si>
    <t>Alex</t>
  </si>
  <si>
    <t>TORNO - USINAGEM DE ENGRENAGEM FINITY ESTAGIO 4 TRIPARIA</t>
  </si>
  <si>
    <t>590 - PHDS 1.280,00</t>
  </si>
  <si>
    <t>Foi preciso pedir para empresa terceira a confecção da engrenagem dupla, onde a nossa manutenção interna não atende este tipo de serviço, com objetivo de entregar a máquina rodando na segunda feira dia 27/10.</t>
  </si>
  <si>
    <t>106 - 27/10/25</t>
  </si>
  <si>
    <t>TORNO - Usinagem em rodilhos de furacao de filme flowpack</t>
  </si>
  <si>
    <t>409 - VELOTANO 1.920,00</t>
  </si>
  <si>
    <t>TORNO - Usinagem em conjunto acionador da extratora de reto</t>
  </si>
  <si>
    <t>414 - VELOTANO 1.740,00</t>
  </si>
  <si>
    <t>4001 - 03/12/25</t>
  </si>
  <si>
    <t>tapeçaria pérola</t>
  </si>
  <si>
    <t>Conserto de cadeiras de escritório .</t>
  </si>
  <si>
    <t>5345 16% 2348 40% 2283 16% 2291 8% 4057 8% 4472 4% 2208 8%</t>
  </si>
  <si>
    <t>0-tapeçaria pérola 2.010</t>
  </si>
  <si>
    <t>Calibrabem LTDA-ME</t>
  </si>
  <si>
    <t>Calibração de equipamentos ambulatórias</t>
  </si>
  <si>
    <t>1087678 - 0</t>
  </si>
  <si>
    <t>ATIVA PRO SERVICE LTD</t>
  </si>
  <si>
    <t>SERVIÇO DE TERCEIRO COM MÃO DE OBRA E MATERIAL PARA CONSERTO EM PLACA ELETRONICA.</t>
  </si>
  <si>
    <t>SERVIÇO DE TERCEIRO COM MÃO DE OBRA E MATERIAL PARA CONSERTO EM IHM HANDTMANN</t>
  </si>
  <si>
    <t>SERVIÇO DE TERCEIRO COM MÃO DE OBRA E MATERIAL PARA CONSERTO EM IHM ALLEN BRADLEY PANEL PLUS 400</t>
  </si>
  <si>
    <t>SERVIÇO DE TERCEIRO COM MÃO DE OBRA E MATERIAL PARA CONSERTO EM INVERSOR DE FREQUENCIA MITSUBISHI</t>
  </si>
  <si>
    <t>O material foi utilizado na execução do serviço, pois, ao ser testado, apresentou defeito.</t>
  </si>
  <si>
    <t xml:space="preserve">VELOTANO </t>
  </si>
  <si>
    <t>TORNO - Serviço para mão de obra usinagem em trava da caixa de selagem.</t>
  </si>
  <si>
    <t>AFIAÇÃO LÂMINA DE CORTE V-CUT MARE</t>
  </si>
  <si>
    <t xml:space="preserve">phds usinagem </t>
  </si>
  <si>
    <t>Torno - USINAR PARAFUSO DESCOREADEIRA DO CARRÉ</t>
  </si>
  <si>
    <t>Justificativa: Durante uma inspeção preventiva realizada na máquina, foi identificada uma folga excessiva no parafuso do conjunto responsável pela tração do rolo principal da descoreadeira. Essa folga comprometia a eficiência do equipamento, resultando em desperdícios, pois permaneciam pedaços de pele após a primeira passada, exigindo a repetição do processo. Essa repetição ocasionava a remoção excessiva de gordura do carré, ampliando as perdas de matéria-prima. Considerando que o equipamento foi desmontado no sábado e precisava estar em operação na segunda-feira pela manhã, foi necessário realizar a usinagem do componente em caráter de urgência.</t>
  </si>
  <si>
    <t>TORNO - Serviço de mão de obra e material para realizar usinagem em peças guias das nóreas de entrada das câmaras de resfriamento de carcaça.</t>
  </si>
  <si>
    <t>Torno - Serviço de mão de obra para realizar usinagem em acoplamento utilizado na F200</t>
  </si>
  <si>
    <t>O motivo do emergencial é devido ao fato de que o acoplamento do acelerador de vácuo utilizado na Multivac F200 na embalagem secundária acabou quebrando. Dessa forma, tornou-se necessário o envio imediato para para retomar a velocidade de ciclos na máquina.</t>
  </si>
  <si>
    <t xml:space="preserve">THDS </t>
  </si>
  <si>
    <t>TORNO - CONSERTO DE PORTÃO DA MOEGA  DE RECEBIMNETO DE RESÍDUOS ( SEGURANÇA DE TERECIROS QUE FAZEM O DESCARREGAMENTO DE RESÍDUOS DA INDUSTRIA)</t>
  </si>
  <si>
    <t>Tiago</t>
  </si>
  <si>
    <t>STIFF REGRIGERAÇÃO</t>
  </si>
  <si>
    <t xml:space="preserve">SERVIÇO DE SUBSTITUIÇÃO DOS BLOCOS SERPENTINAS DO ABSORVEDOR.
</t>
  </si>
  <si>
    <t>SOMENTE DOIS ORÇAMENTOS ONDE EMPRESAS TEM A MÃO DE OBRA QUALIFICADA PARA O ATENDIMENTO DA DEMANDA SOLICITADA DA PARTE DE REFRIGERAÇÃO.</t>
  </si>
  <si>
    <t>GATO AR CONDICIONADO LTDA</t>
  </si>
  <si>
    <t>SERVIÇO DE MANUTENÇÃO NO COMPRESSOR DE UNIDADE CONDENSADORA 36.000 BTUs.</t>
  </si>
  <si>
    <t>AVF</t>
  </si>
  <si>
    <t xml:space="preserve">TORNO- MÃO DE OBRA SENDO: 
Usinagem emergencial no bloco válvulas da Multivac R145
Referente a NF 39890
</t>
  </si>
  <si>
    <t xml:space="preserve">Justificativa: Máquina com problemas de atingimento mínimo vácuo devido aos parafusos de fixação entre os blocos de válvulas estarem espanados. Este serviço emergencial precisou ser feito no domingo com retorno no mesmo dia devido a produção de segunda à sábado em dois turnos no setor. </t>
  </si>
  <si>
    <t>ORDEM REFERENTE À MÃO DE OBRA DE SERVIÇO DE CIVIL PARA REALIZAÇÃO DE REPARO EM 100M² DE PISO EM URETANO, REPARO EM 30 PONTOS EM RODAPÉ EM URETANO.</t>
  </si>
  <si>
    <t>NECESSIDADE DE REALIZAÇÃO SE SERVIÇOS DE REPARO EM PISO PAR TRABALHO EM FINAL DE SEMANA COM URGÊNCIA REFERENTE A NECESSIDADE DE ATENDER SOLICITAÇÕES DE QUALIDADE, PRAZOS DE AUTO CONTROLE E PRAZOS DO SIF</t>
  </si>
  <si>
    <t xml:space="preserve">MANUTENÇÃO MANUTENCAO EM BOMBA 8.180,00
SUBMERSIVEL BCS-205 3 CV TRIFASICA 380V.
</t>
  </si>
  <si>
    <t>SOS SERVICE</t>
  </si>
  <si>
    <t>Descrição: Contratação de serviço de empresa de instalações elétricas manutenção corretiva de pendências geradas da manutenção preventiva “Cabines elétricas de MT/BT” de 2023
Anexos: Descritivo técnico 00009 Revisão Pendências 2023.pdf</t>
  </si>
  <si>
    <t>12073 - SOS SERVICE
547 - C &amp; E SERVICE
18603 - SERCAMP</t>
  </si>
  <si>
    <t xml:space="preserve">Cancelado saldo a pedido do Eder </t>
  </si>
  <si>
    <t>TORNO- Serviço de mão de obra e material para realizar fabricação de conjuntos viradores da x-ham.</t>
  </si>
  <si>
    <t xml:space="preserve">O motivo da urgência é devido ao fato de que as algemas utilizadas na nórea aérea de pernil não estão virando corretamente devido ao elevado desgaste dos viradores, ocasionando a trava e desarme de todo o sistema. Consequentemente, gerando parada de máquina recorrente. </t>
  </si>
  <si>
    <t>velotano</t>
  </si>
  <si>
    <t>TORNO - Serviço de mão de obra e material para realizar a usinagem em eixo utilizado no moedor linha Velati.</t>
  </si>
  <si>
    <t>badan</t>
  </si>
  <si>
    <t>Conserto de transformador de selagem VC999 setor: embalagem- seg-industrial</t>
  </si>
  <si>
    <t>TORNO-Usinagem- Recuperação molde em alumínio aeronáutico para solda com uma face teflonada.</t>
  </si>
  <si>
    <t>.</t>
  </si>
  <si>
    <t>TORNO -Usinagem suporte placa de selagem corte reto F200</t>
  </si>
  <si>
    <t>1. RC - AGUARDANDO RETORNO DO SOLICITANTE</t>
  </si>
  <si>
    <t xml:space="preserve">nota fiscal já rotornou </t>
  </si>
  <si>
    <t>Serviço de mão de obra e material para realizar o balanceamento em rotor de ventilador utilizado no túnel de congelamento GEA.</t>
  </si>
  <si>
    <t>O motivo do emergencial é devido ao fato de que o túnel está operando sem um ventilador. A falta desse pode auxiliar na perda total da temperatura do ambiente, gerando não conformidade e perda de produto.</t>
  </si>
  <si>
    <t xml:space="preserve">F&amp;F MANUTENÇÃO </t>
  </si>
  <si>
    <t xml:space="preserve">MANUTENÇÃO E RECUPERAÇÃO DE VÁLVULAS DE SEGURANÇA DESMONTAGEM, JATEAMENTO, LAPIDAÇÃO, CALIBRAÇÃO, TROCA DE PARAFUSOS 
E PEÇAS.
CERTIFICADOS E ART INCLUSOS.
</t>
  </si>
  <si>
    <t>USINOX</t>
  </si>
  <si>
    <t xml:space="preserve">Serviço de assistência técnica para acompanhamento e manutenção das embaladoras usinox </t>
  </si>
  <si>
    <t>3458 - USINOX</t>
  </si>
  <si>
    <t>fabricante do equipamento.</t>
  </si>
  <si>
    <t>MACROMAQ</t>
  </si>
  <si>
    <t>SERVIÇO DE MANUTENÇÃO NO CONJUNTO DE FREIO DA TRANSPALETEIRA YALE LIFT TRUCK MODEL MPE060LFN24T2748.</t>
  </si>
  <si>
    <t>233758 - MACROMAQ</t>
  </si>
  <si>
    <t xml:space="preserve"> Transpaleteira do setor de Controle de Materiais está com o sistema de freio danificado, impossibilitando o uso seguro do equipamento. Não possuímos o conjunto de freio para substituição. Conforme informado pelo encarregado, a ausência da transpaleteira tem impactado a agilidade na movimentação de cargas do setor, sendo necessária a priorização do conserto para restabelecimento imediato do equipamento e continuidade das operações. </t>
  </si>
  <si>
    <t>4294337 - 4297520</t>
  </si>
  <si>
    <t>RC EXPIRADA POR FALTA DE AJUSTE</t>
  </si>
  <si>
    <t>CROWN</t>
  </si>
  <si>
    <t>referente ao conserto emergêncial da transpaleteira still da embalagem secundária, que estava parada.</t>
  </si>
  <si>
    <t>NSM</t>
  </si>
  <si>
    <t>Serviço de mão de obra para realizar a substituição de peças do gerador 03 para o gerador 04.</t>
  </si>
  <si>
    <t xml:space="preserve">O serviço foi registrado como retirado, tendo em vista que o equipamento se encontrava inoperante, comprometendo o processo de geração de energia devido à indisponibilidade do gerador. Diante da urgência, não houve tempo hábil para seguir o procedimento padrão de requisição. </t>
  </si>
  <si>
    <t>RGM MANUTENÇÃO</t>
  </si>
  <si>
    <t xml:space="preserve">CONSERTO DE INVERSOR SIEMENS SINAMICS POWER MODULE 230 MOD. 6SL3210-1NE26-0AL0.
Reparo/Preventiva:
 - Desmontagem por completo;
- Limpeza de todas as partes e peças;
 - Secagem em ambiente controlado;
 - Substituição dos ventiladores;
- Recuperação dos bornes de saída;
 - Substituição do composto de transferência térmica.
 - Montagem de acordo com normas de cada fabricante.
</t>
  </si>
  <si>
    <r>
      <rPr>
        <sz val="9"/>
        <color rgb="FFFF0000"/>
        <rFont val="Calibri"/>
        <scheme val="minor"/>
      </rPr>
      <t xml:space="preserve">2452
</t>
    </r>
    <r>
      <rPr>
        <sz val="9"/>
        <color rgb="FF000000"/>
        <rFont val="Calibri"/>
        <scheme val="minor"/>
      </rPr>
      <t>2473</t>
    </r>
  </si>
  <si>
    <t>multtec</t>
  </si>
  <si>
    <t xml:space="preserve">Visita técnica para manutenção e acompanhamento nos equipamentos </t>
  </si>
  <si>
    <t>252 - MULTTEC</t>
  </si>
  <si>
    <t xml:space="preserve">Serviço de mão de obra para assistência técnica referente a F200 e R145 onde as mesmas estava apresentando problemas na formação, selagem e sistema de vácuo impactando diretamente na produção e gerando um grande número de reprocesso </t>
  </si>
  <si>
    <t>GP DA LUZ</t>
  </si>
  <si>
    <t xml:space="preserve">2488 – 50%
2313 – 50%
</t>
  </si>
  <si>
    <t xml:space="preserve">Justificativa: Foi necessária a locação de uma plataforma para realizar a adequação da iluminação no setor, que se encontrava fora dos padrões mínimos de luminosidade estabelecidos pela norma interna da Aurora. A plataforma foi utilizada especificamente na entrada e saída das câmeras de equalização — área de difícil acesso à parte inferior do forro, devido ao espaço reduzido e à presença das estruturas de fixação da noréia e da própria noréia.
Em razão dessas restrições, o equipamento disponível internamente não conseguia alcançar o local, tornando indispensável a locação de uma plataforma compatível com o espaço. Foi possível apresentar apenas um orçamento, pois, no momento da solicitação via WhatsApp, apenas uma empresa possuía disponibilidade de entrega do equipamento dentro do prazo necessário para execução do serviço.
</t>
  </si>
  <si>
    <r>
      <rPr>
        <sz val="9"/>
        <color rgb="FFFF0000"/>
        <rFont val="Calibri"/>
        <scheme val="minor"/>
      </rPr>
      <t xml:space="preserve">4297853
</t>
    </r>
    <r>
      <rPr>
        <sz val="9"/>
        <color rgb="FF000000"/>
        <rFont val="Calibri"/>
        <scheme val="minor"/>
      </rPr>
      <t xml:space="preserve">4299287
</t>
    </r>
  </si>
  <si>
    <t>EXPIRADA</t>
  </si>
  <si>
    <t>Serviço de mão de obra para substituição do rolamento da parte de traz do tumbler.</t>
  </si>
  <si>
    <t>Apenas um orçamento pois se trata do representante da marca no Brasil.</t>
  </si>
  <si>
    <t>MULT-TEC</t>
  </si>
  <si>
    <t>Serviço de reforma da termoformadora multivac F200</t>
  </si>
  <si>
    <t>2 ORÇ</t>
  </si>
  <si>
    <t>Requisição com apenas dois orçamentos pois só tem duas empresas que fornecem esse tipo de serviço.</t>
  </si>
  <si>
    <t>TORNO - usinagem em guia utilizada na Poly-clip</t>
  </si>
  <si>
    <r>
      <rPr>
        <sz val="9"/>
        <color rgb="FFFF0000"/>
        <rFont val="Calibri"/>
        <scheme val="minor"/>
      </rPr>
      <t xml:space="preserve">376
405
</t>
    </r>
    <r>
      <rPr>
        <sz val="9"/>
        <color rgb="FF000000"/>
        <rFont val="Calibri"/>
        <scheme val="minor"/>
      </rPr>
      <t>436</t>
    </r>
  </si>
  <si>
    <t>TORNO -  usinagem em eixo, chapas e suporte da dosadora de paletas no mezanino.</t>
  </si>
  <si>
    <t>O motivo do emergencial é devido ao elevado desgaste apresentado no sistema, gerando travamentos e interrupção do processo produtivo</t>
  </si>
  <si>
    <r>
      <rPr>
        <sz val="9"/>
        <color rgb="FFFF0000"/>
        <rFont val="Calibri"/>
        <scheme val="minor"/>
      </rPr>
      <t xml:space="preserve">378
</t>
    </r>
    <r>
      <rPr>
        <sz val="9"/>
        <color rgb="FF000000"/>
        <rFont val="Calibri"/>
        <scheme val="minor"/>
      </rPr>
      <t>429</t>
    </r>
  </si>
  <si>
    <t xml:space="preserve">
O motivo do emergencial é devido ao fato de que o elevador em questão se encontrava travado, no qual tivemos que realizar toda a desmontagem das rodas, guias e eixo e confecção imediata de peças para que fosse possível reutilizar o elevador mais rápido possível
</t>
  </si>
  <si>
    <t>TORNO - fabricação de eixos e buchas para utilização no dosador de saída da câmara 04.</t>
  </si>
  <si>
    <t>O motivo do emergencial com único orçamento é devido ao fato de que o sistema dosador estava travando, acarretando na dosagem incorreta e travamento da saída das câmaras com a nórea principal</t>
  </si>
  <si>
    <t>TORNO -  usinagem em rolo e engrenagem da triparia</t>
  </si>
  <si>
    <t>O motivo do emergencial com um único orçamento é devido ao fato de que o rolo estava apresentando um desgaste em relação a engrenagem. Mediante ao problema enfrentado, a corrente acaba escapando do sistema, podendo ocasionar parada de máquina.</t>
  </si>
  <si>
    <t>TORNO - usinagem em placa utilizada na v-cut.</t>
  </si>
  <si>
    <t>O motivo do emergencial é devido ao fato de que a placa utilizada estava com furos e abaulada, gerando travamentos do equipamento durante o processo. Foi necessário usinagem em outra placa, para que no dia seguinte não viesse a parar por definitivo o processo</t>
  </si>
  <si>
    <t>TORNO -  usinagem em cilindro hidráulico da injetora da presuntaria</t>
  </si>
  <si>
    <t>SERVIÇO DE USINAGEM EM EIXOS DO REDUTOR DA PRENSA EXPELLER</t>
  </si>
  <si>
    <t>Serviço para mão de obra para conserto em 2 bases do motorredutor da misturadeira montemil.</t>
  </si>
  <si>
    <t>Justificativa: Em um dos chamados da produção foi identificado que a base que segura o motoredutor, responsável pelo funcionamento do moedor estava torta, impossibilitando a regulagem da correia para estica-la, a correia estava pulando os dentes da engrenagem e ocasionando desgaste, correndo risco de parada eminente.</t>
  </si>
  <si>
    <t>MARRARI AUTOMAÇÃO INDL. LTDA</t>
  </si>
  <si>
    <t>CONSERTO E CALIBRAÇÃO DO BALDE M75 MARRARI MEDIDOR DE UMIDADE DE CAVACO</t>
  </si>
  <si>
    <r>
      <rPr>
        <sz val="9"/>
        <color rgb="FFFF0000"/>
        <rFont val="Calibri"/>
        <scheme val="minor"/>
      </rPr>
      <t xml:space="preserve">4852
</t>
    </r>
    <r>
      <rPr>
        <sz val="9"/>
        <color rgb="FF000000"/>
        <rFont val="Calibri"/>
        <scheme val="minor"/>
      </rPr>
      <t>4879</t>
    </r>
  </si>
  <si>
    <t>USIMEC</t>
  </si>
  <si>
    <t xml:space="preserve"> SERVIÇO DE MÃO DE OBRA PARA REVISÃO DO EXAUSTOR DO CHAMUSCADOR</t>
  </si>
  <si>
    <t>HANNA INSTRUMENTS BRASIL IMP. E EXP.LTD</t>
  </si>
  <si>
    <t>SERVIÇO DE CALIBRAÇÃO DE UM FOTOMETRO MEDIDOR DE CLORO LIVRE E TOTAL GAMA ALTA, MOD.HI97734C, FABRICANTE HANNA</t>
  </si>
  <si>
    <t>TORNO - Serviço de usinagem em suporte de Celeron para resistência da seladora</t>
  </si>
  <si>
    <t>TORNO -  fabricação de engrenagem para estágio 01 da Finity</t>
  </si>
  <si>
    <t xml:space="preserve">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 </t>
  </si>
  <si>
    <t xml:space="preserve">TORNO - usinagem em eixo para caixa redutora da fatiadora textor </t>
  </si>
  <si>
    <t>TORNO -  USINAGEM EM KIT ENGRENAGEM SKINNER</t>
  </si>
  <si>
    <t>TORNO -  usinagem em guias e levantadores da x-ham.</t>
  </si>
  <si>
    <t>TORNO - conserto em sistema com polia do desbobinador de tripas</t>
  </si>
  <si>
    <t>REPARO EM 100M² DE PISO EM URETANO REPARO EM 30 PONTOS EM RODAPÉ EM URETANO.</t>
  </si>
  <si>
    <t xml:space="preserve">2488 25% 4588 25%
5345 25% 2283 25%
</t>
  </si>
  <si>
    <t xml:space="preserve">Necessidade de serviço de reparo em piso mediante a atender auto controle e atividades em a manutenção dos mesmos.
</t>
  </si>
  <si>
    <r>
      <rPr>
        <sz val="9"/>
        <color rgb="FFFF0000"/>
        <rFont val="Calibri"/>
        <scheme val="minor"/>
      </rPr>
      <t xml:space="preserve">2065
</t>
    </r>
    <r>
      <rPr>
        <sz val="9"/>
        <color rgb="FF000000"/>
        <rFont val="Calibri"/>
        <scheme val="minor"/>
      </rPr>
      <t xml:space="preserve">2066
</t>
    </r>
  </si>
  <si>
    <t>PMP LAMINAS</t>
  </si>
  <si>
    <t>SERVIÇO DE CONSERTO DE MÁQUINA SKINNER MAREL.</t>
  </si>
  <si>
    <t>7373 - PMP LAMINAS</t>
  </si>
  <si>
    <t>PESO EXATO</t>
  </si>
  <si>
    <t>SERVIÇO DE CALIBRAÇÃO E INSPEÇÃO EM BALANÇA RODOVIÁRIA</t>
  </si>
  <si>
    <t>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</si>
  <si>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Solicitado cancelamento do saldo residual pelo José.</t>
  </si>
  <si>
    <t>SERVIÇO DE ASSISTÊNCIA TÉCNICA PARA   MANUTENÇÃO PREVENTIVA PARA 3 X EQUIPAMENTOS F200, 1 X EQUIPAMENTO R535, 2 X EQUIPAMENTOS R145, 12 VISITAS A SEREM REALIZADAS NO PERÍODO DE 12 MESES, INCLUINDO 1 X TÉCNICO ESPECIALISTA, TODAS AS DESPESAS DE VIAGEM, HORAS DE TRABALHO E IMPOSTOS.</t>
  </si>
  <si>
    <t>Peso Exato LTDA</t>
  </si>
  <si>
    <t>Justificativa de orçamento único e urgência: 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</si>
  <si>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 xml:space="preserve"> REQUISIÇÃO CANCELADA DEVIDO A DIGITAÇÃO EM DUPLICIDADE</t>
  </si>
  <si>
    <t>TORNO -  USINAGEM EM CONJUNTO ACIONADOR DA FACA DA PISTOLA DO RETO.</t>
  </si>
  <si>
    <t>TORNO -  USINAGEM EM BUCHA DO EIXO DO MOEDOR FRESCAL</t>
  </si>
  <si>
    <t>SERVIÇO USINAGEM EM BUCHA DO EIXO DO MOEDOR FRESCAL.</t>
  </si>
  <si>
    <t xml:space="preserve">2488 25% 5345 25%
4588 25% 2291 25%
</t>
  </si>
  <si>
    <t>NECESSIDADE DE SERVIÇO DE SUBSTITUIÇÃO DE TUBULAÇÕES COM VAZAMENTO NO FORRO DA INDUSTRIA DEVIDO A CORROSÃO DE VÁRIOS PONTOS.</t>
  </si>
  <si>
    <t xml:space="preserve">SERVIÇO DE CONSERTO EM BOMBA INJETORA DE DIESEL. </t>
  </si>
  <si>
    <t>ISOPARANÁ</t>
  </si>
  <si>
    <t>ÙNICO FORNECEDOR DISPONÍVEL NA REGIÃO QUE TEM CONHECIMENTO MANUSEIO E SERVIÇOS DE ISOPAINEL HOMOLOGADO PELA MANUTENÇÃO, PARA REALIZAÇÃO DE SERVIÇOS DENTRO DA UNIDADE COM CONHECIMENTO DA PLANTA ATENTENDO AS NECESSIDADES REAIS DO PROCESSO.</t>
  </si>
  <si>
    <t>TORNO - USINAGEM EM POLIA DE ALUMINIO DA NÓRIA DE MÍUDOS</t>
  </si>
  <si>
    <t xml:space="preserve">Durante manutenção na Nória de miúdos, foi verificado a necessidade de realizar o preenchimento e usinagem do encaixe de eixo da polia. Item essencial para o funcionamento do equipamento, sem a realização do reparo no item, estaríamos sujeitos a quebra da polia e consequentemente a parada do equipamento, influenciando na produção.
</t>
  </si>
  <si>
    <t>DE PAULA</t>
  </si>
  <si>
    <t>NECESSIDADE DE CONTRATAÇÃO URGENTE DE MÃO OBRA REFERENTE AS PINTURAS DEVIDO A MISSÃO MALÁSIA.</t>
  </si>
  <si>
    <t>ATLAS COPCO</t>
  </si>
  <si>
    <t xml:space="preserve">SERVIÇO DE MANUTENÇÃO E REPROGRAMAÇÃO DO SISTEMA OPERACIONAL DO COMPRESSOR DE AR ATLAS COPCO. </t>
  </si>
  <si>
    <t xml:space="preserve">Solicitação de serviço emergencial devido o compressor de ar Atlas Copco ter apresentado falha no sistema operacional, impossibilitando a operação do equipamento. Foi solicitada assistência técnica especializada da Atlas Copco, fabricante do equipamento.
</t>
  </si>
  <si>
    <t xml:space="preserve">TORNO - Serviço de torno para reparo nas bases de apoio da caixa de formação da R145  </t>
  </si>
  <si>
    <t>VELOTANO  - 423</t>
  </si>
  <si>
    <t>4011 - 12/12/25</t>
  </si>
  <si>
    <t>QUIMIS</t>
  </si>
  <si>
    <t>SERVIÇO DE MANUTENÇÃO EM EQUIPAMENTO BANHO MARIA MICROPROCESSADO MOD.Q215M2</t>
  </si>
  <si>
    <t>QUIMIS - 9526</t>
  </si>
  <si>
    <t xml:space="preserve"> O conserto urgente do equipamento BANHO MARIA MICROPROCESSADO MOD.Q215M2 é necessário, pois ele é essencial para a realização de análises e ensaios que dependem de controle preciso de temperatura. A indisponibilidade do equipamento interrompe procedimentos críticos, podendo comprometer resultados, atrasar processos laboratoriais e impactar diretamente a rotina operacional. Portanto, o reparo imediato é fundamental para garantir a continuidade das atividades e manter a confiabilidade das análises.</t>
  </si>
  <si>
    <t>SERVIÇO DE CONSERTO INVERSOR SIEMENS SINAMICS CL-6SL3210-1PE27-5UL0</t>
  </si>
  <si>
    <t>RGM - 15265</t>
  </si>
  <si>
    <t xml:space="preserve">SERVIÇO DE CONSERTO IHM SIEMENS CL-7KM4212-0BA00-3AA0. </t>
  </si>
  <si>
    <t>RGM - 15267</t>
  </si>
  <si>
    <t>INDUSTRIAS MARQUES DA COSTA LTDA</t>
  </si>
  <si>
    <t xml:space="preserve">SERVIÇO DE CONSERTO MÁQUINA DE LIMPEZA DE TUBOS MC2000. </t>
  </si>
  <si>
    <t xml:space="preserve"> INDUSTRIAS MARQUES DA COSTA LTDA - 35663</t>
  </si>
  <si>
    <t>ARTEFATOS DE BORRACHA PCR LTDA - 126664</t>
  </si>
  <si>
    <t>MATERIAL PARA CONSERTO DO DETECTOR DE METAIS UTILIZADO PELO TÉCNICO DA PRESTADORA, DURANTE SERVIÇO DE CONSERTO</t>
  </si>
  <si>
    <t>180011490 - AKTUAL SERVICE LTDA 5.094,38</t>
  </si>
  <si>
    <t>Foi realizado a compra urgente de serviço de técnico com mão de obra especializada, para realizar conserto do detector de metais da Galeria Técnica, equipamento de grande importância, devido a detecção de contaminantes metálicos garantindo a segurança e qualidade do produto, e também a segurança dos equipamentos. Durante o conserto, foi necessário a utilização de algumas peças trazidas pelo técnico, devido serem peças especificas do equipamento e não termos em estoque. </t>
  </si>
  <si>
    <r>
      <rPr>
        <sz val="9"/>
        <color rgb="FFFF0000"/>
        <rFont val="Calibri"/>
        <scheme val="minor"/>
      </rPr>
      <t xml:space="preserve">4304349
</t>
    </r>
    <r>
      <rPr>
        <sz val="9"/>
        <color rgb="FF000000"/>
        <rFont val="Calibri"/>
        <scheme val="minor"/>
      </rPr>
      <t>4317377</t>
    </r>
  </si>
  <si>
    <r>
      <rPr>
        <sz val="9"/>
        <color rgb="FFFF0000"/>
        <rFont val="Calibri"/>
        <scheme val="minor"/>
      </rPr>
      <t xml:space="preserve">18/11/2025
</t>
    </r>
    <r>
      <rPr>
        <sz val="9"/>
        <color rgb="FF000000"/>
        <rFont val="Calibri"/>
        <scheme val="minor"/>
      </rPr>
      <t>01/12</t>
    </r>
  </si>
  <si>
    <t>THOMAZ &amp; BARONI
METALURGICA AGRIINOX
METALÚRGICA EDINOX</t>
  </si>
  <si>
    <t>Serviço Recuperação Estrutural da Niveladora Doca Condimentaria 01</t>
  </si>
  <si>
    <t>3 orç</t>
  </si>
  <si>
    <t>4305012
4313038</t>
  </si>
  <si>
    <t>Cancelamento solicitado pelo Marcos.</t>
  </si>
  <si>
    <t>CONSERTO EM SOFTSTARTER CASA DE BOMBAS MODELO 3RW4424-1BC44 MARCA SIEMENS.</t>
  </si>
  <si>
    <t xml:space="preserve">TORNO - usinagem em placa de selagem </t>
  </si>
  <si>
    <t>434 - VEOTANO 2.680,00</t>
  </si>
  <si>
    <t>3421 - 20/08</t>
  </si>
  <si>
    <t>EDINOX</t>
  </si>
  <si>
    <t>ADEQUAÇÃO DE SEGURANÇA NOS DRIVEIN CONDIMENTARIA</t>
  </si>
  <si>
    <t xml:space="preserve">RATEIO:
50% - ABATE 2488
50% - ESPOSTEJAMENTO 2224
</t>
  </si>
  <si>
    <t>WEBER</t>
  </si>
  <si>
    <t>assistência técnica no equipamento Textor.</t>
  </si>
  <si>
    <t>3025100905 - WEBER 14.816,90</t>
  </si>
  <si>
    <t>foi realizado um levantamento e compra das peças que necessitavam realizar substituição, apos chegada das mesmas, solicitamos o atendimento do técnico para realizar a troca devido a complexidade e parametrização dos componentes. serviço prestado final de 2024 pelo Leonardo Gava, onde tanto o encarregado quanto o fornecedor esqueceram de dar andamento para pagamento do serviço.</t>
  </si>
  <si>
    <t xml:space="preserve">soldas sanitárias em estruturas de
Equipamentos do setor de embalagem primária indústria_x000D_ e industrializados, Setor de embut-cozidos e Setor de presumtaria. 
</t>
  </si>
  <si>
    <t>5345 – 20% 
2283 – 40%
2291 – 40%</t>
  </si>
  <si>
    <t>94624 - BALENA 16.000,00
275 - EDINOX 15.000,00
271 - THOMAZ &amp; BARONI 10.600,00</t>
  </si>
  <si>
    <t>Serviço deve ser executado com urgência, pois tem risco de contaminação dos produtos por meio de soldas mau acabadas e equipamentos danificados, assim podendo soltar resíduos no produto, alguns pontos com corrosão e tricas.</t>
  </si>
  <si>
    <t>TORNO - fabricação, envolvendo usinagem, de eixo para motoredutor e engrenagem.</t>
  </si>
  <si>
    <t>700 - PHDS 1.850,00</t>
  </si>
  <si>
    <t>Encaminhado com um único orçamento e como retirado/emergencial mediante ao fato de que o serviço foi executado e entregue. O atraso no envio da proposta é mediante ao fato do esquecimento na abertura por colaborador que hoje não integra mais o corpo técnico da manutenção.</t>
  </si>
  <si>
    <r>
      <rPr>
        <sz val="9"/>
        <color rgb="FFFF0000"/>
        <rFont val="Calibri"/>
        <scheme val="minor"/>
      </rPr>
      <t xml:space="preserve">4257953
4266448
</t>
    </r>
    <r>
      <rPr>
        <sz val="9"/>
        <color rgb="FF000000"/>
        <rFont val="Calibri"/>
        <scheme val="minor"/>
      </rPr>
      <t>4305931</t>
    </r>
  </si>
  <si>
    <t>6143 - 09/05/25</t>
  </si>
  <si>
    <t xml:space="preserve">TORNO - Serviço de usinagem em bucha bronze e eixo com 
rosca nova.
</t>
  </si>
  <si>
    <t xml:space="preserve">	TORNO - Confecção de Placa em nylon, conforme desenho</t>
  </si>
  <si>
    <t>433 - VELOTANO 1.735,00
9 - AVF 3.879,90
729 - USICASTRO 1.400,00</t>
  </si>
  <si>
    <t>Devido ao desgaste da chapa que se encontra na esteira de saída do túnel GEA, e segundo relato da operação, está danificando as caixas no processo, por falta desta peça, precisamos fazer o quanto antes este serviço, evitando prejuízo maiores. </t>
  </si>
  <si>
    <t>CONSERTO DA MOTOBOMBA DE VÁCUO BUSCH RA 0302 D 563 DLXX SN C1347000591</t>
  </si>
  <si>
    <t>456000167 - BUSCH 35.530,24</t>
  </si>
  <si>
    <r>
      <rPr>
        <sz val="9"/>
        <color rgb="FFFF0000"/>
        <rFont val="Calibri"/>
        <scheme val="minor"/>
      </rPr>
      <t xml:space="preserve">4306774
</t>
    </r>
    <r>
      <rPr>
        <sz val="9"/>
        <color rgb="FF000000"/>
        <rFont val="Calibri"/>
        <scheme val="minor"/>
      </rPr>
      <t>4320200</t>
    </r>
  </si>
  <si>
    <t>20/11/2025
04/12/2025</t>
  </si>
  <si>
    <t>SERVIÇO DE REFORMA DE NIVELADORA DA DOCA DE LAVAGEM DE CONTENTORES CONFORME NF SAIDA Nº 40507 - SERVIÇO A SER REALIZADO FORA DA UNIDADE</t>
  </si>
  <si>
    <t>phds 656</t>
  </si>
  <si>
    <t>TORNO - usinagem em placa de selagem F200.</t>
  </si>
  <si>
    <t>404 - VELOTANO 1.220,00</t>
  </si>
  <si>
    <t>3995 - 27/11/25</t>
  </si>
  <si>
    <t>TORNO - usinagem em placa de selagem F200 e teflonagem.</t>
  </si>
  <si>
    <t>405 - VELOTANO 1.640,00</t>
  </si>
  <si>
    <t>3994 - 27/11/25</t>
  </si>
  <si>
    <t xml:space="preserve">AVF </t>
  </si>
  <si>
    <t xml:space="preserve">TORNO - Usinagem em cantoneira de aço inox para fazer 2 oblongos e normalização do 
Comprimento.
</t>
  </si>
  <si>
    <t>10 - AVF 5.756,40</t>
  </si>
  <si>
    <t>2029 - 03/12/25</t>
  </si>
  <si>
    <t>HYDROZAGEM COMERCIO DE BOMBAS LTDA</t>
  </si>
  <si>
    <t xml:space="preserve"> ASSISTÊNCIA TÉCNICA DA BOMBA DOSADORA A SEKO ETE</t>
  </si>
  <si>
    <t>aguardando declaração do simples</t>
  </si>
  <si>
    <t>REWEFLON</t>
  </si>
  <si>
    <t>RECABELAMENTO EM EIXO PARA ESCOVA LAVA BOTAS</t>
  </si>
  <si>
    <t>24748 - REWEFLON 1.164,00</t>
  </si>
  <si>
    <r>
      <rPr>
        <sz val="9"/>
        <color rgb="FFFF0000"/>
        <rFont val="Calibri"/>
        <scheme val="minor"/>
      </rPr>
      <t xml:space="preserve">4308395
</t>
    </r>
    <r>
      <rPr>
        <sz val="9"/>
        <color rgb="FF000000"/>
        <rFont val="Calibri"/>
        <scheme val="minor"/>
      </rPr>
      <t>4324119</t>
    </r>
  </si>
  <si>
    <t>SERVIÇO DE SUBSTITUIÇÃO DA JUNTA FRONTAL DO FILTRO DO GERADOR DE ENERGIA (SALA DE MÁQUINAS).</t>
  </si>
  <si>
    <t>20824895 - STEMAC</t>
  </si>
  <si>
    <t xml:space="preserve"> Orçamento para substituição da  junta frontal do filtro que está apresentando contaminação de água no óleo lubrificante do gerador de energia que fica ao lado da sala de máquinas, manutenção especializada será realizado pelo fabricante do equipamento.</t>
  </si>
  <si>
    <t>SERVIÇO DE SUBSTITUIÇÃO DE BOMBA INJETORA E SUBSTITUIÇÃO DE ÓLEO, FILTROS E LÍQUIDO DE ARREFECIMENTO.</t>
  </si>
  <si>
    <t>20823735/20853962 - STEMAC</t>
  </si>
  <si>
    <t>Orçamento para substituição da bomba injetora do gerador de energia do ADM, manutenção especializada será realizado pelo fabricante do equipamento.</t>
  </si>
  <si>
    <t>SERVIÇO DE INSTALAÇÃO DE AR CONDICIONADO 24000 BTUS E 12000 BTUS.</t>
  </si>
  <si>
    <t>2101-2178</t>
  </si>
  <si>
    <t>3 orçamentos</t>
  </si>
  <si>
    <t>SERVIÇO DE MÃO DE OBRA E MATERIAIS PARA SUBSTITUIÇÃO DO CORRIMÃO EM AÇO CARBONO POR AÇO INOX 304 DA ESCADARIA DE ACESSO A GALERIA TÉCNICA. SERVIÇO A SER EXECUTADO DURANTE A SEMANA</t>
  </si>
  <si>
    <t>3 ORÇAMENTOS</t>
  </si>
  <si>
    <t>SERVIÇO DE MÃO DE OBRA E MATERIAIS PARA SUBSTITUIÇÃO DO CORRIMÃO EM AÇO CARBONO POR AÇO INOX 304 DA ESCADARIA DE ACESSO A SALGA. SERVIÇO A SER EXECUTADO EM FINAL DE SEMANA</t>
  </si>
  <si>
    <t>TORNO - conserto em algemas utilizadas na nórea aérea de pernil da X-ham, no setor de espostejamento</t>
  </si>
  <si>
    <t>437 - VELOTANO 9.200,00</t>
  </si>
  <si>
    <t>TORNO - usinagem em eixo central extratora de reto.</t>
  </si>
  <si>
    <t>417 - VELOTANO 2.020,00</t>
  </si>
  <si>
    <t>PHDS –
Metal C 
BALENA</t>
  </si>
  <si>
    <t>TORNO - usinagem em suporte pneumático extratora reto.</t>
  </si>
  <si>
    <t>436 - VELOTANO 1.350,00</t>
  </si>
  <si>
    <t>4000 - 03/12/25</t>
  </si>
  <si>
    <t>realizar o balanceamento de exaustor utilizado no sanfonamento de tripas do frescal.</t>
  </si>
  <si>
    <t>15204 - USIMEC 5.200,00</t>
  </si>
  <si>
    <t>TORNO - fabricação de eixo e chapas do conjunto de faca utilizada na Inox Meccanica.</t>
  </si>
  <si>
    <t>726 - PHDS 1.895,00</t>
  </si>
  <si>
    <t xml:space="preserve">O motivo do único orçamento e como emergencial é devido ao fato de que a Inox Meccanica ficou apresentando rasgo na tripa durante todo o processo no dia. No intuito de evitar a repetição para o dia sequente, houve-se a necessidade do serviço. </t>
  </si>
  <si>
    <t>129 - 20/11/25</t>
  </si>
  <si>
    <t>TORNO - fabricação em eixo da esteira de copa utilizada no espostejamento.</t>
  </si>
  <si>
    <t>727 - PHDS 3.880,00</t>
  </si>
  <si>
    <t>O motivo do emergencial é devido ao fato de o eixo em questão acabou quebrando durante o processo, tornando a esteira em questão inutilizada, prejudicando a produção. A fabricação veio também no intuito de adequar o eixo a equipamentos reservas que possuímos hoje, tornando-se mais viável e rápida manutenções futuras.</t>
  </si>
  <si>
    <t>131 - 19/11/25</t>
  </si>
  <si>
    <t>TORNO - usinagem em eixo agitador de lodo utilizado no tanque de lodo da tridecanter e decanter.</t>
  </si>
  <si>
    <t>735 - PHDS 2.820,00</t>
  </si>
  <si>
    <t>O motivo do emergencial com único orçamento é mediante ao fato de que o agitador é responsável por homogeneizar os efluentes do tanque de lodo da tridecanter e decanter. Tornou-se necessário o reparo imediato mediante o fato de que a não homogeneização poderia acarretar no entupimento das tubulações e bombas do processo, gerando um problema consequente ainda maior.</t>
  </si>
  <si>
    <t>138 - 24/11/25</t>
  </si>
  <si>
    <t>TORNO - reparo em conjunto engrenagem utilizado na máquina de tripas.</t>
  </si>
  <si>
    <t>741 - PHDS 830,00</t>
  </si>
  <si>
    <t>O motivo do emergencial e único orçamento é devido ao fato de que o equipamento estava com conjunto engrenagem com folga excessiva, gerando complicações durante a utilização no processo. </t>
  </si>
  <si>
    <t>137 - 24/11/25</t>
  </si>
  <si>
    <t>ABRIR POLIA DO SISTEMA DE TRANSMISSÃO DA NÓRIA DE DERRUBADA DE CARCAÇAS DO MEZANINO.</t>
  </si>
  <si>
    <t>755 - PHDS 950,00</t>
  </si>
  <si>
    <t>O serviço foi executado com a classificação 5 – SERVIÇO EMERGENCIAL SEM NF, em razão de avaria na polia do sistema de transmissão da nória responsável pela movimentação e derrubada de carcaças no mezanino. A falha ocorreu devido à queda da chaveta do eixo, ocasionando danos à polia e comprometendo a operação do equipamento.</t>
  </si>
  <si>
    <t xml:space="preserve">conserto em IHM utilizada na Multivac presuntaria. </t>
  </si>
  <si>
    <t>12490 - VOLT 4.866,25</t>
  </si>
  <si>
    <r>
      <rPr>
        <sz val="9"/>
        <color rgb="FFFF0000"/>
        <rFont val="Calibri"/>
        <scheme val="minor"/>
      </rPr>
      <t xml:space="preserve">4315837
4318473
</t>
    </r>
    <r>
      <rPr>
        <sz val="9"/>
        <color rgb="FF000000"/>
        <rFont val="Calibri"/>
        <scheme val="minor"/>
      </rPr>
      <t>4318609</t>
    </r>
  </si>
  <si>
    <t>11907 - 12/12/25</t>
  </si>
  <si>
    <t>WECO</t>
  </si>
  <si>
    <t xml:space="preserve">substituição do sistema finity da máquina de tripas de correntes para correias. </t>
  </si>
  <si>
    <t>26886 - WECO 13,716.60</t>
  </si>
  <si>
    <t>O motivo por trás do envio da proposta do serviço é devido ao fato de possuirmos um elevado gasto em manutenção nos últimos estágios, mediante desgaste prematuro de engrenagem e eixos. O intuito do projeto piloto é de eliminar o sistema por correntes, que exige um constante monitoramento e lubrificação assídua. Está sendo enviado um único orçamento devido ao fato de que a empresa possui o know-how, apresentou disponibilidade em vir em campo e realizar as medições, levantamentos e instalação do novo sistema.</t>
  </si>
  <si>
    <t>3. RC - AGUARDANDO APROVAÇÃO CRISTIANO</t>
  </si>
  <si>
    <t>Cristiano pediu ao Thales e Alex para procurarem ele para tratar desse assunto.</t>
  </si>
  <si>
    <t>CLEDSON DE SOUZA BUENO</t>
  </si>
  <si>
    <t>Conserto emergencial realizado na câmara fria de congelados do refeitório.</t>
  </si>
  <si>
    <t xml:space="preserve">Justificativa: Foi necessário atendimento emergencial devido a câmara estar cheio de carnes e produtos que poderiam estragar se não fosse realizado a manutenção corretiva emergencial.
Foi realizado recarga de gás e conserto do sensor de temperatura que estavam danificados.
</t>
  </si>
  <si>
    <t>BEMAG</t>
  </si>
  <si>
    <t>CONFECÇÃO E INSTALAÇÃO DE 7 METROS DE PROTEÇÃO TÉRMICA E ISOLAÇÃO PARA AS TUBULAÇÕES DEVAPOR DO ABATE AREA SUJA 5008IP
Serviço será realizado para adequação das isolações térmicas das tubulações de vapor do abate área suja.</t>
  </si>
  <si>
    <t>24216 - AGRINOX 10.608,00
9 - BEMAG 7.600,00
2199 - METAL C 8.900,00</t>
  </si>
  <si>
    <t>CONSERTO DE 102 CARRETILHAS, TROCA DE GANCHOS, TROCA DE ROLDANAS E TROCA DE PINOS. GANCHOS, ROLDANAS E PINOS FORNECIDOS PELA AURORA.</t>
  </si>
  <si>
    <t>94755 - BALENA 21.585,64</t>
  </si>
  <si>
    <t>dez/25
jan/26</t>
  </si>
  <si>
    <t>bermo</t>
  </si>
  <si>
    <t xml:space="preserve">SERVIÇO DE MANUTENÇÃO CORRETIVA VÁLVULA DESCARGA DE FUNDO DN50 CL300 C/ ALAVANCA
MODELO DFA40 MARCA BERMO.
</t>
  </si>
  <si>
    <t>Tiago T.</t>
  </si>
  <si>
    <t>Retrofit do comando das 
esteiras de recebimento de 
matéria prima da indústria_x000D_</t>
  </si>
  <si>
    <t>Mecânica Valenga</t>
  </si>
  <si>
    <t>SERVIÇO DE MANUTENÇÃO DO CILINDRO HIDRÁULICO DA DIREÇÃO HIDRÁULICA DA RETROESCAVADEIRA JOHNDEERE.</t>
  </si>
  <si>
    <t>Justificativa: Empresa responsável pelo serviço é a única representante da região autorizada pela john deere (fabricante da retroescavadeira) para realizar manutenções</t>
  </si>
  <si>
    <t>SERVIÇO DE MATERIAL E MÃO DE OBRA PARA REFORMA DE CILINDROS DO EQUIPAMENTO MÁQUINA DE TRIPAS</t>
  </si>
  <si>
    <t>Cristiano</t>
  </si>
  <si>
    <t>FLUXO</t>
  </si>
  <si>
    <t>INSTALAÇÃO DE SISTEMA DE INSENSIBILIZAÇÃO,
START-UP, TREINAMENTO DE EQUIPE,  ACOMPANHAMENTO TÉCNICO E CALIBRAÇÃO DE EQUIPAMENTOS.</t>
  </si>
  <si>
    <t>3952 - FLUXO 11.385,00</t>
  </si>
  <si>
    <t>se trata do fabricante do equipamento.</t>
  </si>
  <si>
    <t>predponta</t>
  </si>
  <si>
    <t>SERVIÇO DE ALINHAMENTO A LASER CONJUNTO PRENSA</t>
  </si>
  <si>
    <t>Justificativa: necessidade de alinhamento com urgência devido a substituição do motor do equipamento, sendo este de grande impotência no processo gerando impacto na produtividade da fábrica.</t>
  </si>
  <si>
    <t>Giovana</t>
  </si>
  <si>
    <t>BRN SOLUCOES INDUSTRIAIS LTDA</t>
  </si>
  <si>
    <t>REVITALIZAÇÃO DE SISTEMA DE AERAÇÃO POR AR DIFUSO ESTAÇÃO DE TRATAMENTO DE EFLUENTE</t>
  </si>
  <si>
    <t>AKTUAL</t>
  </si>
  <si>
    <t>ASSISTENCIA TÉCNICA DO DETECTORR DE METAIS</t>
  </si>
  <si>
    <t>181004265 - AKTUAL 7.903,91</t>
  </si>
  <si>
    <t>NECESSIDADE EMERGENCIAL DE ACOMPANHAMENTO TÉCNICO DO DETECTOR DE METAIS DO TRITURADOR DE VÍSCERAS, COM O RISCO DE QUEBRA DO TRITURADOR DEVIDO A FALHA DO SISTEMA DE DETECÇÃO, GERANDO PERCA E DANOS AO PROCESSO PRODUTIVO. SERVIÇO AINDA NÃO REALIZADO.</t>
  </si>
  <si>
    <t>4. RC - RC ABERTA, AGUARDANDO GERAR PEDIDO</t>
  </si>
  <si>
    <t>TORNO - USINAGEM EM SUPORTE DO BRAÇO SERRRA AUTO SPLITTER</t>
  </si>
  <si>
    <t>442 - VELOTANO 930,00</t>
  </si>
  <si>
    <t>4009 - 10/12/25</t>
  </si>
  <si>
    <t>conserto eletrônico em controlador de temperatura ropex res-5007</t>
  </si>
  <si>
    <t>12474 - VOLT 2.152,00</t>
  </si>
  <si>
    <t>conserto eletrônico em inversor de frequência lenze 8400 2.4 A</t>
  </si>
  <si>
    <t>12481 - VOLT 2.693,25</t>
  </si>
  <si>
    <t>11906 - 12/12/25</t>
  </si>
  <si>
    <t>aguardar entrada da nota de retorno</t>
  </si>
  <si>
    <t>TORNO - USINAGEM EM RODA GUIA DA NÓREAS DO ABATE.</t>
  </si>
  <si>
    <t>441 - VELOTANO 700,00</t>
  </si>
  <si>
    <t>conserto eletrônico em IHM handtmann vf630</t>
  </si>
  <si>
    <t>12475 - VOLT 6.889,25</t>
  </si>
  <si>
    <t>12476 - VOLT 6.368,23</t>
  </si>
  <si>
    <t>conserto eletrônico em controlador de temperatura ropex</t>
  </si>
  <si>
    <t>12484 - VOLT 1.865,22</t>
  </si>
  <si>
    <t>AFIAÇÃO LÂMINA DE CORTE V-CUT MAREL</t>
  </si>
  <si>
    <t>11 - VENZON 1.440,00</t>
  </si>
  <si>
    <t>8724 - 12/12/25</t>
  </si>
  <si>
    <t>7. NF - APROVADO, LANÇAR</t>
  </si>
  <si>
    <t>TORNO - confecção de módulo de correia utilizada na extratora de escápula.</t>
  </si>
  <si>
    <t>442 - VELOTANO 510,00</t>
  </si>
  <si>
    <t>O motivo do emergencial com um único orçamento é devido ao fato de que a correia acabou quebrando durante o processo, prejudicando o funcionamento da extratora de escápula. A confecção de uma nova emergencialmente veio no intuito de retomar o processo correto o mais rápido possível.</t>
  </si>
  <si>
    <t>3975 - 06/11/25</t>
  </si>
  <si>
    <t>TORNO - USINAGEM DE PONTEIRA DE EIXO E AJUSTE</t>
  </si>
  <si>
    <t>749 - PHDS 2.000,00</t>
  </si>
  <si>
    <t>Foi preciso retirar a peça para conserto no Domingo dia 24/11, aproveitando máquina parada, serviço realizado preenchimento o eixo e realizar usinagem.</t>
  </si>
  <si>
    <t>139 - 23/11/25</t>
  </si>
  <si>
    <t>MACROMAQ EQUIPAMENTOS LTDA</t>
  </si>
  <si>
    <t>conserto da transpaleteira Yale do setor de Controle de Materiais.</t>
  </si>
  <si>
    <t xml:space="preserve">SENGER </t>
  </si>
  <si>
    <t xml:space="preserve">Conserto de 01 guincho hidráulico bovenal, 01 Jacaré hidráulico bovenau </t>
  </si>
  <si>
    <t>SERVIÇO DE TERCEIRO COM MÃO DE OBRA E MATERIAIS PARA REALIZAR A SUBSTITUIÇÃO DO PAINEL E ATUALIZAÇÃO DO SOFTWARE DO DETECTOR DE METAIS LOMA SYSTEMS IQ3+E SN QEU55-25-58124D</t>
  </si>
  <si>
    <t>OTECCT251213-01.BM
251205-01.bm/</t>
  </si>
  <si>
    <t>USTIFICATIVA: SOLICITA-SE A 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t>
  </si>
  <si>
    <t>TORNO - SERVIÇO DE USINAGEM DAS ROLDANAS DO TOMBADOR DE CONTENTORES.</t>
  </si>
  <si>
    <t xml:space="preserve">Justificativa: Serviço emergencial de usinagem dos das roldanas do tombador de contentores, equipamento gera perca no processo produtivo. </t>
  </si>
  <si>
    <t>S P MANUTENÇÃO E SERVIÇOS</t>
  </si>
  <si>
    <t>SERVIÇO DE CONSERTO DE VÁLVULA DE GAVETA 4" DA CALDEIRA CONFORME NF DE SAÍDA Nº 40999</t>
  </si>
  <si>
    <t>SERVIÇOS DE MECÂNICA PARA SUBSTITUIÇÃO DE TUBULAÇÕES OXIDADES POR AÇO INOX, OS MATERIAIS SERÃO FORNECIDOS PELA UNIDADE. SERVIÇO DE SUBSTITUIÇÃO EM DIVERSOS PONTOS DO ABATE, CORTES PALETIZAÇÃO. A SER EXECUTADO DENTRO DA UNIDADE EM FINAIS DE SEMANA.</t>
  </si>
  <si>
    <t>2224 50%
2488</t>
  </si>
  <si>
    <t>francis</t>
  </si>
  <si>
    <t>93641
114
2202</t>
  </si>
  <si>
    <t>UTC SERVICOS EM INFORMATICA LTDA</t>
  </si>
  <si>
    <t>TORNO - USINAGEM EM EIXO DO MOTOR DA MESA DE REPENDURA.</t>
  </si>
  <si>
    <t>444 - VELOTANO 1.420,00</t>
  </si>
  <si>
    <t>os tauras do ar</t>
  </si>
  <si>
    <t>SERVIÇO DE CONSERTO EM AR CONDICIONADO SPRINGER 18 BTUs / 30000 BTUs / 48000 BTUs / 18000 BTUs.</t>
  </si>
  <si>
    <t xml:space="preserve">2151– 400,00 reais
2054– 750,00 reais
1759– 920,00 reais
2208– 220,00 reais
</t>
  </si>
  <si>
    <t>Justificativa: Durante a manutenção PMOC foi constatado alguns equipamentos com falta de fluido e com problemas de funcionamento, solicitado a adequação afim de deixar os equipamentos em ótimo estado de conservação e de funcionamento. Necessidade desta manutenção haja visto o conforto térmico dos colaboradores na qual trabalha no local.</t>
  </si>
  <si>
    <t>TORNO  -  USINAGEM ROSCA HELICOIDAL E REFORÇO NA PONTEIRA.</t>
  </si>
  <si>
    <t xml:space="preserve">ATENAS </t>
  </si>
  <si>
    <t xml:space="preserve">MANUTENÇÃO EM BOMBA KSB 080-050-250, 6.500,00
COM OS SERVICOS DE;
- DESMONTAGEM;
- LIMPEZA E BANHO DE DECAPAGEM;
- ANALISE DE TROCA DE PECAS;
- RT;
- FABRICACAO DE ANEL DE DESGASTE;
- BUCHA PROTETORA;
- JG DE JUNTAS;
- SELO MECANICO;
- JG DE PARAFUSOS;
- JATEAMENTO DE CARCACA;
- JATEAMENTO DE TAMPA DE PRESSAO;
- MONTAGEM;
- TESTES;
- PINTURA;
</t>
  </si>
  <si>
    <t>SERVIÇO DE MANUTENÇÃO CORRETIVA EM VÁLVULA DE CONTROLE E PILOTO CONTROLADOR.</t>
  </si>
  <si>
    <t>SERVIÇO DE TERCEIRO DE ASSISTÊNCIA TÉCNICA PARA MANUTENÇÃO PREVENTIVA EM: 3 EQUIPAMENTOS F200, 1 EQUIPAMENTO R535 E 2 EQUIPAMENTOS R145. SENDO: 12 VISITAS A SEREM REALIZADAS NO PERÍODO DE 12 MESES. INCLUINDO 1 TÉCNICO ESPECIALISTA, COM TODAS AS DESPESAS DE VIAGEM, HORAS DE TRABALHO E IMPOSTOS</t>
  </si>
  <si>
    <t>41 - MULT-TEC 98.619,33</t>
  </si>
  <si>
    <t>Estamos encaminhando com apenas um orçamento, uma vez que o fornecedor Mult-Tec é o único da região com capacidade comprovada para atender às nossas necessidades no formato de visitas mensais programadas, realizando acompanhamento contínuo e inspeções técnicas especializadas em nossas termoformadoras.</t>
  </si>
  <si>
    <t>SERVIÇO DE CONSERTO DE MANGUEIRAS HIDRÁULICAS PRENSADA.</t>
  </si>
  <si>
    <t>CLEDSON DE SOUZA</t>
  </si>
  <si>
    <t>CONSERTO DE 3 BEBEDOUROS DE COLUNA DA RECEPÇÃO DE SUÍNOS.</t>
  </si>
  <si>
    <t>0 - CLEDSON DE SOUZA 1.080,00</t>
  </si>
  <si>
    <t>serviço foi realizado com a classificação 5 - SERVIÇO EMERGENCIAL SEM NF devido a necessidade imediata de garantir a qualidade de abastecimento de água gelada no setor de recepção de suínos. Atualmente os 3 bebedouros do setor não fornecem uma boa condição ergonômica aos colaboradores do setor.</t>
  </si>
  <si>
    <t>TORNO - FABRICAÇÃO DE BUCHA EM AÇO INOX E USINAGEM EM FLANGE DO TUMBLER DE MASSAS 02 DA PRESUNTARIA.</t>
  </si>
  <si>
    <t>784 - PHDS 1.860,00</t>
  </si>
  <si>
    <t>O serviço foi executado sob a classificação 5 – Serviço Emergencial Sem NF, em razão da necessidade imediata de fabricação de uma bucha e usinagem do flange pertencente ao sistema de abertura da tampa do Tumbler de massas. A intervenção emergencial tornou-se imprescindível para restabelecer a funcionalidade mecânica do equipamento e evitar a paralisação prolongada do processo produtivo. O atendimento foi realizado em caráter emergencial no domingo, 30/11/2025.</t>
  </si>
  <si>
    <t>QUAL A NOTA DE ENTRADA?</t>
  </si>
  <si>
    <t>2. RC - ABRIR RC</t>
  </si>
  <si>
    <t>VENTARE IND. E COM. DE SISTEMAS DE VENT. EIRELI -EPP</t>
  </si>
  <si>
    <t>SISTEMA DE VENTILAÇÃO.</t>
  </si>
  <si>
    <t>FABRICAÇÃO E INSTALAÇÃO DE AGITADOR TANQUE DE LODO ETE</t>
  </si>
  <si>
    <t>GESTEC</t>
  </si>
  <si>
    <t>pedido de fat. 11883</t>
  </si>
  <si>
    <t>CONSERTO DE INTERFACE DE LEITURA DE TEMPERATURA DAS SONDAS UTILIZADAS PARA VALIDAÇÃO TÉRMICA. SERVIÇO EXECUTADO FORA DA UNIDADE NO EQUIPAMENTO ENVIADO PARA CONSERTO CONFORME 
PEDIDO DE FATURAMENTO 11883</t>
  </si>
  <si>
    <t>15417 - GESTEC 2.206,00</t>
  </si>
  <si>
    <t>aguardando nf de saída ser emitida</t>
  </si>
  <si>
    <t>marel</t>
  </si>
  <si>
    <t>MATERIAL E MÃO DE OBRA PARA MANUTENÇÃO PREVENTIVA DO NA FATIADORA V-CUT 240 MAREL</t>
  </si>
  <si>
    <t>209199
209212
: 209214</t>
  </si>
  <si>
    <t>Justificativa: 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 </t>
  </si>
  <si>
    <t xml:space="preserve">os tauras do ar </t>
  </si>
  <si>
    <t>SERVIÇO DE CONSERTO EM AR CONDICIONADO DA SALA DA CALDEIRA SPRINGER 12000 BTUs/ SALA DE EPI SPRINGER 9000 BTUs/ ALMOXARIFADO MATERIAIS SPRINGER 22000 BTUs.</t>
  </si>
  <si>
    <t xml:space="preserve">1236– 2.244,00 reais
2101– 1.779,00 reais
2089– 2.919,00 reais
</t>
  </si>
  <si>
    <t>JUSTIFICATIVA: REALIZADO PMOC NO SISTEMA DE AR CONDICIONADO DA FÁBRICA E LEVANTADO NECESSIDADE DE REPARO NO AR CONDICIONADO DA SALA DA CALDEIRA, SALA DE EPI E SALA DO ALMOXARIFADO MATERIAIS.</t>
  </si>
  <si>
    <t>phds</t>
  </si>
  <si>
    <t>ROMANEIO: 1778.</t>
  </si>
  <si>
    <t>TORNO - SERVIÇO DE USINAGEM ACOPLAMENTOS CONFORME AMOSTRAS / RECUPERAÇAO DE CONJUNTO DE ACOPLAMENTO / FABRICAÇÃO DE ACOPLAMENTO.</t>
  </si>
  <si>
    <t>JUSTIFICATIVA: Necessidade de usinagem de acoplamento da bomba do absorvedor, quebrou o acoplamento sendo necessário recuperar o mesmo, equipamento impacta na climatização da indústria.</t>
  </si>
  <si>
    <t>ROMANEIO: 1784.</t>
  </si>
  <si>
    <t>TORNO - SERVIÇO DE USINAGEM ABRIR ACOPLAMENTO BOMBA DE RESFRIAMENTO DA ABSORÇÃO (24MMX25MM) CHAVETA 8MM.</t>
  </si>
  <si>
    <t>TORNO - SERVIÇO DE USINAGEM ABRIR ACOPLAMENTO BOMBA CAPTAÇÃO ETE.</t>
  </si>
  <si>
    <t>JUSTIFICATIVA: Necessidade de usinagem de acoplamento da bomba de água da lagoa de água bruta, Equipamento de alta impacto no tratamento de água, podendo gerar impacto negativo no processo industrial.</t>
  </si>
  <si>
    <t>MANUTENÇÃO PREVENTIVA DO NA FATIADORA V-CUT 240 MAREL</t>
  </si>
  <si>
    <t>210531 - MAREL 22.383,66</t>
  </si>
  <si>
    <t>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t>
  </si>
  <si>
    <t>Inicialmente seria pedido este orçamento para o equipamento V-CUT para solucionar as questões emergenciais, após o envio para digitação, feito uma análise melhor do orçamento e relatório enviado pela MAREL, foi decidido realizar a requisição conforme recomendação. Portanto, favor cancelar está requisição, pois se trata de materiais já inclusos na requisição N°4329978.</t>
  </si>
  <si>
    <t>CLEDSON</t>
  </si>
  <si>
    <t>SUBSTITUIÇÃO DO COMPRESSOR DO BEBEDOURO DA RECEPÇÃO DE SUÍNOS.</t>
  </si>
  <si>
    <t>0 - CLEDSON DE SOUZA 900,00</t>
  </si>
  <si>
    <t>PREDPONTA</t>
  </si>
  <si>
    <t>517 - PREDPONTA 3.024,00</t>
  </si>
  <si>
    <t>NECESSIDADE DE ALINHAMENTO COM URGÊNCIA DEVIDO A SUBSTITUIÇÃO DO CONJUNTO MOTOR / REDUTOR DO EQUIPAMENTO, SENDO ESTE DE GRANDE IMPOTÊNCIA NO PROCESSO GERANDO IMPACTO NA PRODUTIVIDADE DA FÁBRICA.</t>
  </si>
  <si>
    <t>PEROLA TAPEÇARIA</t>
  </si>
  <si>
    <t>SERVIÇO DE CONSERTO DE POLTRONAS.</t>
  </si>
  <si>
    <t>0 - PEROLA TAPEÇARIA - 900</t>
  </si>
  <si>
    <t>TORNO</t>
  </si>
  <si>
    <t>ROMANEIO 1787</t>
  </si>
  <si>
    <t>TORNO - USINAGEM BUCHA FUSO ABERTURA DA TAMPA DO DIGESTOR DE PELOS.</t>
  </si>
  <si>
    <t>716 - PHDS 6.403,76</t>
  </si>
  <si>
    <t>Necessidade de usinagem de bucha de fuso em bronze do digestor de pelos devido ao equipamento não estar abrindo a comporta atrapalhando o processo produtivo e gerando risco aos colaboradores.</t>
  </si>
  <si>
    <t>SERVIÇO DE TERCEIRO COM MÃO DE OBRA E MATERIAIS PARA REALIZAR A SUBSTITUIÇÃO DO PAINEL E ATUALIZAÇÃO DO SOFTWARE DO DETECTOR DE METAIS LOMA SYSTEMS IQ3+E SN QEU55-25-58124D.</t>
  </si>
  <si>
    <t>NF 6614 - 6.998,00</t>
  </si>
  <si>
    <t>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 EQUIPAMENTO ENCONTRA-SE PARADO, IMPACTANDO DIRETAMENTE AO SETOR DE PRODUÇÃO.</t>
  </si>
  <si>
    <t>AGUARDAR GERAR PEDIDO</t>
  </si>
  <si>
    <t>QUEM ABRIU RC</t>
  </si>
  <si>
    <t xml:space="preserve">6. NF - PENDENTE </t>
  </si>
  <si>
    <t>10. NF CANCELADA</t>
  </si>
  <si>
    <t>Karine</t>
  </si>
  <si>
    <t>CONTRATO</t>
  </si>
  <si>
    <t>FORNECEDOR</t>
  </si>
  <si>
    <t>OPTANTE SIMPLES NACIONAL</t>
  </si>
  <si>
    <t>VALOR TOTAL/VALOR BRUTO</t>
  </si>
  <si>
    <t>EMISSÃO DA NF</t>
  </si>
  <si>
    <t>INLCUSÃO  NA 198</t>
  </si>
  <si>
    <t>NF</t>
  </si>
  <si>
    <t>C.A</t>
  </si>
  <si>
    <t>USO CONT.</t>
  </si>
  <si>
    <t>LANÇAMENTO REALIZADO POR</t>
  </si>
  <si>
    <t>OBS. DE INRREGULARIDADES</t>
  </si>
  <si>
    <t>LOCAÇÃO DE EQUIPAMENTOS UTILIZADOS PARA MOVIMENTAÇÃO DE
 CARGAS PALETIZADAS REFERENTE AO CONTRATO SEQUENCIA AURORA:3624 - Nº AURORA 111657</t>
  </si>
  <si>
    <t>Sequencia Aurora:3624
nº aurora 111657</t>
  </si>
  <si>
    <t>DISKTRANS</t>
  </si>
  <si>
    <t>RATEIO</t>
  </si>
  <si>
    <t>NF LANÇADA</t>
  </si>
  <si>
    <t>CAMILA</t>
  </si>
  <si>
    <t>TAYANE</t>
  </si>
  <si>
    <t xml:space="preserve">NF LANÇADA </t>
  </si>
  <si>
    <t>LOCAÇÃO TANQUE C.O2</t>
  </si>
  <si>
    <t>112582
14441</t>
  </si>
  <si>
    <t>MESSER</t>
  </si>
  <si>
    <t>ASSISTENCIA TÉCNICA DO TANQUE DE CO2.</t>
  </si>
  <si>
    <t>FRANCIS</t>
  </si>
  <si>
    <t xml:space="preserve">ASSISTENCIA TÉCNICA DO TANQUE DE CO2. - 112582 - 14441
</t>
  </si>
  <si>
    <t>Serviço de legalização e licenciamento dos comunicadores radiofrequência junto a Anatel.</t>
  </si>
  <si>
    <t>114403	9655</t>
  </si>
  <si>
    <t>CRICOM</t>
  </si>
  <si>
    <t xml:space="preserve">Operação Tratamento de Efluentes	1228	3	3,75%	 R$ 15,00 
Operação de Frio	1210	3	3,75%	 R$ 15,00 
Operação de Calor	1236	2	2,50%	 R$ 10,00 
Abate/Resfriamento	2488	4	5,00%	 R$ 20,00 
Recepção de Suínos	2216	3	3,75%	 R$ 15,00 
Espostejamento	2224	8	10,00%	 R$ 40,00 
Higienização	2437	2	2,50%	 R$ 10,00 
Túneis e Câmaras	2313	2	2,50%	 R$ 10,00 
Embalagem (Cortes)	4413	1	1,25%	 R$ 5,00 
Logística	2348	2	2,50%	 R$ 10,00 
Fábrica de Farinha	2330	2	2,50%	 R$ 10,00 
Produção	2208	3	3,75%	 R$ 15,00 
Frescais	4057	1	1,25%	 R$ 5,00 
Presuntaria 	2291	1	1,25%	 R$ 5,00 
Cozidos	2283	1	1,25%	 R$ 5,00 
Embalagem secundária (Ind)	5345	1	1,25%	 R$ 5,00 
Fatiados	4600	1	1,25%	 R$ 5,00 
Curados	5525	1	1,25%	 R$ 5,00 
SESMT	2101	4	5,00%	 R$ 20,00 
Manut. Elétrica	1163	13	16,25%	 R$ 65,00 
Manut. Mecanica	1171	16	20,00%	 R$ 80,00 
Manut. Civil	1180	1	1,25%	 R$ 5,00 
Engenharia e Manutenção	1155	3	3,75%	 R$ 15,00 
Adm	2054	1	1,25%	 R$ 5,00 
Controle de Materiais	2089	1	1,25%	 R$ 5,00 
</t>
  </si>
  <si>
    <t>59 conta
81 USO</t>
  </si>
  <si>
    <r>
      <rPr>
        <sz val="11"/>
        <color rgb="FFFF0000"/>
        <rFont val="Calibri"/>
        <scheme val="minor"/>
      </rPr>
      <t xml:space="preserve">152
</t>
    </r>
    <r>
      <rPr>
        <sz val="11"/>
        <color rgb="FF000000"/>
        <rFont val="Calibri"/>
        <scheme val="minor"/>
      </rPr>
      <t>619</t>
    </r>
  </si>
  <si>
    <t>3796497
3799643</t>
  </si>
  <si>
    <t>"Serviço de locação de radiotransmissores e central, composta por um sistema de repetidoras e baterias estacionárias, para a planta.
CONTRATO 114402 - 9654"</t>
  </si>
  <si>
    <t>114402	9654</t>
  </si>
  <si>
    <t>ABIX</t>
  </si>
  <si>
    <t xml:space="preserve">Operação Tratamento de Efluentes	1228	3	3,75%	 R$ 239,68 
Operação de Frio	1210	3	3,75%	 R$ 239,68 
Operação de Calor	1236	2	2,50%	 R$ 159,79 
Abate/Resfriamento	2488	4	5,00%	 R$ 319,57 
Recepção de Suínos	2216	3	3,75%	 R$ 239,68 
Espostejamento	2224	8	10,00%	 R$ 639,14 
Higienização	2437	2	2,50%	 R$ 159,79 
Túneis e Câmaras	2313	2	2,50%	 R$ 159,79 
Embalagem (Cortes)	4413	1	1,25%	 R$ 79,89 
Logística	2348	2	2,50%	 R$ 159,79 
Fábrica de Farinha	2330	2	2,50%	 R$ 159,79 
Produção	2208	3	3,75%	 R$ 239,68 
Frescais	4057	1	1,25%	 R$ 79,89 
Presuntaria 	2291	1	1,25%	 R$ 79,89 
Cozidos	2283	1	1,25%	 R$ 79,89 
Embalagem secundária (Ind)	5345	1	1,25%	 R$ 79,89 
Fatiados	4600	1	1,25%	 R$ 79,89 
Curados	5525	1	1,25%	 R$ 79,89 
SESMT	2101	4	5,00%	 R$ 319,57 
Manut. Elétrica	1163	13	16,25%	 R$ 1.038,61 
Manut. Mecanica	1171	16	20,00%	 R$ 1.278,29 
Manut. Civil	1180	1	1,25%	 R$ 79,89 
Engenharia e Manutenção	1155	3	3,75%	 R$ 239,68 
Adm	2054	1	1,25%	 R$ 79,89 
Controle de Materiais	2089	1	1,25%	 R$ 79,89 
</t>
  </si>
  <si>
    <t>Operação Tratamento de Efluentes	1228	3,75%	217,89
Operação de Frio	1210	3,75%	217,89
Operação de Calor	1236	2,50%	145,26
Abate/Resfriamento	2488	5,00%	290,52
Recepção de Suínos	2216	3,75%	217,89
Espostejamento	2224	10,00%	581,04
Higienização	2437	2,50%	145,26
Túneis e Câmaras	2313	2,50%	145,26
Embalagem (Cortes)	4413	1,25%	72,63
Logística	2348	2,50%	145,26
Fábrica de Farinha	2330	2,50%	145,26
Produção	2208	3,75%	217,89
Frescais	4057	1,25%	72,63
Presuntaria 	2291	1,25%	72,63
Cozidos	2283	1,25%	72,63
Embalagem secundária (Ind)	5345	1,25%	72,63
Fatiados	4600	1,25%	72,63
Curados	5525	1,25%	72,63
SESMT	2101	5,00%	290,52
Manut. Elétrica	1163	16,25%	944,19
Manut. Mecanica	1171	20,00%	1162,08
Manut. Civil	1180	1,25%	72,63
Engenharia e Manutenção	1155	3,75%	217,89
Adm	2054	1,25%	72,63
Controle de Materiais	2089	1,25%	72,63</t>
  </si>
  <si>
    <t>CA 2054:  406,73 (todos CA do ADM)
CA 2208: 2.672,78 (todos os CA que envolve dep. manutenção).
CA 1163: 2.730,89 (todos os CA da produção).</t>
  </si>
  <si>
    <t>354 conta
262 USO</t>
  </si>
  <si>
    <r>
      <rPr>
        <sz val="11"/>
        <color rgb="FFFF0000"/>
        <rFont val="Calibri"/>
        <scheme val="minor"/>
      </rPr>
      <t xml:space="preserve">1004
</t>
    </r>
    <r>
      <rPr>
        <sz val="11"/>
        <color rgb="FF000000"/>
        <rFont val="Calibri"/>
        <scheme val="minor"/>
      </rPr>
      <t>1004</t>
    </r>
  </si>
  <si>
    <t>2054:  426,11(todos CA do ADM)
2208: 2.800,16 (todos os CA que envolve dep. manutenção).
1163: 2.861,03 (todos os CA da produção).</t>
  </si>
  <si>
    <r>
      <rPr>
        <sz val="11"/>
        <color rgb="FF000000"/>
        <rFont val="Calibri"/>
        <scheme val="minor"/>
      </rPr>
      <t>262</t>
    </r>
    <r>
      <rPr>
        <b/>
        <sz val="11"/>
        <color rgb="FF000000"/>
        <rFont val="Calibri"/>
        <scheme val="minor"/>
      </rPr>
      <t xml:space="preserve"> </t>
    </r>
    <r>
      <rPr>
        <b/>
        <sz val="11"/>
        <color rgb="FFFF0000"/>
        <rFont val="Calibri"/>
        <scheme val="minor"/>
      </rPr>
      <t>- FATURA</t>
    </r>
  </si>
  <si>
    <r>
      <rPr>
        <sz val="11"/>
        <color rgb="FF000000"/>
        <rFont val="Calibri"/>
        <scheme val="minor"/>
      </rPr>
      <t xml:space="preserve">262 </t>
    </r>
    <r>
      <rPr>
        <b/>
        <sz val="11"/>
        <color rgb="FFFF0000"/>
        <rFont val="Calibri"/>
        <scheme val="minor"/>
      </rPr>
      <t>- FATURA</t>
    </r>
  </si>
  <si>
    <r>
      <rPr>
        <sz val="11"/>
        <color rgb="FF000000"/>
        <rFont val="Calibri"/>
        <scheme val="minor"/>
      </rPr>
      <t xml:space="preserve">262 - </t>
    </r>
    <r>
      <rPr>
        <b/>
        <sz val="11"/>
        <color rgb="FFFF0000"/>
        <rFont val="Calibri"/>
        <scheme val="minor"/>
      </rPr>
      <t>FATURA</t>
    </r>
  </si>
  <si>
    <t>REFERENTE A ENERGIA ELETRICA DA SUBESTAÇÃO</t>
  </si>
  <si>
    <t>ELECTRA</t>
  </si>
  <si>
    <t>ADRIANA</t>
  </si>
  <si>
    <t>SERVIÇO DE MÃO DE OBRA ESPECIALIZADA PARA MANUTENÇÃO DO SISTEMA DE CLIMATIZAÇÃO COM ELABORAÇÃO E GESTÃO DO PMOC (PLANO DE MANUTENÇÃO, OPERAÇÃO E CONTROLE) COM EMISSÃO E RECOLHIMENTO DA ART (ANOTAÇÃO DE RESPONSABILIDADE TÉCNICA ¿ CREA), CONFORME CONTRATO SEQ. AURORA Nº 15713, NÚMERO AURORA 119738.</t>
  </si>
  <si>
    <t>91230	316</t>
  </si>
  <si>
    <t>VIDALAR</t>
  </si>
  <si>
    <t>3547890 - 
3550014 - 3557528</t>
  </si>
  <si>
    <t>DELTA</t>
  </si>
  <si>
    <t>Mão de obra terceira para realizar a aferição da vibração nas máquinas, verificando a vida útil dos rolamentos de motores e caixas redutoras. 
Confeccionar um relatório após as análises e apresentar assim que finalizado.</t>
  </si>
  <si>
    <t>NF CANCELADA - EMITIDA APÓS O PRAZO</t>
  </si>
  <si>
    <t>"Mão de obra terceira para realizar a aferição da vibração nas máquinas, verificando a vida útil dos rolamentos de motores e caixas redutoras. 
Confeccionar um relatório após as análises e apresentar assim que finalizado."</t>
  </si>
  <si>
    <t xml:space="preserve">MÃO DE OBRA TERCEIRA PARA REALIZAR A AFERIÇÃO DA VIBRAÇÃO NAS MÁQUINAS, VERIFICANDO A VIDA ÚTIL DOS ROLAMENTOS DE MOTORES E CAIXAS REDUTORAS. 
CONFECCIONAR UM RELATÓRIO APÓS AS ANÁLISES E APRESENTAR ASSIM QUE FINALIZADO.
</t>
  </si>
  <si>
    <t>NF CANCELADA - EMITIDA APÓS O PRAZO PERMITIDO PARA LANÇAMENTO</t>
  </si>
  <si>
    <t>NOTA CANCELADA - EMITIDA APÓS PRAZO</t>
  </si>
  <si>
    <t xml:space="preserve">          FRANCIS </t>
  </si>
  <si>
    <t>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Contrato Seq. Aurora nº 15839 e número Aurora 119950.</t>
  </si>
  <si>
    <t>119950 - 15839</t>
  </si>
  <si>
    <r>
      <rPr>
        <sz val="11"/>
        <color rgb="FFFF0000"/>
        <rFont val="Calibri"/>
        <scheme val="minor"/>
      </rPr>
      <t xml:space="preserve">1559
</t>
    </r>
    <r>
      <rPr>
        <sz val="11"/>
        <color rgb="FF000000"/>
        <rFont val="Calibri"/>
        <scheme val="minor"/>
      </rPr>
      <t>1560</t>
    </r>
  </si>
  <si>
    <t xml:space="preserve">CA 2488 – ABT
R$ 275,00
CA 1236 - GEV
R$ 275,00
CA 1244 - ETA
R$ 275,00
CA 1228 - ETE
R$ 275,00
CA 2330 - FFG
R$ 275,00
CA 1210 - GEF
R$ 275,00
CA 2283 - CEB
R$ 275,00
CA 4057 - SRF
R$ 275,00
CA 2291 - PRU
R$ 275,00
CA 4588 - EST
R$ 275,00
</t>
  </si>
  <si>
    <t>NF CANCELADA - EMITIDA EM DUPLICIDADE COM A NOTA 1560 DO CONTRATO</t>
  </si>
  <si>
    <t>CA 2488 – ABT
R$ 275,00
CA 1236 - GEV
R$ 275,00
CA 1244 - ETA
R$ 275,00
CA 1228 - ETE
R$ 275,00
CA 2330 - FFG
R$ 275,00
CA 1210 - GEF
R$ 275,00
CA 2283 - CEB
R$ 275,00
CA 4057 - SRF
R$ 275,00
CA 2291 - PRU
R$ 275,00
CA 4588 - EST
R$ 275,00</t>
  </si>
  <si>
    <t xml:space="preserve">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t>
  </si>
  <si>
    <t xml:space="preserve">CA 2488 – 275,00
CA 1236 -  275,00
CA 1244 -  275,00
CA 1228 - 275,00
CA 2330 -  275,00
CA 1210 - 275,00
CA 2283 - 275,00
CA 4057 -  275,00
CA 2291 -  275,00
CA 4588 -  275,00
</t>
  </si>
  <si>
    <t>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t>
  </si>
  <si>
    <t xml:space="preserve">CA 2488 – 275,00
CA 1236 -  275,00
CA 1244 -  275,00
CA 1228 - 275,00
CA 2330 -  275,00
CA 1210 - 275,00
CA 2283 - 275,00
CA 4057 -  275,00
CA 2291 -  275,00
CA 4588 -  275,00
</t>
  </si>
  <si>
    <t>referente a 01ª parcela da proposta O291631 de Contrato para prestação de serviços.</t>
  </si>
  <si>
    <t>Nº Aurora 112762	- Seq. 14442</t>
  </si>
  <si>
    <r>
      <rPr>
        <sz val="11"/>
        <color rgb="FFFF0000"/>
        <rFont val="Calibri"/>
        <scheme val="minor"/>
      </rPr>
      <t xml:space="preserve">4227
</t>
    </r>
    <r>
      <rPr>
        <sz val="11"/>
        <color rgb="FF000000"/>
        <rFont val="Calibri"/>
        <scheme val="minor"/>
      </rPr>
      <t>4244</t>
    </r>
  </si>
  <si>
    <t>2224 - 25%
2488 - 75%</t>
  </si>
  <si>
    <t>referente a 02ª parcela da proposta O291631 de Contrato para prestação de serviços.</t>
  </si>
  <si>
    <t>referente a 03ª parcela da proposta O291631 de Contrato para prestação de serviços.</t>
  </si>
  <si>
    <t>referente a 04ª parcela da proposta O291631 de Contrato para prestação de serviços.</t>
  </si>
  <si>
    <t>referente a 05ª parcela da proposta O291631 de Contrato para prestação de serviços.</t>
  </si>
  <si>
    <t>referente a 06ª parcela da proposta O291631 de Contrato para prestação de serviços.</t>
  </si>
  <si>
    <t>referente a 07ª parcela da proposta O291631 de Contrato para prestação de serviços.</t>
  </si>
  <si>
    <t>referente a 08ª parcela da proposta O291631 de Contrato para prestação de serviços.</t>
  </si>
  <si>
    <t>referente a 09ª parcela da proposta O291631 de Contrato para prestação de serviços.</t>
  </si>
  <si>
    <t>referente a 10ª parcela da proposta O291631 de Contrato para prestação de serviços.</t>
  </si>
  <si>
    <t>"2224 - 25% - 7.367,76
2488 - 75% - 22.103,26"</t>
  </si>
  <si>
    <t>contrato 112325
seq Aurora  14277</t>
  </si>
  <si>
    <t>NAVIER</t>
  </si>
  <si>
    <t>Manutenção preventiva nos compressores de amônia. PARCELA 1/36</t>
  </si>
  <si>
    <t>121666	- 16242</t>
  </si>
  <si>
    <t>Manutenção preventiva nos compressores de amônia. PARCELA 02/36</t>
  </si>
  <si>
    <t>Manutenção preventiva nos compressores de amônia. PARCELA 03/36</t>
  </si>
  <si>
    <t>Manutenção preventiva nos compressores de amônia. PARCELA 04/36</t>
  </si>
  <si>
    <t>Manutenção preventiva nos compressores de amônia. PARCELA 05/36</t>
  </si>
  <si>
    <t>CAMILA*</t>
  </si>
  <si>
    <t>Manutenção preventiva nos compressores de amônia. PARCELA 06/36</t>
  </si>
  <si>
    <t>FATURA CANCELADA POR COBRANÇAS DIVERGENTES</t>
  </si>
  <si>
    <t>"SERVIÇO DE CONSERTO ELÉTRICO DE EMPILHADEIRA A COMBUSTÃO REALIZADO DENTRO DA UNIDADE PELA EMPRESA ESPECIALIZADA NO EQUIPAMENTO. EQUIPAMENTO ESTAVA PARADO DEVIDO ROMPIMENTO DE MANGUEIRA E VAZAMENTO DE ÓLEO, SENDO NECESSÁRIO CHAMAR A EMPRESA PARA CONSERTO URGENTE DEVIDO EQUIPAMENTO SER USADO PARA TRANSPORTE DE MATERIAIS E CONDIMENTOS PARA ABASTECIMENTO DO FRIGORIFICO E INDUSTRIALIZADOS
NF 4743"</t>
  </si>
  <si>
    <t>SERVIÇO DE CONSERTO ELÉTRICO DE TRANSPALETEIRA REALIZADO DENTRO DA UNIDADE PELA EMPRESA ESPECIALIZADA NO EQUIPAMENTO. EQUIPAMENTO ESTAVA PARADO DEVIDO TEREM MOLHADO O EQUIPAMENTO COM ÁGUA, OCASIONANDO ATENDIMENTO POR MAU USO.
NOTA 4823</t>
  </si>
  <si>
    <t xml:space="preserve">FATURA REFERENTE A LOCAÇÃO DE EQUIPAMENTOS </t>
  </si>
  <si>
    <t>NF CANCELADA</t>
  </si>
  <si>
    <t>rateio</t>
  </si>
  <si>
    <t>valor errado</t>
  </si>
  <si>
    <t>NF CANCELADA - VALOR INCORRETO</t>
  </si>
  <si>
    <t>fatura cancelada</t>
  </si>
  <si>
    <t>2348/2313</t>
  </si>
  <si>
    <t xml:space="preserve">FRANCIS </t>
  </si>
  <si>
    <t>Serviços de munck com cesto para colocação de tubos ETE - O.S.778</t>
  </si>
  <si>
    <t>Serviços de munck normal para erguer tubos, retirada de esteira e troca de plataforma doca - o.s. 671-675-783-779</t>
  </si>
  <si>
    <t>1228 - 2224 - 4472 -  800</t>
  </si>
  <si>
    <t>Manutenção preventiva nos compressores de amônia. PARCELA 07/36</t>
  </si>
  <si>
    <r>
      <rPr>
        <sz val="11"/>
        <color rgb="FFFF0000"/>
        <rFont val="Calibri"/>
        <scheme val="minor"/>
      </rPr>
      <t xml:space="preserve">881001017
</t>
    </r>
    <r>
      <rPr>
        <sz val="11"/>
        <color rgb="FF000000"/>
        <rFont val="Calibri"/>
        <scheme val="minor"/>
      </rPr>
      <t>74504</t>
    </r>
  </si>
  <si>
    <t>2054:  437,52 (todos CA do ADM)
2208: 2.875,11  (todos os CA que envolve dep. manutenção).
1163: 2.937,60 (todos os CA da produção).</t>
  </si>
  <si>
    <t>francis
CAMILA</t>
  </si>
  <si>
    <r>
      <rPr>
        <sz val="11"/>
        <color rgb="FFFF0000"/>
        <rFont val="Calibri"/>
        <scheme val="minor"/>
      </rPr>
      <t xml:space="preserve">263
</t>
    </r>
    <r>
      <rPr>
        <sz val="11"/>
        <color rgb="FF000000"/>
        <rFont val="Calibri"/>
        <scheme val="minor"/>
      </rPr>
      <t>721</t>
    </r>
  </si>
  <si>
    <t>referente a 11ª parcela da proposta O291631 de Contrato para prestação de serviços.</t>
  </si>
  <si>
    <t>Serviços de munck para alocação e remoção da balsa na lagoa de aeração ETE - O.S. 702-791</t>
  </si>
  <si>
    <t>Serviços de munck para troca de motor lagoa, movimentação niveladora da doca contentores e troca de ventilador - O.S. 701-703-704</t>
  </si>
  <si>
    <t xml:space="preserve">34% ETE 1228
33% ABATE 2488
33% CONDIMENTARIA 4472
</t>
  </si>
  <si>
    <t xml:space="preserve">FOSSA, RALO, E LIMPEZA DA SANGRIA </t>
  </si>
  <si>
    <t>DR AMBIENTAL</t>
  </si>
  <si>
    <t xml:space="preserve">limpeza de ralo e caixa de passagem no faqueiro do espostejamento </t>
  </si>
  <si>
    <t>128247	
18060</t>
  </si>
  <si>
    <t>GATO AR</t>
  </si>
  <si>
    <r>
      <rPr>
        <sz val="11"/>
        <color rgb="FFFF0000"/>
        <rFont val="Calibri"/>
        <scheme val="minor"/>
      </rPr>
      <t xml:space="preserve">705
</t>
    </r>
    <r>
      <rPr>
        <sz val="11"/>
        <color rgb="FF000000"/>
        <rFont val="Calibri"/>
        <scheme val="minor"/>
      </rPr>
      <t>708</t>
    </r>
  </si>
  <si>
    <t>referente a 12ª parcela da proposta O291631 de Contrato para prestação de serviços.</t>
  </si>
  <si>
    <t>CA 2488 – 275,00
CA 1236 -  275,00
CA 1244 -  275,00
CA 1228 - 275,00
CA 2330 -  275,00
CA 1210 - 275,00
CA 2283 - 275,00
CA 4057 -  275,00
CA 2291 -  275,00
CA 4588 -  275,00</t>
  </si>
  <si>
    <t>Serviços de munck com cadeirinha, içamento de ventilador - O.S. 686</t>
  </si>
  <si>
    <t xml:space="preserve">
Serviços de munck para movimentação de container, colocação de platibanda, içamento ventilador, retirada de barca lagoa ETE, movimentação de maquinas e 
troca de platibanda - O.S. 706-707-795-797-798-799</t>
  </si>
  <si>
    <t xml:space="preserve"> 707                                                                                             R$   1.800,00
2071
1210
706
 R$   1.000,00
2071
1210
798
 R$      800,00
2071
1228
799
 R$   1.000,00
2071
2330
795
 R$      800,00
2071
4057
797
 R$      800,00
2071
4472</t>
  </si>
  <si>
    <t>Manutenção preventiva nos compressores de amônia. PARCELA 08/36</t>
  </si>
  <si>
    <t>Fornecedor</t>
  </si>
  <si>
    <t>Status</t>
  </si>
  <si>
    <t>Nº Aurora</t>
  </si>
  <si>
    <t>Seq. Aurora</t>
  </si>
  <si>
    <t>Valor</t>
  </si>
  <si>
    <t>Requisição</t>
  </si>
  <si>
    <t>Pedido</t>
  </si>
  <si>
    <t>Responsável</t>
  </si>
  <si>
    <t>Inicio</t>
  </si>
  <si>
    <t>Fim</t>
  </si>
  <si>
    <t>Comprador</t>
  </si>
  <si>
    <t>Descrição do Contrato</t>
  </si>
  <si>
    <t>Crown</t>
  </si>
  <si>
    <t>VIGENTE</t>
  </si>
  <si>
    <t>Rateio</t>
  </si>
  <si>
    <t>BRUNO</t>
  </si>
  <si>
    <t>Sara</t>
  </si>
  <si>
    <t>Locação de paleteira e transpaleteira</t>
  </si>
  <si>
    <t>Marel</t>
  </si>
  <si>
    <t>ENCERRADO 16/10/2024</t>
  </si>
  <si>
    <t>EUR 26.916.99</t>
  </si>
  <si>
    <t>CRISTIANO</t>
  </si>
  <si>
    <t>Serviço de TI e informática</t>
  </si>
  <si>
    <t>Soma</t>
  </si>
  <si>
    <t>LEONARDO</t>
  </si>
  <si>
    <t>Locação de impressora</t>
  </si>
  <si>
    <t>Disktran</t>
  </si>
  <si>
    <t>Joel Moises</t>
  </si>
  <si>
    <t>Locação de transpaleteira</t>
  </si>
  <si>
    <t>Toledo</t>
  </si>
  <si>
    <t>VIGENTE (MATRIZ)</t>
  </si>
  <si>
    <t>PAULO ROBERTO</t>
  </si>
  <si>
    <t>Vlademir Lourenço</t>
  </si>
  <si>
    <t>Contrato de Manutenção de Software</t>
  </si>
  <si>
    <t>ok - lançado pela matriz de acordo com a Rebecca Stter Scalvi Macharett</t>
  </si>
  <si>
    <t>Messer</t>
  </si>
  <si>
    <t>espostejamento</t>
  </si>
  <si>
    <t>ERIC</t>
  </si>
  <si>
    <t>Locação do Tanque de CO2</t>
  </si>
  <si>
    <t>Serviço assistencia técnica no tanque de C.O</t>
  </si>
  <si>
    <t>Cricom</t>
  </si>
  <si>
    <t>Sem data definida.</t>
  </si>
  <si>
    <t>Abix</t>
  </si>
  <si>
    <t>Serviço de locação de radiotransmissores e central, composta por um sistema de repetidoras e baterias estacionárias, para a planta.
80 unidades - PD506 - Rádio Portátil em UHF
(Kit contém: Rádio, Transformador, Base e Bateria)
80 unidades - PD506 - Bateria Extra (1500mAh)
2 unidades  - Estação Base - Repetidora Digital
(Cada Repetidora permite a conversação de 2 grupos
simultâneos, duas repetidoras devem atender à demanda dessa
unidade)</t>
  </si>
  <si>
    <t>ELECTRA ENERGIA</t>
  </si>
  <si>
    <t>UNIDADE</t>
  </si>
  <si>
    <t>ENCERRADO 30/11/2025</t>
  </si>
  <si>
    <t>GATO AR CONDICIONADO (OS TAURAS DO AR)</t>
  </si>
  <si>
    <t>JEVERSON</t>
  </si>
  <si>
    <t xml:space="preserve">CA 2488 – ABT
R$ 275,00
CA 1236 - GEV
R$ 275,00
CA 1244 - ETA
R$ 275,00
CA 1228 - ETE
R$ 275,00
CA 2330 - FFG
R$ 275,00
CA 1210 - GEF
R$ 275,00
CA 2283 - CEB
R$ 275,00
CA 4057 - SRF
R$ 275,00
CA 2291 - PRU
R$ 275,00
CA 4588 - EST
R$ 275,00
</t>
  </si>
  <si>
    <t>serviços 
especializados de manutenção preventiva mensal de 143 (cento e quarenta e três) conjuntos de 
equipamentos industriais, monitoramento e análise de vibração para análises preditivas e emissão do 
relatório/laudo técnico</t>
  </si>
  <si>
    <t>CORPORATIVO</t>
  </si>
  <si>
    <t>VINICIUS BECHER</t>
  </si>
  <si>
    <t>referente a parcela da proposta O291631 de Contrato para prestação de serviços.</t>
  </si>
  <si>
    <t>VARIÁVEL</t>
  </si>
  <si>
    <r>
      <rPr>
        <sz val="11"/>
        <color rgb="FF000000"/>
        <rFont val="Calibri"/>
        <scheme val="minor"/>
      </rPr>
      <t xml:space="preserve">CONTRATO PARA SERVIÇO DE MUNK  
MUNCK MODELO ATÉ 12 TON </t>
    </r>
    <r>
      <rPr>
        <b/>
        <sz val="11"/>
        <color rgb="FFFF0000"/>
        <rFont val="Calibri"/>
        <scheme val="minor"/>
      </rPr>
      <t xml:space="preserve">SEM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</si>
  <si>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 xml:space="preserve">COM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</si>
  <si>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PARA PEFURAÇÃO</t>
    </r>
    <r>
      <rPr>
        <sz val="11"/>
        <color rgb="FF000000"/>
        <rFont val="Calibri"/>
        <scheme val="minor"/>
      </rPr>
      <t xml:space="preserve"> DE ESTACAS ATÉ 6 METROS</t>
    </r>
  </si>
  <si>
    <t>ALEXANDRE ROSSETTO</t>
  </si>
  <si>
    <t>Manutenção preventiva nos compressores de amônia.</t>
  </si>
  <si>
    <t>GIOVANA</t>
  </si>
  <si>
    <r>
      <rPr>
        <sz val="11"/>
        <color rgb="FF000000"/>
        <rFont val="Calibri"/>
        <scheme val="minor"/>
      </rPr>
      <t xml:space="preserve">LIMPEZA COM CAMINHÕES DE HIDROVACUO E HIDROJATEAMENTO
</t>
    </r>
    <r>
      <rPr>
        <b/>
        <sz val="11"/>
        <color rgb="FFFF0000"/>
        <rFont val="Calibri"/>
        <scheme val="minor"/>
      </rPr>
      <t>MEIA DIÁRIA</t>
    </r>
  </si>
  <si>
    <r>
      <rPr>
        <sz val="11"/>
        <color rgb="FF000000"/>
        <rFont val="Calibri"/>
        <scheme val="minor"/>
      </rPr>
      <t xml:space="preserve">LIMPEZA COM CAMINHÕES DE HIDROVACUO E HIDROJATEAMENTO
</t>
    </r>
    <r>
      <rPr>
        <b/>
        <sz val="11"/>
        <color rgb="FFFF0000"/>
        <rFont val="Calibri"/>
        <scheme val="minor"/>
      </rPr>
      <t>DIÁRIA</t>
    </r>
  </si>
  <si>
    <t>850 A HORA 
550 MOBILIZAÇÃO COM CONTRATAÇÃO MINIMA DE 2 HORAS
14,16667 reais por minuto</t>
  </si>
  <si>
    <r>
      <rPr>
        <sz val="11"/>
        <color rgb="FF000000"/>
        <rFont val="Calibri"/>
        <scheme val="minor"/>
      </rPr>
      <t xml:space="preserve">LIMPEZA COM CAMINHÕES DE HIDROVACUO E HIDROJATEAMENTO
</t>
    </r>
    <r>
      <rPr>
        <b/>
        <sz val="11"/>
        <color rgb="FFFF0000"/>
        <rFont val="Calibri"/>
        <scheme val="minor"/>
      </rPr>
      <t>POR HORA</t>
    </r>
  </si>
  <si>
    <r>
      <rPr>
        <sz val="11"/>
        <color rgb="FF000000"/>
        <rFont val="Calibri"/>
        <scheme val="minor"/>
      </rPr>
      <t xml:space="preserve">variaveis com os </t>
    </r>
    <r>
      <rPr>
        <b/>
        <sz val="11"/>
        <color rgb="FFFF0000"/>
        <rFont val="Calibri"/>
        <scheme val="minor"/>
      </rPr>
      <t xml:space="preserve">25 % </t>
    </r>
    <r>
      <rPr>
        <sz val="11"/>
        <color rgb="FF000000"/>
        <rFont val="Calibri"/>
        <scheme val="minor"/>
      </rPr>
      <t xml:space="preserve">e adiconal por hora </t>
    </r>
  </si>
  <si>
    <t>MUNKART</t>
  </si>
  <si>
    <t>R$190,00 por hora (seg a sex)
R$210,00 por hora (sáb, dom, feriados)</t>
  </si>
  <si>
    <t>Mínimo 3 horas de permanência</t>
  </si>
  <si>
    <t>PREENCHER</t>
  </si>
  <si>
    <t>FORMULA</t>
  </si>
  <si>
    <t>%</t>
  </si>
  <si>
    <t>VALOR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</si>
</sst>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43" formatCode="_-* #,##0.00_-;\-* #,##0.00_-;_-* &quot;-&quot;??_-;_-@_-"/>
    <numFmt numFmtId="164" formatCode="[$-416]mmm\-yy;@"/>
    <numFmt numFmtId="165" formatCode="_-[$R$-416]\ * #,##0.00_-;\-[$R$-416]\ * #,##0.00_-;_-[$R$-416]\ * &quot;-&quot;??_-;_-@_-"/>
    <numFmt numFmtId="166" formatCode="_-[$€-2]\ * #,##0.00_-;\-[$€-2]\ * #,##0.00_-;_-[$€-2]\ * &quot;-&quot;??_-;_-@_-"/>
    <numFmt numFmtId="167" formatCode="&quot;R$&quot;\ #,##0.00"/>
  </numFmts>
  <fonts count="29">
    <font>
      <sz val="11"/>
      <color theme="1"/>
      <name val="Calibri"/>
      <family val="2"/>
      <scheme val="minor"/>
    </font>
    <font>
      <sz val="11"/>
      <color theme="1"/>
      <name val="Calibri"/>
      <scheme val="minor"/>
    </font>
    <font>
      <sz val="11"/>
      <color theme="1"/>
      <name val="Calibri"/>
      <family val="2"/>
      <scheme val="minor"/>
    </font>
    <font>
      <sz val="9"/>
      <color theme="1"/>
      <name val="Calibri"/>
      <family val="2"/>
      <scheme val="minor"/>
    </font>
    <font>
      <b/>
      <sz val="9"/>
      <color theme="1"/>
      <name val="Calibri"/>
      <family val="2"/>
      <scheme val="minor"/>
    </font>
    <font>
      <b/>
      <sz val="10"/>
      <color theme="0"/>
      <name val="Calibri"/>
      <family val="2"/>
      <scheme val="minor"/>
    </font>
    <font>
      <sz val="9"/>
      <color rgb="FF00B050"/>
      <name val="Calibri"/>
      <family val="2"/>
      <scheme val="minor"/>
    </font>
    <font>
      <sz val="9"/>
      <color rgb="FFFF0000"/>
      <name val="Calibri"/>
      <family val="2"/>
      <scheme val="minor"/>
    </font>
    <font>
      <sz val="9"/>
      <color rgb="FFFF0000"/>
      <name val="Calibri"/>
      <scheme val="minor"/>
    </font>
    <font>
      <sz val="9"/>
      <color rgb="FF000000"/>
      <name val="Calibri"/>
      <scheme val="minor"/>
    </font>
    <font>
      <sz val="9"/>
      <color theme="1"/>
      <name val="Calibri"/>
      <scheme val="minor"/>
    </font>
    <font>
      <sz val="9"/>
      <color rgb="FF000000"/>
      <name val="Calibri"/>
      <family val="2"/>
      <scheme val="minor"/>
    </font>
    <font>
      <sz val="11"/>
      <color rgb="FFFF0000"/>
      <name val="Calibri"/>
      <scheme val="minor"/>
    </font>
    <font>
      <b/>
      <sz val="11"/>
      <color theme="1"/>
      <name val="Calibri"/>
      <family val="2"/>
      <scheme val="minor"/>
    </font>
    <font>
      <sz val="11"/>
      <color rgb="FF000000"/>
      <name val="Calibri"/>
      <scheme val="minor"/>
    </font>
    <font>
      <sz val="11"/>
      <color rgb="FF000000"/>
      <name val="Calibri"/>
      <family val="2"/>
      <scheme val="minor"/>
    </font>
    <font>
      <b/>
      <sz val="11"/>
      <color rgb="FFFF0000"/>
      <name val="Calibri"/>
      <scheme val="minor"/>
    </font>
    <font>
      <sz val="11"/>
      <color rgb="FF00B050"/>
      <name val="Calibri"/>
      <family val="2"/>
      <scheme val="minor"/>
    </font>
    <font>
      <sz val="26"/>
      <color rgb="FFFF0000"/>
      <name val="Calibri"/>
      <family val="2"/>
      <scheme val="minor"/>
    </font>
    <font>
      <b/>
      <sz val="11"/>
      <color theme="0"/>
      <name val="Calibri"/>
      <family val="2"/>
      <scheme val="minor"/>
    </font>
    <font>
      <b/>
      <sz val="11"/>
      <color rgb="FF000000"/>
      <name val="Calibri"/>
      <scheme val="minor"/>
    </font>
    <font>
      <sz val="11"/>
      <color rgb="FFC00000"/>
      <name val="Calibri"/>
      <family val="2"/>
      <scheme val="minor"/>
    </font>
    <font>
      <sz val="11"/>
      <color rgb="FF9C0006"/>
      <name val="Calibri"/>
      <charset val="1"/>
    </font>
    <font>
      <sz val="10"/>
      <color theme="1"/>
      <name val="Calibri"/>
      <family val="2"/>
      <charset val="1"/>
    </font>
    <font>
      <sz val="9"/>
      <color rgb="FFC00000"/>
      <name val="Calibri"/>
      <scheme val="minor"/>
    </font>
    <font>
      <sz val="11"/>
      <color rgb="FF242424"/>
      <name val="Segoe UI"/>
      <charset val="1"/>
    </font>
    <font>
      <sz val="10"/>
      <color rgb="FF000000"/>
      <name val="Aptos"/>
      <charset val="1"/>
    </font>
    <font>
      <sz val="10"/>
      <color theme="1"/>
      <name val="Times New Roman"/>
      <family val="1"/>
      <charset val="1"/>
    </font>
    <font>
      <sz val="9"/>
      <color theme="1"/>
      <name val="Arial"/>
      <family val="2"/>
      <charset val="1"/>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00B0F0"/>
        <bgColor indexed="64"/>
      </patternFill>
    </fill>
    <fill>
      <patternFill patternType="solid">
        <fgColor theme="7"/>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s>
  <borders count="1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rgb="FF000000"/>
      </left>
      <right style="thin">
        <color rgb="FF000000"/>
      </right>
      <top/>
      <bottom style="thin">
        <color rgb="FF000000"/>
      </bottom>
      <diagonal/>
    </border>
  </borders>
  <cellStyleXfs count="2">
    <xf numFmtId="0" fontId="0" fillId="0" borderId="0"/>
    <xf numFmtId="44" fontId="2" fillId="0" borderId="0" applyFont="0" applyFill="0" applyBorder="0" applyAlignment="0" applyProtection="0"/>
  </cellStyleXfs>
  <cellXfs count="204">
    <xf numFmtId="0" fontId="0" fillId="0" borderId="0" xfId="0"/>
    <xf numFmtId="0" fontId="0" fillId="0" borderId="0" xfId="0"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5" borderId="0" xfId="0" applyFill="1"/>
    <xf numFmtId="0" fontId="0" fillId="3" borderId="0" xfId="0" applyFill="1"/>
    <xf numFmtId="0" fontId="13" fillId="10" borderId="5" xfId="0" applyFont="1" applyFill="1" applyBorder="1" applyAlignment="1">
      <alignment horizontal="center" vertical="center"/>
    </xf>
    <xf numFmtId="165" fontId="13" fillId="10" borderId="5" xfId="0" applyNumberFormat="1" applyFont="1" applyFill="1" applyBorder="1" applyAlignment="1">
      <alignment horizontal="center" vertical="center"/>
    </xf>
    <xf numFmtId="14" fontId="13" fillId="10" borderId="5" xfId="0" applyNumberFormat="1" applyFont="1" applyFill="1" applyBorder="1" applyAlignment="1">
      <alignment horizontal="center" vertical="center"/>
    </xf>
    <xf numFmtId="0" fontId="13" fillId="10" borderId="5" xfId="0" applyFont="1" applyFill="1" applyBorder="1" applyAlignment="1">
      <alignment horizontal="left" vertical="center"/>
    </xf>
    <xf numFmtId="17" fontId="13" fillId="3" borderId="5" xfId="0" applyNumberFormat="1" applyFont="1" applyFill="1" applyBorder="1" applyAlignment="1">
      <alignment horizontal="center" vertical="center"/>
    </xf>
    <xf numFmtId="0" fontId="0" fillId="0" borderId="5" xfId="0" applyBorder="1" applyAlignment="1">
      <alignment vertical="center"/>
    </xf>
    <xf numFmtId="0" fontId="0" fillId="11" borderId="5" xfId="0" applyFill="1" applyBorder="1" applyAlignment="1">
      <alignment horizontal="center" vertical="center"/>
    </xf>
    <xf numFmtId="0" fontId="0" fillId="0" borderId="5" xfId="0" applyBorder="1" applyAlignment="1">
      <alignment horizontal="center" vertical="center"/>
    </xf>
    <xf numFmtId="165"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left" vertical="center"/>
    </xf>
    <xf numFmtId="0" fontId="0" fillId="2" borderId="5" xfId="0" applyFill="1" applyBorder="1" applyAlignment="1">
      <alignment vertical="center"/>
    </xf>
    <xf numFmtId="0" fontId="0" fillId="2" borderId="5" xfId="0" applyFill="1" applyBorder="1" applyAlignment="1">
      <alignment horizontal="center" vertical="center"/>
    </xf>
    <xf numFmtId="166" fontId="0" fillId="2" borderId="5" xfId="0" applyNumberFormat="1" applyFill="1" applyBorder="1" applyAlignment="1">
      <alignment horizontal="center" vertical="center"/>
    </xf>
    <xf numFmtId="14" fontId="0" fillId="2" borderId="5" xfId="0" applyNumberFormat="1" applyFill="1" applyBorder="1" applyAlignment="1">
      <alignment horizontal="center" vertical="center"/>
    </xf>
    <xf numFmtId="0" fontId="0" fillId="2" borderId="5" xfId="0" applyFill="1" applyBorder="1" applyAlignment="1">
      <alignment horizontal="left" vertical="center"/>
    </xf>
    <xf numFmtId="165" fontId="0" fillId="2" borderId="5" xfId="0" applyNumberFormat="1" applyFill="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vertical="top" wrapText="1"/>
    </xf>
    <xf numFmtId="165" fontId="15" fillId="0" borderId="5" xfId="0" applyNumberFormat="1" applyFont="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165" fontId="0" fillId="0" borderId="7" xfId="0" applyNumberFormat="1" applyBorder="1" applyAlignment="1">
      <alignment horizontal="center" vertical="center"/>
    </xf>
    <xf numFmtId="14" fontId="0" fillId="0" borderId="8" xfId="0" applyNumberFormat="1" applyBorder="1" applyAlignment="1">
      <alignment horizontal="center" vertical="center"/>
    </xf>
    <xf numFmtId="0" fontId="0" fillId="12" borderId="5" xfId="0" applyFill="1" applyBorder="1" applyAlignment="1">
      <alignment horizontal="center" vertical="center"/>
    </xf>
    <xf numFmtId="165" fontId="0" fillId="0" borderId="5" xfId="0" applyNumberFormat="1" applyBorder="1" applyAlignment="1">
      <alignment horizontal="center" vertical="center" wrapText="1"/>
    </xf>
    <xf numFmtId="9" fontId="0" fillId="0" borderId="0" xfId="0" applyNumberFormat="1"/>
    <xf numFmtId="43" fontId="0" fillId="0" borderId="0" xfId="0" applyNumberFormat="1"/>
    <xf numFmtId="9" fontId="15" fillId="13" borderId="0" xfId="0" applyNumberFormat="1" applyFont="1" applyFill="1" applyAlignment="1">
      <alignment horizontal="center" vertical="center"/>
    </xf>
    <xf numFmtId="44" fontId="0" fillId="11" borderId="0" xfId="0" applyNumberFormat="1" applyFill="1" applyAlignment="1">
      <alignment horizontal="center" vertical="center"/>
    </xf>
    <xf numFmtId="0" fontId="17" fillId="0" borderId="5" xfId="0" applyFont="1" applyBorder="1" applyAlignment="1">
      <alignment horizontal="center" vertical="center" wrapText="1"/>
    </xf>
    <xf numFmtId="2" fontId="15" fillId="13" borderId="0" xfId="0" applyNumberFormat="1" applyFont="1" applyFill="1"/>
    <xf numFmtId="0" fontId="15" fillId="13" borderId="0" xfId="0" applyFont="1" applyFill="1"/>
    <xf numFmtId="43" fontId="0" fillId="11" borderId="0" xfId="0" applyNumberFormat="1" applyFill="1"/>
    <xf numFmtId="44" fontId="0" fillId="0" borderId="0" xfId="0" applyNumberFormat="1"/>
    <xf numFmtId="44" fontId="15" fillId="13" borderId="5" xfId="1" applyFont="1" applyFill="1" applyBorder="1" applyAlignment="1">
      <alignment wrapText="1"/>
    </xf>
    <xf numFmtId="9" fontId="15" fillId="13" borderId="0" xfId="0" applyNumberFormat="1" applyFont="1" applyFill="1"/>
    <xf numFmtId="9" fontId="13" fillId="0" borderId="6" xfId="0" applyNumberFormat="1" applyFont="1" applyBorder="1" applyAlignment="1">
      <alignment horizontal="center"/>
    </xf>
    <xf numFmtId="0" fontId="19" fillId="14" borderId="0" xfId="0" applyFont="1" applyFill="1" applyAlignment="1">
      <alignment horizontal="center" vertical="center" wrapText="1"/>
    </xf>
    <xf numFmtId="44" fontId="5" fillId="14" borderId="0" xfId="1" applyFont="1" applyFill="1" applyAlignment="1">
      <alignment horizontal="center" vertical="center" wrapText="1"/>
    </xf>
    <xf numFmtId="44" fontId="19" fillId="14" borderId="0" xfId="1" applyFont="1" applyFill="1" applyAlignment="1">
      <alignment horizontal="center" vertical="center" wrapText="1"/>
    </xf>
    <xf numFmtId="16" fontId="0" fillId="0" borderId="5" xfId="0" applyNumberFormat="1" applyBorder="1" applyAlignment="1">
      <alignment horizontal="center" vertical="center" wrapText="1"/>
    </xf>
    <xf numFmtId="16" fontId="0" fillId="15" borderId="5" xfId="0" applyNumberFormat="1" applyFill="1" applyBorder="1" applyAlignment="1">
      <alignment horizontal="center" vertical="center" wrapText="1"/>
    </xf>
    <xf numFmtId="0" fontId="0" fillId="11" borderId="5" xfId="0" applyFill="1" applyBorder="1" applyAlignment="1">
      <alignment horizontal="center" vertical="center" wrapText="1"/>
    </xf>
    <xf numFmtId="0" fontId="0" fillId="0" borderId="5" xfId="0" applyBorder="1" applyAlignment="1">
      <alignment wrapText="1"/>
    </xf>
    <xf numFmtId="0" fontId="0" fillId="2" borderId="5" xfId="0" applyFill="1" applyBorder="1" applyAlignment="1">
      <alignment horizontal="center" vertical="center" wrapText="1"/>
    </xf>
    <xf numFmtId="0" fontId="0" fillId="4" borderId="5" xfId="0" applyFill="1" applyBorder="1" applyAlignment="1">
      <alignment horizontal="center" vertical="center" wrapText="1"/>
    </xf>
    <xf numFmtId="44" fontId="17" fillId="0" borderId="5" xfId="1" applyFont="1" applyBorder="1" applyAlignment="1">
      <alignment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xf>
    <xf numFmtId="3" fontId="0" fillId="0" borderId="5" xfId="0" applyNumberFormat="1" applyBorder="1" applyAlignment="1">
      <alignment horizontal="center" vertical="center" wrapText="1"/>
    </xf>
    <xf numFmtId="0" fontId="0" fillId="0" borderId="0" xfId="0" applyAlignment="1">
      <alignment horizontal="center" vertical="center" wrapText="1"/>
    </xf>
    <xf numFmtId="0" fontId="0" fillId="15" borderId="5" xfId="0" applyFill="1"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vertical="top" wrapText="1"/>
    </xf>
    <xf numFmtId="44" fontId="17" fillId="0" borderId="5" xfId="1" applyFont="1" applyBorder="1" applyAlignment="1">
      <alignment vertical="center" wrapText="1"/>
    </xf>
    <xf numFmtId="0" fontId="0" fillId="0" borderId="5" xfId="0" applyBorder="1" applyAlignment="1">
      <alignment vertical="center" wrapText="1"/>
    </xf>
    <xf numFmtId="44" fontId="17" fillId="0" borderId="6" xfId="1" applyFont="1" applyBorder="1" applyAlignment="1">
      <alignment vertical="center" wrapText="1"/>
    </xf>
    <xf numFmtId="165" fontId="17" fillId="0" borderId="5" xfId="0" applyNumberFormat="1" applyFont="1" applyBorder="1" applyAlignment="1">
      <alignment vertical="center" wrapText="1"/>
    </xf>
    <xf numFmtId="0" fontId="0" fillId="11" borderId="5" xfId="0" applyFill="1" applyBorder="1" applyAlignment="1">
      <alignment vertical="center" wrapText="1"/>
    </xf>
    <xf numFmtId="44" fontId="17" fillId="0" borderId="5" xfId="0" applyNumberFormat="1" applyFont="1" applyBorder="1" applyAlignment="1">
      <alignment vertical="center" wrapText="1"/>
    </xf>
    <xf numFmtId="0" fontId="0" fillId="4" borderId="5" xfId="0" applyFill="1" applyBorder="1" applyAlignment="1">
      <alignment vertical="center" wrapText="1"/>
    </xf>
    <xf numFmtId="0" fontId="0" fillId="16" borderId="5" xfId="0" applyFill="1" applyBorder="1" applyAlignment="1">
      <alignment vertical="center" wrapText="1"/>
    </xf>
    <xf numFmtId="0" fontId="0" fillId="2" borderId="5" xfId="0" applyFill="1" applyBorder="1" applyAlignment="1">
      <alignment vertical="center" wrapText="1"/>
    </xf>
    <xf numFmtId="165" fontId="0" fillId="0" borderId="5" xfId="0" applyNumberFormat="1" applyBorder="1" applyAlignment="1">
      <alignment vertical="center" wrapText="1"/>
    </xf>
    <xf numFmtId="44" fontId="0" fillId="0" borderId="5" xfId="1" applyFont="1" applyBorder="1" applyAlignment="1">
      <alignment vertical="center" wrapText="1"/>
    </xf>
    <xf numFmtId="44" fontId="15" fillId="0" borderId="5" xfId="1" applyFont="1" applyBorder="1" applyAlignment="1">
      <alignment vertical="center" wrapText="1"/>
    </xf>
    <xf numFmtId="0" fontId="0" fillId="17" borderId="5" xfId="0" applyFill="1" applyBorder="1" applyAlignment="1">
      <alignment vertical="center" wrapText="1"/>
    </xf>
    <xf numFmtId="16" fontId="0" fillId="0" borderId="5" xfId="0" applyNumberFormat="1" applyBorder="1" applyAlignment="1">
      <alignment horizontal="center" vertical="center"/>
    </xf>
    <xf numFmtId="0" fontId="0" fillId="0" borderId="8" xfId="0" applyBorder="1" applyAlignment="1">
      <alignment horizontal="left" vertical="center" wrapText="1"/>
    </xf>
    <xf numFmtId="165" fontId="0" fillId="0" borderId="5" xfId="0" applyNumberFormat="1" applyBorder="1" applyAlignment="1">
      <alignment horizontal="left" vertical="center" wrapText="1"/>
    </xf>
    <xf numFmtId="0" fontId="0" fillId="7" borderId="5" xfId="0" applyFill="1" applyBorder="1" applyAlignment="1">
      <alignment horizontal="center" vertical="center" wrapText="1"/>
    </xf>
    <xf numFmtId="44" fontId="0" fillId="0" borderId="5" xfId="1" applyFont="1" applyBorder="1" applyAlignment="1">
      <alignment wrapText="1"/>
    </xf>
    <xf numFmtId="0" fontId="0" fillId="0" borderId="6" xfId="0" applyBorder="1" applyAlignment="1">
      <alignment wrapText="1"/>
    </xf>
    <xf numFmtId="44" fontId="0" fillId="0" borderId="6" xfId="1" applyFont="1" applyBorder="1" applyAlignment="1">
      <alignment wrapText="1"/>
    </xf>
    <xf numFmtId="44" fontId="15" fillId="0" borderId="5" xfId="1" applyFont="1" applyBorder="1" applyAlignment="1">
      <alignment wrapText="1"/>
    </xf>
    <xf numFmtId="0" fontId="17" fillId="0" borderId="6" xfId="0" applyFont="1" applyBorder="1" applyAlignment="1">
      <alignment horizontal="center" vertical="center" wrapText="1"/>
    </xf>
    <xf numFmtId="0" fontId="21" fillId="5" borderId="5" xfId="0" applyFont="1" applyFill="1" applyBorder="1" applyAlignment="1">
      <alignment vertical="center" wrapText="1"/>
    </xf>
    <xf numFmtId="44" fontId="0" fillId="0" borderId="5" xfId="1" applyFont="1" applyFill="1" applyBorder="1" applyAlignment="1">
      <alignment wrapText="1"/>
    </xf>
    <xf numFmtId="44" fontId="15" fillId="0" borderId="5" xfId="1" applyFont="1" applyFill="1" applyBorder="1" applyAlignment="1">
      <alignment wrapText="1"/>
    </xf>
    <xf numFmtId="0" fontId="21" fillId="5" borderId="5" xfId="0" applyFont="1" applyFill="1" applyBorder="1" applyAlignment="1">
      <alignment horizontal="center" vertical="center" wrapText="1"/>
    </xf>
    <xf numFmtId="16" fontId="0" fillId="0" borderId="6" xfId="0" applyNumberFormat="1" applyBorder="1" applyAlignment="1">
      <alignment horizontal="center" vertical="center" wrapText="1"/>
    </xf>
    <xf numFmtId="0" fontId="0" fillId="11" borderId="6" xfId="0" applyFill="1" applyBorder="1" applyAlignment="1">
      <alignment horizontal="center" vertical="center" wrapText="1"/>
    </xf>
    <xf numFmtId="0" fontId="0" fillId="0" borderId="6" xfId="0" applyBorder="1" applyAlignment="1">
      <alignment vertical="top" wrapText="1"/>
    </xf>
    <xf numFmtId="44" fontId="15" fillId="0" borderId="6" xfId="1" applyFont="1" applyBorder="1" applyAlignment="1">
      <alignment wrapText="1"/>
    </xf>
    <xf numFmtId="0" fontId="15" fillId="0" borderId="6" xfId="0" applyFont="1" applyBorder="1" applyAlignment="1">
      <alignment horizontal="center" vertical="center" wrapText="1"/>
    </xf>
    <xf numFmtId="0" fontId="0" fillId="4" borderId="6" xfId="0" applyFill="1" applyBorder="1" applyAlignment="1">
      <alignment horizontal="center" vertical="center" wrapText="1"/>
    </xf>
    <xf numFmtId="0" fontId="21"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0" fontId="3" fillId="0" borderId="0" xfId="0" applyFont="1" applyAlignment="1" applyProtection="1">
      <alignment vertical="center" wrapText="1"/>
      <protection locked="0"/>
    </xf>
    <xf numFmtId="14" fontId="3" fillId="0" borderId="0" xfId="0" applyNumberFormat="1" applyFont="1" applyAlignment="1" applyProtection="1">
      <alignment vertical="center" wrapText="1"/>
      <protection locked="0"/>
    </xf>
    <xf numFmtId="44" fontId="3" fillId="0" borderId="0" xfId="1" applyFont="1" applyFill="1" applyAlignment="1" applyProtection="1">
      <alignment vertical="center" wrapText="1"/>
      <protection locked="0"/>
    </xf>
    <xf numFmtId="164" fontId="3" fillId="0" borderId="0" xfId="0" applyNumberFormat="1" applyFont="1" applyAlignment="1" applyProtection="1">
      <alignment vertical="center" wrapText="1"/>
      <protection locked="0"/>
    </xf>
    <xf numFmtId="0" fontId="5" fillId="8" borderId="2"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0" fontId="10" fillId="6" borderId="1" xfId="0" applyFont="1" applyFill="1" applyBorder="1" applyAlignment="1" applyProtection="1">
      <alignment horizontal="center" vertical="center" wrapText="1"/>
      <protection locked="0"/>
    </xf>
    <xf numFmtId="14" fontId="3" fillId="6" borderId="1" xfId="0" applyNumberFormat="1" applyFont="1" applyFill="1" applyBorder="1" applyAlignment="1" applyProtection="1">
      <alignment horizontal="center" vertical="center" wrapText="1"/>
      <protection locked="0"/>
    </xf>
    <xf numFmtId="44" fontId="3" fillId="6" borderId="1" xfId="1" applyFont="1" applyFill="1" applyBorder="1" applyAlignment="1" applyProtection="1">
      <alignment horizontal="center" vertical="center" wrapText="1"/>
      <protection locked="0"/>
    </xf>
    <xf numFmtId="164" fontId="3" fillId="6" borderId="1" xfId="0" applyNumberFormat="1" applyFont="1"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44" fontId="3" fillId="7" borderId="1" xfId="1" applyFont="1" applyFill="1" applyBorder="1" applyAlignment="1" applyProtection="1">
      <alignment horizontal="center" vertical="center" wrapText="1"/>
      <protection locked="0"/>
    </xf>
    <xf numFmtId="14" fontId="3" fillId="7" borderId="1" xfId="0" applyNumberFormat="1"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9" borderId="1" xfId="0"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9" borderId="1" xfId="0" applyFont="1" applyFill="1" applyBorder="1" applyAlignment="1" applyProtection="1">
      <alignment horizontal="left" vertical="top" wrapText="1"/>
      <protection locked="0"/>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8" fontId="6" fillId="0" borderId="1" xfId="1" applyNumberFormat="1" applyFont="1" applyBorder="1" applyAlignment="1" applyProtection="1">
      <alignment horizontal="center" vertical="center" wrapText="1"/>
      <protection locked="0"/>
    </xf>
    <xf numFmtId="164" fontId="3" fillId="0" borderId="1" xfId="0" applyNumberFormat="1" applyFont="1" applyBorder="1" applyAlignment="1" applyProtection="1">
      <alignment horizontal="center" vertical="center" wrapText="1"/>
      <protection locked="0"/>
    </xf>
    <xf numFmtId="44" fontId="6" fillId="0" borderId="1" xfId="1"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8" fontId="3" fillId="0" borderId="2"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top" wrapText="1"/>
      <protection locked="0"/>
    </xf>
    <xf numFmtId="164" fontId="3" fillId="2" borderId="1" xfId="0" applyNumberFormat="1" applyFont="1" applyFill="1" applyBorder="1" applyAlignment="1" applyProtection="1">
      <alignment horizontal="center" vertical="center" wrapText="1"/>
      <protection locked="0"/>
    </xf>
    <xf numFmtId="44" fontId="3" fillId="0" borderId="1" xfId="1" applyFont="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4" fontId="10" fillId="0" borderId="1" xfId="0" applyNumberFormat="1" applyFont="1" applyBorder="1" applyAlignment="1" applyProtection="1">
      <alignment horizontal="center" vertical="center" wrapText="1"/>
      <protection locked="0"/>
    </xf>
    <xf numFmtId="8" fontId="7" fillId="0" borderId="1" xfId="1"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7" fillId="0" borderId="1" xfId="0" applyFont="1" applyBorder="1" applyAlignment="1" applyProtection="1">
      <alignment horizontal="left" vertical="top" wrapText="1"/>
      <protection locked="0"/>
    </xf>
    <xf numFmtId="0" fontId="3" fillId="15" borderId="1" xfId="0" applyFont="1" applyFill="1" applyBorder="1" applyAlignment="1" applyProtection="1">
      <alignment horizontal="center" vertical="center" wrapText="1"/>
      <protection locked="0"/>
    </xf>
    <xf numFmtId="8" fontId="11" fillId="0" borderId="1" xfId="1" applyNumberFormat="1" applyFont="1" applyBorder="1" applyAlignment="1" applyProtection="1">
      <alignment horizontal="center" vertical="center" wrapText="1"/>
      <protection locked="0"/>
    </xf>
    <xf numFmtId="14" fontId="3" fillId="15" borderId="1" xfId="0" applyNumberFormat="1" applyFont="1" applyFill="1" applyBorder="1" applyAlignment="1" applyProtection="1">
      <alignment horizontal="center" vertical="center" wrapText="1"/>
      <protection locked="0"/>
    </xf>
    <xf numFmtId="14" fontId="7" fillId="0" borderId="1" xfId="0" applyNumberFormat="1" applyFont="1" applyBorder="1" applyAlignment="1" applyProtection="1">
      <alignment horizontal="center" vertical="center" wrapText="1"/>
      <protection locked="0"/>
    </xf>
    <xf numFmtId="8" fontId="6" fillId="0" borderId="1" xfId="1" applyNumberFormat="1" applyFont="1" applyFill="1" applyBorder="1" applyAlignment="1" applyProtection="1">
      <alignment horizontal="center" vertical="center" wrapText="1"/>
      <protection locked="0"/>
    </xf>
    <xf numFmtId="44" fontId="3" fillId="0" borderId="10" xfId="1" applyFont="1" applyBorder="1" applyAlignment="1" applyProtection="1">
      <alignment horizontal="center" vertical="center" wrapText="1"/>
      <protection locked="0"/>
    </xf>
    <xf numFmtId="14" fontId="3" fillId="0" borderId="3" xfId="0" applyNumberFormat="1" applyFont="1" applyBorder="1" applyAlignment="1" applyProtection="1">
      <alignment horizontal="center" vertical="center" wrapText="1"/>
      <protection locked="0"/>
    </xf>
    <xf numFmtId="44" fontId="3" fillId="0" borderId="11" xfId="1"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16" fontId="3" fillId="15" borderId="1"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vertical="center" wrapText="1"/>
      <protection locked="0"/>
    </xf>
    <xf numFmtId="44" fontId="11" fillId="0" borderId="1" xfId="1" applyFont="1" applyBorder="1" applyAlignment="1" applyProtection="1">
      <alignment horizontal="center" vertical="center" wrapText="1"/>
      <protection locked="0"/>
    </xf>
    <xf numFmtId="16" fontId="3" fillId="0" borderId="1" xfId="0" applyNumberFormat="1" applyFont="1" applyBorder="1" applyAlignment="1" applyProtection="1">
      <alignment horizontal="center" vertical="center" wrapText="1"/>
      <protection locked="0"/>
    </xf>
    <xf numFmtId="167" fontId="3" fillId="0" borderId="1" xfId="1" applyNumberFormat="1" applyFont="1" applyBorder="1" applyAlignment="1" applyProtection="1">
      <alignment horizontal="center" vertical="center" wrapText="1"/>
      <protection locked="0"/>
    </xf>
    <xf numFmtId="0" fontId="11" fillId="15" borderId="1" xfId="1" applyNumberFormat="1" applyFont="1" applyFill="1" applyBorder="1" applyAlignment="1" applyProtection="1">
      <alignment horizontal="center" vertical="center" wrapText="1"/>
      <protection locked="0"/>
    </xf>
    <xf numFmtId="44" fontId="11" fillId="15" borderId="1" xfId="1"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4" fontId="0" fillId="0" borderId="0" xfId="0" applyNumberFormat="1" applyProtection="1">
      <protection locked="0"/>
    </xf>
    <xf numFmtId="0" fontId="22" fillId="0" borderId="0" xfId="0" applyFont="1" applyProtection="1">
      <protection locked="0"/>
    </xf>
    <xf numFmtId="14" fontId="3" fillId="2" borderId="1" xfId="0" applyNumberFormat="1" applyFont="1"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23" fillId="9" borderId="0" xfId="0" applyFont="1" applyFill="1" applyAlignment="1" applyProtection="1">
      <alignment wrapText="1"/>
      <protection locked="0"/>
    </xf>
    <xf numFmtId="14" fontId="3" fillId="0" borderId="10" xfId="0" applyNumberFormat="1" applyFont="1" applyBorder="1" applyAlignment="1" applyProtection="1">
      <alignment horizontal="center" vertical="center" wrapText="1"/>
      <protection locked="0"/>
    </xf>
    <xf numFmtId="44" fontId="11" fillId="0" borderId="10" xfId="1" applyFont="1" applyBorder="1" applyAlignment="1" applyProtection="1">
      <alignment horizontal="center" vertical="center" wrapText="1"/>
      <protection locked="0"/>
    </xf>
    <xf numFmtId="164" fontId="3" fillId="0" borderId="10" xfId="0" applyNumberFormat="1"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14" fontId="3" fillId="0" borderId="14" xfId="0" applyNumberFormat="1" applyFont="1" applyBorder="1" applyAlignment="1" applyProtection="1">
      <alignment horizontal="center" vertical="center" wrapText="1"/>
      <protection locked="0"/>
    </xf>
    <xf numFmtId="44" fontId="3" fillId="0" borderId="2"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25" fillId="12" borderId="0" xfId="0" applyFont="1" applyFill="1" applyAlignment="1" applyProtection="1">
      <alignment wrapText="1"/>
      <protection locked="0"/>
    </xf>
    <xf numFmtId="44" fontId="7" fillId="0" borderId="1" xfId="1" applyFont="1" applyBorder="1" applyAlignment="1" applyProtection="1">
      <alignment horizontal="center" vertical="center" wrapText="1"/>
      <protection locked="0"/>
    </xf>
    <xf numFmtId="0" fontId="0" fillId="0" borderId="0" xfId="0" applyProtection="1">
      <protection locked="0"/>
    </xf>
    <xf numFmtId="4" fontId="3" fillId="2" borderId="1" xfId="0" applyNumberFormat="1" applyFont="1" applyFill="1" applyBorder="1" applyAlignment="1" applyProtection="1">
      <alignment horizontal="center" vertical="center" wrapText="1"/>
      <protection locked="0"/>
    </xf>
    <xf numFmtId="0" fontId="0" fillId="0" borderId="0" xfId="0" applyAlignment="1" applyProtection="1">
      <alignment wrapText="1"/>
      <protection locked="0"/>
    </xf>
    <xf numFmtId="3" fontId="3" fillId="0" borderId="1" xfId="0" applyNumberFormat="1" applyFont="1" applyBorder="1" applyAlignment="1" applyProtection="1">
      <alignment horizontal="center" vertical="center" wrapText="1"/>
      <protection locked="0"/>
    </xf>
    <xf numFmtId="44" fontId="11" fillId="0" borderId="0" xfId="1" applyFont="1" applyAlignment="1" applyProtection="1">
      <alignment vertical="center" wrapText="1"/>
      <protection locked="0"/>
    </xf>
    <xf numFmtId="44" fontId="3" fillId="0" borderId="0" xfId="1" applyFont="1" applyAlignment="1" applyProtection="1">
      <alignment vertical="center" wrapText="1"/>
      <protection locked="0"/>
    </xf>
    <xf numFmtId="0" fontId="3" fillId="9" borderId="1" xfId="0" quotePrefix="1" applyFont="1" applyFill="1" applyBorder="1" applyAlignment="1" applyProtection="1">
      <alignment horizontal="center" vertical="center" wrapText="1"/>
      <protection locked="0"/>
    </xf>
    <xf numFmtId="0" fontId="26" fillId="0" borderId="0" xfId="0" applyFont="1" applyAlignment="1" applyProtection="1">
      <alignment horizontal="center" vertical="center"/>
      <protection locked="0"/>
    </xf>
    <xf numFmtId="4" fontId="3" fillId="0" borderId="1" xfId="0" applyNumberFormat="1" applyFont="1" applyBorder="1" applyAlignment="1" applyProtection="1">
      <alignment horizontal="center" vertical="center" wrapText="1"/>
      <protection locked="0"/>
    </xf>
    <xf numFmtId="0" fontId="0" fillId="0" borderId="5" xfId="0" applyBorder="1"/>
    <xf numFmtId="0" fontId="0" fillId="0" borderId="7" xfId="0" applyBorder="1" applyAlignment="1">
      <alignment horizontal="center" vertical="center" wrapText="1"/>
    </xf>
    <xf numFmtId="0" fontId="0" fillId="12" borderId="15" xfId="0" applyFill="1"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3" fontId="3" fillId="0" borderId="0" xfId="0" applyNumberFormat="1" applyFont="1" applyAlignment="1" applyProtection="1">
      <alignment vertical="center" wrapText="1"/>
      <protection locked="0"/>
    </xf>
    <xf numFmtId="9" fontId="3" fillId="0" borderId="0" xfId="0" applyNumberFormat="1" applyFont="1" applyAlignment="1" applyProtection="1">
      <alignment vertical="center" wrapText="1"/>
      <protection locked="0"/>
    </xf>
    <xf numFmtId="44" fontId="6" fillId="0" borderId="1" xfId="1" applyFont="1" applyFill="1" applyBorder="1" applyAlignment="1" applyProtection="1">
      <alignment horizontal="center" vertical="center" wrapText="1"/>
      <protection locked="0"/>
    </xf>
    <xf numFmtId="44" fontId="11" fillId="0" borderId="1" xfId="1" applyFont="1" applyFill="1" applyBorder="1" applyAlignment="1" applyProtection="1">
      <alignment horizontal="center" vertical="center" wrapText="1"/>
      <protection locked="0"/>
    </xf>
    <xf numFmtId="0" fontId="27" fillId="0" borderId="0" xfId="0" applyFont="1" applyProtection="1">
      <protection locked="0"/>
    </xf>
    <xf numFmtId="0" fontId="28" fillId="0" borderId="0" xfId="0" applyFont="1" applyProtection="1">
      <protection locked="0"/>
    </xf>
    <xf numFmtId="0" fontId="4" fillId="4"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5" fillId="8" borderId="2" xfId="0" applyFont="1" applyFill="1" applyBorder="1" applyAlignment="1" applyProtection="1">
      <alignment horizontal="center" vertical="center" wrapText="1"/>
      <protection locked="0"/>
    </xf>
    <xf numFmtId="0" fontId="5" fillId="8" borderId="4" xfId="0" applyFont="1" applyFill="1" applyBorder="1" applyAlignment="1" applyProtection="1">
      <alignment horizontal="center" vertical="center" wrapText="1"/>
      <protection locked="0"/>
    </xf>
    <xf numFmtId="0" fontId="4" fillId="3" borderId="2" xfId="0" applyFont="1" applyFill="1" applyBorder="1" applyAlignment="1" applyProtection="1">
      <alignment horizontal="center" vertical="center" wrapText="1"/>
      <protection locked="0"/>
    </xf>
    <xf numFmtId="0" fontId="4" fillId="3" borderId="4"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1" fontId="18" fillId="0" borderId="5" xfId="0" applyNumberFormat="1" applyFont="1" applyBorder="1" applyAlignment="1">
      <alignment horizontal="center" vertical="center" wrapText="1"/>
    </xf>
    <xf numFmtId="0" fontId="1" fillId="11"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cellXfs>
  <cellStyles count="2">
    <cellStyle name="Moeda" xfId="1" builtinId="4"/>
    <cellStyle name="Normal" xfId="0" builtinId="0"/>
  </cellStyles>
  <dxfs count="332">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patternType="solid">
          <bgColor theme="5" tint="0.79998168889431442"/>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C6EFCE"/>
        </patternFill>
      </fill>
    </dxf>
    <dxf>
      <fill>
        <patternFill patternType="solid">
          <bgColor rgb="FFFFC7CE"/>
        </patternFill>
      </fill>
    </dxf>
    <dxf>
      <fill>
        <patternFill patternType="solid">
          <bgColor rgb="FFFFEB9C"/>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amila Ramos" id="{65676D70-A01C-4580-BAA8-577C62D0D74D}" userId="S::camila-ramos@auroracoop.com.br::09f35383-dfed-4344-a276-787dc8481032" providerId="AD"/>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07" dT="2025-12-13T14:39:20.48" personId="{65676D70-A01C-4580-BAA8-577C62D0D74D}" id="{30311ED5-2EA9-4645-94BE-B9B659B66EFF}">
    <text>SERVIÇO NÃO PRESTADO ANTES DO PEDIDO, APENAS ABERTO COMO 5 POR SER EMERGENCIAL.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795"/>
  <sheetViews>
    <sheetView showGridLines="0" tabSelected="1" zoomScale="85" zoomScaleNormal="85" workbookViewId="0">
      <pane xSplit="1" ySplit="3" topLeftCell="B279" activePane="bottomRight" state="frozen"/>
      <selection pane="bottomRight" activeCell="N296" sqref="N296"/>
      <selection pane="bottomLeft" activeCell="A4" sqref="A4"/>
      <selection pane="topRight" activeCell="B1" sqref="B1"/>
    </sheetView>
  </sheetViews>
  <sheetFormatPr defaultColWidth="9.140625" defaultRowHeight="12"/>
  <cols>
    <col min="1" max="1" width="9.140625" style="101" customWidth="1"/>
    <col min="2" max="2" width="11.42578125" style="101" bestFit="1" customWidth="1"/>
    <col min="3" max="3" width="11.140625" style="101" customWidth="1"/>
    <col min="4" max="4" width="9.140625" style="101" customWidth="1"/>
    <col min="5" max="5" width="43" style="101" customWidth="1"/>
    <col min="6" max="6" width="11.28515625" style="101" customWidth="1"/>
    <col min="7" max="7" width="13.5703125" style="101" customWidth="1"/>
    <col min="8" max="8" width="8.85546875" style="101" customWidth="1"/>
    <col min="9" max="9" width="22.7109375" style="101" customWidth="1"/>
    <col min="10" max="10" width="6" style="101" customWidth="1"/>
    <col min="11" max="11" width="13.7109375" style="101" customWidth="1"/>
    <col min="12" max="12" width="26.42578125" style="101" customWidth="1"/>
    <col min="13" max="13" width="11.42578125" style="101" customWidth="1"/>
    <col min="14" max="14" width="16.85546875" style="101" customWidth="1"/>
    <col min="15" max="15" width="9.140625" style="102" customWidth="1"/>
    <col min="16" max="16" width="9.140625" style="101" customWidth="1"/>
    <col min="17" max="17" width="11.42578125" style="178" customWidth="1"/>
    <col min="18" max="18" width="9.140625" style="104" customWidth="1"/>
    <col min="19" max="22" width="9.140625" style="101" customWidth="1"/>
    <col min="23" max="23" width="11.28515625" style="178" customWidth="1"/>
    <col min="24" max="25" width="9.140625" style="102" customWidth="1"/>
    <col min="26" max="26" width="17.7109375" style="101" customWidth="1"/>
    <col min="27" max="27" width="9.140625" style="101" bestFit="1" customWidth="1"/>
    <col min="28" max="28" width="9.140625" style="101" customWidth="1"/>
    <col min="29" max="32" width="9.140625" style="101" bestFit="1" customWidth="1"/>
    <col min="33" max="33" width="9.140625" style="101" customWidth="1"/>
    <col min="34" max="16384" width="9.140625" style="101"/>
  </cols>
  <sheetData>
    <row r="1" spans="2:28" ht="13.15" customHeight="1">
      <c r="Q1" s="103"/>
      <c r="W1" s="103"/>
    </row>
    <row r="2" spans="2:28" ht="21.6" customHeight="1">
      <c r="B2" s="197" t="s">
        <v>0</v>
      </c>
      <c r="C2" s="198"/>
      <c r="D2" s="199"/>
      <c r="E2" s="194" t="s">
        <v>1</v>
      </c>
      <c r="F2" s="194"/>
      <c r="G2" s="194"/>
      <c r="H2" s="194"/>
      <c r="I2" s="194"/>
      <c r="J2" s="194"/>
      <c r="K2" s="194"/>
      <c r="L2" s="194"/>
      <c r="M2" s="194"/>
      <c r="N2" s="194"/>
      <c r="O2" s="194"/>
      <c r="P2" s="194"/>
      <c r="Q2" s="194"/>
      <c r="R2" s="194"/>
      <c r="S2" s="193" t="s">
        <v>2</v>
      </c>
      <c r="T2" s="193"/>
      <c r="U2" s="193"/>
      <c r="V2" s="193"/>
      <c r="W2" s="193"/>
      <c r="X2" s="193"/>
      <c r="Y2" s="193"/>
      <c r="Z2" s="195" t="s">
        <v>3</v>
      </c>
      <c r="AA2" s="196"/>
      <c r="AB2" s="196"/>
    </row>
    <row r="3" spans="2:28" s="116" customFormat="1" ht="58.15" customHeight="1">
      <c r="B3" s="106" t="s">
        <v>4</v>
      </c>
      <c r="C3" s="106" t="s">
        <v>5</v>
      </c>
      <c r="D3" s="106" t="s">
        <v>0</v>
      </c>
      <c r="E3" s="107" t="s">
        <v>6</v>
      </c>
      <c r="F3" s="107" t="s">
        <v>7</v>
      </c>
      <c r="G3" s="107" t="s">
        <v>8</v>
      </c>
      <c r="H3" s="107" t="s">
        <v>9</v>
      </c>
      <c r="I3" s="107" t="s">
        <v>10</v>
      </c>
      <c r="J3" s="107" t="s">
        <v>11</v>
      </c>
      <c r="K3" s="107" t="s">
        <v>12</v>
      </c>
      <c r="L3" s="107" t="s">
        <v>13</v>
      </c>
      <c r="M3" s="108" t="s">
        <v>14</v>
      </c>
      <c r="N3" s="107" t="s">
        <v>15</v>
      </c>
      <c r="O3" s="109" t="s">
        <v>16</v>
      </c>
      <c r="P3" s="107" t="s">
        <v>17</v>
      </c>
      <c r="Q3" s="110" t="s">
        <v>18</v>
      </c>
      <c r="R3" s="111" t="s">
        <v>19</v>
      </c>
      <c r="S3" s="112" t="s">
        <v>20</v>
      </c>
      <c r="T3" s="112" t="s">
        <v>21</v>
      </c>
      <c r="U3" s="112" t="s">
        <v>22</v>
      </c>
      <c r="V3" s="112" t="s">
        <v>23</v>
      </c>
      <c r="W3" s="113" t="s">
        <v>24</v>
      </c>
      <c r="X3" s="114" t="s">
        <v>25</v>
      </c>
      <c r="Y3" s="114" t="s">
        <v>26</v>
      </c>
      <c r="Z3" s="115" t="s">
        <v>27</v>
      </c>
      <c r="AA3" s="115" t="s">
        <v>28</v>
      </c>
      <c r="AB3" s="105" t="s">
        <v>29</v>
      </c>
    </row>
    <row r="4" spans="2:28" ht="24" hidden="1">
      <c r="B4" s="117" t="s">
        <v>30</v>
      </c>
      <c r="C4" s="118" t="s">
        <v>31</v>
      </c>
      <c r="D4" s="118">
        <v>37590</v>
      </c>
      <c r="E4" s="119" t="s">
        <v>32</v>
      </c>
      <c r="F4" s="120">
        <v>2470</v>
      </c>
      <c r="G4" s="120">
        <v>242</v>
      </c>
      <c r="H4" s="118" t="s">
        <v>33</v>
      </c>
      <c r="I4" s="118" t="s">
        <v>34</v>
      </c>
      <c r="J4" s="118">
        <v>84273</v>
      </c>
      <c r="K4" s="118">
        <v>6</v>
      </c>
      <c r="L4" s="118" t="s">
        <v>35</v>
      </c>
      <c r="M4" s="118" t="s">
        <v>35</v>
      </c>
      <c r="N4" s="118">
        <v>4258218</v>
      </c>
      <c r="O4" s="121">
        <v>45932</v>
      </c>
      <c r="P4" s="118">
        <v>4377696</v>
      </c>
      <c r="Q4" s="122">
        <v>5722.31</v>
      </c>
      <c r="R4" s="123">
        <v>45931</v>
      </c>
      <c r="S4" s="118">
        <v>19518</v>
      </c>
      <c r="T4" s="118" t="s">
        <v>36</v>
      </c>
      <c r="U4" s="118" t="s">
        <v>37</v>
      </c>
      <c r="V4" s="118" t="s">
        <v>38</v>
      </c>
      <c r="W4" s="124">
        <v>5722.31</v>
      </c>
      <c r="X4" s="121">
        <v>45952</v>
      </c>
      <c r="Y4" s="121">
        <v>45957</v>
      </c>
      <c r="Z4" s="125" t="s">
        <v>39</v>
      </c>
      <c r="AA4" s="118"/>
      <c r="AB4" s="126">
        <f t="shared" ref="AB4:AB67" si="0">Q4-W4</f>
        <v>0</v>
      </c>
    </row>
    <row r="5" spans="2:28" ht="24" hidden="1">
      <c r="B5" s="117" t="s">
        <v>30</v>
      </c>
      <c r="C5" s="118" t="s">
        <v>31</v>
      </c>
      <c r="D5" s="118">
        <v>37589</v>
      </c>
      <c r="E5" s="119" t="s">
        <v>40</v>
      </c>
      <c r="F5" s="120">
        <v>2437</v>
      </c>
      <c r="G5" s="120">
        <v>242</v>
      </c>
      <c r="H5" s="118" t="s">
        <v>33</v>
      </c>
      <c r="I5" s="118" t="s">
        <v>41</v>
      </c>
      <c r="J5" s="118">
        <v>84278</v>
      </c>
      <c r="K5" s="118">
        <v>6</v>
      </c>
      <c r="L5" s="118" t="s">
        <v>35</v>
      </c>
      <c r="M5" s="118" t="s">
        <v>35</v>
      </c>
      <c r="N5" s="118">
        <v>4258230</v>
      </c>
      <c r="O5" s="121">
        <v>45931</v>
      </c>
      <c r="P5" s="118">
        <v>4375463</v>
      </c>
      <c r="Q5" s="122">
        <v>4928.8</v>
      </c>
      <c r="R5" s="123">
        <v>45931</v>
      </c>
      <c r="S5" s="118">
        <v>19517</v>
      </c>
      <c r="T5" s="118" t="s">
        <v>42</v>
      </c>
      <c r="U5" s="118" t="s">
        <v>37</v>
      </c>
      <c r="V5" s="118" t="s">
        <v>38</v>
      </c>
      <c r="W5" s="124">
        <v>4928.8</v>
      </c>
      <c r="X5" s="121">
        <v>45952</v>
      </c>
      <c r="Y5" s="121">
        <v>45957</v>
      </c>
      <c r="Z5" s="125" t="s">
        <v>39</v>
      </c>
      <c r="AA5" s="118"/>
      <c r="AB5" s="126">
        <f>Q5-W5</f>
        <v>0</v>
      </c>
    </row>
    <row r="6" spans="2:28" ht="48" hidden="1">
      <c r="B6" s="117" t="s">
        <v>43</v>
      </c>
      <c r="C6" s="118" t="s">
        <v>44</v>
      </c>
      <c r="D6" s="118" t="s">
        <v>35</v>
      </c>
      <c r="E6" s="127" t="s">
        <v>45</v>
      </c>
      <c r="F6" s="118">
        <v>2330</v>
      </c>
      <c r="G6" s="118">
        <v>242</v>
      </c>
      <c r="H6" s="118" t="s">
        <v>33</v>
      </c>
      <c r="I6" s="118" t="s">
        <v>46</v>
      </c>
      <c r="J6" s="118">
        <v>60337</v>
      </c>
      <c r="K6" s="118">
        <v>1</v>
      </c>
      <c r="L6" s="118" t="s">
        <v>47</v>
      </c>
      <c r="M6" s="118" t="s">
        <v>35</v>
      </c>
      <c r="N6" s="118">
        <v>4105536</v>
      </c>
      <c r="O6" s="121">
        <v>45784</v>
      </c>
      <c r="P6" s="118">
        <v>4229205</v>
      </c>
      <c r="Q6" s="122">
        <v>37500</v>
      </c>
      <c r="R6" s="128"/>
      <c r="S6" s="118"/>
      <c r="T6" s="118"/>
      <c r="U6" s="118"/>
      <c r="V6" s="118"/>
      <c r="W6" s="129"/>
      <c r="X6" s="121"/>
      <c r="Y6" s="121"/>
      <c r="Z6" s="118" t="s">
        <v>48</v>
      </c>
      <c r="AA6" s="118"/>
      <c r="AB6" s="126">
        <f t="shared" si="0"/>
        <v>37500</v>
      </c>
    </row>
    <row r="7" spans="2:28" ht="108" hidden="1">
      <c r="B7" s="117" t="s">
        <v>49</v>
      </c>
      <c r="C7" s="118" t="s">
        <v>50</v>
      </c>
      <c r="D7" s="118" t="s">
        <v>35</v>
      </c>
      <c r="E7" s="127" t="s">
        <v>51</v>
      </c>
      <c r="F7" s="118">
        <v>4588</v>
      </c>
      <c r="G7" s="118">
        <v>242</v>
      </c>
      <c r="H7" s="118" t="s">
        <v>33</v>
      </c>
      <c r="I7" s="118" t="s">
        <v>52</v>
      </c>
      <c r="J7" s="118">
        <v>68049</v>
      </c>
      <c r="K7" s="118">
        <v>29</v>
      </c>
      <c r="L7" s="118" t="s">
        <v>53</v>
      </c>
      <c r="M7" s="118" t="s">
        <v>35</v>
      </c>
      <c r="N7" s="118">
        <v>4152135</v>
      </c>
      <c r="O7" s="121">
        <v>45827</v>
      </c>
      <c r="P7" s="118">
        <v>4277107</v>
      </c>
      <c r="Q7" s="122">
        <v>49000</v>
      </c>
      <c r="R7" s="123">
        <v>45839</v>
      </c>
      <c r="S7" s="118"/>
      <c r="T7" s="118"/>
      <c r="U7" s="118"/>
      <c r="V7" s="118"/>
      <c r="W7" s="129"/>
      <c r="X7" s="121"/>
      <c r="Y7" s="121"/>
      <c r="Z7" s="118" t="s">
        <v>48</v>
      </c>
      <c r="AA7" s="118"/>
      <c r="AB7" s="126">
        <f t="shared" si="0"/>
        <v>49000</v>
      </c>
    </row>
    <row r="8" spans="2:28" ht="108" hidden="1">
      <c r="B8" s="118" t="s">
        <v>49</v>
      </c>
      <c r="C8" s="118" t="s">
        <v>54</v>
      </c>
      <c r="D8" s="118" t="s">
        <v>35</v>
      </c>
      <c r="E8" s="127" t="s">
        <v>55</v>
      </c>
      <c r="F8" s="118">
        <v>2151</v>
      </c>
      <c r="G8" s="118">
        <v>5</v>
      </c>
      <c r="H8" s="118" t="s">
        <v>33</v>
      </c>
      <c r="I8" s="118" t="s">
        <v>56</v>
      </c>
      <c r="J8" s="118">
        <v>72312</v>
      </c>
      <c r="K8" s="118">
        <v>1</v>
      </c>
      <c r="L8" s="118" t="s">
        <v>35</v>
      </c>
      <c r="M8" s="118" t="s">
        <v>35</v>
      </c>
      <c r="N8" s="118">
        <v>4183033</v>
      </c>
      <c r="O8" s="121">
        <v>45856</v>
      </c>
      <c r="P8" s="118">
        <v>4311590</v>
      </c>
      <c r="Q8" s="122">
        <v>61000</v>
      </c>
      <c r="R8" s="123">
        <v>45870</v>
      </c>
      <c r="S8" s="118"/>
      <c r="T8" s="118" t="s">
        <v>35</v>
      </c>
      <c r="U8" s="118"/>
      <c r="V8" s="118"/>
      <c r="W8" s="129"/>
      <c r="X8" s="121"/>
      <c r="Y8" s="121"/>
      <c r="Z8" s="118" t="s">
        <v>48</v>
      </c>
      <c r="AA8" s="118"/>
      <c r="AB8" s="126">
        <f t="shared" si="0"/>
        <v>61000</v>
      </c>
    </row>
    <row r="9" spans="2:28" ht="120" hidden="1">
      <c r="B9" s="117" t="s">
        <v>49</v>
      </c>
      <c r="C9" s="118" t="s">
        <v>57</v>
      </c>
      <c r="D9" s="118" t="s">
        <v>35</v>
      </c>
      <c r="E9" s="127" t="s">
        <v>58</v>
      </c>
      <c r="F9" s="118">
        <v>4057</v>
      </c>
      <c r="G9" s="118">
        <v>242</v>
      </c>
      <c r="H9" s="118" t="s">
        <v>33</v>
      </c>
      <c r="I9" s="118" t="s">
        <v>59</v>
      </c>
      <c r="J9" s="118">
        <v>75797</v>
      </c>
      <c r="K9" s="118">
        <v>29</v>
      </c>
      <c r="L9" s="118" t="s">
        <v>60</v>
      </c>
      <c r="M9" s="118" t="s">
        <v>35</v>
      </c>
      <c r="N9" s="118">
        <v>4205622</v>
      </c>
      <c r="O9" s="121">
        <v>45877</v>
      </c>
      <c r="P9" s="118">
        <v>4333670</v>
      </c>
      <c r="Q9" s="122">
        <v>1675.74</v>
      </c>
      <c r="R9" s="123">
        <v>45901</v>
      </c>
      <c r="S9" s="118"/>
      <c r="T9" s="118"/>
      <c r="U9" s="118"/>
      <c r="V9" s="118"/>
      <c r="W9" s="124"/>
      <c r="X9" s="121"/>
      <c r="Y9" s="121"/>
      <c r="Z9" s="118" t="s">
        <v>39</v>
      </c>
      <c r="AA9" s="118"/>
      <c r="AB9" s="126">
        <f t="shared" si="0"/>
        <v>1675.74</v>
      </c>
    </row>
    <row r="10" spans="2:28" ht="24.75" hidden="1">
      <c r="B10" s="117" t="s">
        <v>49</v>
      </c>
      <c r="C10" s="118" t="s">
        <v>57</v>
      </c>
      <c r="D10" s="118">
        <v>32960</v>
      </c>
      <c r="E10" s="127" t="s">
        <v>61</v>
      </c>
      <c r="F10" s="118">
        <v>5345</v>
      </c>
      <c r="G10" s="118">
        <v>242</v>
      </c>
      <c r="H10" s="118" t="s">
        <v>33</v>
      </c>
      <c r="I10" s="118" t="s">
        <v>62</v>
      </c>
      <c r="J10" s="118">
        <v>75837</v>
      </c>
      <c r="K10" s="118">
        <v>6</v>
      </c>
      <c r="L10" s="118" t="s">
        <v>35</v>
      </c>
      <c r="M10" s="118" t="s">
        <v>35</v>
      </c>
      <c r="N10" s="118">
        <v>4209120</v>
      </c>
      <c r="O10" s="121">
        <v>45882</v>
      </c>
      <c r="P10" s="118">
        <v>4332638</v>
      </c>
      <c r="Q10" s="122">
        <v>43206.92</v>
      </c>
      <c r="R10" s="128"/>
      <c r="S10" s="118">
        <v>6764</v>
      </c>
      <c r="T10" s="118" t="s">
        <v>63</v>
      </c>
      <c r="U10" s="118" t="s">
        <v>37</v>
      </c>
      <c r="V10" s="118" t="s">
        <v>64</v>
      </c>
      <c r="W10" s="124">
        <v>3850</v>
      </c>
      <c r="X10" s="121">
        <v>45999</v>
      </c>
      <c r="Y10" s="121">
        <v>46002</v>
      </c>
      <c r="Z10" s="118" t="s">
        <v>65</v>
      </c>
      <c r="AA10" s="118"/>
      <c r="AB10" s="126">
        <f t="shared" si="0"/>
        <v>39356.92</v>
      </c>
    </row>
    <row r="11" spans="2:28" ht="24.75" hidden="1">
      <c r="B11" s="117" t="s">
        <v>49</v>
      </c>
      <c r="C11" s="118" t="s">
        <v>57</v>
      </c>
      <c r="D11" s="118">
        <v>32960</v>
      </c>
      <c r="E11" s="127" t="s">
        <v>66</v>
      </c>
      <c r="F11" s="118">
        <v>5345</v>
      </c>
      <c r="G11" s="118">
        <v>242</v>
      </c>
      <c r="H11" s="118" t="s">
        <v>33</v>
      </c>
      <c r="I11" s="118" t="s">
        <v>67</v>
      </c>
      <c r="J11" s="118">
        <v>75838</v>
      </c>
      <c r="K11" s="118">
        <v>6</v>
      </c>
      <c r="L11" s="118" t="s">
        <v>35</v>
      </c>
      <c r="M11" s="118" t="s">
        <v>35</v>
      </c>
      <c r="N11" s="118">
        <v>4220235</v>
      </c>
      <c r="O11" s="121">
        <v>45894</v>
      </c>
      <c r="P11" s="118">
        <v>4341618</v>
      </c>
      <c r="Q11" s="122">
        <v>58485.81</v>
      </c>
      <c r="R11" s="123">
        <v>45901</v>
      </c>
      <c r="S11" s="118">
        <v>6765</v>
      </c>
      <c r="T11" s="118" t="s">
        <v>63</v>
      </c>
      <c r="U11" s="118" t="s">
        <v>37</v>
      </c>
      <c r="V11" s="118" t="s">
        <v>64</v>
      </c>
      <c r="W11" s="124">
        <v>3850</v>
      </c>
      <c r="X11" s="121">
        <v>45999</v>
      </c>
      <c r="Y11" s="121">
        <v>46002</v>
      </c>
      <c r="Z11" s="118" t="s">
        <v>65</v>
      </c>
      <c r="AA11" s="118"/>
      <c r="AB11" s="126">
        <f t="shared" si="0"/>
        <v>54635.81</v>
      </c>
    </row>
    <row r="12" spans="2:28" ht="36" hidden="1">
      <c r="B12" s="117" t="s">
        <v>49</v>
      </c>
      <c r="C12" s="118" t="s">
        <v>68</v>
      </c>
      <c r="D12" s="118">
        <v>34988</v>
      </c>
      <c r="E12" s="127" t="s">
        <v>69</v>
      </c>
      <c r="F12" s="118">
        <v>2488</v>
      </c>
      <c r="G12" s="118">
        <v>242</v>
      </c>
      <c r="H12" s="118" t="s">
        <v>33</v>
      </c>
      <c r="I12" s="118" t="s">
        <v>70</v>
      </c>
      <c r="J12" s="118">
        <v>78841</v>
      </c>
      <c r="K12" s="118">
        <v>6</v>
      </c>
      <c r="L12" s="118" t="s">
        <v>35</v>
      </c>
      <c r="M12" s="118" t="s">
        <v>35</v>
      </c>
      <c r="N12" s="118">
        <v>4225407</v>
      </c>
      <c r="O12" s="121">
        <v>45898</v>
      </c>
      <c r="P12" s="118">
        <v>4346971</v>
      </c>
      <c r="Q12" s="122">
        <v>24490.05</v>
      </c>
      <c r="R12" s="123">
        <v>45901</v>
      </c>
      <c r="S12" s="118">
        <v>11592</v>
      </c>
      <c r="T12" s="130" t="s">
        <v>71</v>
      </c>
      <c r="U12" s="118" t="s">
        <v>72</v>
      </c>
      <c r="V12" s="118" t="s">
        <v>64</v>
      </c>
      <c r="W12" s="124">
        <v>24490.05</v>
      </c>
      <c r="X12" s="121">
        <v>45966</v>
      </c>
      <c r="Y12" s="121">
        <v>45971</v>
      </c>
      <c r="Z12" s="125" t="s">
        <v>39</v>
      </c>
      <c r="AA12" s="118"/>
      <c r="AB12" s="126">
        <f t="shared" si="0"/>
        <v>0</v>
      </c>
    </row>
    <row r="13" spans="2:28" ht="24" hidden="1">
      <c r="B13" s="117" t="s">
        <v>49</v>
      </c>
      <c r="C13" s="118" t="s">
        <v>73</v>
      </c>
      <c r="D13" s="118">
        <v>33390</v>
      </c>
      <c r="E13" s="127" t="s">
        <v>74</v>
      </c>
      <c r="F13" s="118">
        <v>2488</v>
      </c>
      <c r="G13" s="118">
        <v>242</v>
      </c>
      <c r="H13" s="118" t="s">
        <v>33</v>
      </c>
      <c r="I13" s="118" t="s">
        <v>75</v>
      </c>
      <c r="J13" s="118">
        <v>78938</v>
      </c>
      <c r="K13" s="118">
        <v>6</v>
      </c>
      <c r="L13" s="118" t="s">
        <v>35</v>
      </c>
      <c r="M13" s="118" t="s">
        <v>35</v>
      </c>
      <c r="N13" s="118">
        <v>4229429</v>
      </c>
      <c r="O13" s="121">
        <v>45902</v>
      </c>
      <c r="P13" s="118">
        <v>4352541</v>
      </c>
      <c r="Q13" s="122">
        <v>9971.9</v>
      </c>
      <c r="R13" s="123">
        <v>45901</v>
      </c>
      <c r="S13" s="118">
        <v>10788</v>
      </c>
      <c r="T13" s="118" t="s">
        <v>76</v>
      </c>
      <c r="U13" s="118" t="s">
        <v>72</v>
      </c>
      <c r="V13" s="118" t="s">
        <v>64</v>
      </c>
      <c r="W13" s="129">
        <v>2631.6</v>
      </c>
      <c r="X13" s="121">
        <v>45975</v>
      </c>
      <c r="Y13" s="121">
        <v>45987</v>
      </c>
      <c r="Z13" s="118" t="s">
        <v>39</v>
      </c>
      <c r="AA13" s="131"/>
      <c r="AB13" s="126" t="s">
        <v>35</v>
      </c>
    </row>
    <row r="14" spans="2:28" ht="108" hidden="1">
      <c r="B14" s="117" t="s">
        <v>49</v>
      </c>
      <c r="C14" s="118" t="s">
        <v>77</v>
      </c>
      <c r="D14" s="118" t="s">
        <v>35</v>
      </c>
      <c r="E14" s="127" t="s">
        <v>78</v>
      </c>
      <c r="F14" s="118">
        <v>2151</v>
      </c>
      <c r="G14" s="118">
        <v>242</v>
      </c>
      <c r="H14" s="118" t="s">
        <v>33</v>
      </c>
      <c r="I14" s="118">
        <v>20494121</v>
      </c>
      <c r="J14" s="118">
        <v>79957</v>
      </c>
      <c r="K14" s="118">
        <v>29</v>
      </c>
      <c r="L14" s="118" t="s">
        <v>79</v>
      </c>
      <c r="M14" s="118" t="s">
        <v>35</v>
      </c>
      <c r="N14" s="118">
        <v>4235917</v>
      </c>
      <c r="O14" s="121">
        <v>45909</v>
      </c>
      <c r="P14" s="118">
        <v>4361857</v>
      </c>
      <c r="Q14" s="122">
        <v>16488.73</v>
      </c>
      <c r="R14" s="123">
        <v>45962</v>
      </c>
      <c r="S14" s="118"/>
      <c r="T14" s="118"/>
      <c r="U14" s="118"/>
      <c r="V14" s="118"/>
      <c r="W14" s="129"/>
      <c r="X14" s="121"/>
      <c r="Y14" s="121"/>
      <c r="Z14" s="118" t="s">
        <v>48</v>
      </c>
      <c r="AA14" s="118"/>
      <c r="AB14" s="126">
        <f t="shared" si="0"/>
        <v>16488.73</v>
      </c>
    </row>
    <row r="15" spans="2:28" ht="72" hidden="1">
      <c r="B15" s="117" t="s">
        <v>49</v>
      </c>
      <c r="C15" s="118" t="s">
        <v>80</v>
      </c>
      <c r="D15" s="118" t="s">
        <v>35</v>
      </c>
      <c r="E15" s="127" t="s">
        <v>81</v>
      </c>
      <c r="F15" s="118">
        <v>2348</v>
      </c>
      <c r="G15" s="118">
        <v>242</v>
      </c>
      <c r="H15" s="118" t="s">
        <v>33</v>
      </c>
      <c r="I15" s="118" t="s">
        <v>80</v>
      </c>
      <c r="J15" s="118">
        <v>79952</v>
      </c>
      <c r="K15" s="118">
        <v>29</v>
      </c>
      <c r="L15" s="118" t="s">
        <v>82</v>
      </c>
      <c r="M15" s="118" t="s">
        <v>35</v>
      </c>
      <c r="N15" s="118">
        <v>4247386</v>
      </c>
      <c r="O15" s="121">
        <v>45919</v>
      </c>
      <c r="P15" s="118">
        <v>4374946</v>
      </c>
      <c r="Q15" s="122">
        <v>63723.28</v>
      </c>
      <c r="R15" s="123">
        <v>45962</v>
      </c>
      <c r="S15" s="118"/>
      <c r="T15" s="118"/>
      <c r="U15" s="118"/>
      <c r="V15" s="118"/>
      <c r="W15" s="129"/>
      <c r="X15" s="121"/>
      <c r="Y15" s="121"/>
      <c r="Z15" s="118" t="s">
        <v>48</v>
      </c>
      <c r="AA15" s="118"/>
      <c r="AB15" s="126">
        <f t="shared" si="0"/>
        <v>63723.28</v>
      </c>
    </row>
    <row r="16" spans="2:28" ht="51" hidden="1" customHeight="1">
      <c r="B16" s="117" t="s">
        <v>49</v>
      </c>
      <c r="C16" s="118" t="s">
        <v>83</v>
      </c>
      <c r="D16" s="118">
        <v>37062</v>
      </c>
      <c r="E16" s="127" t="s">
        <v>84</v>
      </c>
      <c r="F16" s="118">
        <v>4057</v>
      </c>
      <c r="G16" s="118">
        <v>242</v>
      </c>
      <c r="H16" s="118" t="s">
        <v>33</v>
      </c>
      <c r="I16" s="118" t="s">
        <v>85</v>
      </c>
      <c r="J16" s="118">
        <v>84332</v>
      </c>
      <c r="K16" s="118">
        <v>6</v>
      </c>
      <c r="L16" s="118" t="s">
        <v>35</v>
      </c>
      <c r="M16" s="118" t="s">
        <v>35</v>
      </c>
      <c r="N16" s="118">
        <v>4260192</v>
      </c>
      <c r="O16" s="121">
        <v>45932</v>
      </c>
      <c r="P16" s="118">
        <v>4377720</v>
      </c>
      <c r="Q16" s="122">
        <v>5417.2</v>
      </c>
      <c r="R16" s="123">
        <v>45962</v>
      </c>
      <c r="S16" s="118">
        <v>141</v>
      </c>
      <c r="T16" s="118" t="s">
        <v>86</v>
      </c>
      <c r="U16" s="118" t="s">
        <v>72</v>
      </c>
      <c r="V16" s="118" t="s">
        <v>87</v>
      </c>
      <c r="W16" s="124">
        <v>5417.2</v>
      </c>
      <c r="X16" s="121">
        <v>45968</v>
      </c>
      <c r="Y16" s="121">
        <v>45987</v>
      </c>
      <c r="Z16" s="118" t="s">
        <v>39</v>
      </c>
      <c r="AA16" s="118"/>
      <c r="AB16" s="126">
        <f t="shared" si="0"/>
        <v>0</v>
      </c>
    </row>
    <row r="17" spans="2:28" ht="51" hidden="1" customHeight="1">
      <c r="B17" s="117" t="s">
        <v>49</v>
      </c>
      <c r="C17" s="118" t="s">
        <v>88</v>
      </c>
      <c r="D17" s="118">
        <v>37476</v>
      </c>
      <c r="E17" s="127" t="s">
        <v>89</v>
      </c>
      <c r="F17" s="118">
        <v>4588</v>
      </c>
      <c r="G17" s="118">
        <v>242</v>
      </c>
      <c r="H17" s="118" t="s">
        <v>33</v>
      </c>
      <c r="I17" s="118" t="s">
        <v>90</v>
      </c>
      <c r="J17" s="118">
        <v>84711</v>
      </c>
      <c r="K17" s="118">
        <v>6</v>
      </c>
      <c r="L17" s="118" t="s">
        <v>35</v>
      </c>
      <c r="M17" s="118" t="s">
        <v>35</v>
      </c>
      <c r="N17" s="118">
        <v>4260208</v>
      </c>
      <c r="O17" s="121">
        <v>45932</v>
      </c>
      <c r="P17" s="118">
        <v>4382892</v>
      </c>
      <c r="Q17" s="122">
        <v>6080</v>
      </c>
      <c r="R17" s="123">
        <v>45962</v>
      </c>
      <c r="S17" s="118">
        <v>10472</v>
      </c>
      <c r="T17" s="118" t="s">
        <v>91</v>
      </c>
      <c r="U17" s="118" t="s">
        <v>72</v>
      </c>
      <c r="V17" s="118" t="s">
        <v>64</v>
      </c>
      <c r="W17" s="122">
        <v>6080</v>
      </c>
      <c r="X17" s="121">
        <v>45966</v>
      </c>
      <c r="Y17" s="121">
        <v>45985</v>
      </c>
      <c r="Z17" s="118" t="s">
        <v>39</v>
      </c>
      <c r="AA17" s="118"/>
      <c r="AB17" s="126">
        <f t="shared" si="0"/>
        <v>0</v>
      </c>
    </row>
    <row r="18" spans="2:28" ht="51" hidden="1" customHeight="1">
      <c r="B18" s="117" t="s">
        <v>49</v>
      </c>
      <c r="C18" s="118" t="s">
        <v>57</v>
      </c>
      <c r="D18" s="118">
        <v>37258</v>
      </c>
      <c r="E18" s="127" t="s">
        <v>92</v>
      </c>
      <c r="F18" s="118">
        <v>5345</v>
      </c>
      <c r="G18" s="118">
        <v>242</v>
      </c>
      <c r="H18" s="118" t="s">
        <v>33</v>
      </c>
      <c r="I18" s="118" t="s">
        <v>93</v>
      </c>
      <c r="J18" s="118">
        <v>85500</v>
      </c>
      <c r="K18" s="118">
        <v>6</v>
      </c>
      <c r="L18" s="118" t="s">
        <v>35</v>
      </c>
      <c r="M18" s="118" t="s">
        <v>35</v>
      </c>
      <c r="N18" s="118">
        <v>4266419</v>
      </c>
      <c r="O18" s="121">
        <v>45939</v>
      </c>
      <c r="P18" s="118">
        <v>4386369</v>
      </c>
      <c r="Q18" s="122">
        <v>38046.94</v>
      </c>
      <c r="R18" s="123">
        <v>46006</v>
      </c>
      <c r="S18" s="118"/>
      <c r="T18" s="118"/>
      <c r="U18" s="118"/>
      <c r="V18" s="118"/>
      <c r="W18" s="129"/>
      <c r="X18" s="121"/>
      <c r="Y18" s="121"/>
      <c r="Z18" s="118" t="s">
        <v>48</v>
      </c>
      <c r="AA18" s="118"/>
      <c r="AB18" s="126">
        <f t="shared" si="0"/>
        <v>38046.94</v>
      </c>
    </row>
    <row r="19" spans="2:28" ht="51" hidden="1" customHeight="1">
      <c r="B19" s="117" t="s">
        <v>49</v>
      </c>
      <c r="C19" s="118" t="s">
        <v>57</v>
      </c>
      <c r="D19" s="118" t="s">
        <v>35</v>
      </c>
      <c r="E19" s="127" t="s">
        <v>94</v>
      </c>
      <c r="F19" s="118">
        <v>5345</v>
      </c>
      <c r="G19" s="118">
        <v>242</v>
      </c>
      <c r="H19" s="118" t="s">
        <v>33</v>
      </c>
      <c r="I19" s="118" t="s">
        <v>95</v>
      </c>
      <c r="J19" s="118">
        <v>85504</v>
      </c>
      <c r="K19" s="118">
        <v>29</v>
      </c>
      <c r="L19" s="118" t="s">
        <v>96</v>
      </c>
      <c r="M19" s="118" t="s">
        <v>35</v>
      </c>
      <c r="N19" s="118">
        <v>4266437</v>
      </c>
      <c r="O19" s="121">
        <v>45939</v>
      </c>
      <c r="P19" s="118">
        <v>4390651</v>
      </c>
      <c r="Q19" s="122">
        <v>14651.5</v>
      </c>
      <c r="R19" s="123">
        <v>46006</v>
      </c>
      <c r="S19" s="118">
        <v>6715</v>
      </c>
      <c r="T19" s="118" t="s">
        <v>35</v>
      </c>
      <c r="U19" s="118" t="s">
        <v>37</v>
      </c>
      <c r="V19" s="118" t="s">
        <v>64</v>
      </c>
      <c r="W19" s="124">
        <v>14651.5</v>
      </c>
      <c r="X19" s="121">
        <v>45979</v>
      </c>
      <c r="Y19" s="121">
        <v>45985</v>
      </c>
      <c r="Z19" s="118" t="s">
        <v>39</v>
      </c>
      <c r="AA19" s="118"/>
      <c r="AB19" s="126">
        <f t="shared" si="0"/>
        <v>0</v>
      </c>
    </row>
    <row r="20" spans="2:28" ht="51" hidden="1" customHeight="1">
      <c r="B20" s="117" t="s">
        <v>49</v>
      </c>
      <c r="C20" s="118" t="s">
        <v>57</v>
      </c>
      <c r="D20" s="118">
        <v>37477</v>
      </c>
      <c r="E20" s="127" t="s">
        <v>97</v>
      </c>
      <c r="F20" s="118">
        <v>5345</v>
      </c>
      <c r="G20" s="118">
        <v>242</v>
      </c>
      <c r="H20" s="118" t="s">
        <v>33</v>
      </c>
      <c r="I20" s="118" t="s">
        <v>98</v>
      </c>
      <c r="J20" s="118">
        <v>85866</v>
      </c>
      <c r="K20" s="118">
        <v>6</v>
      </c>
      <c r="L20" s="118" t="s">
        <v>35</v>
      </c>
      <c r="M20" s="118" t="s">
        <v>35</v>
      </c>
      <c r="N20" s="118">
        <v>4266452</v>
      </c>
      <c r="O20" s="121">
        <v>45939</v>
      </c>
      <c r="P20" s="118">
        <v>4386373</v>
      </c>
      <c r="Q20" s="122">
        <v>52933.41</v>
      </c>
      <c r="R20" s="123">
        <v>46006</v>
      </c>
      <c r="S20" s="118"/>
      <c r="T20" s="118"/>
      <c r="U20" s="118"/>
      <c r="V20" s="118"/>
      <c r="W20" s="129"/>
      <c r="X20" s="121"/>
      <c r="Y20" s="121"/>
      <c r="Z20" s="118" t="s">
        <v>48</v>
      </c>
      <c r="AA20" s="118"/>
      <c r="AB20" s="126">
        <f t="shared" si="0"/>
        <v>52933.41</v>
      </c>
    </row>
    <row r="21" spans="2:28" ht="51" hidden="1" customHeight="1">
      <c r="B21" s="118" t="s">
        <v>49</v>
      </c>
      <c r="C21" s="118" t="s">
        <v>31</v>
      </c>
      <c r="D21" s="118">
        <v>38021</v>
      </c>
      <c r="E21" s="119" t="s">
        <v>99</v>
      </c>
      <c r="F21" s="118">
        <v>2224</v>
      </c>
      <c r="G21" s="118">
        <v>5</v>
      </c>
      <c r="H21" s="118" t="s">
        <v>33</v>
      </c>
      <c r="I21" s="118" t="s">
        <v>100</v>
      </c>
      <c r="J21" s="118">
        <v>85874</v>
      </c>
      <c r="K21" s="118">
        <v>6</v>
      </c>
      <c r="L21" s="118" t="s">
        <v>35</v>
      </c>
      <c r="M21" s="118" t="s">
        <v>35</v>
      </c>
      <c r="N21" s="118">
        <v>4266467</v>
      </c>
      <c r="O21" s="121">
        <v>45939</v>
      </c>
      <c r="P21" s="118">
        <v>4383061</v>
      </c>
      <c r="Q21" s="122">
        <v>2696</v>
      </c>
      <c r="R21" s="123">
        <v>45960</v>
      </c>
      <c r="S21" s="118">
        <v>19541</v>
      </c>
      <c r="T21" s="118"/>
      <c r="U21" s="118" t="s">
        <v>37</v>
      </c>
      <c r="V21" s="118" t="s">
        <v>64</v>
      </c>
      <c r="W21" s="122">
        <v>2696</v>
      </c>
      <c r="X21" s="121">
        <v>45964</v>
      </c>
      <c r="Y21" s="121"/>
      <c r="Z21" s="125" t="s">
        <v>39</v>
      </c>
      <c r="AA21" s="118"/>
      <c r="AB21" s="126">
        <f t="shared" si="0"/>
        <v>0</v>
      </c>
    </row>
    <row r="22" spans="2:28" ht="51" hidden="1" customHeight="1">
      <c r="B22" s="117" t="s">
        <v>49</v>
      </c>
      <c r="C22" s="118" t="s">
        <v>73</v>
      </c>
      <c r="D22" s="118">
        <v>37478</v>
      </c>
      <c r="E22" s="127" t="s">
        <v>101</v>
      </c>
      <c r="F22" s="118">
        <v>2224</v>
      </c>
      <c r="G22" s="118">
        <v>242</v>
      </c>
      <c r="H22" s="118" t="s">
        <v>33</v>
      </c>
      <c r="I22" s="118" t="s">
        <v>102</v>
      </c>
      <c r="J22" s="118">
        <v>87407</v>
      </c>
      <c r="K22" s="118">
        <v>6</v>
      </c>
      <c r="L22" s="118" t="s">
        <v>35</v>
      </c>
      <c r="M22" s="118" t="s">
        <v>35</v>
      </c>
      <c r="N22" s="132" t="s">
        <v>103</v>
      </c>
      <c r="O22" s="133" t="s">
        <v>104</v>
      </c>
      <c r="P22" s="118">
        <v>4432508</v>
      </c>
      <c r="Q22" s="122">
        <v>9690.33</v>
      </c>
      <c r="R22" s="123">
        <v>45992</v>
      </c>
      <c r="S22" s="118"/>
      <c r="T22" s="118"/>
      <c r="U22" s="118"/>
      <c r="V22" s="118"/>
      <c r="W22" s="129"/>
      <c r="X22" s="121"/>
      <c r="Y22" s="121"/>
      <c r="Z22" s="118" t="s">
        <v>48</v>
      </c>
      <c r="AA22" s="135" t="s">
        <v>105</v>
      </c>
      <c r="AB22" s="126">
        <f t="shared" si="0"/>
        <v>9690.33</v>
      </c>
    </row>
    <row r="23" spans="2:28" ht="51" hidden="1" customHeight="1">
      <c r="B23" s="117" t="s">
        <v>106</v>
      </c>
      <c r="C23" s="118" t="s">
        <v>107</v>
      </c>
      <c r="D23" s="118">
        <v>37720</v>
      </c>
      <c r="E23" s="119" t="s">
        <v>108</v>
      </c>
      <c r="F23" s="118">
        <v>2224</v>
      </c>
      <c r="G23" s="118">
        <v>242</v>
      </c>
      <c r="H23" s="118" t="s">
        <v>33</v>
      </c>
      <c r="I23" s="118" t="s">
        <v>109</v>
      </c>
      <c r="J23" s="118">
        <v>83469</v>
      </c>
      <c r="K23" s="118">
        <v>6</v>
      </c>
      <c r="L23" s="118" t="s">
        <v>35</v>
      </c>
      <c r="M23" s="118" t="s">
        <v>35</v>
      </c>
      <c r="N23" s="118">
        <v>4253925</v>
      </c>
      <c r="O23" s="121">
        <v>45926</v>
      </c>
      <c r="P23" s="118">
        <v>4371454</v>
      </c>
      <c r="Q23" s="122">
        <v>4674</v>
      </c>
      <c r="R23" s="123">
        <v>45931</v>
      </c>
      <c r="S23" s="118">
        <v>3205</v>
      </c>
      <c r="T23" s="118" t="s">
        <v>110</v>
      </c>
      <c r="U23" s="118" t="s">
        <v>37</v>
      </c>
      <c r="V23" s="118" t="s">
        <v>87</v>
      </c>
      <c r="W23" s="124">
        <v>4674</v>
      </c>
      <c r="X23" s="121">
        <v>45995</v>
      </c>
      <c r="Y23" s="121">
        <v>46000</v>
      </c>
      <c r="Z23" s="118" t="s">
        <v>39</v>
      </c>
      <c r="AA23" s="118"/>
      <c r="AB23" s="126">
        <f t="shared" si="0"/>
        <v>0</v>
      </c>
    </row>
    <row r="24" spans="2:28" ht="51" hidden="1" customHeight="1">
      <c r="B24" s="117" t="s">
        <v>106</v>
      </c>
      <c r="C24" s="118" t="s">
        <v>31</v>
      </c>
      <c r="D24" s="118">
        <v>37567</v>
      </c>
      <c r="E24" s="119" t="s">
        <v>111</v>
      </c>
      <c r="F24" s="120">
        <v>2488</v>
      </c>
      <c r="G24" s="120">
        <v>242</v>
      </c>
      <c r="H24" s="118" t="s">
        <v>33</v>
      </c>
      <c r="I24" s="118" t="s">
        <v>112</v>
      </c>
      <c r="J24" s="118">
        <v>83474</v>
      </c>
      <c r="K24" s="118">
        <v>6</v>
      </c>
      <c r="L24" s="118" t="s">
        <v>35</v>
      </c>
      <c r="M24" s="118" t="s">
        <v>35</v>
      </c>
      <c r="N24" s="118">
        <v>4255379</v>
      </c>
      <c r="O24" s="121">
        <v>45837</v>
      </c>
      <c r="P24" s="118">
        <v>4372773</v>
      </c>
      <c r="Q24" s="122">
        <v>11639.32</v>
      </c>
      <c r="R24" s="123">
        <v>45931</v>
      </c>
      <c r="S24" s="118">
        <v>19480</v>
      </c>
      <c r="T24" s="118" t="s">
        <v>113</v>
      </c>
      <c r="U24" s="118" t="s">
        <v>72</v>
      </c>
      <c r="V24" s="118" t="s">
        <v>64</v>
      </c>
      <c r="W24" s="124">
        <v>11639.32</v>
      </c>
      <c r="X24" s="121">
        <v>45943</v>
      </c>
      <c r="Y24" s="121">
        <v>45957</v>
      </c>
      <c r="Z24" s="125" t="s">
        <v>39</v>
      </c>
      <c r="AA24" s="118"/>
      <c r="AB24" s="126">
        <f t="shared" si="0"/>
        <v>0</v>
      </c>
    </row>
    <row r="25" spans="2:28" ht="51" hidden="1" customHeight="1">
      <c r="B25" s="118" t="s">
        <v>106</v>
      </c>
      <c r="C25" s="118" t="s">
        <v>31</v>
      </c>
      <c r="D25" s="118">
        <v>37567</v>
      </c>
      <c r="E25" s="127" t="s">
        <v>114</v>
      </c>
      <c r="F25" s="118">
        <v>2488</v>
      </c>
      <c r="G25" s="118">
        <v>242</v>
      </c>
      <c r="H25" s="118" t="s">
        <v>33</v>
      </c>
      <c r="I25" s="118" t="s">
        <v>115</v>
      </c>
      <c r="J25" s="118">
        <v>84606</v>
      </c>
      <c r="K25" s="118">
        <v>6</v>
      </c>
      <c r="L25" s="118" t="s">
        <v>35</v>
      </c>
      <c r="M25" s="118" t="s">
        <v>35</v>
      </c>
      <c r="N25" s="118">
        <v>4260202</v>
      </c>
      <c r="O25" s="121">
        <v>45932</v>
      </c>
      <c r="P25" s="118">
        <v>4377778</v>
      </c>
      <c r="Q25" s="122">
        <v>23232</v>
      </c>
      <c r="R25" s="123">
        <v>45931</v>
      </c>
      <c r="S25" s="118">
        <v>19540</v>
      </c>
      <c r="T25" s="118"/>
      <c r="U25" s="118" t="s">
        <v>37</v>
      </c>
      <c r="V25" s="118" t="s">
        <v>64</v>
      </c>
      <c r="W25" s="122">
        <v>23232</v>
      </c>
      <c r="X25" s="121">
        <v>45964</v>
      </c>
      <c r="Y25" s="121">
        <v>45971</v>
      </c>
      <c r="Z25" s="125" t="s">
        <v>39</v>
      </c>
      <c r="AA25" s="118"/>
      <c r="AB25" s="126">
        <f t="shared" si="0"/>
        <v>0</v>
      </c>
    </row>
    <row r="26" spans="2:28" ht="51" hidden="1" customHeight="1">
      <c r="B26" s="117" t="s">
        <v>106</v>
      </c>
      <c r="C26" s="118" t="s">
        <v>116</v>
      </c>
      <c r="D26" s="118" t="s">
        <v>35</v>
      </c>
      <c r="E26" s="127" t="s">
        <v>117</v>
      </c>
      <c r="F26" s="120">
        <v>2488</v>
      </c>
      <c r="G26" s="120">
        <v>242</v>
      </c>
      <c r="H26" s="118" t="s">
        <v>33</v>
      </c>
      <c r="I26" s="118" t="s">
        <v>118</v>
      </c>
      <c r="J26" s="118">
        <v>85095</v>
      </c>
      <c r="K26" s="118">
        <v>5</v>
      </c>
      <c r="L26" s="118" t="s">
        <v>119</v>
      </c>
      <c r="M26" s="118" t="s">
        <v>37</v>
      </c>
      <c r="N26" s="118">
        <v>4263415</v>
      </c>
      <c r="O26" s="121">
        <v>45937</v>
      </c>
      <c r="P26" s="118">
        <v>4384232</v>
      </c>
      <c r="Q26" s="122">
        <v>1880</v>
      </c>
      <c r="R26" s="123">
        <v>45931</v>
      </c>
      <c r="S26" s="118">
        <v>258</v>
      </c>
      <c r="T26" s="118" t="s">
        <v>120</v>
      </c>
      <c r="U26" s="118" t="s">
        <v>72</v>
      </c>
      <c r="V26" s="118" t="s">
        <v>38</v>
      </c>
      <c r="W26" s="124">
        <v>1880</v>
      </c>
      <c r="X26" s="121">
        <v>45944</v>
      </c>
      <c r="Y26" s="121">
        <v>45950</v>
      </c>
      <c r="Z26" s="125" t="s">
        <v>39</v>
      </c>
      <c r="AA26" s="118"/>
      <c r="AB26" s="126">
        <f t="shared" si="0"/>
        <v>0</v>
      </c>
    </row>
    <row r="27" spans="2:28" ht="51" hidden="1" customHeight="1">
      <c r="B27" s="117" t="s">
        <v>106</v>
      </c>
      <c r="C27" s="118" t="s">
        <v>107</v>
      </c>
      <c r="D27" s="118">
        <v>38866</v>
      </c>
      <c r="E27" s="119" t="s">
        <v>121</v>
      </c>
      <c r="F27" s="120">
        <v>2488</v>
      </c>
      <c r="G27" s="120">
        <v>242</v>
      </c>
      <c r="H27" s="118" t="s">
        <v>33</v>
      </c>
      <c r="I27" s="118" t="s">
        <v>122</v>
      </c>
      <c r="J27" s="118">
        <v>86955</v>
      </c>
      <c r="K27" s="118">
        <v>6</v>
      </c>
      <c r="L27" s="118" t="s">
        <v>35</v>
      </c>
      <c r="M27" s="118" t="s">
        <v>35</v>
      </c>
      <c r="N27" s="118">
        <v>4271707</v>
      </c>
      <c r="O27" s="121">
        <v>45945</v>
      </c>
      <c r="P27" s="118">
        <v>4389037</v>
      </c>
      <c r="Q27" s="122">
        <v>897.75</v>
      </c>
      <c r="R27" s="123">
        <v>45931</v>
      </c>
      <c r="S27" s="118">
        <v>3160</v>
      </c>
      <c r="T27" s="118" t="s">
        <v>123</v>
      </c>
      <c r="U27" s="118"/>
      <c r="V27" s="118" t="s">
        <v>124</v>
      </c>
      <c r="W27" s="124">
        <v>897.75</v>
      </c>
      <c r="X27" s="121">
        <v>45951</v>
      </c>
      <c r="Y27" s="121">
        <v>45952</v>
      </c>
      <c r="Z27" s="125" t="s">
        <v>39</v>
      </c>
      <c r="AA27" s="118"/>
      <c r="AB27" s="126">
        <f t="shared" si="0"/>
        <v>0</v>
      </c>
    </row>
    <row r="28" spans="2:28" ht="51" hidden="1" customHeight="1">
      <c r="B28" s="117" t="s">
        <v>125</v>
      </c>
      <c r="C28" s="118" t="s">
        <v>107</v>
      </c>
      <c r="D28" s="118" t="s">
        <v>35</v>
      </c>
      <c r="E28" s="119" t="s">
        <v>126</v>
      </c>
      <c r="F28" s="118">
        <v>5345</v>
      </c>
      <c r="G28" s="118">
        <v>242</v>
      </c>
      <c r="H28" s="118" t="s">
        <v>33</v>
      </c>
      <c r="I28" s="118" t="s">
        <v>127</v>
      </c>
      <c r="J28" s="118">
        <v>82539</v>
      </c>
      <c r="K28" s="118">
        <v>1</v>
      </c>
      <c r="L28" s="118" t="s">
        <v>35</v>
      </c>
      <c r="M28" s="118" t="s">
        <v>35</v>
      </c>
      <c r="N28" s="118">
        <v>4250962</v>
      </c>
      <c r="O28" s="121">
        <v>45924</v>
      </c>
      <c r="P28" s="118">
        <v>4375058</v>
      </c>
      <c r="Q28" s="122">
        <v>7275</v>
      </c>
      <c r="R28" s="123">
        <v>45901</v>
      </c>
      <c r="S28" s="118">
        <v>3187</v>
      </c>
      <c r="T28" s="118"/>
      <c r="U28" s="118" t="s">
        <v>72</v>
      </c>
      <c r="V28" s="118" t="s">
        <v>23</v>
      </c>
      <c r="W28" s="129">
        <v>7275</v>
      </c>
      <c r="X28" s="121">
        <v>45974</v>
      </c>
      <c r="Y28" s="121">
        <v>45978</v>
      </c>
      <c r="Z28" s="125" t="s">
        <v>39</v>
      </c>
      <c r="AA28" s="118"/>
      <c r="AB28" s="126">
        <f t="shared" si="0"/>
        <v>0</v>
      </c>
    </row>
    <row r="29" spans="2:28" ht="51" hidden="1" customHeight="1">
      <c r="B29" s="117" t="s">
        <v>125</v>
      </c>
      <c r="C29" s="118" t="s">
        <v>107</v>
      </c>
      <c r="D29" s="118">
        <v>37051</v>
      </c>
      <c r="E29" s="119" t="s">
        <v>128</v>
      </c>
      <c r="F29" s="120">
        <v>5345</v>
      </c>
      <c r="G29" s="120">
        <v>242</v>
      </c>
      <c r="H29" s="118" t="s">
        <v>33</v>
      </c>
      <c r="I29" s="118" t="s">
        <v>129</v>
      </c>
      <c r="J29" s="118">
        <v>86021</v>
      </c>
      <c r="K29" s="118">
        <v>6</v>
      </c>
      <c r="L29" s="118" t="s">
        <v>35</v>
      </c>
      <c r="M29" s="118" t="s">
        <v>35</v>
      </c>
      <c r="N29" s="118">
        <v>4267163</v>
      </c>
      <c r="O29" s="121">
        <v>45940</v>
      </c>
      <c r="P29" s="118">
        <v>4383193</v>
      </c>
      <c r="Q29" s="122">
        <v>4693</v>
      </c>
      <c r="R29" s="123">
        <v>45960</v>
      </c>
      <c r="S29" s="118">
        <v>3153</v>
      </c>
      <c r="T29" s="118" t="s">
        <v>130</v>
      </c>
      <c r="U29" s="118" t="s">
        <v>72</v>
      </c>
      <c r="V29" s="118" t="s">
        <v>124</v>
      </c>
      <c r="W29" s="124">
        <v>4693</v>
      </c>
      <c r="X29" s="121">
        <v>45943</v>
      </c>
      <c r="Y29" s="121">
        <v>45952</v>
      </c>
      <c r="Z29" s="125" t="s">
        <v>39</v>
      </c>
      <c r="AA29" s="118"/>
      <c r="AB29" s="126">
        <f t="shared" si="0"/>
        <v>0</v>
      </c>
    </row>
    <row r="30" spans="2:28" ht="51" hidden="1" customHeight="1">
      <c r="B30" s="117" t="s">
        <v>125</v>
      </c>
      <c r="C30" s="118" t="s">
        <v>107</v>
      </c>
      <c r="D30" s="118">
        <v>32338</v>
      </c>
      <c r="E30" s="119" t="s">
        <v>131</v>
      </c>
      <c r="F30" s="120">
        <v>5345</v>
      </c>
      <c r="G30" s="120">
        <v>242</v>
      </c>
      <c r="H30" s="118" t="s">
        <v>33</v>
      </c>
      <c r="I30" s="118" t="s">
        <v>132</v>
      </c>
      <c r="J30" s="118">
        <v>86022</v>
      </c>
      <c r="K30" s="118">
        <v>6</v>
      </c>
      <c r="L30" s="118" t="s">
        <v>35</v>
      </c>
      <c r="M30" s="118" t="s">
        <v>35</v>
      </c>
      <c r="N30" s="118">
        <v>4267181</v>
      </c>
      <c r="O30" s="121">
        <v>45940</v>
      </c>
      <c r="P30" s="118">
        <v>4383210</v>
      </c>
      <c r="Q30" s="122">
        <v>3657.5</v>
      </c>
      <c r="R30" s="123">
        <v>45960</v>
      </c>
      <c r="S30" s="118">
        <v>3154</v>
      </c>
      <c r="T30" s="118" t="s">
        <v>133</v>
      </c>
      <c r="U30" s="118" t="s">
        <v>72</v>
      </c>
      <c r="V30" s="118" t="s">
        <v>124</v>
      </c>
      <c r="W30" s="124">
        <v>3657.5</v>
      </c>
      <c r="X30" s="121">
        <v>45945</v>
      </c>
      <c r="Y30" s="121">
        <v>45952</v>
      </c>
      <c r="Z30" s="125" t="s">
        <v>39</v>
      </c>
      <c r="AA30" s="118"/>
      <c r="AB30" s="126">
        <f t="shared" si="0"/>
        <v>0</v>
      </c>
    </row>
    <row r="31" spans="2:28" ht="51" hidden="1" customHeight="1">
      <c r="B31" s="117" t="s">
        <v>125</v>
      </c>
      <c r="C31" s="118" t="s">
        <v>134</v>
      </c>
      <c r="D31" s="118" t="s">
        <v>35</v>
      </c>
      <c r="E31" s="127" t="s">
        <v>135</v>
      </c>
      <c r="F31" s="118">
        <v>5345</v>
      </c>
      <c r="G31" s="118">
        <v>242</v>
      </c>
      <c r="H31" s="118" t="s">
        <v>33</v>
      </c>
      <c r="I31" s="118" t="s">
        <v>136</v>
      </c>
      <c r="J31" s="118">
        <v>86684</v>
      </c>
      <c r="K31" s="118">
        <v>2</v>
      </c>
      <c r="L31" s="118" t="s">
        <v>137</v>
      </c>
      <c r="M31" s="118" t="s">
        <v>35</v>
      </c>
      <c r="N31" s="118">
        <v>4271618</v>
      </c>
      <c r="O31" s="121">
        <v>45945</v>
      </c>
      <c r="P31" s="118">
        <v>4386811</v>
      </c>
      <c r="Q31" s="122">
        <v>2120</v>
      </c>
      <c r="R31" s="123">
        <v>45950</v>
      </c>
      <c r="S31" s="118">
        <v>187</v>
      </c>
      <c r="T31" s="118"/>
      <c r="U31" s="118" t="s">
        <v>37</v>
      </c>
      <c r="V31" s="118" t="s">
        <v>23</v>
      </c>
      <c r="W31" s="129">
        <v>2120</v>
      </c>
      <c r="X31" s="121">
        <v>45972</v>
      </c>
      <c r="Y31" s="121">
        <v>45978</v>
      </c>
      <c r="Z31" s="125" t="s">
        <v>39</v>
      </c>
      <c r="AA31" s="118"/>
      <c r="AB31" s="126">
        <f t="shared" si="0"/>
        <v>0</v>
      </c>
    </row>
    <row r="32" spans="2:28" ht="51" hidden="1" customHeight="1">
      <c r="B32" s="117" t="s">
        <v>125</v>
      </c>
      <c r="C32" s="118" t="s">
        <v>138</v>
      </c>
      <c r="D32" s="118" t="s">
        <v>35</v>
      </c>
      <c r="E32" s="119" t="s">
        <v>139</v>
      </c>
      <c r="F32" s="120">
        <v>5345</v>
      </c>
      <c r="G32" s="120">
        <v>242</v>
      </c>
      <c r="H32" s="118" t="s">
        <v>33</v>
      </c>
      <c r="I32" s="118" t="s">
        <v>35</v>
      </c>
      <c r="J32" s="118">
        <v>86727</v>
      </c>
      <c r="K32" s="118">
        <v>8</v>
      </c>
      <c r="L32" s="118" t="s">
        <v>140</v>
      </c>
      <c r="M32" s="118" t="s">
        <v>35</v>
      </c>
      <c r="N32" s="118">
        <v>4272777</v>
      </c>
      <c r="O32" s="121">
        <v>45946</v>
      </c>
      <c r="P32" s="118">
        <v>4387350</v>
      </c>
      <c r="Q32" s="122">
        <v>3679.9</v>
      </c>
      <c r="R32" s="123">
        <v>45950</v>
      </c>
      <c r="S32" s="118">
        <v>1767</v>
      </c>
      <c r="T32" s="118" t="s">
        <v>141</v>
      </c>
      <c r="U32" s="118" t="s">
        <v>72</v>
      </c>
      <c r="V32" s="118" t="s">
        <v>124</v>
      </c>
      <c r="W32" s="124">
        <v>3679.9</v>
      </c>
      <c r="X32" s="121">
        <v>45944</v>
      </c>
      <c r="Y32" s="121">
        <v>45950</v>
      </c>
      <c r="Z32" s="125" t="s">
        <v>39</v>
      </c>
      <c r="AA32" s="118"/>
      <c r="AB32" s="126">
        <f t="shared" si="0"/>
        <v>0</v>
      </c>
    </row>
    <row r="33" spans="2:28" ht="51" hidden="1" customHeight="1">
      <c r="B33" s="117" t="s">
        <v>125</v>
      </c>
      <c r="C33" s="118" t="s">
        <v>138</v>
      </c>
      <c r="D33" s="118">
        <v>39015</v>
      </c>
      <c r="E33" s="119" t="s">
        <v>142</v>
      </c>
      <c r="F33" s="118">
        <v>5345</v>
      </c>
      <c r="G33" s="118">
        <v>242</v>
      </c>
      <c r="H33" s="118" t="s">
        <v>33</v>
      </c>
      <c r="I33" s="118" t="s">
        <v>143</v>
      </c>
      <c r="J33" s="118">
        <v>87373</v>
      </c>
      <c r="K33" s="118">
        <v>6</v>
      </c>
      <c r="L33" s="118" t="s">
        <v>35</v>
      </c>
      <c r="M33" s="118" t="s">
        <v>35</v>
      </c>
      <c r="N33" s="118">
        <v>4275238</v>
      </c>
      <c r="O33" s="121">
        <v>45950</v>
      </c>
      <c r="P33" s="118">
        <v>4394015</v>
      </c>
      <c r="Q33" s="122">
        <v>3398</v>
      </c>
      <c r="R33" s="123">
        <v>45955</v>
      </c>
      <c r="S33" s="118">
        <v>1785</v>
      </c>
      <c r="T33" s="118" t="s">
        <v>144</v>
      </c>
      <c r="U33" s="118" t="s">
        <v>72</v>
      </c>
      <c r="V33" s="118" t="s">
        <v>87</v>
      </c>
      <c r="W33" s="124">
        <v>3398</v>
      </c>
      <c r="X33" s="121">
        <v>45963</v>
      </c>
      <c r="Y33" s="121">
        <v>45986</v>
      </c>
      <c r="Z33" s="118" t="s">
        <v>39</v>
      </c>
      <c r="AA33" s="136"/>
      <c r="AB33" s="126">
        <f t="shared" si="0"/>
        <v>0</v>
      </c>
    </row>
    <row r="34" spans="2:28" ht="51" hidden="1" customHeight="1">
      <c r="B34" s="117" t="s">
        <v>125</v>
      </c>
      <c r="C34" s="118" t="s">
        <v>107</v>
      </c>
      <c r="D34" s="118">
        <v>39269</v>
      </c>
      <c r="E34" s="119" t="s">
        <v>145</v>
      </c>
      <c r="F34" s="118">
        <v>5345</v>
      </c>
      <c r="G34" s="118">
        <v>242</v>
      </c>
      <c r="H34" s="118" t="s">
        <v>33</v>
      </c>
      <c r="I34" s="118" t="s">
        <v>146</v>
      </c>
      <c r="J34" s="118">
        <v>87723</v>
      </c>
      <c r="K34" s="118">
        <v>6</v>
      </c>
      <c r="L34" s="118" t="s">
        <v>35</v>
      </c>
      <c r="M34" s="118" t="s">
        <v>35</v>
      </c>
      <c r="N34" s="118">
        <v>4277711</v>
      </c>
      <c r="O34" s="121">
        <v>45952</v>
      </c>
      <c r="P34" s="118">
        <v>4395225</v>
      </c>
      <c r="Q34" s="122">
        <v>3657.5</v>
      </c>
      <c r="R34" s="123">
        <v>45960</v>
      </c>
      <c r="S34" s="118">
        <v>3169</v>
      </c>
      <c r="T34" s="118"/>
      <c r="U34" s="118" t="s">
        <v>72</v>
      </c>
      <c r="V34" s="118" t="s">
        <v>147</v>
      </c>
      <c r="W34" s="122">
        <v>3657.5</v>
      </c>
      <c r="X34" s="121">
        <v>45962</v>
      </c>
      <c r="Y34" s="121">
        <v>45965</v>
      </c>
      <c r="Z34" s="125" t="s">
        <v>39</v>
      </c>
      <c r="AA34" s="118"/>
      <c r="AB34" s="126">
        <f t="shared" si="0"/>
        <v>0</v>
      </c>
    </row>
    <row r="35" spans="2:28" ht="51" hidden="1" customHeight="1">
      <c r="B35" s="117" t="s">
        <v>148</v>
      </c>
      <c r="C35" s="118" t="s">
        <v>149</v>
      </c>
      <c r="D35" s="118">
        <v>34953</v>
      </c>
      <c r="E35" s="127" t="s">
        <v>150</v>
      </c>
      <c r="F35" s="118">
        <v>4600</v>
      </c>
      <c r="G35" s="118">
        <v>242</v>
      </c>
      <c r="H35" s="118" t="s">
        <v>33</v>
      </c>
      <c r="I35" s="118" t="s">
        <v>151</v>
      </c>
      <c r="J35" s="118">
        <v>78881</v>
      </c>
      <c r="K35" s="118">
        <v>6</v>
      </c>
      <c r="L35" s="118" t="s">
        <v>35</v>
      </c>
      <c r="M35" s="118" t="s">
        <v>35</v>
      </c>
      <c r="N35" s="118">
        <v>4224829</v>
      </c>
      <c r="O35" s="121">
        <v>45897</v>
      </c>
      <c r="P35" s="118">
        <v>4342843</v>
      </c>
      <c r="Q35" s="122">
        <v>3800</v>
      </c>
      <c r="R35" s="123">
        <v>45901</v>
      </c>
      <c r="S35" s="118"/>
      <c r="T35" s="118"/>
      <c r="U35" s="118"/>
      <c r="V35" s="118"/>
      <c r="W35" s="129"/>
      <c r="X35" s="121"/>
      <c r="Y35" s="121"/>
      <c r="Z35" s="118" t="s">
        <v>152</v>
      </c>
      <c r="AA35" s="118" t="s">
        <v>153</v>
      </c>
      <c r="AB35" s="126">
        <f t="shared" si="0"/>
        <v>3800</v>
      </c>
    </row>
    <row r="36" spans="2:28" ht="51" hidden="1" customHeight="1">
      <c r="B36" s="117" t="s">
        <v>148</v>
      </c>
      <c r="C36" s="118" t="s">
        <v>154</v>
      </c>
      <c r="D36" s="118">
        <v>31359</v>
      </c>
      <c r="E36" s="119" t="s">
        <v>155</v>
      </c>
      <c r="F36" s="118">
        <v>2470</v>
      </c>
      <c r="G36" s="118">
        <v>242</v>
      </c>
      <c r="H36" s="118" t="s">
        <v>33</v>
      </c>
      <c r="I36" s="118" t="s">
        <v>156</v>
      </c>
      <c r="J36" s="118">
        <v>82153</v>
      </c>
      <c r="K36" s="118">
        <v>6</v>
      </c>
      <c r="L36" s="118" t="s">
        <v>35</v>
      </c>
      <c r="M36" s="118" t="s">
        <v>35</v>
      </c>
      <c r="N36" s="132" t="s">
        <v>157</v>
      </c>
      <c r="O36" s="121">
        <v>45950</v>
      </c>
      <c r="P36" s="125"/>
      <c r="Q36" s="134">
        <v>6456</v>
      </c>
      <c r="R36" s="123">
        <v>45931</v>
      </c>
      <c r="S36" s="118"/>
      <c r="T36" s="118"/>
      <c r="U36" s="118"/>
      <c r="V36" s="118"/>
      <c r="W36" s="129"/>
      <c r="X36" s="121"/>
      <c r="Y36" s="121"/>
      <c r="Z36" s="118" t="s">
        <v>158</v>
      </c>
      <c r="AA36" s="135" t="s">
        <v>159</v>
      </c>
      <c r="AB36" s="126">
        <f t="shared" si="0"/>
        <v>6456</v>
      </c>
    </row>
    <row r="37" spans="2:28" ht="51" hidden="1" customHeight="1">
      <c r="B37" s="117" t="s">
        <v>148</v>
      </c>
      <c r="C37" s="118" t="s">
        <v>31</v>
      </c>
      <c r="D37" s="118">
        <v>37312</v>
      </c>
      <c r="E37" s="119" t="s">
        <v>160</v>
      </c>
      <c r="F37" s="118">
        <v>2224</v>
      </c>
      <c r="G37" s="118">
        <v>242</v>
      </c>
      <c r="H37" s="118" t="s">
        <v>33</v>
      </c>
      <c r="I37" s="118" t="s">
        <v>161</v>
      </c>
      <c r="J37" s="118">
        <v>82160</v>
      </c>
      <c r="K37" s="118">
        <v>6</v>
      </c>
      <c r="L37" s="118" t="s">
        <v>35</v>
      </c>
      <c r="M37" s="118" t="s">
        <v>35</v>
      </c>
      <c r="N37" s="118">
        <v>4250436</v>
      </c>
      <c r="O37" s="121">
        <v>45923</v>
      </c>
      <c r="P37" s="118">
        <v>4366562</v>
      </c>
      <c r="Q37" s="122">
        <v>3455.93</v>
      </c>
      <c r="R37" s="123">
        <v>45931</v>
      </c>
      <c r="S37" s="118">
        <v>19539</v>
      </c>
      <c r="T37" s="118" t="s">
        <v>162</v>
      </c>
      <c r="U37" s="118" t="s">
        <v>37</v>
      </c>
      <c r="V37" s="118" t="s">
        <v>64</v>
      </c>
      <c r="W37" s="122">
        <v>3455.93</v>
      </c>
      <c r="X37" s="121">
        <v>45964</v>
      </c>
      <c r="Y37" s="121"/>
      <c r="Z37" s="125" t="s">
        <v>39</v>
      </c>
      <c r="AA37" s="118"/>
      <c r="AB37" s="126">
        <f t="shared" si="0"/>
        <v>0</v>
      </c>
    </row>
    <row r="38" spans="2:28" ht="51" hidden="1" customHeight="1">
      <c r="B38" s="117" t="s">
        <v>148</v>
      </c>
      <c r="C38" s="118" t="s">
        <v>107</v>
      </c>
      <c r="D38" s="118" t="s">
        <v>35</v>
      </c>
      <c r="E38" s="119" t="s">
        <v>163</v>
      </c>
      <c r="F38" s="120">
        <v>5525</v>
      </c>
      <c r="G38" s="120">
        <v>242</v>
      </c>
      <c r="H38" s="118" t="s">
        <v>33</v>
      </c>
      <c r="I38" s="118" t="s">
        <v>164</v>
      </c>
      <c r="J38" s="118">
        <v>83965</v>
      </c>
      <c r="K38" s="118">
        <v>1</v>
      </c>
      <c r="L38" s="118" t="s">
        <v>35</v>
      </c>
      <c r="M38" s="118" t="s">
        <v>35</v>
      </c>
      <c r="N38" s="118">
        <v>4256365</v>
      </c>
      <c r="O38" s="121">
        <v>45930</v>
      </c>
      <c r="P38" s="118">
        <v>4377379</v>
      </c>
      <c r="Q38" s="122">
        <v>2685</v>
      </c>
      <c r="R38" s="123">
        <v>45962</v>
      </c>
      <c r="S38" s="118">
        <v>3159</v>
      </c>
      <c r="T38" s="118" t="s">
        <v>35</v>
      </c>
      <c r="U38" s="118" t="s">
        <v>72</v>
      </c>
      <c r="V38" s="118" t="s">
        <v>124</v>
      </c>
      <c r="W38" s="124">
        <v>2685</v>
      </c>
      <c r="X38" s="121">
        <v>45947</v>
      </c>
      <c r="Y38" s="121">
        <v>45951</v>
      </c>
      <c r="Z38" s="125" t="s">
        <v>39</v>
      </c>
      <c r="AA38" s="118"/>
      <c r="AB38" s="126">
        <f t="shared" si="0"/>
        <v>0</v>
      </c>
    </row>
    <row r="39" spans="2:28" ht="51" hidden="1" customHeight="1">
      <c r="B39" s="117" t="s">
        <v>148</v>
      </c>
      <c r="C39" s="118" t="s">
        <v>116</v>
      </c>
      <c r="D39" s="118" t="s">
        <v>35</v>
      </c>
      <c r="E39" s="119" t="s">
        <v>165</v>
      </c>
      <c r="F39" s="118">
        <v>2739</v>
      </c>
      <c r="G39" s="118">
        <v>242</v>
      </c>
      <c r="H39" s="118" t="s">
        <v>33</v>
      </c>
      <c r="I39" s="136" t="s">
        <v>166</v>
      </c>
      <c r="J39" s="118">
        <v>83988</v>
      </c>
      <c r="K39" s="118">
        <v>5</v>
      </c>
      <c r="L39" s="118" t="s">
        <v>167</v>
      </c>
      <c r="M39" s="118" t="s">
        <v>37</v>
      </c>
      <c r="N39" s="132" t="s">
        <v>168</v>
      </c>
      <c r="O39" s="121">
        <v>45986</v>
      </c>
      <c r="P39" s="118">
        <v>4431055</v>
      </c>
      <c r="Q39" s="122">
        <v>725</v>
      </c>
      <c r="R39" s="123">
        <v>45962</v>
      </c>
      <c r="S39" s="118"/>
      <c r="T39" s="118" t="s">
        <v>169</v>
      </c>
      <c r="U39" s="118"/>
      <c r="V39" s="118"/>
      <c r="W39" s="129"/>
      <c r="X39" s="121"/>
      <c r="Y39" s="121"/>
      <c r="Z39" s="118" t="s">
        <v>48</v>
      </c>
      <c r="AA39" s="137"/>
      <c r="AB39" s="126">
        <f t="shared" si="0"/>
        <v>725</v>
      </c>
    </row>
    <row r="40" spans="2:28" ht="51" hidden="1" customHeight="1">
      <c r="B40" s="118" t="s">
        <v>148</v>
      </c>
      <c r="C40" s="118" t="s">
        <v>170</v>
      </c>
      <c r="D40" s="118" t="s">
        <v>35</v>
      </c>
      <c r="E40" s="127" t="s">
        <v>171</v>
      </c>
      <c r="F40" s="118" t="s">
        <v>172</v>
      </c>
      <c r="G40" s="118">
        <v>5</v>
      </c>
      <c r="H40" s="118" t="s">
        <v>33</v>
      </c>
      <c r="I40" s="118" t="s">
        <v>173</v>
      </c>
      <c r="J40" s="118">
        <v>83993</v>
      </c>
      <c r="K40" s="118">
        <v>2</v>
      </c>
      <c r="L40" s="118" t="s">
        <v>174</v>
      </c>
      <c r="M40" s="118" t="s">
        <v>35</v>
      </c>
      <c r="N40" s="118">
        <v>4257969</v>
      </c>
      <c r="O40" s="121">
        <v>45931</v>
      </c>
      <c r="P40" s="118">
        <v>4375452</v>
      </c>
      <c r="Q40" s="122">
        <v>12900</v>
      </c>
      <c r="R40" s="123">
        <v>45962</v>
      </c>
      <c r="S40" s="118">
        <v>1304</v>
      </c>
      <c r="T40" s="118" t="s">
        <v>35</v>
      </c>
      <c r="U40" s="118" t="s">
        <v>72</v>
      </c>
      <c r="V40" s="118" t="s">
        <v>23</v>
      </c>
      <c r="W40" s="122">
        <v>12900</v>
      </c>
      <c r="X40" s="121">
        <v>45964</v>
      </c>
      <c r="Y40" s="121">
        <v>45964</v>
      </c>
      <c r="Z40" s="125" t="s">
        <v>39</v>
      </c>
      <c r="AA40" s="118"/>
      <c r="AB40" s="126">
        <f t="shared" si="0"/>
        <v>0</v>
      </c>
    </row>
    <row r="41" spans="2:28" ht="51" hidden="1" customHeight="1">
      <c r="B41" s="117" t="s">
        <v>148</v>
      </c>
      <c r="C41" s="118" t="s">
        <v>170</v>
      </c>
      <c r="D41" s="118" t="s">
        <v>35</v>
      </c>
      <c r="E41" s="127" t="s">
        <v>175</v>
      </c>
      <c r="F41" s="120">
        <v>2313</v>
      </c>
      <c r="G41" s="120">
        <v>242</v>
      </c>
      <c r="H41" s="118" t="s">
        <v>33</v>
      </c>
      <c r="I41" s="118" t="s">
        <v>176</v>
      </c>
      <c r="J41" s="118">
        <v>86019</v>
      </c>
      <c r="K41" s="118">
        <v>2</v>
      </c>
      <c r="L41" s="118" t="s">
        <v>177</v>
      </c>
      <c r="M41" s="118" t="s">
        <v>35</v>
      </c>
      <c r="N41" s="118">
        <v>4267144</v>
      </c>
      <c r="O41" s="121">
        <v>45940</v>
      </c>
      <c r="P41" s="118">
        <v>4384249</v>
      </c>
      <c r="Q41" s="122">
        <v>10430</v>
      </c>
      <c r="R41" s="123">
        <v>45960</v>
      </c>
      <c r="S41" s="118">
        <v>1295</v>
      </c>
      <c r="T41" s="118" t="s">
        <v>178</v>
      </c>
      <c r="U41" s="118" t="s">
        <v>72</v>
      </c>
      <c r="V41" s="118" t="s">
        <v>124</v>
      </c>
      <c r="W41" s="124">
        <v>10430</v>
      </c>
      <c r="X41" s="121">
        <v>45951</v>
      </c>
      <c r="Y41" s="121">
        <v>45953</v>
      </c>
      <c r="Z41" s="125" t="s">
        <v>39</v>
      </c>
      <c r="AA41" s="118"/>
      <c r="AB41" s="126">
        <f t="shared" si="0"/>
        <v>0</v>
      </c>
    </row>
    <row r="42" spans="2:28" ht="51" hidden="1" customHeight="1">
      <c r="B42" s="117" t="s">
        <v>148</v>
      </c>
      <c r="C42" s="118" t="s">
        <v>107</v>
      </c>
      <c r="D42" s="118" t="s">
        <v>35</v>
      </c>
      <c r="E42" s="119" t="s">
        <v>179</v>
      </c>
      <c r="F42" s="118">
        <v>2224</v>
      </c>
      <c r="G42" s="118">
        <v>242</v>
      </c>
      <c r="H42" s="118" t="s">
        <v>33</v>
      </c>
      <c r="I42" s="118" t="s">
        <v>180</v>
      </c>
      <c r="J42" s="118">
        <v>87296</v>
      </c>
      <c r="K42" s="118">
        <v>2</v>
      </c>
      <c r="L42" s="118" t="s">
        <v>181</v>
      </c>
      <c r="M42" s="118" t="s">
        <v>35</v>
      </c>
      <c r="N42" s="136" t="s">
        <v>182</v>
      </c>
      <c r="O42" s="133" t="s">
        <v>183</v>
      </c>
      <c r="P42" s="138">
        <v>4403698</v>
      </c>
      <c r="Q42" s="122">
        <v>15504</v>
      </c>
      <c r="R42" s="123">
        <v>45989</v>
      </c>
      <c r="S42" s="118">
        <v>3185</v>
      </c>
      <c r="T42" s="118"/>
      <c r="U42" s="118" t="s">
        <v>72</v>
      </c>
      <c r="V42" s="118" t="s">
        <v>23</v>
      </c>
      <c r="W42" s="124">
        <v>15504</v>
      </c>
      <c r="X42" s="121">
        <v>45973</v>
      </c>
      <c r="Y42" s="121">
        <v>45974</v>
      </c>
      <c r="Z42" s="125" t="s">
        <v>39</v>
      </c>
      <c r="AA42" s="135"/>
      <c r="AB42" s="126">
        <f t="shared" si="0"/>
        <v>0</v>
      </c>
    </row>
    <row r="43" spans="2:28" ht="51" hidden="1" customHeight="1">
      <c r="B43" s="117" t="s">
        <v>184</v>
      </c>
      <c r="C43" s="118" t="s">
        <v>107</v>
      </c>
      <c r="D43" s="118">
        <v>34945</v>
      </c>
      <c r="E43" s="119" t="s">
        <v>185</v>
      </c>
      <c r="F43" s="118">
        <v>4588</v>
      </c>
      <c r="G43" s="118">
        <v>242</v>
      </c>
      <c r="H43" s="118" t="s">
        <v>186</v>
      </c>
      <c r="I43" s="118" t="s">
        <v>187</v>
      </c>
      <c r="J43" s="118">
        <v>75890</v>
      </c>
      <c r="K43" s="118">
        <v>6</v>
      </c>
      <c r="L43" s="118" t="s">
        <v>35</v>
      </c>
      <c r="M43" s="118" t="s">
        <v>35</v>
      </c>
      <c r="N43" s="118">
        <v>4206409</v>
      </c>
      <c r="O43" s="121">
        <v>45880</v>
      </c>
      <c r="P43" s="118">
        <v>4323795</v>
      </c>
      <c r="Q43" s="139">
        <v>2137.5</v>
      </c>
      <c r="R43" s="123">
        <v>45899</v>
      </c>
      <c r="S43" s="118">
        <v>3166</v>
      </c>
      <c r="T43" s="130" t="s">
        <v>188</v>
      </c>
      <c r="U43" s="118" t="s">
        <v>72</v>
      </c>
      <c r="V43" s="118" t="s">
        <v>23</v>
      </c>
      <c r="W43" s="129">
        <v>2137.5</v>
      </c>
      <c r="X43" s="121">
        <v>45962</v>
      </c>
      <c r="Y43" s="140">
        <v>45965</v>
      </c>
      <c r="Z43" s="125" t="s">
        <v>39</v>
      </c>
      <c r="AA43" s="118"/>
      <c r="AB43" s="126">
        <f t="shared" si="0"/>
        <v>0</v>
      </c>
    </row>
    <row r="44" spans="2:28" ht="51" hidden="1" customHeight="1">
      <c r="B44" s="117" t="s">
        <v>184</v>
      </c>
      <c r="C44" s="118" t="s">
        <v>107</v>
      </c>
      <c r="D44" s="118">
        <v>36069</v>
      </c>
      <c r="E44" s="119" t="s">
        <v>189</v>
      </c>
      <c r="F44" s="118">
        <v>4669</v>
      </c>
      <c r="G44" s="118">
        <v>242</v>
      </c>
      <c r="H44" s="118" t="s">
        <v>33</v>
      </c>
      <c r="I44" s="118">
        <v>384</v>
      </c>
      <c r="J44" s="118">
        <v>79953</v>
      </c>
      <c r="K44" s="118">
        <v>6</v>
      </c>
      <c r="L44" s="118" t="s">
        <v>35</v>
      </c>
      <c r="M44" s="118" t="s">
        <v>35</v>
      </c>
      <c r="N44" s="118">
        <v>4233040</v>
      </c>
      <c r="O44" s="121">
        <v>45905</v>
      </c>
      <c r="P44" s="118">
        <v>4349842</v>
      </c>
      <c r="Q44" s="122">
        <v>4788.8</v>
      </c>
      <c r="R44" s="123">
        <v>45971</v>
      </c>
      <c r="S44" s="118">
        <v>3167</v>
      </c>
      <c r="T44" s="130" t="s">
        <v>190</v>
      </c>
      <c r="U44" s="118" t="s">
        <v>72</v>
      </c>
      <c r="V44" s="118" t="s">
        <v>23</v>
      </c>
      <c r="W44" s="122">
        <v>4788.8</v>
      </c>
      <c r="X44" s="121">
        <v>45962</v>
      </c>
      <c r="Y44" s="121">
        <v>45966</v>
      </c>
      <c r="Z44" s="125" t="s">
        <v>39</v>
      </c>
      <c r="AA44" s="118"/>
      <c r="AB44" s="126">
        <f t="shared" si="0"/>
        <v>0</v>
      </c>
    </row>
    <row r="45" spans="2:28" ht="51" hidden="1" customHeight="1">
      <c r="B45" s="117" t="s">
        <v>184</v>
      </c>
      <c r="C45" s="118" t="s">
        <v>107</v>
      </c>
      <c r="D45" s="118">
        <v>34945</v>
      </c>
      <c r="E45" s="119" t="s">
        <v>191</v>
      </c>
      <c r="F45" s="118">
        <v>4669</v>
      </c>
      <c r="G45" s="118">
        <v>242</v>
      </c>
      <c r="H45" s="118" t="s">
        <v>33</v>
      </c>
      <c r="I45" s="118">
        <v>381</v>
      </c>
      <c r="J45" s="118">
        <v>80971</v>
      </c>
      <c r="K45" s="118">
        <v>6</v>
      </c>
      <c r="L45" s="118" t="s">
        <v>35</v>
      </c>
      <c r="M45" s="118" t="s">
        <v>35</v>
      </c>
      <c r="N45" s="118">
        <v>4250909</v>
      </c>
      <c r="O45" s="121">
        <v>45914</v>
      </c>
      <c r="P45" s="118">
        <v>4366560</v>
      </c>
      <c r="Q45" s="122">
        <v>1102</v>
      </c>
      <c r="R45" s="123">
        <v>45930</v>
      </c>
      <c r="S45" s="118"/>
      <c r="T45" s="130" t="s">
        <v>188</v>
      </c>
      <c r="U45" s="118"/>
      <c r="V45" s="118"/>
      <c r="W45" s="129"/>
      <c r="X45" s="121"/>
      <c r="Y45" s="121"/>
      <c r="Z45" s="118" t="s">
        <v>48</v>
      </c>
      <c r="AA45" s="118"/>
      <c r="AB45" s="126">
        <f t="shared" si="0"/>
        <v>1102</v>
      </c>
    </row>
    <row r="46" spans="2:28" ht="51" hidden="1" customHeight="1">
      <c r="B46" s="117" t="s">
        <v>184</v>
      </c>
      <c r="C46" s="118" t="s">
        <v>192</v>
      </c>
      <c r="D46" s="118" t="s">
        <v>35</v>
      </c>
      <c r="E46" s="127" t="s">
        <v>193</v>
      </c>
      <c r="F46" s="120">
        <v>5345</v>
      </c>
      <c r="G46" s="120">
        <v>242</v>
      </c>
      <c r="H46" s="118" t="s">
        <v>33</v>
      </c>
      <c r="I46" s="118" t="s">
        <v>194</v>
      </c>
      <c r="J46" s="118">
        <v>81713</v>
      </c>
      <c r="K46" s="118">
        <v>2</v>
      </c>
      <c r="L46" s="118" t="s">
        <v>195</v>
      </c>
      <c r="M46" s="118" t="s">
        <v>35</v>
      </c>
      <c r="N46" s="118">
        <v>4245590</v>
      </c>
      <c r="O46" s="121">
        <v>45918</v>
      </c>
      <c r="P46" s="118">
        <v>4364191</v>
      </c>
      <c r="Q46" s="122">
        <v>3664</v>
      </c>
      <c r="R46" s="123">
        <v>45924</v>
      </c>
      <c r="S46" s="118">
        <v>6570</v>
      </c>
      <c r="T46" s="118" t="s">
        <v>35</v>
      </c>
      <c r="U46" s="118" t="s">
        <v>72</v>
      </c>
      <c r="V46" s="118" t="s">
        <v>38</v>
      </c>
      <c r="W46" s="124">
        <v>3664</v>
      </c>
      <c r="X46" s="121">
        <v>45945</v>
      </c>
      <c r="Y46" s="121">
        <v>45950</v>
      </c>
      <c r="Z46" s="125" t="s">
        <v>39</v>
      </c>
      <c r="AA46" s="118"/>
      <c r="AB46" s="126">
        <f t="shared" si="0"/>
        <v>0</v>
      </c>
    </row>
    <row r="47" spans="2:28" ht="51" hidden="1" customHeight="1">
      <c r="B47" s="117" t="s">
        <v>184</v>
      </c>
      <c r="C47" s="118" t="s">
        <v>116</v>
      </c>
      <c r="D47" s="118" t="s">
        <v>35</v>
      </c>
      <c r="E47" s="119" t="s">
        <v>196</v>
      </c>
      <c r="F47" s="120">
        <v>4588</v>
      </c>
      <c r="G47" s="120">
        <v>242</v>
      </c>
      <c r="H47" s="118" t="s">
        <v>33</v>
      </c>
      <c r="I47" s="118" t="s">
        <v>197</v>
      </c>
      <c r="J47" s="118">
        <v>84946</v>
      </c>
      <c r="K47" s="118">
        <v>5</v>
      </c>
      <c r="L47" s="118" t="s">
        <v>198</v>
      </c>
      <c r="M47" s="118" t="s">
        <v>37</v>
      </c>
      <c r="N47" s="118">
        <v>4268442</v>
      </c>
      <c r="O47" s="121">
        <v>45943</v>
      </c>
      <c r="P47" s="118">
        <v>4387720</v>
      </c>
      <c r="Q47" s="122">
        <v>12535.8</v>
      </c>
      <c r="R47" s="123">
        <v>45940</v>
      </c>
      <c r="S47" s="118">
        <v>279</v>
      </c>
      <c r="T47" s="118" t="s">
        <v>199</v>
      </c>
      <c r="U47" s="118" t="s">
        <v>72</v>
      </c>
      <c r="V47" s="118" t="s">
        <v>38</v>
      </c>
      <c r="W47" s="124">
        <v>12535.8</v>
      </c>
      <c r="X47" s="121">
        <v>45947</v>
      </c>
      <c r="Y47" s="121">
        <v>45953</v>
      </c>
      <c r="Z47" s="125" t="s">
        <v>39</v>
      </c>
      <c r="AA47" s="118"/>
      <c r="AB47" s="126">
        <f t="shared" si="0"/>
        <v>0</v>
      </c>
    </row>
    <row r="48" spans="2:28" ht="51" hidden="1" customHeight="1">
      <c r="B48" s="117" t="s">
        <v>184</v>
      </c>
      <c r="C48" s="118" t="s">
        <v>116</v>
      </c>
      <c r="D48" s="118" t="s">
        <v>35</v>
      </c>
      <c r="E48" s="119" t="s">
        <v>200</v>
      </c>
      <c r="F48" s="120">
        <v>2275</v>
      </c>
      <c r="G48" s="120">
        <v>242</v>
      </c>
      <c r="H48" s="118" t="s">
        <v>33</v>
      </c>
      <c r="I48" s="118" t="s">
        <v>201</v>
      </c>
      <c r="J48" s="118">
        <v>84952</v>
      </c>
      <c r="K48" s="118">
        <v>5</v>
      </c>
      <c r="L48" s="118" t="s">
        <v>202</v>
      </c>
      <c r="M48" s="118" t="s">
        <v>37</v>
      </c>
      <c r="N48" s="118">
        <v>4265189</v>
      </c>
      <c r="O48" s="121">
        <v>45938</v>
      </c>
      <c r="P48" s="118">
        <v>4387013</v>
      </c>
      <c r="Q48" s="122">
        <v>965</v>
      </c>
      <c r="R48" s="123">
        <v>45940</v>
      </c>
      <c r="S48" s="118">
        <v>278</v>
      </c>
      <c r="T48" s="118" t="s">
        <v>203</v>
      </c>
      <c r="U48" s="118" t="s">
        <v>72</v>
      </c>
      <c r="V48" s="118" t="s">
        <v>38</v>
      </c>
      <c r="W48" s="124">
        <v>965</v>
      </c>
      <c r="X48" s="121">
        <v>45947</v>
      </c>
      <c r="Y48" s="121">
        <v>45951</v>
      </c>
      <c r="Z48" s="125" t="s">
        <v>39</v>
      </c>
      <c r="AA48" s="118"/>
      <c r="AB48" s="126">
        <f t="shared" si="0"/>
        <v>0</v>
      </c>
    </row>
    <row r="49" spans="2:28" ht="51" hidden="1" customHeight="1">
      <c r="B49" s="117" t="s">
        <v>184</v>
      </c>
      <c r="C49" s="118" t="s">
        <v>107</v>
      </c>
      <c r="D49" s="118">
        <v>34258</v>
      </c>
      <c r="E49" s="119" t="s">
        <v>204</v>
      </c>
      <c r="F49" s="120">
        <v>2291</v>
      </c>
      <c r="G49" s="120">
        <v>242</v>
      </c>
      <c r="H49" s="118" t="s">
        <v>33</v>
      </c>
      <c r="I49" s="118" t="s">
        <v>205</v>
      </c>
      <c r="J49" s="118">
        <v>84967</v>
      </c>
      <c r="K49" s="118">
        <v>6</v>
      </c>
      <c r="L49" s="118" t="s">
        <v>35</v>
      </c>
      <c r="M49" s="118" t="s">
        <v>35</v>
      </c>
      <c r="N49" s="118">
        <v>4263391</v>
      </c>
      <c r="O49" s="121">
        <v>45937</v>
      </c>
      <c r="P49" s="118">
        <v>4381613</v>
      </c>
      <c r="Q49" s="122">
        <v>2280</v>
      </c>
      <c r="R49" s="123">
        <v>45947</v>
      </c>
      <c r="S49" s="118">
        <v>3137</v>
      </c>
      <c r="T49" s="118" t="s">
        <v>35</v>
      </c>
      <c r="U49" s="118" t="s">
        <v>72</v>
      </c>
      <c r="V49" s="118" t="s">
        <v>124</v>
      </c>
      <c r="W49" s="124">
        <v>2280</v>
      </c>
      <c r="X49" s="121">
        <v>45940</v>
      </c>
      <c r="Y49" s="121">
        <v>45950</v>
      </c>
      <c r="Z49" s="125" t="s">
        <v>39</v>
      </c>
      <c r="AA49" s="118"/>
      <c r="AB49" s="126">
        <f t="shared" si="0"/>
        <v>0</v>
      </c>
    </row>
    <row r="50" spans="2:28" ht="51" hidden="1" customHeight="1">
      <c r="B50" s="117" t="s">
        <v>184</v>
      </c>
      <c r="C50" s="118" t="s">
        <v>107</v>
      </c>
      <c r="D50" s="118">
        <v>36938</v>
      </c>
      <c r="E50" s="119" t="s">
        <v>206</v>
      </c>
      <c r="F50" s="120">
        <v>5345</v>
      </c>
      <c r="G50" s="120">
        <v>242</v>
      </c>
      <c r="H50" s="118" t="s">
        <v>33</v>
      </c>
      <c r="I50" s="118" t="s">
        <v>207</v>
      </c>
      <c r="J50" s="118">
        <v>84963</v>
      </c>
      <c r="K50" s="118">
        <v>6</v>
      </c>
      <c r="L50" s="118" t="s">
        <v>35</v>
      </c>
      <c r="M50" s="118" t="s">
        <v>35</v>
      </c>
      <c r="N50" s="118">
        <v>4263394</v>
      </c>
      <c r="O50" s="121">
        <v>45937</v>
      </c>
      <c r="P50" s="118">
        <v>4381615</v>
      </c>
      <c r="Q50" s="122">
        <v>1377.5</v>
      </c>
      <c r="R50" s="123">
        <v>45950</v>
      </c>
      <c r="S50" s="118">
        <v>3136</v>
      </c>
      <c r="T50" s="118" t="s">
        <v>35</v>
      </c>
      <c r="U50" s="118" t="s">
        <v>72</v>
      </c>
      <c r="V50" s="118" t="s">
        <v>124</v>
      </c>
      <c r="W50" s="124">
        <v>1377.5</v>
      </c>
      <c r="X50" s="121">
        <v>45940</v>
      </c>
      <c r="Y50" s="121">
        <v>45950</v>
      </c>
      <c r="Z50" s="125" t="s">
        <v>39</v>
      </c>
      <c r="AA50" s="118"/>
      <c r="AB50" s="126">
        <f t="shared" si="0"/>
        <v>0</v>
      </c>
    </row>
    <row r="51" spans="2:28" ht="51" hidden="1" customHeight="1">
      <c r="B51" s="117" t="s">
        <v>184</v>
      </c>
      <c r="C51" s="118" t="s">
        <v>208</v>
      </c>
      <c r="D51" s="118">
        <v>33876</v>
      </c>
      <c r="E51" s="127" t="s">
        <v>209</v>
      </c>
      <c r="F51" s="120">
        <v>2291</v>
      </c>
      <c r="G51" s="120">
        <v>242</v>
      </c>
      <c r="H51" s="118" t="s">
        <v>33</v>
      </c>
      <c r="I51" s="118" t="s">
        <v>210</v>
      </c>
      <c r="J51" s="118">
        <v>84991</v>
      </c>
      <c r="K51" s="118">
        <v>6</v>
      </c>
      <c r="L51" s="118" t="s">
        <v>35</v>
      </c>
      <c r="M51" s="118" t="s">
        <v>35</v>
      </c>
      <c r="N51" s="118">
        <v>4263398</v>
      </c>
      <c r="O51" s="121">
        <v>45937</v>
      </c>
      <c r="P51" s="118">
        <v>4381620</v>
      </c>
      <c r="Q51" s="122">
        <v>1205.4000000000001</v>
      </c>
      <c r="R51" s="123">
        <v>45960</v>
      </c>
      <c r="S51" s="118">
        <v>5067</v>
      </c>
      <c r="T51" s="130" t="s">
        <v>211</v>
      </c>
      <c r="U51" s="118" t="s">
        <v>72</v>
      </c>
      <c r="V51" s="118" t="s">
        <v>38</v>
      </c>
      <c r="W51" s="124">
        <v>1205.4000000000001</v>
      </c>
      <c r="X51" s="121">
        <v>45943</v>
      </c>
      <c r="Y51" s="121">
        <v>45950</v>
      </c>
      <c r="Z51" s="125" t="s">
        <v>39</v>
      </c>
      <c r="AA51" s="118"/>
      <c r="AB51" s="126">
        <f t="shared" si="0"/>
        <v>0</v>
      </c>
    </row>
    <row r="52" spans="2:28" ht="51" hidden="1" customHeight="1">
      <c r="B52" s="117" t="s">
        <v>184</v>
      </c>
      <c r="C52" s="118" t="s">
        <v>208</v>
      </c>
      <c r="D52" s="118">
        <v>34823</v>
      </c>
      <c r="E52" s="127" t="s">
        <v>212</v>
      </c>
      <c r="F52" s="120">
        <v>2291</v>
      </c>
      <c r="G52" s="120">
        <v>242</v>
      </c>
      <c r="H52" s="118" t="s">
        <v>33</v>
      </c>
      <c r="I52" s="118" t="s">
        <v>213</v>
      </c>
      <c r="J52" s="118">
        <v>84985</v>
      </c>
      <c r="K52" s="118">
        <v>6</v>
      </c>
      <c r="L52" s="118" t="s">
        <v>35</v>
      </c>
      <c r="M52" s="118" t="s">
        <v>35</v>
      </c>
      <c r="N52" s="118">
        <v>4263404</v>
      </c>
      <c r="O52" s="121">
        <v>45937</v>
      </c>
      <c r="P52" s="118">
        <v>4381628</v>
      </c>
      <c r="Q52" s="122">
        <v>892.78</v>
      </c>
      <c r="R52" s="123">
        <v>45962</v>
      </c>
      <c r="S52" s="118">
        <v>5075</v>
      </c>
      <c r="T52" s="130" t="s">
        <v>214</v>
      </c>
      <c r="U52" s="118" t="s">
        <v>72</v>
      </c>
      <c r="V52" s="118" t="s">
        <v>124</v>
      </c>
      <c r="W52" s="124">
        <v>892.78</v>
      </c>
      <c r="X52" s="121">
        <v>45950</v>
      </c>
      <c r="Y52" s="121">
        <v>45953</v>
      </c>
      <c r="Z52" s="125" t="s">
        <v>39</v>
      </c>
      <c r="AA52" s="118"/>
      <c r="AB52" s="126">
        <f t="shared" si="0"/>
        <v>0</v>
      </c>
    </row>
    <row r="53" spans="2:28" ht="51" hidden="1" customHeight="1">
      <c r="B53" s="117" t="s">
        <v>184</v>
      </c>
      <c r="C53" s="118" t="s">
        <v>208</v>
      </c>
      <c r="D53" s="118">
        <v>36982</v>
      </c>
      <c r="E53" s="127" t="s">
        <v>215</v>
      </c>
      <c r="F53" s="120">
        <v>2283</v>
      </c>
      <c r="G53" s="120">
        <v>242</v>
      </c>
      <c r="H53" s="118" t="s">
        <v>33</v>
      </c>
      <c r="I53" s="118" t="s">
        <v>216</v>
      </c>
      <c r="J53" s="118">
        <v>84983</v>
      </c>
      <c r="K53" s="118">
        <v>6</v>
      </c>
      <c r="L53" s="118" t="s">
        <v>35</v>
      </c>
      <c r="M53" s="118" t="s">
        <v>35</v>
      </c>
      <c r="N53" s="118">
        <v>4263408</v>
      </c>
      <c r="O53" s="121">
        <v>45937</v>
      </c>
      <c r="P53" s="118">
        <v>4381634</v>
      </c>
      <c r="Q53" s="122">
        <v>1079.96</v>
      </c>
      <c r="R53" s="123">
        <v>45962</v>
      </c>
      <c r="S53" s="118">
        <v>5076</v>
      </c>
      <c r="T53" s="118" t="s">
        <v>217</v>
      </c>
      <c r="U53" s="118" t="s">
        <v>72</v>
      </c>
      <c r="V53" s="118" t="s">
        <v>124</v>
      </c>
      <c r="W53" s="124">
        <v>1079.96</v>
      </c>
      <c r="X53" s="121">
        <v>45950</v>
      </c>
      <c r="Y53" s="121">
        <v>45953</v>
      </c>
      <c r="Z53" s="125" t="s">
        <v>39</v>
      </c>
      <c r="AA53" s="118"/>
      <c r="AB53" s="126">
        <f t="shared" si="0"/>
        <v>0</v>
      </c>
    </row>
    <row r="54" spans="2:28" ht="51" hidden="1" customHeight="1">
      <c r="B54" s="117" t="s">
        <v>184</v>
      </c>
      <c r="C54" s="118" t="s">
        <v>218</v>
      </c>
      <c r="D54" s="118" t="s">
        <v>35</v>
      </c>
      <c r="E54" s="127" t="s">
        <v>219</v>
      </c>
      <c r="F54" s="118">
        <v>2291</v>
      </c>
      <c r="G54" s="118">
        <v>242</v>
      </c>
      <c r="H54" s="118" t="s">
        <v>33</v>
      </c>
      <c r="I54" s="118" t="s">
        <v>220</v>
      </c>
      <c r="J54" s="118">
        <v>86110</v>
      </c>
      <c r="K54" s="118">
        <v>2</v>
      </c>
      <c r="L54" s="118" t="s">
        <v>221</v>
      </c>
      <c r="M54" s="118" t="s">
        <v>35</v>
      </c>
      <c r="N54" s="118">
        <v>4268451</v>
      </c>
      <c r="O54" s="121">
        <v>45943</v>
      </c>
      <c r="P54" s="118">
        <v>4384366</v>
      </c>
      <c r="Q54" s="122">
        <v>16000</v>
      </c>
      <c r="R54" s="123">
        <v>45960</v>
      </c>
      <c r="S54" s="118"/>
      <c r="T54" s="118"/>
      <c r="U54" s="118"/>
      <c r="V54" s="118"/>
      <c r="W54" s="129"/>
      <c r="X54" s="121"/>
      <c r="Y54" s="121"/>
      <c r="Z54" s="118" t="s">
        <v>48</v>
      </c>
      <c r="AA54" s="118"/>
      <c r="AB54" s="126">
        <f t="shared" si="0"/>
        <v>16000</v>
      </c>
    </row>
    <row r="55" spans="2:28" ht="51" hidden="1" customHeight="1">
      <c r="B55" s="118" t="s">
        <v>222</v>
      </c>
      <c r="C55" s="118" t="s">
        <v>223</v>
      </c>
      <c r="D55" s="118" t="s">
        <v>35</v>
      </c>
      <c r="E55" s="127" t="s">
        <v>224</v>
      </c>
      <c r="F55" s="118">
        <v>2488</v>
      </c>
      <c r="G55" s="118">
        <v>5</v>
      </c>
      <c r="H55" s="118" t="s">
        <v>33</v>
      </c>
      <c r="I55" s="118" t="s">
        <v>225</v>
      </c>
      <c r="J55" s="118">
        <v>65821</v>
      </c>
      <c r="K55" s="118">
        <v>1</v>
      </c>
      <c r="L55" s="118" t="s">
        <v>35</v>
      </c>
      <c r="M55" s="118" t="s">
        <v>35</v>
      </c>
      <c r="N55" s="118">
        <v>4195109</v>
      </c>
      <c r="O55" s="121">
        <v>45868</v>
      </c>
      <c r="P55" s="118">
        <v>4324342</v>
      </c>
      <c r="Q55" s="122">
        <v>341273.47</v>
      </c>
      <c r="R55" s="128"/>
      <c r="S55" s="118">
        <v>122</v>
      </c>
      <c r="T55" s="118" t="s">
        <v>35</v>
      </c>
      <c r="U55" s="118" t="s">
        <v>72</v>
      </c>
      <c r="V55" s="118" t="s">
        <v>124</v>
      </c>
      <c r="W55" s="124">
        <v>113757.82</v>
      </c>
      <c r="X55" s="121">
        <v>45946</v>
      </c>
      <c r="Y55" s="121">
        <v>45950</v>
      </c>
      <c r="Z55" s="118" t="s">
        <v>39</v>
      </c>
      <c r="AA55" s="118"/>
      <c r="AB55" s="126">
        <v>58757.83</v>
      </c>
    </row>
    <row r="56" spans="2:28" ht="51" hidden="1" customHeight="1">
      <c r="B56" s="118" t="s">
        <v>222</v>
      </c>
      <c r="C56" s="118" t="s">
        <v>223</v>
      </c>
      <c r="D56" s="118" t="s">
        <v>35</v>
      </c>
      <c r="E56" s="127" t="s">
        <v>224</v>
      </c>
      <c r="F56" s="118">
        <v>2488</v>
      </c>
      <c r="G56" s="118">
        <v>5</v>
      </c>
      <c r="H56" s="118" t="s">
        <v>33</v>
      </c>
      <c r="I56" s="118" t="s">
        <v>225</v>
      </c>
      <c r="J56" s="118">
        <v>65821</v>
      </c>
      <c r="K56" s="118">
        <v>1</v>
      </c>
      <c r="L56" s="118" t="s">
        <v>35</v>
      </c>
      <c r="M56" s="118" t="s">
        <v>35</v>
      </c>
      <c r="N56" s="118">
        <v>4195109</v>
      </c>
      <c r="O56" s="121">
        <v>45868</v>
      </c>
      <c r="P56" s="118">
        <v>4324342</v>
      </c>
      <c r="Q56" s="122">
        <v>227515.64999999997</v>
      </c>
      <c r="R56" s="128"/>
      <c r="S56" s="118">
        <v>123</v>
      </c>
      <c r="T56" s="118" t="s">
        <v>35</v>
      </c>
      <c r="U56" s="118" t="s">
        <v>72</v>
      </c>
      <c r="V56" s="118" t="s">
        <v>124</v>
      </c>
      <c r="W56" s="124">
        <v>55000</v>
      </c>
      <c r="X56" s="121">
        <v>45957</v>
      </c>
      <c r="Y56" s="121">
        <v>45957</v>
      </c>
      <c r="Z56" s="118" t="s">
        <v>65</v>
      </c>
      <c r="AA56" s="118"/>
      <c r="AB56" s="126">
        <v>58757.83</v>
      </c>
    </row>
    <row r="57" spans="2:28" ht="51" hidden="1" customHeight="1">
      <c r="B57" s="118" t="s">
        <v>222</v>
      </c>
      <c r="C57" s="118" t="s">
        <v>226</v>
      </c>
      <c r="D57" s="118" t="s">
        <v>35</v>
      </c>
      <c r="E57" s="127" t="s">
        <v>227</v>
      </c>
      <c r="F57" s="120" t="s">
        <v>228</v>
      </c>
      <c r="G57" s="120">
        <v>242</v>
      </c>
      <c r="H57" s="118" t="s">
        <v>33</v>
      </c>
      <c r="I57" s="118" t="s">
        <v>229</v>
      </c>
      <c r="J57" s="118">
        <v>72881</v>
      </c>
      <c r="K57" s="118">
        <v>1</v>
      </c>
      <c r="L57" s="118" t="s">
        <v>35</v>
      </c>
      <c r="M57" s="118" t="s">
        <v>35</v>
      </c>
      <c r="N57" s="118">
        <v>4187850</v>
      </c>
      <c r="O57" s="121">
        <v>45861</v>
      </c>
      <c r="P57" s="118">
        <v>4315808</v>
      </c>
      <c r="Q57" s="122">
        <v>4945</v>
      </c>
      <c r="R57" s="123">
        <v>45931</v>
      </c>
      <c r="S57" s="136" t="s">
        <v>230</v>
      </c>
      <c r="T57" s="118" t="s">
        <v>35</v>
      </c>
      <c r="U57" s="118" t="s">
        <v>72</v>
      </c>
      <c r="V57" s="118" t="s">
        <v>124</v>
      </c>
      <c r="W57" s="124">
        <v>4945</v>
      </c>
      <c r="X57" s="121">
        <v>45944</v>
      </c>
      <c r="Y57" s="121">
        <v>45950</v>
      </c>
      <c r="Z57" s="125" t="s">
        <v>39</v>
      </c>
      <c r="AA57" s="118"/>
      <c r="AB57" s="126">
        <f>Q57-W57</f>
        <v>0</v>
      </c>
    </row>
    <row r="58" spans="2:28" ht="51" hidden="1" customHeight="1">
      <c r="B58" s="118" t="s">
        <v>231</v>
      </c>
      <c r="C58" s="118" t="s">
        <v>232</v>
      </c>
      <c r="D58" s="118" t="s">
        <v>35</v>
      </c>
      <c r="E58" s="127" t="s">
        <v>233</v>
      </c>
      <c r="F58" s="118">
        <v>2224</v>
      </c>
      <c r="G58" s="118">
        <v>242</v>
      </c>
      <c r="H58" s="118" t="s">
        <v>33</v>
      </c>
      <c r="I58" s="118" t="s">
        <v>234</v>
      </c>
      <c r="J58" s="118">
        <v>54394</v>
      </c>
      <c r="K58" s="118">
        <v>1</v>
      </c>
      <c r="L58" s="118" t="s">
        <v>35</v>
      </c>
      <c r="M58" s="118" t="s">
        <v>35</v>
      </c>
      <c r="N58" s="118">
        <v>4099059</v>
      </c>
      <c r="O58" s="121">
        <v>45777</v>
      </c>
      <c r="P58" s="118">
        <v>4225251</v>
      </c>
      <c r="Q58" s="122">
        <v>21000</v>
      </c>
      <c r="R58" s="128"/>
      <c r="S58" s="118">
        <v>1461</v>
      </c>
      <c r="T58" s="118" t="s">
        <v>35</v>
      </c>
      <c r="U58" s="118" t="s">
        <v>72</v>
      </c>
      <c r="V58" s="118" t="s">
        <v>87</v>
      </c>
      <c r="W58" s="124">
        <v>21000</v>
      </c>
      <c r="X58" s="121">
        <v>45980</v>
      </c>
      <c r="Y58" s="121">
        <v>45985</v>
      </c>
      <c r="Z58" s="118" t="s">
        <v>39</v>
      </c>
      <c r="AA58" s="118"/>
      <c r="AB58" s="126">
        <f t="shared" si="0"/>
        <v>0</v>
      </c>
    </row>
    <row r="59" spans="2:28" ht="51" hidden="1" customHeight="1">
      <c r="B59" s="118" t="s">
        <v>235</v>
      </c>
      <c r="C59" s="118" t="s">
        <v>236</v>
      </c>
      <c r="D59" s="118" t="s">
        <v>35</v>
      </c>
      <c r="E59" s="127" t="s">
        <v>237</v>
      </c>
      <c r="F59" s="118">
        <v>2488</v>
      </c>
      <c r="G59" s="118">
        <v>242</v>
      </c>
      <c r="H59" s="118" t="s">
        <v>33</v>
      </c>
      <c r="I59" s="118" t="s">
        <v>238</v>
      </c>
      <c r="J59" s="118">
        <v>66823</v>
      </c>
      <c r="K59" s="118">
        <v>29</v>
      </c>
      <c r="L59" s="118" t="s">
        <v>239</v>
      </c>
      <c r="M59" s="118" t="s">
        <v>35</v>
      </c>
      <c r="N59" s="118">
        <v>4157512</v>
      </c>
      <c r="O59" s="121">
        <v>45833</v>
      </c>
      <c r="P59" s="118">
        <v>4278499</v>
      </c>
      <c r="Q59" s="122">
        <v>11775.9</v>
      </c>
      <c r="R59" s="123">
        <v>45930</v>
      </c>
      <c r="S59" s="118">
        <v>215</v>
      </c>
      <c r="T59" s="118" t="s">
        <v>35</v>
      </c>
      <c r="U59" s="118" t="s">
        <v>37</v>
      </c>
      <c r="V59" s="118" t="s">
        <v>64</v>
      </c>
      <c r="W59" s="124">
        <v>11775.9</v>
      </c>
      <c r="X59" s="141">
        <v>45980</v>
      </c>
      <c r="Y59" s="121">
        <v>46000</v>
      </c>
      <c r="Z59" s="118" t="s">
        <v>39</v>
      </c>
      <c r="AA59" s="118"/>
      <c r="AB59" s="126">
        <f t="shared" si="0"/>
        <v>0</v>
      </c>
    </row>
    <row r="60" spans="2:28" ht="51" hidden="1" customHeight="1">
      <c r="B60" s="118" t="s">
        <v>43</v>
      </c>
      <c r="C60" s="118" t="s">
        <v>240</v>
      </c>
      <c r="D60" s="118" t="s">
        <v>35</v>
      </c>
      <c r="E60" s="127" t="s">
        <v>241</v>
      </c>
      <c r="F60" s="118">
        <v>2330</v>
      </c>
      <c r="G60" s="118">
        <v>242</v>
      </c>
      <c r="H60" s="118" t="s">
        <v>33</v>
      </c>
      <c r="I60" s="118" t="s">
        <v>242</v>
      </c>
      <c r="J60" s="118">
        <v>67861</v>
      </c>
      <c r="K60" s="118">
        <v>1</v>
      </c>
      <c r="L60" s="118" t="s">
        <v>35</v>
      </c>
      <c r="M60" s="118" t="s">
        <v>35</v>
      </c>
      <c r="N60" s="118">
        <v>4150210</v>
      </c>
      <c r="O60" s="121">
        <v>45826</v>
      </c>
      <c r="P60" s="118">
        <v>4277118</v>
      </c>
      <c r="Q60" s="122">
        <v>43000</v>
      </c>
      <c r="R60" s="123">
        <v>45839</v>
      </c>
      <c r="S60" s="118"/>
      <c r="T60" s="118"/>
      <c r="U60" s="118"/>
      <c r="V60" s="118"/>
      <c r="W60" s="129"/>
      <c r="X60" s="121"/>
      <c r="Y60" s="121"/>
      <c r="Z60" s="118" t="s">
        <v>48</v>
      </c>
      <c r="AA60" s="118"/>
      <c r="AB60" s="126">
        <f t="shared" si="0"/>
        <v>43000</v>
      </c>
    </row>
    <row r="61" spans="2:28" ht="51" hidden="1" customHeight="1">
      <c r="B61" s="118" t="s">
        <v>243</v>
      </c>
      <c r="C61" s="118" t="s">
        <v>244</v>
      </c>
      <c r="D61" s="118" t="s">
        <v>35</v>
      </c>
      <c r="E61" s="127" t="s">
        <v>245</v>
      </c>
      <c r="F61" s="118">
        <v>2224</v>
      </c>
      <c r="G61" s="118">
        <v>242</v>
      </c>
      <c r="H61" s="118" t="s">
        <v>33</v>
      </c>
      <c r="I61" s="118" t="s">
        <v>246</v>
      </c>
      <c r="J61" s="118">
        <v>69984</v>
      </c>
      <c r="K61" s="118">
        <v>29</v>
      </c>
      <c r="L61" s="118" t="s">
        <v>247</v>
      </c>
      <c r="M61" s="118" t="s">
        <v>35</v>
      </c>
      <c r="N61" s="118">
        <v>4167151</v>
      </c>
      <c r="O61" s="121">
        <v>45841</v>
      </c>
      <c r="P61" s="118">
        <v>4288337</v>
      </c>
      <c r="Q61" s="122">
        <v>106.99</v>
      </c>
      <c r="R61" s="123">
        <v>45901</v>
      </c>
      <c r="S61" s="118"/>
      <c r="T61" s="118"/>
      <c r="U61" s="118"/>
      <c r="V61" s="118"/>
      <c r="W61" s="129"/>
      <c r="X61" s="121"/>
      <c r="Y61" s="121"/>
      <c r="Z61" s="118" t="s">
        <v>152</v>
      </c>
      <c r="AA61" s="118"/>
      <c r="AB61" s="126">
        <f t="shared" si="0"/>
        <v>106.99</v>
      </c>
    </row>
    <row r="62" spans="2:28" ht="51" hidden="1" customHeight="1">
      <c r="B62" s="118" t="s">
        <v>243</v>
      </c>
      <c r="C62" s="118" t="s">
        <v>248</v>
      </c>
      <c r="D62" s="118" t="s">
        <v>35</v>
      </c>
      <c r="E62" s="127" t="s">
        <v>249</v>
      </c>
      <c r="F62" s="118">
        <v>2224</v>
      </c>
      <c r="G62" s="118">
        <v>242</v>
      </c>
      <c r="H62" s="118" t="s">
        <v>33</v>
      </c>
      <c r="I62" s="118" t="s">
        <v>250</v>
      </c>
      <c r="J62" s="118">
        <v>70196</v>
      </c>
      <c r="K62" s="118">
        <v>29</v>
      </c>
      <c r="L62" s="118" t="s">
        <v>251</v>
      </c>
      <c r="M62" s="118" t="s">
        <v>35</v>
      </c>
      <c r="N62" s="136" t="s">
        <v>252</v>
      </c>
      <c r="O62" s="121">
        <v>45842</v>
      </c>
      <c r="P62" s="118">
        <v>4292561</v>
      </c>
      <c r="Q62" s="122">
        <v>338.2</v>
      </c>
      <c r="R62" s="123">
        <v>45856</v>
      </c>
      <c r="S62" s="118">
        <v>1595</v>
      </c>
      <c r="T62" s="118" t="s">
        <v>35</v>
      </c>
      <c r="U62" s="118" t="s">
        <v>72</v>
      </c>
      <c r="V62" s="118" t="s">
        <v>124</v>
      </c>
      <c r="W62" s="124">
        <v>338.2</v>
      </c>
      <c r="X62" s="121">
        <v>45946</v>
      </c>
      <c r="Y62" s="121">
        <v>45959</v>
      </c>
      <c r="Z62" s="125" t="s">
        <v>39</v>
      </c>
      <c r="AA62" s="118"/>
      <c r="AB62" s="126">
        <f t="shared" si="0"/>
        <v>0</v>
      </c>
    </row>
    <row r="63" spans="2:28" ht="51" hidden="1" customHeight="1">
      <c r="B63" s="118" t="s">
        <v>253</v>
      </c>
      <c r="C63" s="118" t="s">
        <v>254</v>
      </c>
      <c r="D63" s="118" t="s">
        <v>35</v>
      </c>
      <c r="E63" s="127" t="s">
        <v>255</v>
      </c>
      <c r="F63" s="118">
        <v>1210</v>
      </c>
      <c r="G63" s="118">
        <v>242</v>
      </c>
      <c r="H63" s="118" t="s">
        <v>33</v>
      </c>
      <c r="I63" s="118" t="s">
        <v>256</v>
      </c>
      <c r="J63" s="118">
        <v>72195</v>
      </c>
      <c r="K63" s="118">
        <v>29</v>
      </c>
      <c r="L63" s="118" t="s">
        <v>257</v>
      </c>
      <c r="M63" s="118" t="s">
        <v>35</v>
      </c>
      <c r="N63" s="118">
        <v>4182860</v>
      </c>
      <c r="O63" s="121">
        <v>45856</v>
      </c>
      <c r="P63" s="118">
        <v>4309483</v>
      </c>
      <c r="Q63" s="122">
        <v>13812.71</v>
      </c>
      <c r="R63" s="123">
        <v>45870</v>
      </c>
      <c r="S63" s="118"/>
      <c r="T63" s="118"/>
      <c r="U63" s="118"/>
      <c r="V63" s="118"/>
      <c r="W63" s="129"/>
      <c r="X63" s="121"/>
      <c r="Y63" s="121"/>
      <c r="Z63" s="118" t="s">
        <v>65</v>
      </c>
      <c r="AA63" s="118"/>
      <c r="AB63" s="126">
        <f t="shared" si="0"/>
        <v>13812.71</v>
      </c>
    </row>
    <row r="64" spans="2:28" ht="51" hidden="1" customHeight="1">
      <c r="B64" s="118" t="s">
        <v>222</v>
      </c>
      <c r="C64" s="118" t="s">
        <v>218</v>
      </c>
      <c r="D64" s="118" t="s">
        <v>35</v>
      </c>
      <c r="E64" s="127" t="s">
        <v>258</v>
      </c>
      <c r="F64" s="118" t="s">
        <v>259</v>
      </c>
      <c r="G64" s="118">
        <v>5</v>
      </c>
      <c r="H64" s="118" t="s">
        <v>33</v>
      </c>
      <c r="I64" s="118" t="s">
        <v>260</v>
      </c>
      <c r="J64" s="118">
        <v>72619</v>
      </c>
      <c r="K64" s="118">
        <v>1</v>
      </c>
      <c r="L64" s="118" t="s">
        <v>35</v>
      </c>
      <c r="M64" s="118" t="s">
        <v>35</v>
      </c>
      <c r="N64" s="118">
        <v>4186036</v>
      </c>
      <c r="O64" s="121">
        <v>45860</v>
      </c>
      <c r="P64" s="118">
        <v>4315803</v>
      </c>
      <c r="Q64" s="122">
        <v>55000</v>
      </c>
      <c r="R64" s="123" t="s">
        <v>35</v>
      </c>
      <c r="S64" s="132" t="s">
        <v>261</v>
      </c>
      <c r="T64" s="118" t="s">
        <v>35</v>
      </c>
      <c r="U64" s="118" t="s">
        <v>72</v>
      </c>
      <c r="V64" s="118" t="s">
        <v>87</v>
      </c>
      <c r="W64" s="124">
        <v>55000</v>
      </c>
      <c r="X64" s="121">
        <v>45992</v>
      </c>
      <c r="Y64" s="121">
        <v>45993</v>
      </c>
      <c r="Z64" s="118" t="s">
        <v>39</v>
      </c>
      <c r="AA64" s="118"/>
      <c r="AB64" s="126">
        <f t="shared" si="0"/>
        <v>0</v>
      </c>
    </row>
    <row r="65" spans="2:28" ht="51" hidden="1" customHeight="1">
      <c r="B65" s="118" t="s">
        <v>262</v>
      </c>
      <c r="C65" s="118" t="s">
        <v>263</v>
      </c>
      <c r="D65" s="118" t="s">
        <v>35</v>
      </c>
      <c r="E65" s="127" t="s">
        <v>264</v>
      </c>
      <c r="F65" s="118">
        <v>1228</v>
      </c>
      <c r="G65" s="118">
        <v>242</v>
      </c>
      <c r="H65" s="118" t="s">
        <v>33</v>
      </c>
      <c r="I65" s="118" t="s">
        <v>265</v>
      </c>
      <c r="J65" s="118">
        <v>72953</v>
      </c>
      <c r="K65" s="118">
        <v>2</v>
      </c>
      <c r="L65" s="118" t="s">
        <v>266</v>
      </c>
      <c r="M65" s="118" t="s">
        <v>35</v>
      </c>
      <c r="N65" s="118">
        <v>4187859</v>
      </c>
      <c r="O65" s="121">
        <v>45861</v>
      </c>
      <c r="P65" s="118">
        <v>4310873</v>
      </c>
      <c r="Q65" s="122">
        <v>31927.52</v>
      </c>
      <c r="R65" s="123">
        <v>45864</v>
      </c>
      <c r="S65" s="118">
        <v>167</v>
      </c>
      <c r="T65" s="118" t="s">
        <v>35</v>
      </c>
      <c r="U65" s="118" t="s">
        <v>72</v>
      </c>
      <c r="V65" s="118" t="s">
        <v>23</v>
      </c>
      <c r="W65" s="129">
        <v>31927.52</v>
      </c>
      <c r="X65" s="121">
        <v>45982</v>
      </c>
      <c r="Y65" s="140">
        <v>45987</v>
      </c>
      <c r="Z65" s="118" t="s">
        <v>39</v>
      </c>
      <c r="AA65" s="118"/>
      <c r="AB65" s="126">
        <f t="shared" si="0"/>
        <v>0</v>
      </c>
    </row>
    <row r="66" spans="2:28" ht="51" hidden="1" customHeight="1">
      <c r="B66" s="118" t="s">
        <v>43</v>
      </c>
      <c r="C66" s="118" t="s">
        <v>267</v>
      </c>
      <c r="D66" s="118" t="s">
        <v>35</v>
      </c>
      <c r="E66" s="127" t="s">
        <v>268</v>
      </c>
      <c r="F66" s="118">
        <v>5345</v>
      </c>
      <c r="G66" s="118">
        <v>242</v>
      </c>
      <c r="H66" s="118" t="s">
        <v>33</v>
      </c>
      <c r="I66" s="118" t="s">
        <v>269</v>
      </c>
      <c r="J66" s="118">
        <v>73049</v>
      </c>
      <c r="K66" s="118">
        <v>2</v>
      </c>
      <c r="L66" s="118" t="s">
        <v>270</v>
      </c>
      <c r="M66" s="118" t="s">
        <v>35</v>
      </c>
      <c r="N66" s="136" t="s">
        <v>271</v>
      </c>
      <c r="O66" s="121">
        <v>45863</v>
      </c>
      <c r="P66" s="118">
        <v>4312973</v>
      </c>
      <c r="Q66" s="122">
        <v>34350</v>
      </c>
      <c r="R66" s="123">
        <v>45839</v>
      </c>
      <c r="S66" s="118"/>
      <c r="T66" s="118"/>
      <c r="U66" s="118"/>
      <c r="V66" s="118"/>
      <c r="W66" s="129"/>
      <c r="X66" s="121"/>
      <c r="Y66" s="121"/>
      <c r="Z66" s="118" t="s">
        <v>65</v>
      </c>
      <c r="AA66" s="118"/>
      <c r="AB66" s="126">
        <f t="shared" si="0"/>
        <v>34350</v>
      </c>
    </row>
    <row r="67" spans="2:28" ht="51" hidden="1" customHeight="1">
      <c r="B67" s="118" t="s">
        <v>253</v>
      </c>
      <c r="C67" s="118" t="s">
        <v>272</v>
      </c>
      <c r="D67" s="118" t="s">
        <v>35</v>
      </c>
      <c r="E67" s="127" t="s">
        <v>273</v>
      </c>
      <c r="F67" s="118">
        <v>1236</v>
      </c>
      <c r="G67" s="118">
        <v>242</v>
      </c>
      <c r="H67" s="118" t="s">
        <v>33</v>
      </c>
      <c r="I67" s="118" t="s">
        <v>274</v>
      </c>
      <c r="J67" s="118">
        <v>73466</v>
      </c>
      <c r="K67" s="118">
        <v>29</v>
      </c>
      <c r="L67" s="118" t="s">
        <v>275</v>
      </c>
      <c r="M67" s="118" t="s">
        <v>35</v>
      </c>
      <c r="N67" s="118">
        <v>4199618</v>
      </c>
      <c r="O67" s="121">
        <v>45873</v>
      </c>
      <c r="P67" s="118">
        <v>4320393</v>
      </c>
      <c r="Q67" s="122">
        <v>142306.59</v>
      </c>
      <c r="R67" s="128"/>
      <c r="S67" s="118"/>
      <c r="T67" s="118"/>
      <c r="U67" s="118"/>
      <c r="V67" s="118"/>
      <c r="W67" s="129"/>
      <c r="X67" s="121"/>
      <c r="Y67" s="121"/>
      <c r="Z67" s="118" t="s">
        <v>48</v>
      </c>
      <c r="AA67" s="118"/>
      <c r="AB67" s="126">
        <f t="shared" si="0"/>
        <v>142306.59</v>
      </c>
    </row>
    <row r="68" spans="2:28" ht="51" hidden="1" customHeight="1">
      <c r="B68" s="118" t="s">
        <v>253</v>
      </c>
      <c r="C68" s="118" t="s">
        <v>276</v>
      </c>
      <c r="D68" s="118" t="s">
        <v>35</v>
      </c>
      <c r="E68" s="127" t="s">
        <v>277</v>
      </c>
      <c r="F68" s="118">
        <v>1210</v>
      </c>
      <c r="G68" s="118">
        <v>242</v>
      </c>
      <c r="H68" s="118" t="s">
        <v>33</v>
      </c>
      <c r="I68" s="118" t="s">
        <v>278</v>
      </c>
      <c r="J68" s="118">
        <v>73626</v>
      </c>
      <c r="K68" s="118">
        <v>29</v>
      </c>
      <c r="L68" s="118" t="s">
        <v>279</v>
      </c>
      <c r="M68" s="118" t="s">
        <v>35</v>
      </c>
      <c r="N68" s="118">
        <v>4193291</v>
      </c>
      <c r="O68" s="121">
        <v>45867</v>
      </c>
      <c r="P68" s="118">
        <v>4315670</v>
      </c>
      <c r="Q68" s="122">
        <v>5500</v>
      </c>
      <c r="R68" s="123">
        <v>45870</v>
      </c>
      <c r="S68" s="118"/>
      <c r="T68" s="118"/>
      <c r="U68" s="118"/>
      <c r="V68" s="118"/>
      <c r="W68" s="129"/>
      <c r="X68" s="121"/>
      <c r="Y68" s="121"/>
      <c r="Z68" s="118" t="s">
        <v>158</v>
      </c>
      <c r="AA68" s="118" t="s">
        <v>280</v>
      </c>
      <c r="AB68" s="126">
        <f t="shared" ref="AB68:AB138" si="1">Q68-W68</f>
        <v>5500</v>
      </c>
    </row>
    <row r="69" spans="2:28" ht="51" hidden="1" customHeight="1">
      <c r="B69" s="118" t="s">
        <v>253</v>
      </c>
      <c r="C69" s="118" t="s">
        <v>236</v>
      </c>
      <c r="D69" s="118" t="s">
        <v>35</v>
      </c>
      <c r="E69" s="127" t="s">
        <v>281</v>
      </c>
      <c r="F69" s="118">
        <v>1210</v>
      </c>
      <c r="G69" s="118">
        <v>242</v>
      </c>
      <c r="H69" s="118" t="s">
        <v>33</v>
      </c>
      <c r="I69" s="118" t="s">
        <v>282</v>
      </c>
      <c r="J69" s="118">
        <v>73646</v>
      </c>
      <c r="K69" s="118">
        <v>1</v>
      </c>
      <c r="L69" s="118" t="s">
        <v>35</v>
      </c>
      <c r="M69" s="118" t="s">
        <v>35</v>
      </c>
      <c r="N69" s="118">
        <v>4193310</v>
      </c>
      <c r="O69" s="121">
        <v>45867</v>
      </c>
      <c r="P69" s="118">
        <v>4323306</v>
      </c>
      <c r="Q69" s="122">
        <v>55485.94</v>
      </c>
      <c r="R69" s="123">
        <v>45870</v>
      </c>
      <c r="S69" s="118"/>
      <c r="T69" s="118"/>
      <c r="U69" s="118"/>
      <c r="V69" s="118"/>
      <c r="W69" s="129"/>
      <c r="X69" s="121"/>
      <c r="Y69" s="121"/>
      <c r="Z69" s="118" t="s">
        <v>48</v>
      </c>
      <c r="AA69" s="118"/>
      <c r="AB69" s="126">
        <f t="shared" si="1"/>
        <v>55485.94</v>
      </c>
    </row>
    <row r="70" spans="2:28" ht="51" hidden="1" customHeight="1">
      <c r="B70" s="118" t="s">
        <v>222</v>
      </c>
      <c r="C70" s="118" t="s">
        <v>283</v>
      </c>
      <c r="D70" s="118" t="s">
        <v>35</v>
      </c>
      <c r="E70" s="127" t="s">
        <v>284</v>
      </c>
      <c r="F70" s="118">
        <v>2224</v>
      </c>
      <c r="G70" s="118">
        <v>242</v>
      </c>
      <c r="H70" s="118" t="s">
        <v>33</v>
      </c>
      <c r="I70" s="118" t="s">
        <v>285</v>
      </c>
      <c r="J70" s="118">
        <v>74573</v>
      </c>
      <c r="K70" s="118">
        <v>29</v>
      </c>
      <c r="L70" s="118" t="s">
        <v>286</v>
      </c>
      <c r="M70" s="118" t="s">
        <v>35</v>
      </c>
      <c r="N70" s="118">
        <v>4201787</v>
      </c>
      <c r="O70" s="121">
        <v>45874</v>
      </c>
      <c r="P70" s="118">
        <v>4329160</v>
      </c>
      <c r="Q70" s="122">
        <v>14890</v>
      </c>
      <c r="R70" s="123">
        <v>45884</v>
      </c>
      <c r="S70" s="118"/>
      <c r="T70" s="118"/>
      <c r="U70" s="118"/>
      <c r="V70" s="118"/>
      <c r="W70" s="129"/>
      <c r="X70" s="121"/>
      <c r="Y70" s="121"/>
      <c r="Z70" s="118" t="s">
        <v>48</v>
      </c>
      <c r="AA70" s="118"/>
      <c r="AB70" s="126">
        <f t="shared" si="1"/>
        <v>14890</v>
      </c>
    </row>
    <row r="71" spans="2:28" ht="51" hidden="1" customHeight="1">
      <c r="B71" s="118" t="s">
        <v>287</v>
      </c>
      <c r="C71" s="118" t="s">
        <v>31</v>
      </c>
      <c r="D71" s="118" t="s">
        <v>35</v>
      </c>
      <c r="E71" s="127" t="s">
        <v>288</v>
      </c>
      <c r="F71" s="118">
        <v>2330</v>
      </c>
      <c r="G71" s="118">
        <v>5</v>
      </c>
      <c r="H71" s="118" t="s">
        <v>33</v>
      </c>
      <c r="I71" s="118" t="s">
        <v>289</v>
      </c>
      <c r="J71" s="118">
        <v>75032</v>
      </c>
      <c r="K71" s="118">
        <v>2</v>
      </c>
      <c r="L71" s="118" t="s">
        <v>290</v>
      </c>
      <c r="M71" s="118" t="s">
        <v>35</v>
      </c>
      <c r="N71" s="118">
        <v>4201796</v>
      </c>
      <c r="O71" s="121">
        <v>45874</v>
      </c>
      <c r="P71" s="118">
        <v>4320929</v>
      </c>
      <c r="Q71" s="122">
        <v>50318.080000000002</v>
      </c>
      <c r="R71" s="123">
        <v>45870</v>
      </c>
      <c r="S71" s="118">
        <v>19565</v>
      </c>
      <c r="T71" s="118" t="s">
        <v>35</v>
      </c>
      <c r="U71" s="118" t="s">
        <v>72</v>
      </c>
      <c r="V71" s="118" t="s">
        <v>64</v>
      </c>
      <c r="W71" s="124">
        <v>50318.080000000002</v>
      </c>
      <c r="X71" s="121">
        <v>45964</v>
      </c>
      <c r="Y71" s="121">
        <v>45965</v>
      </c>
      <c r="Z71" s="125" t="s">
        <v>39</v>
      </c>
      <c r="AA71" s="118"/>
      <c r="AB71" s="126">
        <f t="shared" si="1"/>
        <v>0</v>
      </c>
    </row>
    <row r="72" spans="2:28" ht="51" hidden="1" customHeight="1">
      <c r="B72" s="118" t="s">
        <v>222</v>
      </c>
      <c r="C72" s="118" t="s">
        <v>291</v>
      </c>
      <c r="D72" s="118" t="s">
        <v>35</v>
      </c>
      <c r="E72" s="127" t="s">
        <v>292</v>
      </c>
      <c r="F72" s="118">
        <v>2224</v>
      </c>
      <c r="G72" s="118">
        <v>327</v>
      </c>
      <c r="H72" s="118" t="s">
        <v>33</v>
      </c>
      <c r="I72" s="118" t="s">
        <v>293</v>
      </c>
      <c r="J72" s="118">
        <v>75804</v>
      </c>
      <c r="K72" s="118">
        <v>1</v>
      </c>
      <c r="L72" s="118" t="s">
        <v>35</v>
      </c>
      <c r="M72" s="118" t="s">
        <v>35</v>
      </c>
      <c r="N72" s="118">
        <v>4209039</v>
      </c>
      <c r="O72" s="121">
        <v>45882</v>
      </c>
      <c r="P72" s="136" t="s">
        <v>294</v>
      </c>
      <c r="Q72" s="122">
        <v>226662.37</v>
      </c>
      <c r="R72" s="128"/>
      <c r="S72" s="118">
        <v>1260</v>
      </c>
      <c r="T72" s="118" t="s">
        <v>35</v>
      </c>
      <c r="U72" s="118" t="s">
        <v>72</v>
      </c>
      <c r="V72" s="118" t="s">
        <v>64</v>
      </c>
      <c r="W72" s="129">
        <v>95185.77</v>
      </c>
      <c r="X72" s="121">
        <v>45992</v>
      </c>
      <c r="Y72" s="121">
        <v>46002</v>
      </c>
      <c r="Z72" s="118" t="s">
        <v>65</v>
      </c>
      <c r="AA72" s="118"/>
      <c r="AB72" s="126">
        <f t="shared" si="1"/>
        <v>131476.59999999998</v>
      </c>
    </row>
    <row r="73" spans="2:28" ht="51" hidden="1" customHeight="1">
      <c r="B73" s="118" t="s">
        <v>295</v>
      </c>
      <c r="C73" s="118" t="s">
        <v>296</v>
      </c>
      <c r="D73" s="118" t="s">
        <v>35</v>
      </c>
      <c r="E73" s="127" t="s">
        <v>297</v>
      </c>
      <c r="F73" s="118">
        <v>2291</v>
      </c>
      <c r="G73" s="118">
        <v>242</v>
      </c>
      <c r="H73" s="118" t="s">
        <v>33</v>
      </c>
      <c r="I73" s="118" t="s">
        <v>298</v>
      </c>
      <c r="J73" s="118">
        <v>77410</v>
      </c>
      <c r="K73" s="118">
        <v>29</v>
      </c>
      <c r="L73" s="118" t="s">
        <v>299</v>
      </c>
      <c r="M73" s="118" t="s">
        <v>35</v>
      </c>
      <c r="N73" s="118">
        <v>4214651</v>
      </c>
      <c r="O73" s="121">
        <v>45888</v>
      </c>
      <c r="P73" s="118">
        <v>4336280</v>
      </c>
      <c r="Q73" s="122">
        <v>30120</v>
      </c>
      <c r="R73" s="128"/>
      <c r="S73" s="118"/>
      <c r="T73" s="118"/>
      <c r="U73" s="118"/>
      <c r="V73" s="118"/>
      <c r="W73" s="129"/>
      <c r="X73" s="121"/>
      <c r="Y73" s="121"/>
      <c r="Z73" s="118" t="s">
        <v>48</v>
      </c>
      <c r="AA73" s="118"/>
      <c r="AB73" s="126">
        <f t="shared" si="1"/>
        <v>30120</v>
      </c>
    </row>
    <row r="74" spans="2:28" ht="51" hidden="1" customHeight="1">
      <c r="B74" s="118" t="s">
        <v>287</v>
      </c>
      <c r="C74" s="118" t="s">
        <v>44</v>
      </c>
      <c r="D74" s="118">
        <v>32847</v>
      </c>
      <c r="E74" s="127" t="s">
        <v>300</v>
      </c>
      <c r="F74" s="118">
        <v>2330</v>
      </c>
      <c r="G74" s="118">
        <v>242</v>
      </c>
      <c r="H74" s="118" t="s">
        <v>33</v>
      </c>
      <c r="I74" s="118" t="s">
        <v>301</v>
      </c>
      <c r="J74" s="118">
        <v>87399</v>
      </c>
      <c r="K74" s="118">
        <v>6</v>
      </c>
      <c r="L74" s="118" t="s">
        <v>35</v>
      </c>
      <c r="M74" s="118" t="s">
        <v>35</v>
      </c>
      <c r="N74" s="132" t="s">
        <v>302</v>
      </c>
      <c r="O74" s="121">
        <v>45986</v>
      </c>
      <c r="P74" s="118">
        <v>4430547</v>
      </c>
      <c r="Q74" s="122">
        <v>53200</v>
      </c>
      <c r="R74" s="123">
        <v>45992</v>
      </c>
      <c r="S74" s="118"/>
      <c r="T74" s="118"/>
      <c r="U74" s="118"/>
      <c r="V74" s="118"/>
      <c r="W74" s="129"/>
      <c r="X74" s="121"/>
      <c r="Y74" s="121"/>
      <c r="Z74" s="118" t="s">
        <v>48</v>
      </c>
      <c r="AA74" s="135"/>
      <c r="AB74" s="126">
        <f t="shared" si="1"/>
        <v>53200</v>
      </c>
    </row>
    <row r="75" spans="2:28" ht="51" hidden="1" customHeight="1">
      <c r="B75" s="117" t="s">
        <v>148</v>
      </c>
      <c r="C75" s="118" t="s">
        <v>107</v>
      </c>
      <c r="D75" s="118">
        <v>39250</v>
      </c>
      <c r="E75" s="119" t="s">
        <v>303</v>
      </c>
      <c r="F75" s="118">
        <v>2224</v>
      </c>
      <c r="G75" s="118">
        <v>242</v>
      </c>
      <c r="H75" s="118" t="s">
        <v>33</v>
      </c>
      <c r="I75" s="118" t="s">
        <v>304</v>
      </c>
      <c r="J75" s="118">
        <v>87841</v>
      </c>
      <c r="K75" s="118">
        <v>6</v>
      </c>
      <c r="L75" s="118" t="s">
        <v>35</v>
      </c>
      <c r="M75" s="118" t="s">
        <v>35</v>
      </c>
      <c r="N75" s="118">
        <v>4279162</v>
      </c>
      <c r="O75" s="121">
        <v>45953</v>
      </c>
      <c r="P75" s="118">
        <v>4395891</v>
      </c>
      <c r="Q75" s="142">
        <v>2188.8000000000002</v>
      </c>
      <c r="R75" s="123">
        <v>45962</v>
      </c>
      <c r="S75" s="118">
        <v>3196</v>
      </c>
      <c r="T75" s="118" t="s">
        <v>305</v>
      </c>
      <c r="U75" s="118" t="s">
        <v>72</v>
      </c>
      <c r="V75" s="118" t="s">
        <v>87</v>
      </c>
      <c r="W75" s="124">
        <v>2188.8000000000002</v>
      </c>
      <c r="X75" s="121">
        <v>45992</v>
      </c>
      <c r="Y75" s="121">
        <v>45993</v>
      </c>
      <c r="Z75" s="118" t="s">
        <v>39</v>
      </c>
      <c r="AA75" s="118"/>
      <c r="AB75" s="126">
        <f t="shared" si="1"/>
        <v>0</v>
      </c>
    </row>
    <row r="76" spans="2:28" ht="51" hidden="1" customHeight="1">
      <c r="B76" s="117" t="s">
        <v>148</v>
      </c>
      <c r="C76" s="118" t="s">
        <v>107</v>
      </c>
      <c r="D76" s="118">
        <v>38346</v>
      </c>
      <c r="E76" s="119" t="s">
        <v>306</v>
      </c>
      <c r="F76" s="118">
        <v>5345</v>
      </c>
      <c r="G76" s="118">
        <v>242</v>
      </c>
      <c r="H76" s="118" t="s">
        <v>33</v>
      </c>
      <c r="I76" s="118" t="s">
        <v>307</v>
      </c>
      <c r="J76" s="118">
        <v>88096</v>
      </c>
      <c r="K76" s="118">
        <v>6</v>
      </c>
      <c r="L76" s="118" t="s">
        <v>35</v>
      </c>
      <c r="M76" s="118" t="s">
        <v>35</v>
      </c>
      <c r="N76" s="118">
        <v>4279977</v>
      </c>
      <c r="O76" s="121">
        <v>45953</v>
      </c>
      <c r="P76" s="118">
        <v>4395892</v>
      </c>
      <c r="Q76" s="122">
        <v>655.5</v>
      </c>
      <c r="R76" s="123">
        <v>45962</v>
      </c>
      <c r="S76" s="118">
        <v>3175</v>
      </c>
      <c r="T76" s="118"/>
      <c r="U76" s="118" t="s">
        <v>72</v>
      </c>
      <c r="V76" s="118" t="s">
        <v>23</v>
      </c>
      <c r="W76" s="124">
        <v>655.5</v>
      </c>
      <c r="X76" s="121">
        <v>45965</v>
      </c>
      <c r="Y76" s="121">
        <v>45966</v>
      </c>
      <c r="Z76" s="125" t="s">
        <v>39</v>
      </c>
      <c r="AA76" s="118"/>
      <c r="AB76" s="126">
        <f t="shared" si="1"/>
        <v>0</v>
      </c>
    </row>
    <row r="77" spans="2:28" ht="51" hidden="1" customHeight="1">
      <c r="B77" s="118" t="s">
        <v>222</v>
      </c>
      <c r="C77" s="118" t="s">
        <v>308</v>
      </c>
      <c r="D77" s="118" t="s">
        <v>35</v>
      </c>
      <c r="E77" s="127" t="s">
        <v>309</v>
      </c>
      <c r="F77" s="118">
        <v>2348</v>
      </c>
      <c r="G77" s="118">
        <v>287</v>
      </c>
      <c r="H77" s="118" t="s">
        <v>186</v>
      </c>
      <c r="I77" s="118" t="s">
        <v>310</v>
      </c>
      <c r="J77" s="118">
        <v>76289</v>
      </c>
      <c r="K77" s="118">
        <v>29</v>
      </c>
      <c r="L77" s="118" t="s">
        <v>311</v>
      </c>
      <c r="M77" s="118" t="s">
        <v>35</v>
      </c>
      <c r="N77" s="118">
        <v>4240115</v>
      </c>
      <c r="O77" s="121">
        <v>45912</v>
      </c>
      <c r="P77" s="118">
        <v>4366924</v>
      </c>
      <c r="Q77" s="139">
        <v>24658</v>
      </c>
      <c r="R77" s="123">
        <v>45901</v>
      </c>
      <c r="S77" s="118"/>
      <c r="T77" s="118"/>
      <c r="U77" s="118"/>
      <c r="V77" s="118"/>
      <c r="W77" s="129"/>
      <c r="X77" s="121"/>
      <c r="Y77" s="121"/>
      <c r="Z77" s="118" t="s">
        <v>48</v>
      </c>
      <c r="AA77" s="118"/>
      <c r="AB77" s="126">
        <f t="shared" si="1"/>
        <v>24658</v>
      </c>
    </row>
    <row r="78" spans="2:28" ht="51" hidden="1" customHeight="1">
      <c r="B78" s="118" t="s">
        <v>43</v>
      </c>
      <c r="C78" s="118" t="s">
        <v>116</v>
      </c>
      <c r="D78" s="118" t="s">
        <v>35</v>
      </c>
      <c r="E78" s="127" t="s">
        <v>312</v>
      </c>
      <c r="F78" s="118">
        <v>2330</v>
      </c>
      <c r="G78" s="118">
        <v>242</v>
      </c>
      <c r="H78" s="118" t="s">
        <v>186</v>
      </c>
      <c r="I78" s="118" t="s">
        <v>313</v>
      </c>
      <c r="J78" s="118">
        <v>78710</v>
      </c>
      <c r="K78" s="118">
        <v>1</v>
      </c>
      <c r="L78" s="118" t="s">
        <v>35</v>
      </c>
      <c r="M78" s="118" t="s">
        <v>35</v>
      </c>
      <c r="N78" s="118">
        <v>4225517</v>
      </c>
      <c r="O78" s="121">
        <v>45898</v>
      </c>
      <c r="P78" s="118">
        <v>4350050</v>
      </c>
      <c r="Q78" s="139">
        <v>7460</v>
      </c>
      <c r="R78" s="123" t="s">
        <v>35</v>
      </c>
      <c r="S78" s="118">
        <v>433</v>
      </c>
      <c r="T78" s="118"/>
      <c r="U78" s="118" t="s">
        <v>37</v>
      </c>
      <c r="V78" s="118" t="s">
        <v>314</v>
      </c>
      <c r="W78" s="129">
        <v>7460</v>
      </c>
      <c r="X78" s="121">
        <v>45992</v>
      </c>
      <c r="Y78" s="121">
        <v>45993</v>
      </c>
      <c r="Z78" s="118" t="s">
        <v>39</v>
      </c>
      <c r="AA78" s="118"/>
      <c r="AB78" s="126">
        <f t="shared" si="1"/>
        <v>0</v>
      </c>
    </row>
    <row r="79" spans="2:28" ht="51" hidden="1" customHeight="1">
      <c r="B79" s="118" t="s">
        <v>243</v>
      </c>
      <c r="C79" s="118" t="s">
        <v>244</v>
      </c>
      <c r="D79" s="118" t="s">
        <v>35</v>
      </c>
      <c r="E79" s="127" t="s">
        <v>315</v>
      </c>
      <c r="F79" s="118">
        <v>4120</v>
      </c>
      <c r="G79" s="118">
        <v>242</v>
      </c>
      <c r="H79" s="118" t="s">
        <v>186</v>
      </c>
      <c r="I79" s="118" t="s">
        <v>316</v>
      </c>
      <c r="J79" s="118">
        <v>79688</v>
      </c>
      <c r="K79" s="118">
        <v>29</v>
      </c>
      <c r="L79" s="118" t="s">
        <v>317</v>
      </c>
      <c r="M79" s="118" t="s">
        <v>35</v>
      </c>
      <c r="N79" s="118">
        <v>4239840</v>
      </c>
      <c r="O79" s="121">
        <v>45903</v>
      </c>
      <c r="P79" s="118">
        <v>4361479</v>
      </c>
      <c r="Q79" s="139">
        <v>5660.95</v>
      </c>
      <c r="R79" s="123">
        <v>45962</v>
      </c>
      <c r="S79" s="118"/>
      <c r="T79" s="118"/>
      <c r="U79" s="118"/>
      <c r="V79" s="118"/>
      <c r="W79" s="129"/>
      <c r="X79" s="121"/>
      <c r="Y79" s="121"/>
      <c r="Z79" s="118" t="s">
        <v>48</v>
      </c>
      <c r="AA79" s="118"/>
      <c r="AB79" s="126">
        <f t="shared" si="1"/>
        <v>5660.95</v>
      </c>
    </row>
    <row r="80" spans="2:28" ht="51" hidden="1" customHeight="1">
      <c r="B80" s="118" t="s">
        <v>287</v>
      </c>
      <c r="C80" s="118" t="s">
        <v>218</v>
      </c>
      <c r="D80" s="118" t="s">
        <v>35</v>
      </c>
      <c r="E80" s="127" t="s">
        <v>318</v>
      </c>
      <c r="F80" s="118" t="s">
        <v>319</v>
      </c>
      <c r="G80" s="118">
        <v>5</v>
      </c>
      <c r="H80" s="118" t="s">
        <v>186</v>
      </c>
      <c r="I80" s="118" t="s">
        <v>320</v>
      </c>
      <c r="J80" s="118">
        <v>80856</v>
      </c>
      <c r="K80" s="118">
        <v>2</v>
      </c>
      <c r="L80" s="118" t="s">
        <v>35</v>
      </c>
      <c r="M80" s="118" t="s">
        <v>35</v>
      </c>
      <c r="N80" s="118">
        <v>4240290</v>
      </c>
      <c r="O80" s="121">
        <v>45912</v>
      </c>
      <c r="P80" s="118">
        <v>4358579</v>
      </c>
      <c r="Q80" s="139">
        <v>67000</v>
      </c>
      <c r="R80" s="123">
        <v>45901</v>
      </c>
      <c r="S80" s="118">
        <v>724</v>
      </c>
      <c r="T80" s="125"/>
      <c r="U80" s="118" t="s">
        <v>72</v>
      </c>
      <c r="V80" s="118" t="s">
        <v>23</v>
      </c>
      <c r="W80" s="129">
        <v>33500</v>
      </c>
      <c r="X80" s="121">
        <v>45966</v>
      </c>
      <c r="Y80" s="121">
        <v>45967</v>
      </c>
      <c r="Z80" s="118" t="s">
        <v>65</v>
      </c>
      <c r="AA80" s="118"/>
      <c r="AB80" s="126">
        <f>Q80-W80</f>
        <v>33500</v>
      </c>
    </row>
    <row r="81" spans="2:28" ht="51" hidden="1" customHeight="1">
      <c r="B81" s="118" t="s">
        <v>287</v>
      </c>
      <c r="C81" s="118" t="s">
        <v>321</v>
      </c>
      <c r="D81" s="118" t="s">
        <v>35</v>
      </c>
      <c r="E81" s="127" t="s">
        <v>322</v>
      </c>
      <c r="F81" s="118">
        <v>4472</v>
      </c>
      <c r="G81" s="118">
        <v>5</v>
      </c>
      <c r="H81" s="118" t="s">
        <v>186</v>
      </c>
      <c r="I81" s="118" t="s">
        <v>323</v>
      </c>
      <c r="J81" s="118">
        <v>80918</v>
      </c>
      <c r="K81" s="118">
        <v>29</v>
      </c>
      <c r="L81" s="118" t="s">
        <v>324</v>
      </c>
      <c r="M81" s="118" t="s">
        <v>35</v>
      </c>
      <c r="N81" s="118">
        <v>4241136</v>
      </c>
      <c r="O81" s="121">
        <v>45915</v>
      </c>
      <c r="P81" s="118">
        <v>4364857</v>
      </c>
      <c r="Q81" s="139">
        <v>14600</v>
      </c>
      <c r="R81" s="123">
        <v>45901</v>
      </c>
      <c r="S81" s="118">
        <v>336</v>
      </c>
      <c r="T81" s="125"/>
      <c r="U81" s="118" t="s">
        <v>72</v>
      </c>
      <c r="V81" s="118" t="s">
        <v>23</v>
      </c>
      <c r="W81" s="129">
        <v>14600</v>
      </c>
      <c r="X81" s="121">
        <v>45965</v>
      </c>
      <c r="Y81" s="121">
        <v>45965</v>
      </c>
      <c r="Z81" s="125" t="s">
        <v>39</v>
      </c>
      <c r="AA81" s="118"/>
      <c r="AB81" s="126">
        <f t="shared" si="1"/>
        <v>0</v>
      </c>
    </row>
    <row r="82" spans="2:28" ht="51" hidden="1" customHeight="1">
      <c r="B82" s="118" t="s">
        <v>287</v>
      </c>
      <c r="C82" s="118" t="s">
        <v>325</v>
      </c>
      <c r="D82" s="118" t="s">
        <v>35</v>
      </c>
      <c r="E82" s="127" t="s">
        <v>326</v>
      </c>
      <c r="F82" s="118" t="s">
        <v>327</v>
      </c>
      <c r="G82" s="118">
        <v>5</v>
      </c>
      <c r="H82" s="118" t="s">
        <v>186</v>
      </c>
      <c r="I82" s="118" t="s">
        <v>328</v>
      </c>
      <c r="J82" s="118">
        <v>81289</v>
      </c>
      <c r="K82" s="118">
        <v>2</v>
      </c>
      <c r="L82" s="118" t="s">
        <v>329</v>
      </c>
      <c r="M82" s="118" t="s">
        <v>35</v>
      </c>
      <c r="N82" s="118">
        <v>4242546</v>
      </c>
      <c r="O82" s="121">
        <v>45916</v>
      </c>
      <c r="P82" s="118">
        <v>4365080</v>
      </c>
      <c r="Q82" s="139">
        <v>52500</v>
      </c>
      <c r="R82" s="123">
        <v>45901</v>
      </c>
      <c r="S82" s="118">
        <v>375</v>
      </c>
      <c r="T82" s="118"/>
      <c r="U82" s="118" t="s">
        <v>37</v>
      </c>
      <c r="V82" s="118" t="s">
        <v>23</v>
      </c>
      <c r="W82" s="129">
        <v>23970</v>
      </c>
      <c r="X82" s="121">
        <v>45994</v>
      </c>
      <c r="Y82" s="121">
        <v>45999</v>
      </c>
      <c r="Z82" s="125" t="s">
        <v>330</v>
      </c>
      <c r="AA82" s="118"/>
      <c r="AB82" s="126"/>
    </row>
    <row r="83" spans="2:28" ht="51" hidden="1" customHeight="1">
      <c r="B83" s="118" t="s">
        <v>287</v>
      </c>
      <c r="C83" s="118" t="s">
        <v>325</v>
      </c>
      <c r="D83" s="118" t="s">
        <v>35</v>
      </c>
      <c r="E83" s="127" t="s">
        <v>326</v>
      </c>
      <c r="F83" s="118" t="s">
        <v>327</v>
      </c>
      <c r="G83" s="118">
        <v>5</v>
      </c>
      <c r="H83" s="118" t="s">
        <v>186</v>
      </c>
      <c r="I83" s="118" t="s">
        <v>328</v>
      </c>
      <c r="J83" s="118">
        <v>81289</v>
      </c>
      <c r="K83" s="118">
        <v>2</v>
      </c>
      <c r="L83" s="118" t="s">
        <v>329</v>
      </c>
      <c r="M83" s="118" t="s">
        <v>35</v>
      </c>
      <c r="N83" s="118">
        <v>4242546</v>
      </c>
      <c r="O83" s="121">
        <v>45916</v>
      </c>
      <c r="P83" s="118">
        <v>4365080</v>
      </c>
      <c r="Q83" s="139">
        <v>52500</v>
      </c>
      <c r="R83" s="123">
        <v>45901</v>
      </c>
      <c r="S83" s="118">
        <v>368</v>
      </c>
      <c r="T83" s="125"/>
      <c r="U83" s="118" t="s">
        <v>72</v>
      </c>
      <c r="V83" s="118" t="s">
        <v>23</v>
      </c>
      <c r="W83" s="129">
        <v>4074</v>
      </c>
      <c r="X83" s="121">
        <v>45966</v>
      </c>
      <c r="Y83" s="140">
        <v>45972</v>
      </c>
      <c r="Z83" s="118" t="s">
        <v>65</v>
      </c>
      <c r="AA83" s="118"/>
      <c r="AB83" s="126">
        <f t="shared" si="1"/>
        <v>48426</v>
      </c>
    </row>
    <row r="84" spans="2:28" ht="51" hidden="1" customHeight="1">
      <c r="B84" s="118" t="s">
        <v>222</v>
      </c>
      <c r="C84" s="118" t="s">
        <v>331</v>
      </c>
      <c r="D84" s="118" t="s">
        <v>35</v>
      </c>
      <c r="E84" s="127" t="s">
        <v>332</v>
      </c>
      <c r="F84" s="118">
        <v>2330</v>
      </c>
      <c r="G84" s="118">
        <v>5</v>
      </c>
      <c r="H84" s="118" t="s">
        <v>333</v>
      </c>
      <c r="I84" s="118" t="s">
        <v>334</v>
      </c>
      <c r="J84" s="118">
        <v>81645</v>
      </c>
      <c r="K84" s="118">
        <v>1</v>
      </c>
      <c r="L84" s="118" t="s">
        <v>35</v>
      </c>
      <c r="M84" s="118" t="s">
        <v>35</v>
      </c>
      <c r="N84" s="118">
        <v>4246376</v>
      </c>
      <c r="O84" s="121">
        <v>45919</v>
      </c>
      <c r="P84" s="118">
        <v>4368513</v>
      </c>
      <c r="Q84" s="139">
        <v>6270</v>
      </c>
      <c r="R84" s="123">
        <v>45931</v>
      </c>
      <c r="S84" s="118">
        <v>2038</v>
      </c>
      <c r="T84" s="118">
        <v>45945</v>
      </c>
      <c r="U84" s="118" t="s">
        <v>72</v>
      </c>
      <c r="V84" s="118" t="s">
        <v>38</v>
      </c>
      <c r="W84" s="139">
        <v>6270</v>
      </c>
      <c r="X84" s="121">
        <v>45944</v>
      </c>
      <c r="Y84" s="121">
        <v>45945</v>
      </c>
      <c r="Z84" s="125" t="s">
        <v>39</v>
      </c>
      <c r="AA84" s="118"/>
      <c r="AB84" s="126">
        <f t="shared" si="1"/>
        <v>0</v>
      </c>
    </row>
    <row r="85" spans="2:28" ht="51" hidden="1" customHeight="1">
      <c r="B85" s="118" t="s">
        <v>222</v>
      </c>
      <c r="C85" s="118" t="s">
        <v>218</v>
      </c>
      <c r="D85" s="118" t="s">
        <v>35</v>
      </c>
      <c r="E85" s="127" t="s">
        <v>335</v>
      </c>
      <c r="F85" s="118" t="s">
        <v>336</v>
      </c>
      <c r="G85" s="118">
        <v>242</v>
      </c>
      <c r="H85" s="118" t="s">
        <v>186</v>
      </c>
      <c r="I85" s="118" t="s">
        <v>337</v>
      </c>
      <c r="J85" s="118">
        <v>81599</v>
      </c>
      <c r="K85" s="118">
        <v>1</v>
      </c>
      <c r="L85" s="118" t="s">
        <v>35</v>
      </c>
      <c r="M85" s="118" t="s">
        <v>35</v>
      </c>
      <c r="N85" s="118">
        <v>4246433</v>
      </c>
      <c r="O85" s="121">
        <v>45919</v>
      </c>
      <c r="P85" s="118">
        <v>4372878</v>
      </c>
      <c r="Q85" s="139">
        <v>41292</v>
      </c>
      <c r="R85" s="123">
        <v>45901</v>
      </c>
      <c r="S85" s="118">
        <v>723</v>
      </c>
      <c r="T85" s="125"/>
      <c r="U85" s="118" t="s">
        <v>72</v>
      </c>
      <c r="V85" s="118" t="s">
        <v>23</v>
      </c>
      <c r="W85" s="129">
        <v>41292</v>
      </c>
      <c r="X85" s="121">
        <v>45966</v>
      </c>
      <c r="Y85" s="121">
        <v>45967</v>
      </c>
      <c r="Z85" s="125" t="s">
        <v>39</v>
      </c>
      <c r="AA85" s="118"/>
      <c r="AB85" s="126">
        <f t="shared" si="1"/>
        <v>0</v>
      </c>
    </row>
    <row r="86" spans="2:28" ht="51" hidden="1" customHeight="1">
      <c r="B86" s="118" t="s">
        <v>222</v>
      </c>
      <c r="C86" s="118" t="s">
        <v>338</v>
      </c>
      <c r="D86" s="118" t="s">
        <v>35</v>
      </c>
      <c r="E86" s="127" t="s">
        <v>339</v>
      </c>
      <c r="F86" s="118" t="s">
        <v>340</v>
      </c>
      <c r="G86" s="118">
        <v>242</v>
      </c>
      <c r="H86" s="118" t="s">
        <v>186</v>
      </c>
      <c r="I86" s="118" t="s">
        <v>341</v>
      </c>
      <c r="J86" s="118">
        <v>80618</v>
      </c>
      <c r="K86" s="118">
        <v>1</v>
      </c>
      <c r="L86" s="118" t="s">
        <v>35</v>
      </c>
      <c r="M86" s="118" t="s">
        <v>35</v>
      </c>
      <c r="N86" s="118">
        <v>4248126</v>
      </c>
      <c r="O86" s="121">
        <v>45922</v>
      </c>
      <c r="P86" s="118">
        <v>4379008</v>
      </c>
      <c r="Q86" s="139">
        <v>48636</v>
      </c>
      <c r="R86" s="123">
        <v>45931</v>
      </c>
      <c r="S86" s="136" t="s">
        <v>342</v>
      </c>
      <c r="T86" s="138" t="s">
        <v>35</v>
      </c>
      <c r="U86" s="118" t="s">
        <v>72</v>
      </c>
      <c r="V86" s="118" t="s">
        <v>23</v>
      </c>
      <c r="W86" s="129">
        <v>11196.82</v>
      </c>
      <c r="X86" s="121">
        <v>45992</v>
      </c>
      <c r="Y86" s="140" t="s">
        <v>343</v>
      </c>
      <c r="Z86" s="118" t="s">
        <v>39</v>
      </c>
      <c r="AA86" s="118"/>
      <c r="AB86" s="126">
        <f t="shared" si="1"/>
        <v>37439.18</v>
      </c>
    </row>
    <row r="87" spans="2:28" ht="51" hidden="1" customHeight="1">
      <c r="B87" s="118" t="s">
        <v>344</v>
      </c>
      <c r="C87" s="118" t="s">
        <v>345</v>
      </c>
      <c r="D87" s="118" t="s">
        <v>35</v>
      </c>
      <c r="E87" s="127" t="s">
        <v>346</v>
      </c>
      <c r="F87" s="118">
        <v>1236</v>
      </c>
      <c r="G87" s="118">
        <v>242</v>
      </c>
      <c r="H87" s="118" t="s">
        <v>347</v>
      </c>
      <c r="I87" s="118" t="s">
        <v>348</v>
      </c>
      <c r="J87" s="118">
        <v>83063</v>
      </c>
      <c r="K87" s="118">
        <v>29</v>
      </c>
      <c r="L87" s="118" t="s">
        <v>349</v>
      </c>
      <c r="M87" s="118" t="s">
        <v>35</v>
      </c>
      <c r="N87" s="118">
        <v>4252468</v>
      </c>
      <c r="O87" s="121">
        <v>45925</v>
      </c>
      <c r="P87" s="118">
        <v>4377346</v>
      </c>
      <c r="Q87" s="139">
        <v>10279.379999999999</v>
      </c>
      <c r="R87" s="123">
        <v>45931</v>
      </c>
      <c r="S87" s="118">
        <v>390</v>
      </c>
      <c r="T87" s="125"/>
      <c r="U87" s="118" t="s">
        <v>72</v>
      </c>
      <c r="V87" s="118" t="s">
        <v>23</v>
      </c>
      <c r="W87" s="129">
        <v>10279.379999999999</v>
      </c>
      <c r="X87" s="121">
        <v>45965</v>
      </c>
      <c r="Y87" s="140">
        <v>45967</v>
      </c>
      <c r="Z87" s="125" t="s">
        <v>39</v>
      </c>
      <c r="AA87" s="118"/>
      <c r="AB87" s="126">
        <f t="shared" si="1"/>
        <v>0</v>
      </c>
    </row>
    <row r="88" spans="2:28" ht="51" hidden="1" customHeight="1">
      <c r="B88" s="118" t="s">
        <v>222</v>
      </c>
      <c r="C88" s="118" t="s">
        <v>350</v>
      </c>
      <c r="D88" s="118">
        <v>37124</v>
      </c>
      <c r="E88" s="127" t="s">
        <v>351</v>
      </c>
      <c r="F88" s="118">
        <v>1210</v>
      </c>
      <c r="G88" s="118">
        <v>242</v>
      </c>
      <c r="H88" s="118" t="s">
        <v>347</v>
      </c>
      <c r="I88" s="118" t="s">
        <v>352</v>
      </c>
      <c r="J88" s="118">
        <v>83064</v>
      </c>
      <c r="K88" s="118">
        <v>6</v>
      </c>
      <c r="L88" s="118" t="s">
        <v>35</v>
      </c>
      <c r="M88" s="118" t="s">
        <v>35</v>
      </c>
      <c r="N88" s="118">
        <v>4252496</v>
      </c>
      <c r="O88" s="121">
        <v>45925</v>
      </c>
      <c r="P88" s="118">
        <v>4370282</v>
      </c>
      <c r="Q88" s="139">
        <v>26982.57</v>
      </c>
      <c r="R88" s="123">
        <v>45931</v>
      </c>
      <c r="S88" s="118"/>
      <c r="T88" s="118"/>
      <c r="U88" s="118"/>
      <c r="V88" s="118"/>
      <c r="W88" s="129"/>
      <c r="X88" s="121"/>
      <c r="Y88" s="121"/>
      <c r="Z88" s="118" t="s">
        <v>48</v>
      </c>
      <c r="AA88" s="118"/>
      <c r="AB88" s="126">
        <f t="shared" si="1"/>
        <v>26982.57</v>
      </c>
    </row>
    <row r="89" spans="2:28" ht="51" hidden="1" customHeight="1">
      <c r="B89" s="118" t="s">
        <v>344</v>
      </c>
      <c r="C89" s="118" t="s">
        <v>353</v>
      </c>
      <c r="D89" s="118" t="s">
        <v>35</v>
      </c>
      <c r="E89" s="127" t="s">
        <v>354</v>
      </c>
      <c r="F89" s="118">
        <v>2313</v>
      </c>
      <c r="G89" s="118">
        <v>5</v>
      </c>
      <c r="H89" s="118" t="s">
        <v>347</v>
      </c>
      <c r="I89" s="118" t="s">
        <v>355</v>
      </c>
      <c r="J89" s="118">
        <v>83033</v>
      </c>
      <c r="K89" s="118">
        <v>29</v>
      </c>
      <c r="L89" s="118" t="s">
        <v>356</v>
      </c>
      <c r="M89" s="118" t="s">
        <v>35</v>
      </c>
      <c r="N89" s="118">
        <v>4257039</v>
      </c>
      <c r="O89" s="121">
        <v>45925</v>
      </c>
      <c r="P89" s="118">
        <v>4383638</v>
      </c>
      <c r="Q89" s="139">
        <v>45714.68</v>
      </c>
      <c r="R89" s="123">
        <v>45931</v>
      </c>
      <c r="S89" s="118"/>
      <c r="T89" s="118"/>
      <c r="U89" s="118"/>
      <c r="V89" s="118"/>
      <c r="W89" s="143"/>
      <c r="X89" s="121"/>
      <c r="Y89" s="121"/>
      <c r="Z89" s="118" t="s">
        <v>48</v>
      </c>
      <c r="AA89" s="118"/>
      <c r="AB89" s="126">
        <f t="shared" si="1"/>
        <v>45714.68</v>
      </c>
    </row>
    <row r="90" spans="2:28" ht="51" hidden="1" customHeight="1">
      <c r="B90" s="118" t="s">
        <v>222</v>
      </c>
      <c r="C90" s="118" t="s">
        <v>31</v>
      </c>
      <c r="D90" s="118">
        <v>37566</v>
      </c>
      <c r="E90" s="127" t="s">
        <v>357</v>
      </c>
      <c r="F90" s="118">
        <v>2313</v>
      </c>
      <c r="G90" s="118">
        <v>242</v>
      </c>
      <c r="H90" s="118" t="s">
        <v>333</v>
      </c>
      <c r="I90" s="118" t="s">
        <v>358</v>
      </c>
      <c r="J90" s="118">
        <v>83463</v>
      </c>
      <c r="K90" s="118">
        <v>6</v>
      </c>
      <c r="L90" s="118" t="s">
        <v>35</v>
      </c>
      <c r="M90" s="118" t="s">
        <v>35</v>
      </c>
      <c r="N90" s="118">
        <v>4254808</v>
      </c>
      <c r="O90" s="121">
        <v>45929</v>
      </c>
      <c r="P90" s="118">
        <v>4372806</v>
      </c>
      <c r="Q90" s="139">
        <v>8497.2000000000007</v>
      </c>
      <c r="R90" s="123">
        <v>45931</v>
      </c>
      <c r="S90" s="118">
        <v>19676</v>
      </c>
      <c r="T90" s="118"/>
      <c r="U90" s="118" t="s">
        <v>37</v>
      </c>
      <c r="V90" s="118" t="s">
        <v>64</v>
      </c>
      <c r="W90" s="129">
        <v>8497.2000000000007</v>
      </c>
      <c r="X90" s="144">
        <v>45992</v>
      </c>
      <c r="Y90" s="121">
        <v>45993</v>
      </c>
      <c r="Z90" s="118" t="s">
        <v>39</v>
      </c>
      <c r="AA90" s="118"/>
      <c r="AB90" s="126">
        <f t="shared" si="1"/>
        <v>0</v>
      </c>
    </row>
    <row r="91" spans="2:28" ht="51" hidden="1" customHeight="1">
      <c r="B91" s="118" t="s">
        <v>262</v>
      </c>
      <c r="C91" s="118" t="s">
        <v>359</v>
      </c>
      <c r="D91" s="118" t="s">
        <v>35</v>
      </c>
      <c r="E91" s="127" t="s">
        <v>360</v>
      </c>
      <c r="F91" s="118">
        <v>1295</v>
      </c>
      <c r="G91" s="118">
        <v>242</v>
      </c>
      <c r="H91" s="118" t="s">
        <v>186</v>
      </c>
      <c r="I91" s="118" t="s">
        <v>361</v>
      </c>
      <c r="J91" s="118">
        <v>84211</v>
      </c>
      <c r="K91" s="118">
        <v>1</v>
      </c>
      <c r="L91" s="118" t="s">
        <v>35</v>
      </c>
      <c r="M91" s="118" t="s">
        <v>35</v>
      </c>
      <c r="N91" s="118">
        <v>4257737</v>
      </c>
      <c r="O91" s="121">
        <v>45931</v>
      </c>
      <c r="P91" s="118">
        <v>4378444</v>
      </c>
      <c r="Q91" s="139">
        <v>154870.39999999999</v>
      </c>
      <c r="R91" s="123">
        <v>45931</v>
      </c>
      <c r="S91" s="118">
        <v>93</v>
      </c>
      <c r="T91" s="118" t="s">
        <v>35</v>
      </c>
      <c r="U91" s="118" t="s">
        <v>37</v>
      </c>
      <c r="V91" s="118" t="s">
        <v>23</v>
      </c>
      <c r="W91" s="145">
        <v>30974.080000000002</v>
      </c>
      <c r="X91" s="121">
        <v>45975</v>
      </c>
      <c r="Y91" s="140">
        <v>45980</v>
      </c>
      <c r="Z91" s="118" t="s">
        <v>65</v>
      </c>
      <c r="AA91" s="118"/>
      <c r="AB91" s="126">
        <f t="shared" si="1"/>
        <v>123896.31999999999</v>
      </c>
    </row>
    <row r="92" spans="2:28" ht="51" hidden="1" customHeight="1">
      <c r="B92" s="118" t="s">
        <v>43</v>
      </c>
      <c r="C92" s="118" t="s">
        <v>362</v>
      </c>
      <c r="D92" s="118">
        <v>36375</v>
      </c>
      <c r="E92" s="127" t="s">
        <v>363</v>
      </c>
      <c r="F92" s="118">
        <v>2232</v>
      </c>
      <c r="G92" s="118">
        <v>242</v>
      </c>
      <c r="H92" s="118" t="s">
        <v>347</v>
      </c>
      <c r="I92" s="118" t="s">
        <v>364</v>
      </c>
      <c r="J92" s="118">
        <v>83065</v>
      </c>
      <c r="K92" s="118">
        <v>6</v>
      </c>
      <c r="L92" s="118" t="s">
        <v>35</v>
      </c>
      <c r="M92" s="118" t="s">
        <v>35</v>
      </c>
      <c r="N92" s="118">
        <v>4261942</v>
      </c>
      <c r="O92" s="121">
        <v>45936</v>
      </c>
      <c r="P92" s="118">
        <v>4379074</v>
      </c>
      <c r="Q92" s="139">
        <v>24900.87</v>
      </c>
      <c r="R92" s="123">
        <v>45931</v>
      </c>
      <c r="S92" s="118">
        <v>3784</v>
      </c>
      <c r="T92" s="118" t="s">
        <v>35</v>
      </c>
      <c r="U92" s="118" t="s">
        <v>37</v>
      </c>
      <c r="V92" s="118" t="s">
        <v>38</v>
      </c>
      <c r="W92" s="129">
        <v>24900.87</v>
      </c>
      <c r="X92" s="121">
        <v>45954</v>
      </c>
      <c r="Y92" s="121">
        <v>45954</v>
      </c>
      <c r="Z92" s="125" t="s">
        <v>39</v>
      </c>
      <c r="AA92" s="118"/>
      <c r="AB92" s="126">
        <f t="shared" si="1"/>
        <v>0</v>
      </c>
    </row>
    <row r="93" spans="2:28" ht="51" hidden="1" customHeight="1">
      <c r="B93" s="118" t="s">
        <v>287</v>
      </c>
      <c r="C93" s="118" t="s">
        <v>365</v>
      </c>
      <c r="D93" s="118" t="s">
        <v>35</v>
      </c>
      <c r="E93" s="127" t="s">
        <v>366</v>
      </c>
      <c r="F93" s="118">
        <v>4472</v>
      </c>
      <c r="G93" s="118">
        <v>242</v>
      </c>
      <c r="H93" s="118" t="s">
        <v>347</v>
      </c>
      <c r="I93" s="118" t="s">
        <v>367</v>
      </c>
      <c r="J93" s="118">
        <v>83316</v>
      </c>
      <c r="K93" s="118">
        <v>1</v>
      </c>
      <c r="L93" s="118" t="s">
        <v>35</v>
      </c>
      <c r="M93" s="118" t="s">
        <v>35</v>
      </c>
      <c r="N93" s="118">
        <v>4260198</v>
      </c>
      <c r="O93" s="121">
        <v>45932</v>
      </c>
      <c r="P93" s="118">
        <v>4379125</v>
      </c>
      <c r="Q93" s="139">
        <v>9000</v>
      </c>
      <c r="R93" s="123">
        <v>45931</v>
      </c>
      <c r="S93" s="118">
        <v>78</v>
      </c>
      <c r="T93" s="118" t="s">
        <v>35</v>
      </c>
      <c r="U93" s="118" t="s">
        <v>37</v>
      </c>
      <c r="V93" s="118" t="s">
        <v>23</v>
      </c>
      <c r="W93" s="129">
        <v>9000</v>
      </c>
      <c r="X93" s="121">
        <v>45971</v>
      </c>
      <c r="Y93" s="140">
        <v>45972</v>
      </c>
      <c r="Z93" s="125" t="s">
        <v>39</v>
      </c>
      <c r="AA93" s="125" t="s">
        <v>368</v>
      </c>
      <c r="AB93" s="126">
        <f t="shared" si="1"/>
        <v>0</v>
      </c>
    </row>
    <row r="94" spans="2:28" ht="51" hidden="1" customHeight="1">
      <c r="B94" s="118" t="s">
        <v>287</v>
      </c>
      <c r="C94" s="118" t="s">
        <v>369</v>
      </c>
      <c r="D94" s="118" t="s">
        <v>35</v>
      </c>
      <c r="E94" s="127" t="s">
        <v>370</v>
      </c>
      <c r="F94" s="118">
        <v>1180</v>
      </c>
      <c r="G94" s="118">
        <v>5</v>
      </c>
      <c r="H94" s="118" t="s">
        <v>347</v>
      </c>
      <c r="I94" s="118" t="s">
        <v>371</v>
      </c>
      <c r="J94" s="118" t="s">
        <v>372</v>
      </c>
      <c r="K94" s="118">
        <v>29</v>
      </c>
      <c r="L94" s="118" t="s">
        <v>373</v>
      </c>
      <c r="M94" s="118" t="s">
        <v>35</v>
      </c>
      <c r="N94" s="118">
        <v>4274350</v>
      </c>
      <c r="O94" s="121">
        <v>45936</v>
      </c>
      <c r="P94" s="138">
        <v>4402989</v>
      </c>
      <c r="Q94" s="139">
        <v>340</v>
      </c>
      <c r="R94" s="123">
        <v>45931</v>
      </c>
      <c r="S94" s="118"/>
      <c r="T94" s="118"/>
      <c r="U94" s="118"/>
      <c r="V94" s="118"/>
      <c r="W94" s="129"/>
      <c r="X94" s="121"/>
      <c r="Y94" s="121"/>
      <c r="Z94" s="118" t="s">
        <v>48</v>
      </c>
      <c r="AA94" s="118"/>
      <c r="AB94" s="126">
        <f t="shared" si="1"/>
        <v>340</v>
      </c>
    </row>
    <row r="95" spans="2:28" ht="51" hidden="1" customHeight="1">
      <c r="B95" s="118" t="s">
        <v>222</v>
      </c>
      <c r="C95" s="118" t="s">
        <v>218</v>
      </c>
      <c r="D95" s="118" t="s">
        <v>35</v>
      </c>
      <c r="E95" s="127" t="s">
        <v>374</v>
      </c>
      <c r="F95" s="118" t="s">
        <v>375</v>
      </c>
      <c r="G95" s="118">
        <v>242</v>
      </c>
      <c r="H95" s="118" t="s">
        <v>347</v>
      </c>
      <c r="I95" s="118" t="s">
        <v>376</v>
      </c>
      <c r="J95" s="118">
        <v>85156</v>
      </c>
      <c r="K95" s="118">
        <v>1</v>
      </c>
      <c r="L95" s="118" t="s">
        <v>35</v>
      </c>
      <c r="M95" s="118" t="s">
        <v>35</v>
      </c>
      <c r="N95" s="118">
        <v>4263784</v>
      </c>
      <c r="O95" s="121">
        <v>45937</v>
      </c>
      <c r="P95" s="118">
        <v>4383058</v>
      </c>
      <c r="Q95" s="139">
        <v>14400</v>
      </c>
      <c r="R95" s="123">
        <v>45962</v>
      </c>
      <c r="S95" s="118"/>
      <c r="T95" s="118"/>
      <c r="U95" s="118"/>
      <c r="V95" s="118"/>
      <c r="W95" s="129"/>
      <c r="X95" s="121"/>
      <c r="Y95" s="121"/>
      <c r="Z95" s="118" t="s">
        <v>48</v>
      </c>
      <c r="AA95" s="118"/>
      <c r="AB95" s="126">
        <f t="shared" si="1"/>
        <v>14400</v>
      </c>
    </row>
    <row r="96" spans="2:28" ht="51" hidden="1" customHeight="1">
      <c r="B96" s="118" t="s">
        <v>222</v>
      </c>
      <c r="C96" s="118" t="s">
        <v>338</v>
      </c>
      <c r="D96" s="118" t="s">
        <v>35</v>
      </c>
      <c r="E96" s="127" t="s">
        <v>377</v>
      </c>
      <c r="F96" s="118" t="s">
        <v>375</v>
      </c>
      <c r="G96" s="118">
        <v>242</v>
      </c>
      <c r="H96" s="118" t="s">
        <v>347</v>
      </c>
      <c r="I96" s="118" t="s">
        <v>378</v>
      </c>
      <c r="J96" s="118">
        <v>85158</v>
      </c>
      <c r="K96" s="118">
        <v>1</v>
      </c>
      <c r="L96" s="118" t="s">
        <v>35</v>
      </c>
      <c r="M96" s="118" t="s">
        <v>35</v>
      </c>
      <c r="N96" s="118">
        <v>4263821</v>
      </c>
      <c r="O96" s="121">
        <v>45937</v>
      </c>
      <c r="P96" s="118">
        <v>4384406</v>
      </c>
      <c r="Q96" s="139">
        <v>13600</v>
      </c>
      <c r="R96" s="123">
        <v>45962</v>
      </c>
      <c r="S96" s="118">
        <v>377</v>
      </c>
      <c r="T96" s="118"/>
      <c r="U96" s="118" t="s">
        <v>72</v>
      </c>
      <c r="V96" s="118" t="s">
        <v>23</v>
      </c>
      <c r="W96" s="143">
        <v>5351</v>
      </c>
      <c r="X96" s="121">
        <v>45992</v>
      </c>
      <c r="Y96" s="121">
        <v>45996</v>
      </c>
      <c r="Z96" s="118" t="s">
        <v>39</v>
      </c>
      <c r="AA96" s="118"/>
      <c r="AB96" s="126"/>
    </row>
    <row r="97" spans="2:28" ht="51" hidden="1" customHeight="1">
      <c r="B97" s="118" t="s">
        <v>222</v>
      </c>
      <c r="C97" s="118" t="s">
        <v>338</v>
      </c>
      <c r="D97" s="118" t="s">
        <v>35</v>
      </c>
      <c r="E97" s="127" t="s">
        <v>377</v>
      </c>
      <c r="F97" s="118" t="s">
        <v>375</v>
      </c>
      <c r="G97" s="118">
        <v>242</v>
      </c>
      <c r="H97" s="118" t="s">
        <v>347</v>
      </c>
      <c r="I97" s="118" t="s">
        <v>378</v>
      </c>
      <c r="J97" s="118">
        <v>85158</v>
      </c>
      <c r="K97" s="118">
        <v>1</v>
      </c>
      <c r="L97" s="118" t="s">
        <v>35</v>
      </c>
      <c r="M97" s="118" t="s">
        <v>35</v>
      </c>
      <c r="N97" s="118">
        <v>4263821</v>
      </c>
      <c r="O97" s="121">
        <v>45937</v>
      </c>
      <c r="P97" s="118">
        <v>4384406</v>
      </c>
      <c r="Q97" s="139">
        <v>13600</v>
      </c>
      <c r="R97" s="123">
        <v>45962</v>
      </c>
      <c r="S97" s="118">
        <v>360</v>
      </c>
      <c r="T97" s="118" t="s">
        <v>35</v>
      </c>
      <c r="U97" s="118" t="s">
        <v>37</v>
      </c>
      <c r="V97" s="118" t="s">
        <v>23</v>
      </c>
      <c r="W97" s="143">
        <v>8249</v>
      </c>
      <c r="X97" s="121">
        <v>45979</v>
      </c>
      <c r="Y97" s="140">
        <v>45980</v>
      </c>
      <c r="Z97" s="118" t="s">
        <v>39</v>
      </c>
      <c r="AA97" s="118"/>
      <c r="AB97" s="126">
        <f t="shared" si="1"/>
        <v>5351</v>
      </c>
    </row>
    <row r="98" spans="2:28" ht="51" hidden="1" customHeight="1">
      <c r="B98" s="118" t="s">
        <v>287</v>
      </c>
      <c r="C98" s="118" t="s">
        <v>379</v>
      </c>
      <c r="D98" s="118" t="s">
        <v>35</v>
      </c>
      <c r="E98" s="127" t="s">
        <v>326</v>
      </c>
      <c r="F98" s="118" t="s">
        <v>327</v>
      </c>
      <c r="G98" s="118">
        <v>5</v>
      </c>
      <c r="H98" s="118" t="s">
        <v>186</v>
      </c>
      <c r="I98" s="118" t="s">
        <v>380</v>
      </c>
      <c r="J98" s="118">
        <v>85080</v>
      </c>
      <c r="K98" s="118">
        <v>1</v>
      </c>
      <c r="L98" s="118" t="s">
        <v>35</v>
      </c>
      <c r="M98" s="118" t="s">
        <v>35</v>
      </c>
      <c r="N98" s="118">
        <v>4264629</v>
      </c>
      <c r="O98" s="121">
        <v>45938</v>
      </c>
      <c r="P98" s="118">
        <v>4386727</v>
      </c>
      <c r="Q98" s="139">
        <v>58000</v>
      </c>
      <c r="R98" s="123">
        <v>45931</v>
      </c>
      <c r="S98" s="118" t="s">
        <v>381</v>
      </c>
      <c r="T98" s="118"/>
      <c r="U98" s="118" t="s">
        <v>72</v>
      </c>
      <c r="V98" s="146" t="s">
        <v>23</v>
      </c>
      <c r="W98" s="129">
        <v>23876.6</v>
      </c>
      <c r="X98" s="144">
        <v>45995</v>
      </c>
      <c r="Y98" s="140">
        <v>45996</v>
      </c>
      <c r="Z98" s="118" t="s">
        <v>39</v>
      </c>
      <c r="AA98" s="118"/>
      <c r="AB98" s="126"/>
    </row>
    <row r="99" spans="2:28" ht="51" hidden="1" customHeight="1">
      <c r="B99" s="118" t="s">
        <v>287</v>
      </c>
      <c r="C99" s="118" t="s">
        <v>379</v>
      </c>
      <c r="D99" s="118" t="s">
        <v>35</v>
      </c>
      <c r="E99" s="127" t="s">
        <v>326</v>
      </c>
      <c r="F99" s="118" t="s">
        <v>327</v>
      </c>
      <c r="G99" s="118">
        <v>5</v>
      </c>
      <c r="H99" s="118" t="s">
        <v>186</v>
      </c>
      <c r="I99" s="118" t="s">
        <v>380</v>
      </c>
      <c r="J99" s="118">
        <v>85080</v>
      </c>
      <c r="K99" s="118">
        <v>1</v>
      </c>
      <c r="L99" s="118" t="s">
        <v>35</v>
      </c>
      <c r="M99" s="118" t="s">
        <v>35</v>
      </c>
      <c r="N99" s="118">
        <v>4264629</v>
      </c>
      <c r="O99" s="121">
        <v>45938</v>
      </c>
      <c r="P99" s="118">
        <v>4386727</v>
      </c>
      <c r="Q99" s="139">
        <v>58000</v>
      </c>
      <c r="R99" s="123">
        <v>45931</v>
      </c>
      <c r="S99" s="118">
        <v>631</v>
      </c>
      <c r="T99" s="118" t="s">
        <v>35</v>
      </c>
      <c r="U99" s="118" t="s">
        <v>72</v>
      </c>
      <c r="V99" s="118" t="s">
        <v>124</v>
      </c>
      <c r="W99" s="145">
        <v>34123.4</v>
      </c>
      <c r="X99" s="121">
        <v>45947</v>
      </c>
      <c r="Y99" s="121">
        <v>45954</v>
      </c>
      <c r="Z99" s="118" t="s">
        <v>39</v>
      </c>
      <c r="AA99" s="118"/>
      <c r="AB99" s="126">
        <f t="shared" si="1"/>
        <v>23876.6</v>
      </c>
    </row>
    <row r="100" spans="2:28" ht="51" hidden="1" customHeight="1">
      <c r="B100" s="118" t="s">
        <v>344</v>
      </c>
      <c r="C100" s="118" t="s">
        <v>382</v>
      </c>
      <c r="D100" s="118">
        <v>38507</v>
      </c>
      <c r="E100" s="127" t="s">
        <v>383</v>
      </c>
      <c r="F100" s="118">
        <v>2330</v>
      </c>
      <c r="G100" s="118">
        <v>5</v>
      </c>
      <c r="H100" s="118" t="s">
        <v>347</v>
      </c>
      <c r="I100" s="118" t="s">
        <v>384</v>
      </c>
      <c r="J100" s="118">
        <v>86254</v>
      </c>
      <c r="K100" s="118">
        <v>6</v>
      </c>
      <c r="L100" s="118" t="s">
        <v>35</v>
      </c>
      <c r="M100" s="118" t="s">
        <v>35</v>
      </c>
      <c r="N100" s="118">
        <v>4275744</v>
      </c>
      <c r="O100" s="121">
        <v>45943</v>
      </c>
      <c r="P100" s="138">
        <v>4396019</v>
      </c>
      <c r="Q100" s="139">
        <v>24560</v>
      </c>
      <c r="R100" s="123">
        <v>45962</v>
      </c>
      <c r="S100" s="118">
        <v>1553</v>
      </c>
      <c r="T100" s="147">
        <v>45964</v>
      </c>
      <c r="U100" s="118" t="s">
        <v>72</v>
      </c>
      <c r="V100" s="118" t="s">
        <v>23</v>
      </c>
      <c r="W100" s="129">
        <v>24560</v>
      </c>
      <c r="X100" s="121">
        <v>45962</v>
      </c>
      <c r="Y100" s="140">
        <v>45964</v>
      </c>
      <c r="Z100" s="125" t="s">
        <v>39</v>
      </c>
      <c r="AA100" s="118"/>
      <c r="AB100" s="126">
        <f t="shared" si="1"/>
        <v>0</v>
      </c>
    </row>
    <row r="101" spans="2:28" ht="51" hidden="1" customHeight="1">
      <c r="B101" s="118" t="s">
        <v>222</v>
      </c>
      <c r="C101" s="118" t="s">
        <v>218</v>
      </c>
      <c r="D101" s="118">
        <v>125</v>
      </c>
      <c r="E101" s="127" t="s">
        <v>385</v>
      </c>
      <c r="F101" s="118">
        <v>5345</v>
      </c>
      <c r="G101" s="118">
        <v>242</v>
      </c>
      <c r="H101" s="118" t="s">
        <v>347</v>
      </c>
      <c r="I101" s="118" t="s">
        <v>386</v>
      </c>
      <c r="J101" s="118">
        <v>86622</v>
      </c>
      <c r="K101" s="118">
        <v>6</v>
      </c>
      <c r="L101" s="118" t="s">
        <v>35</v>
      </c>
      <c r="M101" s="118" t="s">
        <v>35</v>
      </c>
      <c r="N101" s="118">
        <v>4270560</v>
      </c>
      <c r="O101" s="121">
        <v>45944</v>
      </c>
      <c r="P101" s="118">
        <v>4390885</v>
      </c>
      <c r="Q101" s="139">
        <v>12700</v>
      </c>
      <c r="R101" s="123">
        <v>45931</v>
      </c>
      <c r="S101" s="118">
        <v>731</v>
      </c>
      <c r="T101" s="118" t="s">
        <v>35</v>
      </c>
      <c r="U101" s="118" t="s">
        <v>72</v>
      </c>
      <c r="V101" s="118" t="s">
        <v>23</v>
      </c>
      <c r="W101" s="129">
        <v>12700</v>
      </c>
      <c r="X101" s="121">
        <v>45978</v>
      </c>
      <c r="Y101" s="121">
        <v>45978</v>
      </c>
      <c r="Z101" s="125" t="s">
        <v>39</v>
      </c>
      <c r="AA101" s="118"/>
      <c r="AB101" s="126">
        <f t="shared" si="1"/>
        <v>0</v>
      </c>
    </row>
    <row r="102" spans="2:28" ht="51" hidden="1" customHeight="1">
      <c r="B102" s="118" t="s">
        <v>387</v>
      </c>
      <c r="C102" s="118" t="s">
        <v>388</v>
      </c>
      <c r="D102" s="118" t="s">
        <v>35</v>
      </c>
      <c r="E102" s="127" t="s">
        <v>389</v>
      </c>
      <c r="F102" s="118">
        <v>2321</v>
      </c>
      <c r="G102" s="118">
        <v>242</v>
      </c>
      <c r="H102" s="118" t="s">
        <v>347</v>
      </c>
      <c r="I102" s="118" t="s">
        <v>390</v>
      </c>
      <c r="J102" s="118">
        <v>86600</v>
      </c>
      <c r="K102" s="118">
        <v>29</v>
      </c>
      <c r="L102" s="118" t="s">
        <v>391</v>
      </c>
      <c r="M102" s="118" t="s">
        <v>35</v>
      </c>
      <c r="N102" s="136" t="s">
        <v>392</v>
      </c>
      <c r="O102" s="121">
        <v>45944</v>
      </c>
      <c r="P102" s="118">
        <v>4408346</v>
      </c>
      <c r="Q102" s="139">
        <v>2060</v>
      </c>
      <c r="R102" s="123">
        <v>45931</v>
      </c>
      <c r="S102" s="118"/>
      <c r="T102" s="118"/>
      <c r="U102" s="118"/>
      <c r="V102" s="118"/>
      <c r="W102" s="129"/>
      <c r="X102" s="121"/>
      <c r="Y102" s="121"/>
      <c r="Z102" s="118" t="s">
        <v>48</v>
      </c>
      <c r="AA102" s="118"/>
      <c r="AB102" s="126">
        <f t="shared" si="1"/>
        <v>2060</v>
      </c>
    </row>
    <row r="103" spans="2:28" ht="51" hidden="1" customHeight="1">
      <c r="B103" s="118" t="s">
        <v>295</v>
      </c>
      <c r="C103" s="118" t="s">
        <v>393</v>
      </c>
      <c r="D103" s="118" t="s">
        <v>35</v>
      </c>
      <c r="E103" s="127" t="s">
        <v>394</v>
      </c>
      <c r="F103" s="118">
        <v>2291</v>
      </c>
      <c r="G103" s="118">
        <v>242</v>
      </c>
      <c r="H103" s="118" t="s">
        <v>186</v>
      </c>
      <c r="I103" s="118" t="s">
        <v>395</v>
      </c>
      <c r="J103" s="118">
        <v>86824</v>
      </c>
      <c r="K103" s="118">
        <v>29</v>
      </c>
      <c r="L103" s="118" t="s">
        <v>396</v>
      </c>
      <c r="M103" s="118" t="s">
        <v>35</v>
      </c>
      <c r="N103" s="118">
        <v>4271140</v>
      </c>
      <c r="O103" s="121">
        <v>45945</v>
      </c>
      <c r="P103" s="118">
        <v>4390655</v>
      </c>
      <c r="Q103" s="139">
        <v>4298.9399999999996</v>
      </c>
      <c r="R103" s="123">
        <v>45931</v>
      </c>
      <c r="S103" s="118">
        <v>318</v>
      </c>
      <c r="T103" s="125"/>
      <c r="U103" s="118" t="s">
        <v>72</v>
      </c>
      <c r="V103" s="118" t="s">
        <v>23</v>
      </c>
      <c r="W103" s="129">
        <v>4298.9399999999996</v>
      </c>
      <c r="X103" s="121">
        <v>45965</v>
      </c>
      <c r="Y103" s="140">
        <v>45968</v>
      </c>
      <c r="Z103" s="125" t="s">
        <v>39</v>
      </c>
      <c r="AA103" s="118"/>
      <c r="AB103" s="126">
        <f t="shared" si="1"/>
        <v>0</v>
      </c>
    </row>
    <row r="104" spans="2:28" ht="51" hidden="1" customHeight="1">
      <c r="B104" s="118" t="s">
        <v>295</v>
      </c>
      <c r="C104" s="118" t="s">
        <v>393</v>
      </c>
      <c r="D104" s="118" t="s">
        <v>35</v>
      </c>
      <c r="E104" s="127" t="s">
        <v>397</v>
      </c>
      <c r="F104" s="118">
        <v>2291</v>
      </c>
      <c r="G104" s="118">
        <v>242</v>
      </c>
      <c r="H104" s="118" t="s">
        <v>186</v>
      </c>
      <c r="I104" s="118" t="s">
        <v>398</v>
      </c>
      <c r="J104" s="118">
        <v>86833</v>
      </c>
      <c r="K104" s="118">
        <v>29</v>
      </c>
      <c r="L104" s="118" t="s">
        <v>399</v>
      </c>
      <c r="M104" s="118" t="s">
        <v>35</v>
      </c>
      <c r="N104" s="118">
        <v>4271154</v>
      </c>
      <c r="O104" s="121">
        <v>45945</v>
      </c>
      <c r="P104" s="118">
        <v>4390653</v>
      </c>
      <c r="Q104" s="139">
        <v>8100.19</v>
      </c>
      <c r="R104" s="123">
        <v>45931</v>
      </c>
      <c r="S104" s="118">
        <v>319</v>
      </c>
      <c r="T104" s="125"/>
      <c r="U104" s="118" t="s">
        <v>72</v>
      </c>
      <c r="V104" s="118" t="s">
        <v>23</v>
      </c>
      <c r="W104" s="129">
        <v>8100.19</v>
      </c>
      <c r="X104" s="121">
        <v>45965</v>
      </c>
      <c r="Y104" s="140">
        <v>45968</v>
      </c>
      <c r="Z104" s="125" t="s">
        <v>39</v>
      </c>
      <c r="AA104" s="118"/>
      <c r="AB104" s="126">
        <f t="shared" si="1"/>
        <v>0</v>
      </c>
    </row>
    <row r="105" spans="2:28" ht="51" hidden="1" customHeight="1">
      <c r="B105" s="118" t="s">
        <v>344</v>
      </c>
      <c r="C105" s="118" t="s">
        <v>107</v>
      </c>
      <c r="D105" s="118">
        <v>38252</v>
      </c>
      <c r="E105" s="119" t="s">
        <v>400</v>
      </c>
      <c r="F105" s="118">
        <v>2330</v>
      </c>
      <c r="G105" s="118">
        <v>242</v>
      </c>
      <c r="H105" s="118" t="s">
        <v>347</v>
      </c>
      <c r="I105" s="118" t="s">
        <v>401</v>
      </c>
      <c r="J105" s="118">
        <v>87016</v>
      </c>
      <c r="K105" s="118">
        <v>6</v>
      </c>
      <c r="L105" s="118" t="s">
        <v>35</v>
      </c>
      <c r="M105" s="118" t="s">
        <v>35</v>
      </c>
      <c r="N105" s="136" t="s">
        <v>402</v>
      </c>
      <c r="O105" s="121">
        <v>45946</v>
      </c>
      <c r="P105" s="118">
        <v>4389682</v>
      </c>
      <c r="Q105" s="139">
        <v>3990</v>
      </c>
      <c r="R105" s="123">
        <v>45931</v>
      </c>
      <c r="S105" s="118">
        <v>3168</v>
      </c>
      <c r="T105" s="140">
        <v>750146</v>
      </c>
      <c r="U105" s="118" t="s">
        <v>72</v>
      </c>
      <c r="V105" s="118" t="s">
        <v>23</v>
      </c>
      <c r="W105" s="129">
        <v>3990</v>
      </c>
      <c r="X105" s="121">
        <v>45962</v>
      </c>
      <c r="Y105" s="140">
        <v>45967</v>
      </c>
      <c r="Z105" s="125" t="s">
        <v>39</v>
      </c>
      <c r="AA105" s="118"/>
      <c r="AB105" s="126">
        <f t="shared" si="1"/>
        <v>0</v>
      </c>
    </row>
    <row r="106" spans="2:28" ht="51" hidden="1" customHeight="1">
      <c r="B106" s="118" t="s">
        <v>344</v>
      </c>
      <c r="C106" s="118" t="s">
        <v>403</v>
      </c>
      <c r="D106" s="118">
        <v>39251</v>
      </c>
      <c r="E106" s="127" t="s">
        <v>404</v>
      </c>
      <c r="F106" s="118">
        <v>2119</v>
      </c>
      <c r="G106" s="118">
        <v>242</v>
      </c>
      <c r="H106" s="118" t="s">
        <v>347</v>
      </c>
      <c r="I106" s="118" t="s">
        <v>403</v>
      </c>
      <c r="J106" s="118">
        <v>87018</v>
      </c>
      <c r="K106" s="118">
        <v>6</v>
      </c>
      <c r="L106" s="118" t="s">
        <v>35</v>
      </c>
      <c r="M106" s="118" t="s">
        <v>35</v>
      </c>
      <c r="N106" s="136" t="s">
        <v>405</v>
      </c>
      <c r="O106" s="121">
        <v>45946</v>
      </c>
      <c r="P106" s="125"/>
      <c r="Q106" s="139">
        <v>445</v>
      </c>
      <c r="R106" s="123">
        <v>45931</v>
      </c>
      <c r="S106" s="118"/>
      <c r="T106" s="118"/>
      <c r="U106" s="118"/>
      <c r="V106" s="118"/>
      <c r="W106" s="129"/>
      <c r="X106" s="121"/>
      <c r="Y106" s="121"/>
      <c r="Z106" s="118" t="s">
        <v>158</v>
      </c>
      <c r="AA106" s="118" t="s">
        <v>406</v>
      </c>
      <c r="AB106" s="126">
        <f t="shared" si="1"/>
        <v>445</v>
      </c>
    </row>
    <row r="107" spans="2:28" ht="51" hidden="1" customHeight="1">
      <c r="B107" s="118" t="s">
        <v>344</v>
      </c>
      <c r="C107" s="118" t="s">
        <v>407</v>
      </c>
      <c r="D107" s="118" t="s">
        <v>35</v>
      </c>
      <c r="E107" s="127" t="s">
        <v>408</v>
      </c>
      <c r="F107" s="118">
        <v>2330</v>
      </c>
      <c r="G107" s="118">
        <v>242</v>
      </c>
      <c r="H107" s="118" t="s">
        <v>347</v>
      </c>
      <c r="I107" s="118" t="s">
        <v>409</v>
      </c>
      <c r="J107" s="118">
        <v>87031</v>
      </c>
      <c r="K107" s="118">
        <v>29</v>
      </c>
      <c r="L107" s="118" t="s">
        <v>410</v>
      </c>
      <c r="M107" s="118" t="s">
        <v>35</v>
      </c>
      <c r="N107" s="118">
        <v>4275816</v>
      </c>
      <c r="O107" s="121">
        <v>45946</v>
      </c>
      <c r="P107" s="138">
        <v>4400095</v>
      </c>
      <c r="Q107" s="139">
        <v>2777.5</v>
      </c>
      <c r="R107" s="123">
        <v>45962</v>
      </c>
      <c r="S107" s="118">
        <v>12004</v>
      </c>
      <c r="T107" s="118" t="s">
        <v>35</v>
      </c>
      <c r="U107" s="118" t="s">
        <v>37</v>
      </c>
      <c r="V107" s="118" t="s">
        <v>38</v>
      </c>
      <c r="W107" s="129">
        <v>2777.5</v>
      </c>
      <c r="X107" s="121">
        <v>45974</v>
      </c>
      <c r="Y107" s="140">
        <v>45975</v>
      </c>
      <c r="Z107" s="125" t="s">
        <v>39</v>
      </c>
      <c r="AA107" s="118"/>
      <c r="AB107" s="126">
        <f t="shared" si="1"/>
        <v>0</v>
      </c>
    </row>
    <row r="108" spans="2:28" ht="51" hidden="1" customHeight="1">
      <c r="B108" s="118" t="s">
        <v>295</v>
      </c>
      <c r="C108" s="118" t="s">
        <v>393</v>
      </c>
      <c r="D108" s="118" t="s">
        <v>35</v>
      </c>
      <c r="E108" s="127" t="s">
        <v>411</v>
      </c>
      <c r="F108" s="118">
        <v>2291</v>
      </c>
      <c r="G108" s="118">
        <v>242</v>
      </c>
      <c r="H108" s="118" t="s">
        <v>347</v>
      </c>
      <c r="I108" s="118" t="s">
        <v>412</v>
      </c>
      <c r="J108" s="118">
        <v>86826</v>
      </c>
      <c r="K108" s="118">
        <v>29</v>
      </c>
      <c r="L108" s="118" t="s">
        <v>413</v>
      </c>
      <c r="M108" s="118" t="s">
        <v>35</v>
      </c>
      <c r="N108" s="118">
        <v>4274405</v>
      </c>
      <c r="O108" s="121">
        <v>45947</v>
      </c>
      <c r="P108" s="138">
        <v>4399765</v>
      </c>
      <c r="Q108" s="139">
        <v>12085</v>
      </c>
      <c r="R108" s="123">
        <v>45931</v>
      </c>
      <c r="S108" s="118">
        <v>320</v>
      </c>
      <c r="T108" s="125"/>
      <c r="U108" s="118" t="s">
        <v>72</v>
      </c>
      <c r="V108" s="118" t="s">
        <v>23</v>
      </c>
      <c r="W108" s="129">
        <v>12085</v>
      </c>
      <c r="X108" s="121">
        <v>45965</v>
      </c>
      <c r="Y108" s="140">
        <v>45968</v>
      </c>
      <c r="Z108" s="125" t="s">
        <v>39</v>
      </c>
      <c r="AA108" s="118"/>
      <c r="AB108" s="126">
        <f t="shared" si="1"/>
        <v>0</v>
      </c>
    </row>
    <row r="109" spans="2:28" ht="51" hidden="1" customHeight="1">
      <c r="B109" s="118" t="s">
        <v>295</v>
      </c>
      <c r="C109" s="118" t="s">
        <v>393</v>
      </c>
      <c r="D109" s="118" t="s">
        <v>35</v>
      </c>
      <c r="E109" s="127" t="s">
        <v>414</v>
      </c>
      <c r="F109" s="118">
        <v>5345</v>
      </c>
      <c r="G109" s="118">
        <v>242</v>
      </c>
      <c r="H109" s="118" t="s">
        <v>347</v>
      </c>
      <c r="I109" s="118" t="s">
        <v>415</v>
      </c>
      <c r="J109" s="118">
        <v>87008</v>
      </c>
      <c r="K109" s="118">
        <v>29</v>
      </c>
      <c r="L109" s="118" t="s">
        <v>416</v>
      </c>
      <c r="M109" s="118" t="s">
        <v>35</v>
      </c>
      <c r="N109" s="118">
        <v>4274431</v>
      </c>
      <c r="O109" s="121">
        <v>45947</v>
      </c>
      <c r="P109" s="138">
        <v>4399761</v>
      </c>
      <c r="Q109" s="139">
        <v>1913.2</v>
      </c>
      <c r="R109" s="123">
        <v>45962</v>
      </c>
      <c r="S109" s="118">
        <v>317</v>
      </c>
      <c r="T109" s="125"/>
      <c r="U109" s="118" t="s">
        <v>72</v>
      </c>
      <c r="V109" s="118" t="s">
        <v>23</v>
      </c>
      <c r="W109" s="129">
        <v>1913.2</v>
      </c>
      <c r="X109" s="121">
        <v>45965</v>
      </c>
      <c r="Y109" s="140">
        <v>45968</v>
      </c>
      <c r="Z109" s="125" t="s">
        <v>39</v>
      </c>
      <c r="AA109" s="118"/>
      <c r="AB109" s="126">
        <f t="shared" si="1"/>
        <v>0</v>
      </c>
    </row>
    <row r="110" spans="2:28" ht="51" hidden="1" customHeight="1">
      <c r="B110" s="118" t="s">
        <v>344</v>
      </c>
      <c r="C110" s="118" t="s">
        <v>417</v>
      </c>
      <c r="D110" s="118" t="s">
        <v>35</v>
      </c>
      <c r="E110" s="119" t="s">
        <v>418</v>
      </c>
      <c r="F110" s="118">
        <v>2488</v>
      </c>
      <c r="G110" s="118">
        <v>242</v>
      </c>
      <c r="H110" s="118" t="s">
        <v>347</v>
      </c>
      <c r="I110" s="118" t="s">
        <v>419</v>
      </c>
      <c r="J110" s="118">
        <v>86260</v>
      </c>
      <c r="K110" s="118">
        <v>5</v>
      </c>
      <c r="L110" s="118" t="s">
        <v>420</v>
      </c>
      <c r="M110" s="118" t="s">
        <v>35</v>
      </c>
      <c r="N110" s="118">
        <v>4275848</v>
      </c>
      <c r="O110" s="121">
        <v>45950</v>
      </c>
      <c r="P110" s="138">
        <v>4398395</v>
      </c>
      <c r="Q110" s="139">
        <v>1760</v>
      </c>
      <c r="R110" s="123">
        <v>45931</v>
      </c>
      <c r="S110" s="118">
        <v>34</v>
      </c>
      <c r="T110" s="125"/>
      <c r="U110" s="118" t="s">
        <v>72</v>
      </c>
      <c r="V110" s="118" t="s">
        <v>23</v>
      </c>
      <c r="W110" s="129">
        <v>1760</v>
      </c>
      <c r="X110" s="121">
        <v>45962</v>
      </c>
      <c r="Y110" s="140">
        <v>45967</v>
      </c>
      <c r="Z110" s="125" t="s">
        <v>39</v>
      </c>
      <c r="AA110" s="118"/>
      <c r="AB110" s="126">
        <f t="shared" si="1"/>
        <v>0</v>
      </c>
    </row>
    <row r="111" spans="2:28" ht="51" hidden="1" customHeight="1">
      <c r="B111" s="118" t="s">
        <v>295</v>
      </c>
      <c r="C111" s="118" t="s">
        <v>421</v>
      </c>
      <c r="D111" s="118">
        <v>38855</v>
      </c>
      <c r="E111" s="127" t="s">
        <v>422</v>
      </c>
      <c r="F111" s="118">
        <v>2291</v>
      </c>
      <c r="G111" s="118">
        <v>242</v>
      </c>
      <c r="H111" s="118" t="s">
        <v>347</v>
      </c>
      <c r="I111" s="118" t="s">
        <v>423</v>
      </c>
      <c r="J111" s="118">
        <v>87661</v>
      </c>
      <c r="K111" s="118">
        <v>6</v>
      </c>
      <c r="L111" s="118" t="s">
        <v>35</v>
      </c>
      <c r="M111" s="118" t="s">
        <v>35</v>
      </c>
      <c r="N111" s="118">
        <v>4277080</v>
      </c>
      <c r="O111" s="121">
        <v>45950</v>
      </c>
      <c r="P111" s="138">
        <v>4395163</v>
      </c>
      <c r="Q111" s="139">
        <v>2290</v>
      </c>
      <c r="R111" s="123">
        <v>45931</v>
      </c>
      <c r="S111" s="118">
        <v>1366</v>
      </c>
      <c r="T111" s="121">
        <v>19125</v>
      </c>
      <c r="U111" s="118" t="s">
        <v>72</v>
      </c>
      <c r="V111" s="118" t="s">
        <v>23</v>
      </c>
      <c r="W111" s="129">
        <v>2290</v>
      </c>
      <c r="X111" s="121">
        <v>45964</v>
      </c>
      <c r="Y111" s="140">
        <v>45968</v>
      </c>
      <c r="Z111" s="125" t="s">
        <v>39</v>
      </c>
      <c r="AA111" s="118"/>
      <c r="AB111" s="126">
        <f t="shared" si="1"/>
        <v>0</v>
      </c>
    </row>
    <row r="112" spans="2:28" ht="51" hidden="1" customHeight="1">
      <c r="B112" s="118" t="s">
        <v>344</v>
      </c>
      <c r="C112" s="118" t="s">
        <v>424</v>
      </c>
      <c r="D112" s="118">
        <v>39251</v>
      </c>
      <c r="E112" s="127" t="s">
        <v>425</v>
      </c>
      <c r="F112" s="118">
        <v>2089</v>
      </c>
      <c r="G112" s="118">
        <v>242</v>
      </c>
      <c r="H112" s="118" t="s">
        <v>347</v>
      </c>
      <c r="I112" s="118" t="s">
        <v>426</v>
      </c>
      <c r="J112" s="118">
        <v>87524</v>
      </c>
      <c r="K112" s="118">
        <v>6</v>
      </c>
      <c r="L112" s="118" t="s">
        <v>35</v>
      </c>
      <c r="M112" s="118" t="s">
        <v>35</v>
      </c>
      <c r="N112" s="118">
        <v>4277327</v>
      </c>
      <c r="O112" s="121">
        <v>45951</v>
      </c>
      <c r="P112" s="125"/>
      <c r="Q112" s="139">
        <v>6200</v>
      </c>
      <c r="R112" s="123"/>
      <c r="S112" s="118"/>
      <c r="T112" s="118"/>
      <c r="U112" s="118"/>
      <c r="V112" s="118"/>
      <c r="W112" s="129"/>
      <c r="X112" s="121"/>
      <c r="Y112" s="121"/>
      <c r="Z112" s="118" t="s">
        <v>158</v>
      </c>
      <c r="AA112" s="148" t="s">
        <v>427</v>
      </c>
      <c r="AB112" s="126">
        <f t="shared" si="1"/>
        <v>6200</v>
      </c>
    </row>
    <row r="113" spans="2:28" ht="51" hidden="1" customHeight="1">
      <c r="B113" s="118" t="s">
        <v>243</v>
      </c>
      <c r="C113" s="118" t="s">
        <v>244</v>
      </c>
      <c r="D113" s="118" t="s">
        <v>35</v>
      </c>
      <c r="E113" s="127" t="s">
        <v>428</v>
      </c>
      <c r="F113" s="118">
        <v>4120</v>
      </c>
      <c r="G113" s="118">
        <v>242</v>
      </c>
      <c r="H113" s="118" t="s">
        <v>186</v>
      </c>
      <c r="I113" s="118" t="s">
        <v>429</v>
      </c>
      <c r="J113" s="118">
        <v>87649</v>
      </c>
      <c r="K113" s="118">
        <v>29</v>
      </c>
      <c r="L113" s="118" t="s">
        <v>35</v>
      </c>
      <c r="M113" s="118" t="s">
        <v>35</v>
      </c>
      <c r="N113" s="118">
        <v>4277371</v>
      </c>
      <c r="O113" s="121">
        <v>45951</v>
      </c>
      <c r="P113" s="118">
        <v>4398993</v>
      </c>
      <c r="Q113" s="139">
        <v>9141.8799999999992</v>
      </c>
      <c r="R113" s="123"/>
      <c r="S113" s="118"/>
      <c r="T113" s="118"/>
      <c r="U113" s="118"/>
      <c r="V113" s="118"/>
      <c r="W113" s="129"/>
      <c r="X113" s="121"/>
      <c r="Y113" s="121"/>
      <c r="Z113" s="118" t="s">
        <v>48</v>
      </c>
      <c r="AA113" s="118"/>
      <c r="AB113" s="126">
        <f t="shared" si="1"/>
        <v>9141.8799999999992</v>
      </c>
    </row>
    <row r="114" spans="2:28" ht="51" hidden="1" customHeight="1">
      <c r="B114" s="118" t="s">
        <v>243</v>
      </c>
      <c r="C114" s="118" t="s">
        <v>430</v>
      </c>
      <c r="D114" s="118" t="s">
        <v>35</v>
      </c>
      <c r="E114" s="127" t="s">
        <v>431</v>
      </c>
      <c r="F114" s="118">
        <v>2275</v>
      </c>
      <c r="G114" s="118">
        <v>242</v>
      </c>
      <c r="H114" s="118" t="s">
        <v>186</v>
      </c>
      <c r="I114" s="118" t="s">
        <v>430</v>
      </c>
      <c r="J114" s="118">
        <v>87645</v>
      </c>
      <c r="K114" s="118">
        <v>29</v>
      </c>
      <c r="L114" s="118" t="s">
        <v>35</v>
      </c>
      <c r="M114" s="118" t="s">
        <v>35</v>
      </c>
      <c r="N114" s="118">
        <v>4277381</v>
      </c>
      <c r="O114" s="121">
        <v>45951</v>
      </c>
      <c r="P114" s="118">
        <v>4403258</v>
      </c>
      <c r="Q114" s="139">
        <v>1472.8</v>
      </c>
      <c r="R114" s="123"/>
      <c r="S114" s="118"/>
      <c r="T114" s="118"/>
      <c r="U114" s="118"/>
      <c r="V114" s="118"/>
      <c r="W114" s="129"/>
      <c r="X114" s="121"/>
      <c r="Y114" s="121"/>
      <c r="Z114" s="118" t="s">
        <v>48</v>
      </c>
      <c r="AA114" s="118"/>
      <c r="AB114" s="126">
        <f t="shared" si="1"/>
        <v>1472.8</v>
      </c>
    </row>
    <row r="115" spans="2:28" ht="51" hidden="1" customHeight="1">
      <c r="B115" s="118" t="s">
        <v>43</v>
      </c>
      <c r="C115" s="118" t="s">
        <v>432</v>
      </c>
      <c r="D115" s="118">
        <v>35938</v>
      </c>
      <c r="E115" s="127" t="s">
        <v>433</v>
      </c>
      <c r="F115" s="118">
        <v>1244</v>
      </c>
      <c r="G115" s="118">
        <v>242</v>
      </c>
      <c r="H115" s="118" t="s">
        <v>186</v>
      </c>
      <c r="I115" s="118" t="s">
        <v>434</v>
      </c>
      <c r="J115" s="118">
        <v>87696</v>
      </c>
      <c r="K115" s="118">
        <v>6</v>
      </c>
      <c r="L115" s="118" t="s">
        <v>35</v>
      </c>
      <c r="M115" s="118" t="s">
        <v>35</v>
      </c>
      <c r="N115" s="118">
        <v>4280579</v>
      </c>
      <c r="O115" s="121">
        <v>45952</v>
      </c>
      <c r="P115" s="125"/>
      <c r="Q115" s="139">
        <v>5864.1</v>
      </c>
      <c r="R115" s="123"/>
      <c r="S115" s="118"/>
      <c r="T115" s="118"/>
      <c r="U115" s="118"/>
      <c r="V115" s="118"/>
      <c r="W115" s="129"/>
      <c r="X115" s="121"/>
      <c r="Y115" s="121"/>
      <c r="Z115" s="118" t="s">
        <v>158</v>
      </c>
      <c r="AA115" s="118" t="s">
        <v>435</v>
      </c>
      <c r="AB115" s="126">
        <f t="shared" si="1"/>
        <v>5864.1</v>
      </c>
    </row>
    <row r="116" spans="2:28" ht="51" hidden="1" customHeight="1">
      <c r="B116" s="118" t="s">
        <v>262</v>
      </c>
      <c r="C116" s="118" t="s">
        <v>436</v>
      </c>
      <c r="D116" s="118" t="s">
        <v>35</v>
      </c>
      <c r="E116" s="127" t="s">
        <v>437</v>
      </c>
      <c r="F116" s="118">
        <v>1244</v>
      </c>
      <c r="G116" s="118">
        <v>242</v>
      </c>
      <c r="H116" s="118" t="s">
        <v>186</v>
      </c>
      <c r="I116" s="118" t="s">
        <v>436</v>
      </c>
      <c r="J116" s="118" t="s">
        <v>438</v>
      </c>
      <c r="K116" s="118">
        <v>29</v>
      </c>
      <c r="L116" s="118" t="s">
        <v>35</v>
      </c>
      <c r="M116" s="118" t="s">
        <v>35</v>
      </c>
      <c r="N116" s="132" t="s">
        <v>439</v>
      </c>
      <c r="O116" s="121">
        <v>45953</v>
      </c>
      <c r="P116" s="125"/>
      <c r="Q116" s="139">
        <v>970</v>
      </c>
      <c r="R116" s="123"/>
      <c r="S116" s="118"/>
      <c r="T116" s="118"/>
      <c r="U116" s="118"/>
      <c r="V116" s="118"/>
      <c r="W116" s="129"/>
      <c r="X116" s="121"/>
      <c r="Y116" s="121"/>
      <c r="Z116" s="118" t="s">
        <v>158</v>
      </c>
      <c r="AA116" s="118" t="s">
        <v>440</v>
      </c>
      <c r="AB116" s="126">
        <f t="shared" si="1"/>
        <v>970</v>
      </c>
    </row>
    <row r="117" spans="2:28" ht="51" hidden="1" customHeight="1">
      <c r="B117" s="118" t="s">
        <v>344</v>
      </c>
      <c r="C117" s="118" t="s">
        <v>441</v>
      </c>
      <c r="D117" s="118">
        <v>37380</v>
      </c>
      <c r="E117" s="127" t="s">
        <v>442</v>
      </c>
      <c r="F117" s="118">
        <v>1228</v>
      </c>
      <c r="G117" s="118">
        <v>242</v>
      </c>
      <c r="H117" s="118" t="s">
        <v>347</v>
      </c>
      <c r="I117" s="118" t="s">
        <v>443</v>
      </c>
      <c r="J117" s="118">
        <v>88086</v>
      </c>
      <c r="K117" s="118">
        <v>6</v>
      </c>
      <c r="L117" s="118" t="s">
        <v>35</v>
      </c>
      <c r="M117" s="118" t="s">
        <v>35</v>
      </c>
      <c r="N117" s="118">
        <v>4280038</v>
      </c>
      <c r="O117" s="121">
        <v>45953</v>
      </c>
      <c r="P117" s="138">
        <v>4398995</v>
      </c>
      <c r="Q117" s="139">
        <v>2861</v>
      </c>
      <c r="R117" s="123"/>
      <c r="S117" s="118">
        <v>7</v>
      </c>
      <c r="T117" s="138"/>
      <c r="U117" s="118" t="s">
        <v>72</v>
      </c>
      <c r="V117" s="118" t="s">
        <v>23</v>
      </c>
      <c r="W117" s="129">
        <v>2861</v>
      </c>
      <c r="X117" s="121">
        <v>45966</v>
      </c>
      <c r="Y117" s="140">
        <v>45978</v>
      </c>
      <c r="Z117" s="125" t="s">
        <v>39</v>
      </c>
      <c r="AA117" s="118"/>
      <c r="AB117" s="126">
        <f t="shared" si="1"/>
        <v>0</v>
      </c>
    </row>
    <row r="118" spans="2:28" ht="51" hidden="1" customHeight="1">
      <c r="B118" s="118" t="s">
        <v>222</v>
      </c>
      <c r="C118" s="118" t="s">
        <v>444</v>
      </c>
      <c r="D118" s="118" t="s">
        <v>35</v>
      </c>
      <c r="E118" s="127" t="s">
        <v>445</v>
      </c>
      <c r="F118" s="118">
        <v>4502</v>
      </c>
      <c r="G118" s="118">
        <v>326</v>
      </c>
      <c r="H118" s="118" t="s">
        <v>186</v>
      </c>
      <c r="I118" s="118" t="s">
        <v>446</v>
      </c>
      <c r="J118" s="118" t="s">
        <v>35</v>
      </c>
      <c r="K118" s="118">
        <v>1</v>
      </c>
      <c r="L118" s="118" t="s">
        <v>35</v>
      </c>
      <c r="M118" s="118" t="s">
        <v>35</v>
      </c>
      <c r="N118" s="118">
        <v>4225878</v>
      </c>
      <c r="O118" s="121">
        <v>45898</v>
      </c>
      <c r="P118" s="118">
        <v>4350173</v>
      </c>
      <c r="Q118" s="139">
        <v>1600000</v>
      </c>
      <c r="R118" s="123" t="s">
        <v>35</v>
      </c>
      <c r="S118" s="118">
        <v>497</v>
      </c>
      <c r="T118" s="118" t="s">
        <v>35</v>
      </c>
      <c r="U118" s="118" t="s">
        <v>72</v>
      </c>
      <c r="V118" s="118" t="s">
        <v>38</v>
      </c>
      <c r="W118" s="129">
        <v>211979.02</v>
      </c>
      <c r="X118" s="121">
        <v>45954</v>
      </c>
      <c r="Y118" s="121">
        <v>45957</v>
      </c>
      <c r="Z118" s="118" t="s">
        <v>65</v>
      </c>
      <c r="AA118" s="118"/>
      <c r="AB118" s="126">
        <f t="shared" si="1"/>
        <v>1388020.98</v>
      </c>
    </row>
    <row r="119" spans="2:28" ht="51" hidden="1" customHeight="1">
      <c r="B119" s="118" t="s">
        <v>222</v>
      </c>
      <c r="C119" s="118" t="s">
        <v>444</v>
      </c>
      <c r="D119" s="118" t="s">
        <v>35</v>
      </c>
      <c r="E119" s="127" t="s">
        <v>445</v>
      </c>
      <c r="F119" s="118">
        <v>4502</v>
      </c>
      <c r="G119" s="118">
        <v>326</v>
      </c>
      <c r="H119" s="118" t="s">
        <v>186</v>
      </c>
      <c r="I119" s="118" t="s">
        <v>446</v>
      </c>
      <c r="J119" s="118" t="s">
        <v>35</v>
      </c>
      <c r="K119" s="118">
        <v>1</v>
      </c>
      <c r="L119" s="118" t="s">
        <v>35</v>
      </c>
      <c r="M119" s="118" t="s">
        <v>35</v>
      </c>
      <c r="N119" s="118">
        <v>4225878</v>
      </c>
      <c r="O119" s="121">
        <v>45898</v>
      </c>
      <c r="P119" s="118">
        <v>4350173</v>
      </c>
      <c r="Q119" s="139">
        <v>1021452.68</v>
      </c>
      <c r="R119" s="123" t="s">
        <v>35</v>
      </c>
      <c r="S119" s="118">
        <v>508</v>
      </c>
      <c r="T119" s="118" t="s">
        <v>35</v>
      </c>
      <c r="U119" s="118" t="s">
        <v>447</v>
      </c>
      <c r="V119" s="118" t="s">
        <v>38</v>
      </c>
      <c r="W119" s="129">
        <v>392755.44</v>
      </c>
      <c r="X119" s="121">
        <v>45986</v>
      </c>
      <c r="Y119" s="121">
        <v>45986</v>
      </c>
      <c r="Z119" s="118" t="s">
        <v>65</v>
      </c>
      <c r="AA119" s="118"/>
      <c r="AB119" s="126">
        <f>Q119-W119</f>
        <v>628697.24</v>
      </c>
    </row>
    <row r="120" spans="2:28" ht="51" hidden="1" customHeight="1">
      <c r="B120" s="117" t="s">
        <v>148</v>
      </c>
      <c r="C120" s="118" t="s">
        <v>116</v>
      </c>
      <c r="D120" s="118" t="s">
        <v>35</v>
      </c>
      <c r="E120" s="119" t="s">
        <v>448</v>
      </c>
      <c r="F120" s="118">
        <v>2232</v>
      </c>
      <c r="G120" s="118">
        <v>242</v>
      </c>
      <c r="H120" s="118" t="s">
        <v>33</v>
      </c>
      <c r="I120" s="118" t="s">
        <v>449</v>
      </c>
      <c r="J120" s="118">
        <v>88105</v>
      </c>
      <c r="K120" s="118">
        <v>5</v>
      </c>
      <c r="L120" s="118" t="s">
        <v>450</v>
      </c>
      <c r="M120" s="118" t="s">
        <v>37</v>
      </c>
      <c r="N120" s="118">
        <v>4308405</v>
      </c>
      <c r="O120" s="121">
        <v>45983</v>
      </c>
      <c r="P120" s="118">
        <v>4431058</v>
      </c>
      <c r="Q120" s="122">
        <v>695</v>
      </c>
      <c r="R120" s="123">
        <v>45962</v>
      </c>
      <c r="S120" s="118"/>
      <c r="T120" s="118">
        <v>100</v>
      </c>
      <c r="U120" s="118"/>
      <c r="V120" s="118"/>
      <c r="W120" s="129"/>
      <c r="X120" s="121"/>
      <c r="Y120" s="121"/>
      <c r="Z120" s="118" t="s">
        <v>48</v>
      </c>
      <c r="AA120" s="118"/>
      <c r="AB120" s="126">
        <f t="shared" si="1"/>
        <v>695</v>
      </c>
    </row>
    <row r="121" spans="2:28" ht="51" hidden="1" customHeight="1">
      <c r="B121" s="117" t="s">
        <v>148</v>
      </c>
      <c r="C121" s="118" t="s">
        <v>116</v>
      </c>
      <c r="D121" s="118" t="s">
        <v>35</v>
      </c>
      <c r="E121" s="119" t="s">
        <v>451</v>
      </c>
      <c r="F121" s="118">
        <v>2470</v>
      </c>
      <c r="G121" s="118">
        <v>242</v>
      </c>
      <c r="H121" s="118" t="s">
        <v>33</v>
      </c>
      <c r="I121" s="118" t="s">
        <v>452</v>
      </c>
      <c r="J121" s="118">
        <v>88117</v>
      </c>
      <c r="K121" s="118">
        <v>5</v>
      </c>
      <c r="L121" s="118" t="s">
        <v>453</v>
      </c>
      <c r="M121" s="118" t="s">
        <v>37</v>
      </c>
      <c r="N121" s="118">
        <v>4306480</v>
      </c>
      <c r="O121" s="121">
        <v>45981</v>
      </c>
      <c r="P121" s="118">
        <v>4425736</v>
      </c>
      <c r="Q121" s="122">
        <v>2985</v>
      </c>
      <c r="R121" s="123">
        <v>45962</v>
      </c>
      <c r="S121" s="118"/>
      <c r="T121" s="118" t="s">
        <v>454</v>
      </c>
      <c r="U121" s="118"/>
      <c r="V121" s="118"/>
      <c r="W121" s="129"/>
      <c r="X121" s="121"/>
      <c r="Y121" s="121"/>
      <c r="Z121" s="118" t="s">
        <v>48</v>
      </c>
      <c r="AA121" s="118" t="s">
        <v>455</v>
      </c>
      <c r="AB121" s="126">
        <f t="shared" si="1"/>
        <v>2985</v>
      </c>
    </row>
    <row r="122" spans="2:28" ht="51" hidden="1" customHeight="1">
      <c r="B122" s="118" t="s">
        <v>49</v>
      </c>
      <c r="C122" s="118" t="s">
        <v>456</v>
      </c>
      <c r="D122" s="118" t="s">
        <v>35</v>
      </c>
      <c r="E122" s="127" t="s">
        <v>457</v>
      </c>
      <c r="F122" s="118">
        <v>5345</v>
      </c>
      <c r="G122" s="118">
        <v>153</v>
      </c>
      <c r="H122" s="118" t="s">
        <v>33</v>
      </c>
      <c r="I122" s="118" t="s">
        <v>458</v>
      </c>
      <c r="J122" s="118">
        <v>88229</v>
      </c>
      <c r="K122" s="118">
        <v>5</v>
      </c>
      <c r="L122" s="118" t="s">
        <v>459</v>
      </c>
      <c r="M122" s="118" t="s">
        <v>72</v>
      </c>
      <c r="N122" s="118">
        <v>4281839</v>
      </c>
      <c r="O122" s="121">
        <v>45957</v>
      </c>
      <c r="P122" s="118">
        <v>4401614</v>
      </c>
      <c r="Q122" s="122">
        <v>1500</v>
      </c>
      <c r="R122" s="123">
        <v>45931</v>
      </c>
      <c r="S122" s="118"/>
      <c r="T122" s="118" t="s">
        <v>460</v>
      </c>
      <c r="U122" s="118"/>
      <c r="V122" s="118"/>
      <c r="W122" s="129"/>
      <c r="X122" s="121"/>
      <c r="Y122" s="121"/>
      <c r="Z122" s="118" t="s">
        <v>48</v>
      </c>
      <c r="AA122" s="118"/>
      <c r="AB122" s="126">
        <f t="shared" si="1"/>
        <v>1500</v>
      </c>
    </row>
    <row r="123" spans="2:28" ht="51" hidden="1" customHeight="1">
      <c r="B123" s="117" t="s">
        <v>49</v>
      </c>
      <c r="C123" s="118" t="s">
        <v>456</v>
      </c>
      <c r="D123" s="118" t="s">
        <v>35</v>
      </c>
      <c r="E123" s="127" t="s">
        <v>461</v>
      </c>
      <c r="F123" s="118">
        <v>5345</v>
      </c>
      <c r="G123" s="118">
        <v>242</v>
      </c>
      <c r="H123" s="118" t="s">
        <v>33</v>
      </c>
      <c r="I123" s="118" t="s">
        <v>462</v>
      </c>
      <c r="J123" s="118">
        <v>88232</v>
      </c>
      <c r="K123" s="118">
        <v>29</v>
      </c>
      <c r="L123" s="118" t="s">
        <v>463</v>
      </c>
      <c r="M123" s="118" t="s">
        <v>35</v>
      </c>
      <c r="N123" s="118">
        <v>4281851</v>
      </c>
      <c r="O123" s="121">
        <v>45957</v>
      </c>
      <c r="P123" s="118">
        <v>4403057</v>
      </c>
      <c r="Q123" s="122">
        <v>1755</v>
      </c>
      <c r="R123" s="123">
        <v>45962</v>
      </c>
      <c r="S123" s="118"/>
      <c r="T123" s="118"/>
      <c r="U123" s="118"/>
      <c r="V123" s="118"/>
      <c r="W123" s="129"/>
      <c r="X123" s="121"/>
      <c r="Y123" s="121"/>
      <c r="Z123" s="118" t="s">
        <v>48</v>
      </c>
      <c r="AA123" s="118"/>
      <c r="AB123" s="126">
        <f t="shared" si="1"/>
        <v>1755</v>
      </c>
    </row>
    <row r="124" spans="2:28" ht="51" hidden="1" customHeight="1">
      <c r="B124" s="117" t="s">
        <v>49</v>
      </c>
      <c r="C124" s="118" t="s">
        <v>83</v>
      </c>
      <c r="D124" s="118">
        <v>38714</v>
      </c>
      <c r="E124" s="127" t="s">
        <v>464</v>
      </c>
      <c r="F124" s="118">
        <v>4057</v>
      </c>
      <c r="G124" s="118">
        <v>242</v>
      </c>
      <c r="H124" s="118" t="s">
        <v>33</v>
      </c>
      <c r="I124" s="118" t="s">
        <v>465</v>
      </c>
      <c r="J124" s="118">
        <v>88280</v>
      </c>
      <c r="K124" s="118">
        <v>6</v>
      </c>
      <c r="L124" s="118" t="s">
        <v>35</v>
      </c>
      <c r="M124" s="118" t="s">
        <v>35</v>
      </c>
      <c r="N124" s="118">
        <v>4281766</v>
      </c>
      <c r="O124" s="121">
        <v>45957</v>
      </c>
      <c r="P124" s="118">
        <v>4402571</v>
      </c>
      <c r="Q124" s="124">
        <v>3525.4</v>
      </c>
      <c r="R124" s="123">
        <v>45962</v>
      </c>
      <c r="S124" s="118">
        <v>149</v>
      </c>
      <c r="T124" s="118" t="s">
        <v>466</v>
      </c>
      <c r="U124" s="118" t="s">
        <v>37</v>
      </c>
      <c r="V124" s="118" t="s">
        <v>87</v>
      </c>
      <c r="W124" s="124">
        <v>3525.4</v>
      </c>
      <c r="X124" s="121">
        <v>45994</v>
      </c>
      <c r="Y124" s="121"/>
      <c r="Z124" s="118" t="s">
        <v>467</v>
      </c>
      <c r="AA124" s="118"/>
      <c r="AB124" s="126">
        <f t="shared" si="1"/>
        <v>0</v>
      </c>
    </row>
    <row r="125" spans="2:28" ht="51" hidden="1" customHeight="1">
      <c r="B125" s="118" t="s">
        <v>287</v>
      </c>
      <c r="C125" s="118" t="s">
        <v>468</v>
      </c>
      <c r="D125" s="118" t="s">
        <v>35</v>
      </c>
      <c r="E125" s="127" t="s">
        <v>469</v>
      </c>
      <c r="F125" s="118">
        <v>2330</v>
      </c>
      <c r="G125" s="118">
        <v>5</v>
      </c>
      <c r="H125" s="118" t="s">
        <v>186</v>
      </c>
      <c r="I125" s="118" t="s">
        <v>470</v>
      </c>
      <c r="J125" s="118">
        <v>88462</v>
      </c>
      <c r="K125" s="118">
        <v>2</v>
      </c>
      <c r="L125" s="118" t="s">
        <v>471</v>
      </c>
      <c r="M125" s="118" t="s">
        <v>35</v>
      </c>
      <c r="N125" s="136" t="s">
        <v>472</v>
      </c>
      <c r="O125" s="121">
        <v>45964</v>
      </c>
      <c r="P125" s="138">
        <v>4413670</v>
      </c>
      <c r="Q125" s="149">
        <v>7903.91</v>
      </c>
      <c r="R125" s="123">
        <v>45931</v>
      </c>
      <c r="S125" s="118">
        <v>2152</v>
      </c>
      <c r="T125" s="118" t="s">
        <v>35</v>
      </c>
      <c r="U125" s="118" t="s">
        <v>447</v>
      </c>
      <c r="V125" s="118" t="s">
        <v>38</v>
      </c>
      <c r="W125" s="129">
        <v>7903.91</v>
      </c>
      <c r="X125" s="121">
        <v>45975</v>
      </c>
      <c r="Y125" s="140">
        <v>45978</v>
      </c>
      <c r="Z125" s="125" t="s">
        <v>39</v>
      </c>
      <c r="AA125" s="118"/>
      <c r="AB125" s="126">
        <f t="shared" si="1"/>
        <v>0</v>
      </c>
    </row>
    <row r="126" spans="2:28" ht="51" hidden="1" customHeight="1">
      <c r="B126" s="118" t="s">
        <v>222</v>
      </c>
      <c r="C126" s="118" t="s">
        <v>473</v>
      </c>
      <c r="D126" s="118">
        <v>39091</v>
      </c>
      <c r="E126" s="127" t="s">
        <v>474</v>
      </c>
      <c r="F126" s="118">
        <v>2313</v>
      </c>
      <c r="G126" s="118">
        <v>242</v>
      </c>
      <c r="H126" s="118" t="s">
        <v>186</v>
      </c>
      <c r="I126" s="118" t="s">
        <v>475</v>
      </c>
      <c r="J126" s="118">
        <v>87798</v>
      </c>
      <c r="K126" s="118">
        <v>6</v>
      </c>
      <c r="L126" s="118" t="s">
        <v>35</v>
      </c>
      <c r="M126" s="118" t="s">
        <v>35</v>
      </c>
      <c r="N126" s="118">
        <v>4281993</v>
      </c>
      <c r="O126" s="121">
        <v>45957</v>
      </c>
      <c r="P126" s="118">
        <v>4399673</v>
      </c>
      <c r="Q126" s="149">
        <v>10500</v>
      </c>
      <c r="R126" s="123">
        <v>45981</v>
      </c>
      <c r="S126" s="118"/>
      <c r="T126" s="118"/>
      <c r="U126" s="118"/>
      <c r="V126" s="118"/>
      <c r="W126" s="129"/>
      <c r="X126" s="121"/>
      <c r="Y126" s="121"/>
      <c r="Z126" s="118" t="s">
        <v>48</v>
      </c>
      <c r="AA126" s="118"/>
      <c r="AB126" s="126">
        <f t="shared" si="1"/>
        <v>10500</v>
      </c>
    </row>
    <row r="127" spans="2:28" ht="51" hidden="1" customHeight="1">
      <c r="B127" s="118" t="s">
        <v>295</v>
      </c>
      <c r="C127" s="118" t="s">
        <v>116</v>
      </c>
      <c r="D127" s="118" t="s">
        <v>35</v>
      </c>
      <c r="E127" s="119" t="s">
        <v>476</v>
      </c>
      <c r="F127" s="118">
        <v>2291</v>
      </c>
      <c r="G127" s="118">
        <v>242</v>
      </c>
      <c r="H127" s="118" t="s">
        <v>186</v>
      </c>
      <c r="I127" s="118" t="s">
        <v>477</v>
      </c>
      <c r="J127" s="118">
        <v>87782</v>
      </c>
      <c r="K127" s="118">
        <v>2</v>
      </c>
      <c r="L127" s="118" t="s">
        <v>478</v>
      </c>
      <c r="M127" s="118" t="s">
        <v>35</v>
      </c>
      <c r="N127" s="118">
        <v>4282004</v>
      </c>
      <c r="O127" s="121">
        <v>45957</v>
      </c>
      <c r="P127" s="138">
        <v>4399466</v>
      </c>
      <c r="Q127" s="149">
        <v>2980.3</v>
      </c>
      <c r="R127" s="123">
        <v>45931</v>
      </c>
      <c r="S127" s="118">
        <v>319</v>
      </c>
      <c r="T127" s="125"/>
      <c r="U127" s="118" t="s">
        <v>72</v>
      </c>
      <c r="V127" s="118" t="s">
        <v>38</v>
      </c>
      <c r="W127" s="129">
        <v>2980.3</v>
      </c>
      <c r="X127" s="121">
        <v>45962</v>
      </c>
      <c r="Y127" s="140">
        <v>45965</v>
      </c>
      <c r="Z127" s="125" t="s">
        <v>39</v>
      </c>
      <c r="AA127" s="118" t="s">
        <v>479</v>
      </c>
      <c r="AB127" s="126">
        <f t="shared" si="1"/>
        <v>0</v>
      </c>
    </row>
    <row r="128" spans="2:28" ht="51" hidden="1" customHeight="1">
      <c r="B128" s="118" t="s">
        <v>344</v>
      </c>
      <c r="C128" s="118" t="s">
        <v>432</v>
      </c>
      <c r="D128" s="118">
        <v>35938</v>
      </c>
      <c r="E128" s="127" t="s">
        <v>480</v>
      </c>
      <c r="F128" s="118">
        <v>1228</v>
      </c>
      <c r="G128" s="118">
        <v>242</v>
      </c>
      <c r="H128" s="118" t="s">
        <v>186</v>
      </c>
      <c r="I128" s="118" t="s">
        <v>481</v>
      </c>
      <c r="J128" s="118">
        <v>85621</v>
      </c>
      <c r="K128" s="118">
        <v>6</v>
      </c>
      <c r="L128" s="118" t="s">
        <v>35</v>
      </c>
      <c r="M128" s="118" t="s">
        <v>35</v>
      </c>
      <c r="N128" s="118">
        <v>4267620</v>
      </c>
      <c r="O128" s="121">
        <v>45940</v>
      </c>
      <c r="P128" s="118">
        <v>4385255</v>
      </c>
      <c r="Q128" s="149">
        <v>5570.9</v>
      </c>
      <c r="R128" s="123">
        <v>45962</v>
      </c>
      <c r="S128" s="118">
        <v>2371</v>
      </c>
      <c r="T128" s="150">
        <v>45957</v>
      </c>
      <c r="U128" s="118" t="s">
        <v>37</v>
      </c>
      <c r="V128" s="118" t="s">
        <v>38</v>
      </c>
      <c r="W128" s="129">
        <v>5570.9</v>
      </c>
      <c r="X128" s="121">
        <v>45953</v>
      </c>
      <c r="Y128" s="121">
        <v>45957</v>
      </c>
      <c r="Z128" s="125" t="s">
        <v>39</v>
      </c>
      <c r="AA128" s="118"/>
      <c r="AB128" s="126">
        <f t="shared" si="1"/>
        <v>0</v>
      </c>
    </row>
    <row r="129" spans="2:28" ht="51" hidden="1" customHeight="1">
      <c r="B129" s="118" t="s">
        <v>106</v>
      </c>
      <c r="C129" s="118" t="s">
        <v>482</v>
      </c>
      <c r="D129" s="118">
        <v>39361</v>
      </c>
      <c r="E129" s="127" t="s">
        <v>483</v>
      </c>
      <c r="F129" s="118">
        <v>2488</v>
      </c>
      <c r="G129" s="118">
        <v>170</v>
      </c>
      <c r="H129" s="118" t="s">
        <v>33</v>
      </c>
      <c r="I129" s="118" t="s">
        <v>484</v>
      </c>
      <c r="J129" s="118">
        <v>88468</v>
      </c>
      <c r="K129" s="118">
        <v>6</v>
      </c>
      <c r="L129" s="118" t="s">
        <v>35</v>
      </c>
      <c r="M129" s="118" t="s">
        <v>35</v>
      </c>
      <c r="N129" s="118">
        <v>4282673</v>
      </c>
      <c r="O129" s="121">
        <v>45957</v>
      </c>
      <c r="P129" s="118">
        <v>4399684</v>
      </c>
      <c r="Q129" s="124">
        <v>2400</v>
      </c>
      <c r="R129" s="123">
        <v>45962</v>
      </c>
      <c r="S129" s="118">
        <v>4278</v>
      </c>
      <c r="T129" s="118">
        <v>8624</v>
      </c>
      <c r="U129" s="118" t="s">
        <v>37</v>
      </c>
      <c r="V129" s="118" t="s">
        <v>23</v>
      </c>
      <c r="W129" s="129">
        <v>2400</v>
      </c>
      <c r="X129" s="121">
        <v>45965</v>
      </c>
      <c r="Y129" s="121">
        <v>45977</v>
      </c>
      <c r="Z129" s="125" t="s">
        <v>39</v>
      </c>
      <c r="AA129" s="118"/>
      <c r="AB129" s="126">
        <f>Q129-W129</f>
        <v>0</v>
      </c>
    </row>
    <row r="130" spans="2:28" ht="51" hidden="1" customHeight="1">
      <c r="B130" s="118" t="s">
        <v>253</v>
      </c>
      <c r="C130" s="118" t="s">
        <v>485</v>
      </c>
      <c r="D130" s="118" t="s">
        <v>35</v>
      </c>
      <c r="E130" s="127" t="s">
        <v>486</v>
      </c>
      <c r="F130" s="118">
        <v>1210</v>
      </c>
      <c r="G130" s="118">
        <v>242</v>
      </c>
      <c r="H130" s="118" t="s">
        <v>186</v>
      </c>
      <c r="I130" s="118" t="s">
        <v>487</v>
      </c>
      <c r="J130" s="118">
        <v>76865</v>
      </c>
      <c r="K130" s="118">
        <v>29</v>
      </c>
      <c r="L130" s="118" t="s">
        <v>488</v>
      </c>
      <c r="M130" s="118" t="s">
        <v>35</v>
      </c>
      <c r="N130" s="118">
        <v>4218847</v>
      </c>
      <c r="O130" s="121">
        <v>45888</v>
      </c>
      <c r="P130" s="118">
        <v>4341460</v>
      </c>
      <c r="Q130" s="149">
        <v>11998.96</v>
      </c>
      <c r="R130" s="123">
        <v>45901</v>
      </c>
      <c r="S130" s="118" t="s">
        <v>489</v>
      </c>
      <c r="T130" s="150">
        <v>45922</v>
      </c>
      <c r="U130" s="118" t="s">
        <v>37</v>
      </c>
      <c r="V130" s="118" t="s">
        <v>38</v>
      </c>
      <c r="W130" s="151" t="s">
        <v>490</v>
      </c>
      <c r="X130" s="121" t="s">
        <v>491</v>
      </c>
      <c r="Y130" s="121">
        <v>45979</v>
      </c>
      <c r="Z130" s="118" t="s">
        <v>152</v>
      </c>
      <c r="AA130" s="118" t="s">
        <v>492</v>
      </c>
      <c r="AB130" s="126" t="e">
        <f t="shared" si="1"/>
        <v>#VALUE!</v>
      </c>
    </row>
    <row r="131" spans="2:28" ht="51" hidden="1" customHeight="1">
      <c r="B131" s="118" t="s">
        <v>253</v>
      </c>
      <c r="C131" s="118" t="s">
        <v>485</v>
      </c>
      <c r="D131" s="118" t="s">
        <v>35</v>
      </c>
      <c r="E131" s="127" t="s">
        <v>493</v>
      </c>
      <c r="F131" s="118">
        <v>2054</v>
      </c>
      <c r="G131" s="118">
        <v>242</v>
      </c>
      <c r="H131" s="118" t="s">
        <v>186</v>
      </c>
      <c r="I131" s="118" t="s">
        <v>494</v>
      </c>
      <c r="J131" s="118">
        <v>77453</v>
      </c>
      <c r="K131" s="118">
        <v>29</v>
      </c>
      <c r="L131" s="118" t="s">
        <v>495</v>
      </c>
      <c r="M131" s="118" t="s">
        <v>35</v>
      </c>
      <c r="N131" s="118">
        <v>4214425</v>
      </c>
      <c r="O131" s="121">
        <v>45888</v>
      </c>
      <c r="P131" s="118">
        <v>4341459</v>
      </c>
      <c r="Q131" s="149">
        <v>13484.94</v>
      </c>
      <c r="R131" s="123">
        <v>45901</v>
      </c>
      <c r="S131" s="118">
        <v>18280</v>
      </c>
      <c r="T131" s="150">
        <v>45930</v>
      </c>
      <c r="U131" s="118" t="s">
        <v>37</v>
      </c>
      <c r="V131" s="118" t="s">
        <v>38</v>
      </c>
      <c r="W131" s="129" t="s">
        <v>496</v>
      </c>
      <c r="X131" s="121" t="s">
        <v>497</v>
      </c>
      <c r="Y131" s="121">
        <v>45979</v>
      </c>
      <c r="Z131" s="118" t="s">
        <v>152</v>
      </c>
      <c r="AA131" s="118" t="s">
        <v>492</v>
      </c>
      <c r="AB131" s="126" t="e">
        <f t="shared" si="1"/>
        <v>#VALUE!</v>
      </c>
    </row>
    <row r="132" spans="2:28" ht="51" hidden="1" customHeight="1">
      <c r="B132" s="118" t="s">
        <v>253</v>
      </c>
      <c r="C132" s="118" t="s">
        <v>498</v>
      </c>
      <c r="D132" s="118">
        <v>33130</v>
      </c>
      <c r="E132" s="127" t="s">
        <v>499</v>
      </c>
      <c r="F132" s="118">
        <v>2330</v>
      </c>
      <c r="G132" s="118">
        <v>242</v>
      </c>
      <c r="H132" s="118" t="s">
        <v>186</v>
      </c>
      <c r="I132" s="118" t="s">
        <v>500</v>
      </c>
      <c r="J132" s="118">
        <v>77839</v>
      </c>
      <c r="K132" s="118">
        <v>6</v>
      </c>
      <c r="L132" s="118" t="s">
        <v>35</v>
      </c>
      <c r="M132" s="118" t="s">
        <v>35</v>
      </c>
      <c r="N132" s="118">
        <v>4219286</v>
      </c>
      <c r="O132" s="121">
        <v>45891</v>
      </c>
      <c r="P132" s="118">
        <v>4339322</v>
      </c>
      <c r="Q132" s="149">
        <v>13339.2</v>
      </c>
      <c r="R132" s="123">
        <v>45901</v>
      </c>
      <c r="S132" s="118">
        <v>11583</v>
      </c>
      <c r="T132" s="125"/>
      <c r="U132" s="118" t="s">
        <v>72</v>
      </c>
      <c r="V132" s="118" t="s">
        <v>38</v>
      </c>
      <c r="W132" s="129">
        <v>13339.2</v>
      </c>
      <c r="X132" s="121">
        <v>45964</v>
      </c>
      <c r="Y132" s="140">
        <v>45971</v>
      </c>
      <c r="Z132" s="125" t="s">
        <v>39</v>
      </c>
      <c r="AA132" s="118"/>
      <c r="AB132" s="126">
        <f t="shared" si="1"/>
        <v>0</v>
      </c>
    </row>
    <row r="133" spans="2:28" ht="51" hidden="1" customHeight="1">
      <c r="B133" s="118" t="s">
        <v>253</v>
      </c>
      <c r="C133" s="118" t="s">
        <v>501</v>
      </c>
      <c r="D133" s="118">
        <v>35700</v>
      </c>
      <c r="E133" s="127" t="s">
        <v>502</v>
      </c>
      <c r="F133" s="118">
        <v>1210</v>
      </c>
      <c r="G133" s="118">
        <v>242</v>
      </c>
      <c r="H133" s="118" t="s">
        <v>186</v>
      </c>
      <c r="I133" s="118" t="s">
        <v>501</v>
      </c>
      <c r="J133" s="118">
        <v>79165</v>
      </c>
      <c r="K133" s="118">
        <v>6</v>
      </c>
      <c r="L133" s="118" t="s">
        <v>35</v>
      </c>
      <c r="M133" s="118" t="s">
        <v>35</v>
      </c>
      <c r="N133" s="118">
        <v>4228570</v>
      </c>
      <c r="O133" s="121">
        <v>45901</v>
      </c>
      <c r="P133" s="118">
        <v>4345815</v>
      </c>
      <c r="Q133" s="149">
        <v>6400</v>
      </c>
      <c r="R133" s="123">
        <v>45901</v>
      </c>
      <c r="S133" s="118">
        <v>3127</v>
      </c>
      <c r="T133" s="138" t="s">
        <v>503</v>
      </c>
      <c r="U133" s="118" t="s">
        <v>72</v>
      </c>
      <c r="V133" s="118" t="s">
        <v>38</v>
      </c>
      <c r="W133" s="129">
        <v>6400</v>
      </c>
      <c r="X133" s="121">
        <v>45971</v>
      </c>
      <c r="Y133" s="140">
        <v>45975</v>
      </c>
      <c r="Z133" s="125" t="s">
        <v>39</v>
      </c>
      <c r="AA133" s="118"/>
      <c r="AB133" s="126">
        <f t="shared" si="1"/>
        <v>0</v>
      </c>
    </row>
    <row r="134" spans="2:28" ht="51" hidden="1" customHeight="1">
      <c r="B134" s="118" t="s">
        <v>253</v>
      </c>
      <c r="C134" s="118" t="s">
        <v>485</v>
      </c>
      <c r="D134" s="118" t="s">
        <v>35</v>
      </c>
      <c r="E134" s="127" t="s">
        <v>504</v>
      </c>
      <c r="F134" s="118">
        <v>2054</v>
      </c>
      <c r="G134" s="118">
        <v>242</v>
      </c>
      <c r="H134" s="118" t="s">
        <v>186</v>
      </c>
      <c r="I134" s="118" t="s">
        <v>505</v>
      </c>
      <c r="J134" s="118">
        <v>79324</v>
      </c>
      <c r="K134" s="118">
        <v>29</v>
      </c>
      <c r="L134" s="118" t="s">
        <v>506</v>
      </c>
      <c r="M134" s="118" t="s">
        <v>35</v>
      </c>
      <c r="N134" s="118">
        <v>4230540</v>
      </c>
      <c r="O134" s="121">
        <v>45903</v>
      </c>
      <c r="P134" s="118">
        <v>4348203</v>
      </c>
      <c r="Q134" s="149">
        <v>20821.27</v>
      </c>
      <c r="R134" s="123">
        <v>45901</v>
      </c>
      <c r="S134" s="118"/>
      <c r="T134" s="118"/>
      <c r="U134" s="118"/>
      <c r="V134" s="118"/>
      <c r="W134" s="129"/>
      <c r="X134" s="121"/>
      <c r="Y134" s="121"/>
      <c r="Z134" s="118" t="s">
        <v>48</v>
      </c>
      <c r="AA134" s="118"/>
      <c r="AB134" s="126">
        <f t="shared" ref="AB134:AB198" si="2">Q134-W134</f>
        <v>20821.27</v>
      </c>
    </row>
    <row r="135" spans="2:28" ht="51" hidden="1" customHeight="1">
      <c r="B135" s="118" t="s">
        <v>253</v>
      </c>
      <c r="C135" s="118" t="s">
        <v>382</v>
      </c>
      <c r="D135" s="118">
        <v>38584</v>
      </c>
      <c r="E135" s="127" t="s">
        <v>507</v>
      </c>
      <c r="F135" s="118">
        <v>1236</v>
      </c>
      <c r="G135" s="118">
        <v>242</v>
      </c>
      <c r="H135" s="118" t="s">
        <v>186</v>
      </c>
      <c r="I135" s="118" t="s">
        <v>508</v>
      </c>
      <c r="J135" s="118">
        <v>79900</v>
      </c>
      <c r="K135" s="118">
        <v>6</v>
      </c>
      <c r="L135" s="118" t="s">
        <v>35</v>
      </c>
      <c r="M135" s="118" t="s">
        <v>35</v>
      </c>
      <c r="N135" s="118">
        <v>4244650</v>
      </c>
      <c r="O135" s="121">
        <v>45908</v>
      </c>
      <c r="P135" s="118">
        <v>4361916</v>
      </c>
      <c r="Q135" s="149">
        <v>22684</v>
      </c>
      <c r="R135" s="123">
        <v>45901</v>
      </c>
      <c r="S135" s="118">
        <v>1559</v>
      </c>
      <c r="T135" s="147">
        <v>45959</v>
      </c>
      <c r="U135" s="118" t="s">
        <v>72</v>
      </c>
      <c r="V135" s="118" t="s">
        <v>23</v>
      </c>
      <c r="W135" s="129">
        <v>22684</v>
      </c>
      <c r="X135" s="121">
        <v>45962</v>
      </c>
      <c r="Y135" s="140">
        <v>45964</v>
      </c>
      <c r="Z135" s="125" t="s">
        <v>39</v>
      </c>
      <c r="AA135" s="118"/>
      <c r="AB135" s="126">
        <f t="shared" si="1"/>
        <v>0</v>
      </c>
    </row>
    <row r="136" spans="2:28" ht="51" hidden="1" customHeight="1">
      <c r="B136" s="118" t="s">
        <v>253</v>
      </c>
      <c r="C136" s="118" t="s">
        <v>509</v>
      </c>
      <c r="D136" s="118" t="s">
        <v>35</v>
      </c>
      <c r="E136" s="127" t="s">
        <v>510</v>
      </c>
      <c r="F136" s="118">
        <v>2488</v>
      </c>
      <c r="G136" s="118">
        <v>5</v>
      </c>
      <c r="H136" s="118" t="s">
        <v>186</v>
      </c>
      <c r="I136" s="118" t="s">
        <v>511</v>
      </c>
      <c r="J136" s="118">
        <v>79719</v>
      </c>
      <c r="K136" s="118">
        <v>29</v>
      </c>
      <c r="L136" s="118" t="s">
        <v>512</v>
      </c>
      <c r="M136" s="118" t="s">
        <v>35</v>
      </c>
      <c r="N136" s="118">
        <v>4234767</v>
      </c>
      <c r="O136" s="121">
        <v>45908</v>
      </c>
      <c r="P136" s="118">
        <v>4359414</v>
      </c>
      <c r="Q136" s="149">
        <v>11200</v>
      </c>
      <c r="R136" s="123">
        <v>45901</v>
      </c>
      <c r="S136" s="118"/>
      <c r="T136" s="118"/>
      <c r="U136" s="118"/>
      <c r="V136" s="118"/>
      <c r="W136" s="129"/>
      <c r="X136" s="121"/>
      <c r="Y136" s="121"/>
      <c r="Z136" s="118" t="s">
        <v>48</v>
      </c>
      <c r="AA136" s="118"/>
      <c r="AB136" s="126">
        <f t="shared" si="2"/>
        <v>11200</v>
      </c>
    </row>
    <row r="137" spans="2:28" ht="51" hidden="1" customHeight="1">
      <c r="B137" s="118" t="s">
        <v>513</v>
      </c>
      <c r="C137" s="118" t="s">
        <v>514</v>
      </c>
      <c r="D137" s="118" t="s">
        <v>35</v>
      </c>
      <c r="E137" s="127" t="s">
        <v>515</v>
      </c>
      <c r="F137" s="118">
        <v>2101</v>
      </c>
      <c r="G137" s="118">
        <v>392</v>
      </c>
      <c r="H137" s="118" t="s">
        <v>186</v>
      </c>
      <c r="I137" s="118" t="s">
        <v>514</v>
      </c>
      <c r="J137" s="118">
        <v>80560</v>
      </c>
      <c r="K137" s="118">
        <v>1</v>
      </c>
      <c r="L137" s="118" t="s">
        <v>35</v>
      </c>
      <c r="M137" s="118" t="s">
        <v>35</v>
      </c>
      <c r="N137" s="118">
        <v>4239360</v>
      </c>
      <c r="O137" s="121">
        <v>45912</v>
      </c>
      <c r="P137" s="118">
        <v>4361309</v>
      </c>
      <c r="Q137" s="149">
        <v>8000</v>
      </c>
      <c r="R137" s="123">
        <v>45901</v>
      </c>
      <c r="S137" s="118">
        <v>53</v>
      </c>
      <c r="T137" s="118" t="s">
        <v>35</v>
      </c>
      <c r="U137" s="118" t="s">
        <v>124</v>
      </c>
      <c r="V137" s="118" t="s">
        <v>23</v>
      </c>
      <c r="W137" s="129">
        <v>8000</v>
      </c>
      <c r="X137" s="121">
        <v>45964</v>
      </c>
      <c r="Y137" s="121">
        <v>45965</v>
      </c>
      <c r="Z137" s="125" t="s">
        <v>39</v>
      </c>
      <c r="AA137" s="118"/>
      <c r="AB137" s="126">
        <f t="shared" si="1"/>
        <v>0</v>
      </c>
    </row>
    <row r="138" spans="2:28" ht="51" hidden="1" customHeight="1">
      <c r="B138" s="118" t="s">
        <v>344</v>
      </c>
      <c r="C138" s="118" t="s">
        <v>407</v>
      </c>
      <c r="D138" s="118">
        <v>38584</v>
      </c>
      <c r="E138" s="127" t="s">
        <v>516</v>
      </c>
      <c r="F138" s="118">
        <v>1759</v>
      </c>
      <c r="G138" s="118">
        <v>242</v>
      </c>
      <c r="H138" s="118" t="s">
        <v>347</v>
      </c>
      <c r="I138" s="118" t="s">
        <v>517</v>
      </c>
      <c r="J138" s="118">
        <v>88590</v>
      </c>
      <c r="K138" s="118">
        <v>6</v>
      </c>
      <c r="L138" s="118" t="s">
        <v>35</v>
      </c>
      <c r="M138" s="118" t="s">
        <v>35</v>
      </c>
      <c r="N138" s="118">
        <v>4283840</v>
      </c>
      <c r="O138" s="121">
        <v>45958</v>
      </c>
      <c r="P138" s="138">
        <v>4400039</v>
      </c>
      <c r="Q138" s="149">
        <v>1335</v>
      </c>
      <c r="R138" s="123">
        <v>45982</v>
      </c>
      <c r="S138" s="118">
        <v>12003</v>
      </c>
      <c r="T138" s="118" t="s">
        <v>518</v>
      </c>
      <c r="U138" s="118" t="s">
        <v>124</v>
      </c>
      <c r="V138" s="118" t="s">
        <v>38</v>
      </c>
      <c r="W138" s="129">
        <v>1335</v>
      </c>
      <c r="X138" s="121">
        <v>45974</v>
      </c>
      <c r="Y138" s="140">
        <v>45975</v>
      </c>
      <c r="Z138" s="125" t="s">
        <v>39</v>
      </c>
      <c r="AA138" s="118"/>
      <c r="AB138" s="126">
        <f t="shared" si="1"/>
        <v>0</v>
      </c>
    </row>
    <row r="139" spans="2:28" ht="51" hidden="1" customHeight="1">
      <c r="B139" s="118" t="s">
        <v>344</v>
      </c>
      <c r="C139" s="118" t="s">
        <v>498</v>
      </c>
      <c r="D139" s="118">
        <v>38348</v>
      </c>
      <c r="E139" s="127" t="s">
        <v>519</v>
      </c>
      <c r="F139" s="118">
        <v>1210</v>
      </c>
      <c r="G139" s="118">
        <v>242</v>
      </c>
      <c r="H139" s="118" t="s">
        <v>347</v>
      </c>
      <c r="I139" s="118" t="s">
        <v>520</v>
      </c>
      <c r="J139" s="118">
        <v>88607</v>
      </c>
      <c r="K139" s="118">
        <v>6</v>
      </c>
      <c r="L139" s="118" t="s">
        <v>35</v>
      </c>
      <c r="M139" s="118" t="s">
        <v>35</v>
      </c>
      <c r="N139" s="118">
        <v>4283871</v>
      </c>
      <c r="O139" s="121">
        <v>45958</v>
      </c>
      <c r="P139" s="118">
        <v>4400459</v>
      </c>
      <c r="Q139" s="149">
        <v>17520.75</v>
      </c>
      <c r="R139" s="123">
        <v>45993</v>
      </c>
      <c r="S139" s="118"/>
      <c r="T139" s="118"/>
      <c r="U139" s="118"/>
      <c r="V139" s="118"/>
      <c r="W139" s="129"/>
      <c r="X139" s="121"/>
      <c r="Y139" s="121"/>
      <c r="Z139" s="118" t="s">
        <v>48</v>
      </c>
      <c r="AA139" s="118"/>
      <c r="AB139" s="126">
        <f t="shared" si="2"/>
        <v>17520.75</v>
      </c>
    </row>
    <row r="140" spans="2:28" ht="51" hidden="1" customHeight="1">
      <c r="B140" s="118" t="s">
        <v>287</v>
      </c>
      <c r="C140" s="118" t="s">
        <v>154</v>
      </c>
      <c r="D140" s="118" t="s">
        <v>35</v>
      </c>
      <c r="E140" s="117" t="s">
        <v>521</v>
      </c>
      <c r="F140" s="118">
        <v>2330</v>
      </c>
      <c r="G140" s="118">
        <v>242</v>
      </c>
      <c r="H140" s="118" t="s">
        <v>186</v>
      </c>
      <c r="I140" s="118" t="s">
        <v>522</v>
      </c>
      <c r="J140" s="118">
        <v>82972</v>
      </c>
      <c r="K140" s="118">
        <v>5</v>
      </c>
      <c r="L140" s="118" t="s">
        <v>523</v>
      </c>
      <c r="M140" s="118" t="s">
        <v>35</v>
      </c>
      <c r="N140" s="118">
        <v>4269178</v>
      </c>
      <c r="O140" s="121">
        <v>45943</v>
      </c>
      <c r="P140" s="118">
        <v>4387723</v>
      </c>
      <c r="Q140" s="149">
        <v>18697.580000000002</v>
      </c>
      <c r="R140" s="123">
        <v>45901</v>
      </c>
      <c r="S140" s="118">
        <v>318</v>
      </c>
      <c r="T140" s="125"/>
      <c r="U140" s="118" t="s">
        <v>72</v>
      </c>
      <c r="V140" s="118" t="s">
        <v>38</v>
      </c>
      <c r="W140" s="129">
        <v>18697.580000000002</v>
      </c>
      <c r="X140" s="121">
        <v>45962</v>
      </c>
      <c r="Y140" s="140">
        <v>45965</v>
      </c>
      <c r="Z140" s="125" t="s">
        <v>39</v>
      </c>
      <c r="AA140" s="118"/>
      <c r="AB140" s="126">
        <f>Q140-W140</f>
        <v>0</v>
      </c>
    </row>
    <row r="141" spans="2:28" ht="51" hidden="1" customHeight="1">
      <c r="B141" s="118" t="s">
        <v>125</v>
      </c>
      <c r="C141" s="118" t="s">
        <v>524</v>
      </c>
      <c r="D141" s="118" t="s">
        <v>35</v>
      </c>
      <c r="E141" s="118" t="s">
        <v>525</v>
      </c>
      <c r="F141" s="118">
        <v>5345</v>
      </c>
      <c r="G141" s="118">
        <v>5</v>
      </c>
      <c r="H141" s="118" t="s">
        <v>186</v>
      </c>
      <c r="I141" s="125"/>
      <c r="J141" s="118">
        <v>87722</v>
      </c>
      <c r="K141" s="118">
        <v>1</v>
      </c>
      <c r="L141" s="118" t="s">
        <v>35</v>
      </c>
      <c r="M141" s="118" t="s">
        <v>35</v>
      </c>
      <c r="N141" s="118">
        <v>4278892</v>
      </c>
      <c r="O141" s="121">
        <v>45953</v>
      </c>
      <c r="P141" s="152">
        <v>4402470</v>
      </c>
      <c r="Q141" s="153">
        <v>2900</v>
      </c>
      <c r="R141" s="123">
        <v>45982</v>
      </c>
      <c r="S141" s="118">
        <v>79</v>
      </c>
      <c r="T141" s="118" t="s">
        <v>35</v>
      </c>
      <c r="U141" s="118" t="s">
        <v>447</v>
      </c>
      <c r="V141" s="118" t="s">
        <v>23</v>
      </c>
      <c r="W141" s="129">
        <v>2900</v>
      </c>
      <c r="X141" s="121">
        <v>45975</v>
      </c>
      <c r="Y141" s="140">
        <v>45980</v>
      </c>
      <c r="Z141" s="125" t="s">
        <v>39</v>
      </c>
      <c r="AA141" s="118"/>
      <c r="AB141" s="126">
        <f>Q141-W141</f>
        <v>0</v>
      </c>
    </row>
    <row r="142" spans="2:28" ht="51" hidden="1" customHeight="1">
      <c r="B142" s="118" t="s">
        <v>49</v>
      </c>
      <c r="C142" s="118" t="s">
        <v>83</v>
      </c>
      <c r="D142" s="118">
        <v>38714</v>
      </c>
      <c r="E142" s="118" t="s">
        <v>526</v>
      </c>
      <c r="F142" s="118">
        <v>4057</v>
      </c>
      <c r="G142" s="118">
        <v>242</v>
      </c>
      <c r="H142" s="118" t="s">
        <v>33</v>
      </c>
      <c r="I142" s="118" t="s">
        <v>527</v>
      </c>
      <c r="J142" s="118">
        <v>88622</v>
      </c>
      <c r="K142" s="118">
        <v>6</v>
      </c>
      <c r="L142" s="118" t="s">
        <v>35</v>
      </c>
      <c r="M142" s="118" t="s">
        <v>35</v>
      </c>
      <c r="N142" s="118">
        <v>4284907</v>
      </c>
      <c r="O142" s="121">
        <v>45959</v>
      </c>
      <c r="P142" s="118">
        <v>4404967</v>
      </c>
      <c r="Q142" s="124">
        <v>4500</v>
      </c>
      <c r="R142" s="123">
        <v>45982</v>
      </c>
      <c r="S142" s="118">
        <v>142</v>
      </c>
      <c r="T142" s="118" t="s">
        <v>528</v>
      </c>
      <c r="U142" s="118" t="s">
        <v>37</v>
      </c>
      <c r="V142" s="118" t="s">
        <v>87</v>
      </c>
      <c r="W142" s="124">
        <v>4500</v>
      </c>
      <c r="X142" s="121">
        <v>45979</v>
      </c>
      <c r="Y142" s="121">
        <v>45987</v>
      </c>
      <c r="Z142" s="118" t="s">
        <v>39</v>
      </c>
      <c r="AA142" s="118"/>
      <c r="AB142" s="126">
        <f t="shared" si="2"/>
        <v>0</v>
      </c>
    </row>
    <row r="143" spans="2:28" ht="51" hidden="1" customHeight="1">
      <c r="B143" s="118" t="s">
        <v>529</v>
      </c>
      <c r="C143" s="118" t="s">
        <v>530</v>
      </c>
      <c r="D143" s="118" t="s">
        <v>35</v>
      </c>
      <c r="E143" s="118" t="s">
        <v>531</v>
      </c>
      <c r="F143" s="118">
        <v>2321</v>
      </c>
      <c r="G143" s="118">
        <v>242</v>
      </c>
      <c r="H143" s="118" t="s">
        <v>186</v>
      </c>
      <c r="I143" s="118" t="s">
        <v>532</v>
      </c>
      <c r="J143" s="118">
        <v>88657</v>
      </c>
      <c r="K143" s="118">
        <v>29</v>
      </c>
      <c r="L143" s="118" t="s">
        <v>533</v>
      </c>
      <c r="M143" s="118" t="s">
        <v>35</v>
      </c>
      <c r="N143" s="136" t="s">
        <v>534</v>
      </c>
      <c r="O143" s="121">
        <v>45959</v>
      </c>
      <c r="P143" s="118">
        <v>4413082</v>
      </c>
      <c r="Q143" s="149">
        <v>10170.200000000001</v>
      </c>
      <c r="R143" s="123">
        <v>45971</v>
      </c>
      <c r="S143" s="118"/>
      <c r="T143" s="118"/>
      <c r="U143" s="118"/>
      <c r="V143" s="118"/>
      <c r="W143" s="129"/>
      <c r="X143" s="121"/>
      <c r="Y143" s="121"/>
      <c r="Z143" s="118" t="s">
        <v>48</v>
      </c>
      <c r="AA143" s="118"/>
      <c r="AB143" s="126">
        <f t="shared" si="2"/>
        <v>10170.200000000001</v>
      </c>
    </row>
    <row r="144" spans="2:28" ht="51" hidden="1" customHeight="1">
      <c r="B144" s="118" t="s">
        <v>295</v>
      </c>
      <c r="C144" s="118" t="s">
        <v>535</v>
      </c>
      <c r="D144" s="118" t="s">
        <v>35</v>
      </c>
      <c r="E144" s="118" t="s">
        <v>536</v>
      </c>
      <c r="F144" s="118">
        <v>5345</v>
      </c>
      <c r="G144" s="118">
        <v>242</v>
      </c>
      <c r="H144" s="118" t="s">
        <v>186</v>
      </c>
      <c r="I144" s="118" t="s">
        <v>537</v>
      </c>
      <c r="J144" s="118">
        <v>88639</v>
      </c>
      <c r="K144" s="118">
        <v>29</v>
      </c>
      <c r="L144" s="118" t="s">
        <v>538</v>
      </c>
      <c r="M144" s="118" t="s">
        <v>35</v>
      </c>
      <c r="N144" s="136" t="s">
        <v>539</v>
      </c>
      <c r="O144" s="121">
        <v>45959</v>
      </c>
      <c r="P144" s="138">
        <v>4408524</v>
      </c>
      <c r="Q144" s="149">
        <v>10617.86</v>
      </c>
      <c r="R144" s="123">
        <v>45962</v>
      </c>
      <c r="S144" s="118">
        <v>325</v>
      </c>
      <c r="T144" s="118" t="s">
        <v>35</v>
      </c>
      <c r="U144" s="118" t="s">
        <v>447</v>
      </c>
      <c r="V144" s="118" t="s">
        <v>23</v>
      </c>
      <c r="W144" s="129">
        <v>10617.86</v>
      </c>
      <c r="X144" s="121">
        <v>45971</v>
      </c>
      <c r="Y144" s="140">
        <v>45978</v>
      </c>
      <c r="Z144" s="125" t="s">
        <v>39</v>
      </c>
      <c r="AA144" s="118"/>
      <c r="AB144" s="126">
        <f t="shared" si="2"/>
        <v>0</v>
      </c>
    </row>
    <row r="145" spans="2:28" ht="51" hidden="1" customHeight="1">
      <c r="B145" s="118" t="s">
        <v>106</v>
      </c>
      <c r="C145" s="118" t="s">
        <v>226</v>
      </c>
      <c r="D145" s="118" t="s">
        <v>35</v>
      </c>
      <c r="E145" s="118" t="s">
        <v>540</v>
      </c>
      <c r="F145" s="118" t="s">
        <v>541</v>
      </c>
      <c r="G145" s="118">
        <v>153</v>
      </c>
      <c r="H145" s="118" t="s">
        <v>33</v>
      </c>
      <c r="I145" s="118" t="s">
        <v>542</v>
      </c>
      <c r="J145" s="118">
        <v>88815</v>
      </c>
      <c r="K145" s="118">
        <v>29</v>
      </c>
      <c r="L145" s="118" t="s">
        <v>543</v>
      </c>
      <c r="M145" s="118" t="s">
        <v>35</v>
      </c>
      <c r="N145" s="118">
        <v>4286239</v>
      </c>
      <c r="O145" s="121">
        <v>45960</v>
      </c>
      <c r="P145" s="138">
        <v>4404736</v>
      </c>
      <c r="Q145" s="124">
        <v>4400</v>
      </c>
      <c r="R145" s="123">
        <v>45962</v>
      </c>
      <c r="S145" s="132" t="s">
        <v>544</v>
      </c>
      <c r="T145" s="118" t="s">
        <v>35</v>
      </c>
      <c r="U145" s="118" t="s">
        <v>72</v>
      </c>
      <c r="V145" s="118" t="s">
        <v>87</v>
      </c>
      <c r="W145" s="129">
        <v>4400</v>
      </c>
      <c r="X145" s="121">
        <v>45967</v>
      </c>
      <c r="Y145" s="121">
        <v>45985</v>
      </c>
      <c r="Z145" s="118" t="s">
        <v>39</v>
      </c>
      <c r="AA145" s="118"/>
      <c r="AB145" s="126">
        <f>Q145-W145</f>
        <v>0</v>
      </c>
    </row>
    <row r="146" spans="2:28" ht="51" hidden="1" customHeight="1">
      <c r="B146" s="117" t="s">
        <v>545</v>
      </c>
      <c r="C146" s="118" t="s">
        <v>116</v>
      </c>
      <c r="D146" s="118" t="s">
        <v>35</v>
      </c>
      <c r="E146" s="117" t="s">
        <v>546</v>
      </c>
      <c r="F146" s="118">
        <v>2232</v>
      </c>
      <c r="G146" s="118">
        <v>242</v>
      </c>
      <c r="H146" s="118" t="s">
        <v>33</v>
      </c>
      <c r="I146" s="118" t="s">
        <v>547</v>
      </c>
      <c r="J146" s="118">
        <v>88914</v>
      </c>
      <c r="K146" s="118">
        <v>5</v>
      </c>
      <c r="L146" s="118" t="s">
        <v>548</v>
      </c>
      <c r="M146" s="118" t="s">
        <v>72</v>
      </c>
      <c r="N146" s="118">
        <v>4286253</v>
      </c>
      <c r="O146" s="121">
        <v>45960</v>
      </c>
      <c r="P146" s="138">
        <v>4402829</v>
      </c>
      <c r="Q146" s="124">
        <v>1280</v>
      </c>
      <c r="R146" s="123">
        <v>45962</v>
      </c>
      <c r="S146" s="118">
        <v>337</v>
      </c>
      <c r="T146" s="118" t="s">
        <v>549</v>
      </c>
      <c r="U146" s="118" t="s">
        <v>37</v>
      </c>
      <c r="V146" s="118" t="s">
        <v>64</v>
      </c>
      <c r="W146" s="124">
        <v>1280</v>
      </c>
      <c r="X146" s="121">
        <v>45965</v>
      </c>
      <c r="Y146" s="121">
        <v>45967</v>
      </c>
      <c r="Z146" s="125" t="s">
        <v>39</v>
      </c>
      <c r="AA146" s="118"/>
      <c r="AB146" s="126">
        <f>Q146-W146</f>
        <v>0</v>
      </c>
    </row>
    <row r="147" spans="2:28" ht="51" hidden="1" customHeight="1">
      <c r="B147" s="117" t="s">
        <v>106</v>
      </c>
      <c r="C147" s="118" t="s">
        <v>107</v>
      </c>
      <c r="D147" s="118">
        <v>39791</v>
      </c>
      <c r="E147" s="117" t="s">
        <v>550</v>
      </c>
      <c r="F147" s="118">
        <v>2224</v>
      </c>
      <c r="G147" s="118">
        <v>242</v>
      </c>
      <c r="H147" s="118" t="s">
        <v>33</v>
      </c>
      <c r="I147" s="118" t="s">
        <v>551</v>
      </c>
      <c r="J147" s="118">
        <v>88995</v>
      </c>
      <c r="K147" s="118">
        <v>6</v>
      </c>
      <c r="L147" s="118" t="s">
        <v>35</v>
      </c>
      <c r="M147" s="118" t="s">
        <v>35</v>
      </c>
      <c r="N147" s="118">
        <v>4286324</v>
      </c>
      <c r="O147" s="121">
        <v>45960</v>
      </c>
      <c r="P147" s="118">
        <v>4402640</v>
      </c>
      <c r="Q147" s="124">
        <v>1824</v>
      </c>
      <c r="R147" s="123">
        <v>45962</v>
      </c>
      <c r="S147" s="118">
        <v>3174</v>
      </c>
      <c r="T147" s="118"/>
      <c r="U147" s="118" t="s">
        <v>72</v>
      </c>
      <c r="V147" s="118" t="s">
        <v>23</v>
      </c>
      <c r="W147" s="124">
        <v>1824</v>
      </c>
      <c r="X147" s="121">
        <v>45965</v>
      </c>
      <c r="Y147" s="121">
        <v>45971</v>
      </c>
      <c r="Z147" s="125" t="s">
        <v>39</v>
      </c>
      <c r="AA147" s="118"/>
      <c r="AB147" s="126">
        <f>Q147-W147</f>
        <v>0</v>
      </c>
    </row>
    <row r="148" spans="2:28" ht="51" hidden="1" customHeight="1">
      <c r="B148" s="125" t="s">
        <v>106</v>
      </c>
      <c r="C148" s="118" t="s">
        <v>107</v>
      </c>
      <c r="D148" s="118">
        <v>39794</v>
      </c>
      <c r="E148" s="117" t="s">
        <v>552</v>
      </c>
      <c r="F148" s="118">
        <v>2488</v>
      </c>
      <c r="G148" s="118">
        <v>242</v>
      </c>
      <c r="H148" s="118" t="s">
        <v>33</v>
      </c>
      <c r="I148" s="118" t="s">
        <v>553</v>
      </c>
      <c r="J148" s="118">
        <v>89026</v>
      </c>
      <c r="K148" s="118">
        <v>6</v>
      </c>
      <c r="L148" s="118" t="s">
        <v>35</v>
      </c>
      <c r="M148" s="118" t="s">
        <v>35</v>
      </c>
      <c r="N148" s="118">
        <v>4286735</v>
      </c>
      <c r="O148" s="121">
        <v>45960</v>
      </c>
      <c r="P148" s="118">
        <v>4402644</v>
      </c>
      <c r="Q148" s="124">
        <v>1653</v>
      </c>
      <c r="R148" s="123">
        <v>45962</v>
      </c>
      <c r="S148" s="118">
        <v>3194</v>
      </c>
      <c r="T148" s="118" t="s">
        <v>554</v>
      </c>
      <c r="U148" s="118" t="s">
        <v>72</v>
      </c>
      <c r="V148" s="118" t="s">
        <v>87</v>
      </c>
      <c r="W148" s="124">
        <v>1653</v>
      </c>
      <c r="X148" s="121">
        <v>45992</v>
      </c>
      <c r="Y148" s="121">
        <v>46000</v>
      </c>
      <c r="Z148" s="118" t="s">
        <v>39</v>
      </c>
      <c r="AA148" s="118"/>
      <c r="AB148" s="126">
        <f t="shared" si="2"/>
        <v>0</v>
      </c>
    </row>
    <row r="149" spans="2:28" ht="51" hidden="1" customHeight="1">
      <c r="B149" s="118" t="s">
        <v>344</v>
      </c>
      <c r="C149" s="118" t="s">
        <v>403</v>
      </c>
      <c r="D149" s="118">
        <v>38724</v>
      </c>
      <c r="E149" s="118" t="s">
        <v>404</v>
      </c>
      <c r="F149" s="118">
        <v>2119</v>
      </c>
      <c r="G149" s="118">
        <v>242</v>
      </c>
      <c r="H149" s="118" t="s">
        <v>347</v>
      </c>
      <c r="I149" s="118" t="s">
        <v>403</v>
      </c>
      <c r="J149" s="118">
        <v>87018</v>
      </c>
      <c r="K149" s="118">
        <v>6</v>
      </c>
      <c r="L149" s="118" t="s">
        <v>35</v>
      </c>
      <c r="M149" s="118" t="s">
        <v>35</v>
      </c>
      <c r="N149" s="118">
        <v>4286821</v>
      </c>
      <c r="O149" s="121">
        <v>45960</v>
      </c>
      <c r="P149" s="118">
        <v>4405766</v>
      </c>
      <c r="Q149" s="149">
        <v>445</v>
      </c>
      <c r="R149" s="123">
        <v>45964</v>
      </c>
      <c r="S149" s="118">
        <v>112</v>
      </c>
      <c r="T149" s="147">
        <v>45975</v>
      </c>
      <c r="U149" s="118" t="s">
        <v>72</v>
      </c>
      <c r="V149" s="118" t="s">
        <v>23</v>
      </c>
      <c r="W149" s="129">
        <v>445</v>
      </c>
      <c r="X149" s="121">
        <v>45967</v>
      </c>
      <c r="Y149" s="140">
        <v>45978</v>
      </c>
      <c r="Z149" s="125" t="s">
        <v>39</v>
      </c>
      <c r="AA149" s="118"/>
      <c r="AB149" s="126">
        <f t="shared" si="2"/>
        <v>0</v>
      </c>
    </row>
    <row r="150" spans="2:28" ht="51" hidden="1" customHeight="1">
      <c r="B150" s="118" t="s">
        <v>513</v>
      </c>
      <c r="C150" s="118" t="s">
        <v>555</v>
      </c>
      <c r="D150" s="118">
        <v>38840</v>
      </c>
      <c r="E150" s="118" t="s">
        <v>556</v>
      </c>
      <c r="F150" s="118" t="s">
        <v>557</v>
      </c>
      <c r="G150" s="118">
        <v>7</v>
      </c>
      <c r="H150" s="118" t="s">
        <v>333</v>
      </c>
      <c r="I150" s="118" t="s">
        <v>558</v>
      </c>
      <c r="J150" s="118">
        <v>89141</v>
      </c>
      <c r="K150" s="118">
        <v>6</v>
      </c>
      <c r="L150" s="118" t="s">
        <v>35</v>
      </c>
      <c r="M150" s="118" t="s">
        <v>35</v>
      </c>
      <c r="N150" s="118">
        <v>4286851</v>
      </c>
      <c r="O150" s="121">
        <v>45960</v>
      </c>
      <c r="P150" s="118">
        <v>4408281</v>
      </c>
      <c r="Q150" s="149">
        <v>2010</v>
      </c>
      <c r="R150" s="123">
        <v>45976</v>
      </c>
      <c r="S150" s="118">
        <v>66</v>
      </c>
      <c r="T150" s="118" t="s">
        <v>35</v>
      </c>
      <c r="U150" s="118" t="s">
        <v>124</v>
      </c>
      <c r="V150" s="118" t="s">
        <v>23</v>
      </c>
      <c r="W150" s="129">
        <v>2010</v>
      </c>
      <c r="X150" s="121">
        <v>45972</v>
      </c>
      <c r="Y150" s="121">
        <v>45980</v>
      </c>
      <c r="Z150" s="125" t="s">
        <v>39</v>
      </c>
      <c r="AA150" s="118"/>
      <c r="AB150" s="126">
        <f t="shared" si="2"/>
        <v>0</v>
      </c>
    </row>
    <row r="151" spans="2:28" ht="51" hidden="1" customHeight="1">
      <c r="B151" s="118" t="s">
        <v>513</v>
      </c>
      <c r="C151" s="118" t="s">
        <v>559</v>
      </c>
      <c r="D151" s="118">
        <v>39059</v>
      </c>
      <c r="E151" s="118" t="s">
        <v>560</v>
      </c>
      <c r="F151" s="118">
        <v>2101</v>
      </c>
      <c r="G151" s="118">
        <v>242</v>
      </c>
      <c r="H151" s="118" t="s">
        <v>333</v>
      </c>
      <c r="I151" s="154" t="s">
        <v>561</v>
      </c>
      <c r="J151" s="118">
        <v>87776</v>
      </c>
      <c r="K151" s="118">
        <v>6</v>
      </c>
      <c r="L151" s="118" t="s">
        <v>35</v>
      </c>
      <c r="M151" s="118" t="s">
        <v>35</v>
      </c>
      <c r="N151" s="118">
        <v>4277660</v>
      </c>
      <c r="O151" s="121">
        <v>45952</v>
      </c>
      <c r="P151" s="118">
        <v>4395247</v>
      </c>
      <c r="Q151" s="149">
        <v>1303</v>
      </c>
      <c r="R151" s="123">
        <v>45971</v>
      </c>
      <c r="S151" s="118">
        <v>14</v>
      </c>
      <c r="T151" s="118"/>
      <c r="U151" s="118" t="s">
        <v>72</v>
      </c>
      <c r="V151" s="118" t="s">
        <v>23</v>
      </c>
      <c r="W151" s="129">
        <v>1213</v>
      </c>
      <c r="X151" s="121">
        <v>45971</v>
      </c>
      <c r="Y151" s="121">
        <v>45972</v>
      </c>
      <c r="Z151" s="118" t="s">
        <v>39</v>
      </c>
      <c r="AA151" s="118"/>
      <c r="AB151" s="126">
        <f t="shared" si="2"/>
        <v>90</v>
      </c>
    </row>
    <row r="152" spans="2:28" ht="51" hidden="1" customHeight="1">
      <c r="B152" s="118" t="s">
        <v>184</v>
      </c>
      <c r="C152" s="118" t="s">
        <v>562</v>
      </c>
      <c r="D152" s="118">
        <v>39324</v>
      </c>
      <c r="E152" s="118" t="s">
        <v>563</v>
      </c>
      <c r="F152" s="118">
        <v>4472</v>
      </c>
      <c r="G152" s="118">
        <v>242</v>
      </c>
      <c r="H152" s="146" t="s">
        <v>333</v>
      </c>
      <c r="I152" s="154">
        <v>80223</v>
      </c>
      <c r="J152" s="155">
        <v>89444</v>
      </c>
      <c r="K152" s="118">
        <v>6</v>
      </c>
      <c r="L152" s="118" t="s">
        <v>35</v>
      </c>
      <c r="M152" s="118" t="s">
        <v>35</v>
      </c>
      <c r="N152" s="118">
        <v>4287592</v>
      </c>
      <c r="O152" s="121">
        <v>45961</v>
      </c>
      <c r="P152" s="118">
        <v>4405027</v>
      </c>
      <c r="Q152" s="149">
        <v>1785.2</v>
      </c>
      <c r="R152" s="123">
        <v>45976</v>
      </c>
      <c r="S152" s="118"/>
      <c r="T152" s="118"/>
      <c r="U152" s="118"/>
      <c r="V152" s="118"/>
      <c r="W152" s="129"/>
      <c r="X152" s="121"/>
      <c r="Y152" s="121"/>
      <c r="Z152" s="118" t="s">
        <v>48</v>
      </c>
      <c r="AA152" s="118"/>
      <c r="AB152" s="126">
        <f t="shared" si="2"/>
        <v>1785.2</v>
      </c>
    </row>
    <row r="153" spans="2:28" ht="51" hidden="1" customHeight="1">
      <c r="B153" s="118" t="s">
        <v>184</v>
      </c>
      <c r="C153" s="118" t="s">
        <v>562</v>
      </c>
      <c r="D153" s="118">
        <v>39324</v>
      </c>
      <c r="E153" s="118" t="s">
        <v>564</v>
      </c>
      <c r="F153" s="118">
        <v>4057</v>
      </c>
      <c r="G153" s="118">
        <v>242</v>
      </c>
      <c r="H153" s="146" t="s">
        <v>333</v>
      </c>
      <c r="I153" s="154">
        <v>80224</v>
      </c>
      <c r="J153" s="155">
        <v>89445</v>
      </c>
      <c r="K153" s="118">
        <v>6</v>
      </c>
      <c r="L153" s="154" t="s">
        <v>35</v>
      </c>
      <c r="M153" s="118" t="s">
        <v>35</v>
      </c>
      <c r="N153" s="118">
        <v>4287597</v>
      </c>
      <c r="O153" s="121">
        <v>45961</v>
      </c>
      <c r="P153" s="118">
        <v>4405032</v>
      </c>
      <c r="Q153" s="149">
        <v>5958.3</v>
      </c>
      <c r="R153" s="123">
        <v>45976</v>
      </c>
      <c r="S153" s="118"/>
      <c r="T153" s="118"/>
      <c r="U153" s="118"/>
      <c r="V153" s="118"/>
      <c r="W153" s="129"/>
      <c r="X153" s="121"/>
      <c r="Y153" s="121"/>
      <c r="Z153" s="118" t="s">
        <v>48</v>
      </c>
      <c r="AA153" s="118"/>
      <c r="AB153" s="126">
        <f t="shared" si="2"/>
        <v>5958.3</v>
      </c>
    </row>
    <row r="154" spans="2:28" ht="51" hidden="1" customHeight="1">
      <c r="B154" s="118" t="s">
        <v>184</v>
      </c>
      <c r="C154" s="118" t="s">
        <v>562</v>
      </c>
      <c r="D154" s="118">
        <v>39324</v>
      </c>
      <c r="E154" s="118" t="s">
        <v>565</v>
      </c>
      <c r="F154" s="118">
        <v>4588</v>
      </c>
      <c r="G154" s="118">
        <v>242</v>
      </c>
      <c r="H154" s="156" t="s">
        <v>333</v>
      </c>
      <c r="I154" s="154">
        <v>80225</v>
      </c>
      <c r="J154" s="155">
        <v>89446</v>
      </c>
      <c r="K154" s="146">
        <v>6</v>
      </c>
      <c r="L154" s="157" t="s">
        <v>35</v>
      </c>
      <c r="M154" s="155" t="s">
        <v>35</v>
      </c>
      <c r="N154" s="118">
        <v>4287605</v>
      </c>
      <c r="O154" s="121">
        <v>45961</v>
      </c>
      <c r="P154" s="118">
        <v>4405321</v>
      </c>
      <c r="Q154" s="149">
        <v>5996.9</v>
      </c>
      <c r="R154" s="123">
        <v>45976</v>
      </c>
      <c r="S154" s="118">
        <v>147</v>
      </c>
      <c r="T154" s="118"/>
      <c r="U154" s="118" t="s">
        <v>37</v>
      </c>
      <c r="V154" s="118" t="s">
        <v>23</v>
      </c>
      <c r="W154" s="129">
        <v>5750</v>
      </c>
      <c r="X154" s="121">
        <v>45992</v>
      </c>
      <c r="Y154" s="121">
        <v>45996</v>
      </c>
      <c r="Z154" s="118" t="s">
        <v>39</v>
      </c>
      <c r="AA154" s="118"/>
      <c r="AB154" s="126">
        <f t="shared" si="2"/>
        <v>246.89999999999964</v>
      </c>
    </row>
    <row r="155" spans="2:28" ht="51" hidden="1" customHeight="1">
      <c r="B155" s="118" t="s">
        <v>184</v>
      </c>
      <c r="C155" s="118" t="s">
        <v>562</v>
      </c>
      <c r="D155" s="118">
        <v>39324</v>
      </c>
      <c r="E155" s="118" t="s">
        <v>566</v>
      </c>
      <c r="F155" s="118">
        <v>2283</v>
      </c>
      <c r="G155" s="146">
        <v>242</v>
      </c>
      <c r="H155" s="157" t="s">
        <v>333</v>
      </c>
      <c r="I155" s="157">
        <v>80226</v>
      </c>
      <c r="J155" s="155">
        <v>89448</v>
      </c>
      <c r="K155" s="118">
        <v>6</v>
      </c>
      <c r="L155" s="158" t="s">
        <v>35</v>
      </c>
      <c r="M155" s="118" t="s">
        <v>35</v>
      </c>
      <c r="N155" s="118">
        <v>4288066</v>
      </c>
      <c r="O155" s="121">
        <v>45961</v>
      </c>
      <c r="P155" s="118">
        <v>4405323</v>
      </c>
      <c r="Q155" s="149">
        <v>895.2</v>
      </c>
      <c r="R155" s="123">
        <v>45976</v>
      </c>
      <c r="S155" s="118">
        <v>143</v>
      </c>
      <c r="T155" s="118"/>
      <c r="U155" s="118" t="s">
        <v>37</v>
      </c>
      <c r="V155" s="118" t="s">
        <v>87</v>
      </c>
      <c r="W155" s="129">
        <v>850</v>
      </c>
      <c r="X155" s="121">
        <v>45979</v>
      </c>
      <c r="Y155" s="121">
        <v>45987</v>
      </c>
      <c r="Z155" s="118" t="s">
        <v>39</v>
      </c>
      <c r="AA155" s="118"/>
      <c r="AB155" s="126">
        <f t="shared" si="2"/>
        <v>45.200000000000045</v>
      </c>
    </row>
    <row r="156" spans="2:28" ht="51" hidden="1" customHeight="1">
      <c r="B156" s="118" t="s">
        <v>262</v>
      </c>
      <c r="C156" s="118" t="s">
        <v>436</v>
      </c>
      <c r="D156" s="118" t="s">
        <v>35</v>
      </c>
      <c r="E156" s="118" t="s">
        <v>437</v>
      </c>
      <c r="F156" s="118">
        <v>1244</v>
      </c>
      <c r="G156" s="118">
        <v>242</v>
      </c>
      <c r="H156" s="158" t="s">
        <v>186</v>
      </c>
      <c r="I156" s="158" t="s">
        <v>436</v>
      </c>
      <c r="J156" s="118">
        <v>89476</v>
      </c>
      <c r="K156" s="118">
        <v>5</v>
      </c>
      <c r="L156" s="118" t="s">
        <v>567</v>
      </c>
      <c r="M156" s="118" t="s">
        <v>35</v>
      </c>
      <c r="N156" s="118">
        <v>4287613</v>
      </c>
      <c r="O156" s="121">
        <v>45961</v>
      </c>
      <c r="P156" s="118">
        <v>4410586</v>
      </c>
      <c r="Q156" s="149">
        <v>970</v>
      </c>
      <c r="R156" s="123">
        <v>45931</v>
      </c>
      <c r="S156" s="118">
        <v>2691</v>
      </c>
      <c r="T156" s="118" t="s">
        <v>35</v>
      </c>
      <c r="U156" s="118" t="s">
        <v>447</v>
      </c>
      <c r="V156" s="118" t="s">
        <v>23</v>
      </c>
      <c r="W156" s="129">
        <v>970</v>
      </c>
      <c r="X156" s="121">
        <v>45974</v>
      </c>
      <c r="Y156" s="140">
        <v>45978</v>
      </c>
      <c r="Z156" s="125" t="s">
        <v>39</v>
      </c>
      <c r="AA156" s="118"/>
      <c r="AB156" s="126">
        <f t="shared" si="2"/>
        <v>0</v>
      </c>
    </row>
    <row r="157" spans="2:28" ht="51" hidden="1" customHeight="1">
      <c r="B157" s="118" t="s">
        <v>184</v>
      </c>
      <c r="C157" s="118" t="s">
        <v>568</v>
      </c>
      <c r="D157" s="118">
        <v>39793</v>
      </c>
      <c r="E157" s="117" t="s">
        <v>569</v>
      </c>
      <c r="F157" s="118">
        <v>4669</v>
      </c>
      <c r="G157" s="118">
        <v>242</v>
      </c>
      <c r="H157" s="118" t="s">
        <v>333</v>
      </c>
      <c r="I157" s="118">
        <v>415</v>
      </c>
      <c r="J157" s="118">
        <v>89451</v>
      </c>
      <c r="K157" s="118">
        <v>6</v>
      </c>
      <c r="L157" s="118" t="s">
        <v>35</v>
      </c>
      <c r="M157" s="118" t="s">
        <v>35</v>
      </c>
      <c r="N157" s="118">
        <v>4287665</v>
      </c>
      <c r="O157" s="121">
        <v>45961</v>
      </c>
      <c r="P157" s="118">
        <v>4404983</v>
      </c>
      <c r="Q157" s="149">
        <v>275.5</v>
      </c>
      <c r="R157" s="123">
        <v>45976</v>
      </c>
      <c r="S157" s="118">
        <v>3179</v>
      </c>
      <c r="T157" s="118"/>
      <c r="U157" s="118" t="s">
        <v>447</v>
      </c>
      <c r="V157" s="118" t="s">
        <v>23</v>
      </c>
      <c r="W157" s="129">
        <v>275.5</v>
      </c>
      <c r="X157" s="121">
        <v>45966</v>
      </c>
      <c r="Y157" s="121">
        <v>45971</v>
      </c>
      <c r="Z157" s="125" t="s">
        <v>39</v>
      </c>
      <c r="AA157" s="118"/>
      <c r="AB157" s="126">
        <f t="shared" si="2"/>
        <v>0</v>
      </c>
    </row>
    <row r="158" spans="2:28" ht="51" hidden="1" customHeight="1">
      <c r="B158" s="118" t="s">
        <v>106</v>
      </c>
      <c r="C158" s="118" t="s">
        <v>482</v>
      </c>
      <c r="D158" s="118">
        <v>39447</v>
      </c>
      <c r="E158" s="118" t="s">
        <v>570</v>
      </c>
      <c r="F158" s="118">
        <v>2224</v>
      </c>
      <c r="G158" s="118">
        <v>170</v>
      </c>
      <c r="H158" s="118" t="s">
        <v>333</v>
      </c>
      <c r="I158" s="118">
        <v>10</v>
      </c>
      <c r="J158" s="118">
        <v>89461</v>
      </c>
      <c r="K158" s="118">
        <v>6</v>
      </c>
      <c r="L158" s="118" t="s">
        <v>35</v>
      </c>
      <c r="M158" s="118" t="s">
        <v>35</v>
      </c>
      <c r="N158" s="118">
        <v>4287691</v>
      </c>
      <c r="O158" s="121">
        <v>45961</v>
      </c>
      <c r="P158" s="118">
        <v>4405280</v>
      </c>
      <c r="Q158" s="149">
        <v>480</v>
      </c>
      <c r="R158" s="123">
        <v>45966</v>
      </c>
      <c r="S158" s="118">
        <v>4281</v>
      </c>
      <c r="T158" s="118">
        <v>8623</v>
      </c>
      <c r="U158" s="118" t="s">
        <v>72</v>
      </c>
      <c r="V158" s="118" t="s">
        <v>23</v>
      </c>
      <c r="W158" s="149">
        <v>480</v>
      </c>
      <c r="X158" s="121">
        <v>45966</v>
      </c>
      <c r="Y158" s="121">
        <v>45977</v>
      </c>
      <c r="Z158" s="125" t="s">
        <v>39</v>
      </c>
      <c r="AA158" s="118"/>
      <c r="AB158" s="126">
        <f t="shared" si="2"/>
        <v>0</v>
      </c>
    </row>
    <row r="159" spans="2:28" ht="51" hidden="1" customHeight="1">
      <c r="B159" s="118" t="s">
        <v>106</v>
      </c>
      <c r="C159" s="118" t="s">
        <v>571</v>
      </c>
      <c r="D159" s="118" t="s">
        <v>35</v>
      </c>
      <c r="E159" s="117" t="s">
        <v>572</v>
      </c>
      <c r="F159" s="118">
        <v>2224</v>
      </c>
      <c r="G159" s="118">
        <v>242</v>
      </c>
      <c r="H159" s="118" t="s">
        <v>333</v>
      </c>
      <c r="I159" s="118">
        <v>591</v>
      </c>
      <c r="J159" s="118">
        <v>89471</v>
      </c>
      <c r="K159" s="118">
        <v>5</v>
      </c>
      <c r="L159" s="118" t="s">
        <v>573</v>
      </c>
      <c r="M159" s="118" t="s">
        <v>35</v>
      </c>
      <c r="N159" s="118">
        <v>4290581</v>
      </c>
      <c r="O159" s="121">
        <v>45965</v>
      </c>
      <c r="P159" s="118">
        <v>4409531</v>
      </c>
      <c r="Q159" s="149">
        <v>695</v>
      </c>
      <c r="R159" s="123">
        <v>45955</v>
      </c>
      <c r="S159" s="118">
        <v>357</v>
      </c>
      <c r="T159" s="118"/>
      <c r="U159" s="118" t="s">
        <v>37</v>
      </c>
      <c r="V159" s="118" t="s">
        <v>64</v>
      </c>
      <c r="W159" s="129">
        <v>695</v>
      </c>
      <c r="X159" s="121">
        <v>45972</v>
      </c>
      <c r="Y159" s="121">
        <v>45977</v>
      </c>
      <c r="Z159" s="125" t="s">
        <v>39</v>
      </c>
      <c r="AA159" s="118"/>
      <c r="AB159" s="126">
        <f t="shared" si="2"/>
        <v>0</v>
      </c>
    </row>
    <row r="160" spans="2:28" ht="51" hidden="1" customHeight="1">
      <c r="B160" s="118" t="s">
        <v>148</v>
      </c>
      <c r="C160" s="118" t="s">
        <v>107</v>
      </c>
      <c r="D160" s="118">
        <v>39949</v>
      </c>
      <c r="E160" s="117" t="s">
        <v>574</v>
      </c>
      <c r="F160" s="118">
        <v>2488</v>
      </c>
      <c r="G160" s="118">
        <v>242</v>
      </c>
      <c r="H160" s="118" t="s">
        <v>333</v>
      </c>
      <c r="I160" s="118">
        <v>412</v>
      </c>
      <c r="J160" s="118">
        <v>89598</v>
      </c>
      <c r="K160" s="118">
        <v>6</v>
      </c>
      <c r="L160" s="118" t="s">
        <v>35</v>
      </c>
      <c r="M160" s="118" t="s">
        <v>35</v>
      </c>
      <c r="N160" s="118">
        <v>4289570</v>
      </c>
      <c r="O160" s="121">
        <v>45965</v>
      </c>
      <c r="P160" s="118">
        <v>4405476</v>
      </c>
      <c r="Q160" s="149">
        <v>9280</v>
      </c>
      <c r="R160" s="123">
        <v>45975</v>
      </c>
      <c r="S160" s="118">
        <v>3207</v>
      </c>
      <c r="T160" s="118"/>
      <c r="U160" s="118" t="s">
        <v>37</v>
      </c>
      <c r="V160" s="118" t="s">
        <v>23</v>
      </c>
      <c r="W160" s="159">
        <v>8816</v>
      </c>
      <c r="X160" s="121">
        <v>45995</v>
      </c>
      <c r="Y160" s="121">
        <v>45999</v>
      </c>
      <c r="Z160" s="118" t="s">
        <v>39</v>
      </c>
      <c r="AA160" s="118"/>
      <c r="AB160" s="126">
        <f t="shared" si="2"/>
        <v>464</v>
      </c>
    </row>
    <row r="161" spans="2:28" ht="51" hidden="1" customHeight="1">
      <c r="B161" s="118" t="s">
        <v>148</v>
      </c>
      <c r="C161" s="118" t="s">
        <v>116</v>
      </c>
      <c r="D161" s="118" t="s">
        <v>35</v>
      </c>
      <c r="E161" s="117" t="s">
        <v>575</v>
      </c>
      <c r="F161" s="118">
        <v>5345</v>
      </c>
      <c r="G161" s="118">
        <v>242</v>
      </c>
      <c r="H161" s="118" t="s">
        <v>333</v>
      </c>
      <c r="I161" s="118">
        <v>598</v>
      </c>
      <c r="J161" s="118">
        <v>89599</v>
      </c>
      <c r="K161" s="118">
        <v>5</v>
      </c>
      <c r="L161" s="118" t="s">
        <v>576</v>
      </c>
      <c r="M161" s="118" t="s">
        <v>35</v>
      </c>
      <c r="N161" s="118">
        <v>4290603</v>
      </c>
      <c r="O161" s="121">
        <v>45965</v>
      </c>
      <c r="P161" s="118">
        <v>4409533</v>
      </c>
      <c r="Q161" s="149">
        <v>980</v>
      </c>
      <c r="R161" s="123">
        <v>45975</v>
      </c>
      <c r="S161" s="118">
        <v>356</v>
      </c>
      <c r="T161" s="118">
        <v>108</v>
      </c>
      <c r="U161" s="118" t="s">
        <v>72</v>
      </c>
      <c r="V161" s="118" t="s">
        <v>38</v>
      </c>
      <c r="W161" s="129">
        <v>980</v>
      </c>
      <c r="X161" s="121">
        <v>45972</v>
      </c>
      <c r="Y161" s="121">
        <v>45974</v>
      </c>
      <c r="Z161" s="125" t="s">
        <v>39</v>
      </c>
      <c r="AA161" s="118"/>
      <c r="AB161" s="126">
        <f t="shared" si="2"/>
        <v>0</v>
      </c>
    </row>
    <row r="162" spans="2:28" ht="51" hidden="1" customHeight="1">
      <c r="B162" s="118" t="s">
        <v>529</v>
      </c>
      <c r="C162" s="118" t="s">
        <v>577</v>
      </c>
      <c r="D162" s="118" t="s">
        <v>35</v>
      </c>
      <c r="E162" s="117" t="s">
        <v>578</v>
      </c>
      <c r="F162" s="118">
        <v>2321</v>
      </c>
      <c r="G162" s="118">
        <v>5</v>
      </c>
      <c r="H162" s="118" t="s">
        <v>579</v>
      </c>
      <c r="I162" s="118">
        <v>82</v>
      </c>
      <c r="J162" s="118">
        <v>81393</v>
      </c>
      <c r="K162" s="118">
        <v>1</v>
      </c>
      <c r="L162" s="118" t="s">
        <v>35</v>
      </c>
      <c r="M162" s="118" t="s">
        <v>35</v>
      </c>
      <c r="N162" s="118">
        <v>4242540</v>
      </c>
      <c r="O162" s="121">
        <v>45916</v>
      </c>
      <c r="P162" s="118">
        <v>4367126</v>
      </c>
      <c r="Q162" s="149">
        <v>2437.21</v>
      </c>
      <c r="R162" s="123">
        <v>45962</v>
      </c>
      <c r="S162" s="118">
        <v>35</v>
      </c>
      <c r="T162" s="125"/>
      <c r="U162" s="118" t="s">
        <v>72</v>
      </c>
      <c r="V162" s="118" t="s">
        <v>23</v>
      </c>
      <c r="W162" s="129">
        <v>2437.21</v>
      </c>
      <c r="X162" s="121">
        <v>45962</v>
      </c>
      <c r="Y162" s="140">
        <v>45965</v>
      </c>
      <c r="Z162" s="125" t="s">
        <v>39</v>
      </c>
      <c r="AA162" s="118"/>
      <c r="AB162" s="126">
        <f t="shared" si="2"/>
        <v>0</v>
      </c>
    </row>
    <row r="163" spans="2:28" ht="51" hidden="1" customHeight="1">
      <c r="B163" s="118" t="s">
        <v>253</v>
      </c>
      <c r="C163" s="118" t="s">
        <v>580</v>
      </c>
      <c r="D163" s="118" t="s">
        <v>35</v>
      </c>
      <c r="E163" s="118" t="s">
        <v>581</v>
      </c>
      <c r="F163" s="118">
        <v>1210</v>
      </c>
      <c r="G163" s="118">
        <v>242</v>
      </c>
      <c r="H163" s="118" t="s">
        <v>186</v>
      </c>
      <c r="I163" s="118">
        <v>231</v>
      </c>
      <c r="J163" s="118">
        <v>77460</v>
      </c>
      <c r="K163" s="118">
        <v>29</v>
      </c>
      <c r="L163" s="118" t="s">
        <v>582</v>
      </c>
      <c r="M163" s="118" t="s">
        <v>35</v>
      </c>
      <c r="N163" s="118">
        <v>4214446</v>
      </c>
      <c r="O163" s="121">
        <v>45888</v>
      </c>
      <c r="P163" s="118">
        <v>4336027</v>
      </c>
      <c r="Q163" s="149">
        <v>130000</v>
      </c>
      <c r="R163" s="123">
        <v>45901</v>
      </c>
      <c r="S163" s="118">
        <v>1089</v>
      </c>
      <c r="T163" s="125"/>
      <c r="U163" s="118" t="s">
        <v>37</v>
      </c>
      <c r="V163" s="118" t="s">
        <v>64</v>
      </c>
      <c r="W163" s="159">
        <v>30000</v>
      </c>
      <c r="X163" s="121">
        <v>45992</v>
      </c>
      <c r="Y163" s="140">
        <v>45993</v>
      </c>
      <c r="Z163" s="125" t="s">
        <v>39</v>
      </c>
      <c r="AA163" s="118"/>
      <c r="AB163" s="126"/>
    </row>
    <row r="164" spans="2:28" ht="51" hidden="1" customHeight="1">
      <c r="B164" s="118" t="s">
        <v>253</v>
      </c>
      <c r="C164" s="118" t="s">
        <v>580</v>
      </c>
      <c r="D164" s="118" t="s">
        <v>35</v>
      </c>
      <c r="E164" s="118" t="s">
        <v>581</v>
      </c>
      <c r="F164" s="118">
        <v>1210</v>
      </c>
      <c r="G164" s="118">
        <v>242</v>
      </c>
      <c r="H164" s="118" t="s">
        <v>186</v>
      </c>
      <c r="I164" s="118">
        <v>231</v>
      </c>
      <c r="J164" s="118">
        <v>77460</v>
      </c>
      <c r="K164" s="118">
        <v>29</v>
      </c>
      <c r="L164" s="118" t="s">
        <v>582</v>
      </c>
      <c r="M164" s="118" t="s">
        <v>35</v>
      </c>
      <c r="N164" s="118">
        <v>4214446</v>
      </c>
      <c r="O164" s="121">
        <v>45888</v>
      </c>
      <c r="P164" s="118">
        <v>4336027</v>
      </c>
      <c r="Q164" s="149">
        <v>130000</v>
      </c>
      <c r="R164" s="123">
        <v>45901</v>
      </c>
      <c r="S164" s="118">
        <v>1067</v>
      </c>
      <c r="T164" s="125"/>
      <c r="U164" s="118" t="s">
        <v>72</v>
      </c>
      <c r="V164" s="118" t="s">
        <v>38</v>
      </c>
      <c r="W164" s="129">
        <v>50000</v>
      </c>
      <c r="X164" s="121">
        <v>45964</v>
      </c>
      <c r="Y164" s="140">
        <v>45964</v>
      </c>
      <c r="Z164" s="118" t="s">
        <v>39</v>
      </c>
      <c r="AA164" s="118"/>
      <c r="AB164" s="126">
        <f t="shared" si="2"/>
        <v>80000</v>
      </c>
    </row>
    <row r="165" spans="2:28" ht="51" hidden="1" customHeight="1">
      <c r="B165" s="118" t="s">
        <v>344</v>
      </c>
      <c r="C165" s="118" t="s">
        <v>583</v>
      </c>
      <c r="D165" s="118" t="s">
        <v>35</v>
      </c>
      <c r="E165" s="118" t="s">
        <v>584</v>
      </c>
      <c r="F165" s="118">
        <v>2321</v>
      </c>
      <c r="G165" s="118">
        <v>242</v>
      </c>
      <c r="H165" s="118" t="s">
        <v>347</v>
      </c>
      <c r="I165" s="118" t="s">
        <v>524</v>
      </c>
      <c r="J165" s="118">
        <v>89554</v>
      </c>
      <c r="K165" s="118">
        <v>1</v>
      </c>
      <c r="L165" s="118" t="s">
        <v>35</v>
      </c>
      <c r="M165" s="118" t="s">
        <v>35</v>
      </c>
      <c r="N165" s="118">
        <v>4289945</v>
      </c>
      <c r="O165" s="121">
        <v>45964</v>
      </c>
      <c r="P165" s="118">
        <v>4408638</v>
      </c>
      <c r="Q165" s="149">
        <v>4735</v>
      </c>
      <c r="R165" s="123">
        <v>45993</v>
      </c>
      <c r="S165" s="118">
        <v>706</v>
      </c>
      <c r="T165" s="118"/>
      <c r="U165" s="118" t="s">
        <v>447</v>
      </c>
      <c r="V165" s="118" t="s">
        <v>23</v>
      </c>
      <c r="W165" s="129">
        <v>2335</v>
      </c>
      <c r="X165" s="121">
        <v>45993</v>
      </c>
      <c r="Y165" s="121">
        <v>45994</v>
      </c>
      <c r="Z165" s="118" t="s">
        <v>39</v>
      </c>
      <c r="AA165" s="118"/>
      <c r="AB165" s="126">
        <f t="shared" si="2"/>
        <v>2400</v>
      </c>
    </row>
    <row r="166" spans="2:28" ht="51" hidden="1" customHeight="1">
      <c r="B166" s="118" t="s">
        <v>222</v>
      </c>
      <c r="C166" s="118" t="s">
        <v>223</v>
      </c>
      <c r="D166" s="118" t="s">
        <v>35</v>
      </c>
      <c r="E166" s="127" t="s">
        <v>224</v>
      </c>
      <c r="F166" s="118">
        <v>2488</v>
      </c>
      <c r="G166" s="118">
        <v>5</v>
      </c>
      <c r="H166" s="118" t="s">
        <v>33</v>
      </c>
      <c r="I166" s="118" t="s">
        <v>225</v>
      </c>
      <c r="J166" s="118">
        <v>65821</v>
      </c>
      <c r="K166" s="118">
        <v>1</v>
      </c>
      <c r="L166" s="118" t="s">
        <v>35</v>
      </c>
      <c r="M166" s="118" t="s">
        <v>35</v>
      </c>
      <c r="N166" s="118">
        <v>4195109</v>
      </c>
      <c r="O166" s="121">
        <v>45868</v>
      </c>
      <c r="P166" s="118">
        <v>4324342</v>
      </c>
      <c r="Q166" s="122">
        <v>58757.83</v>
      </c>
      <c r="R166" s="128"/>
      <c r="S166" s="118">
        <v>125</v>
      </c>
      <c r="T166" s="118" t="s">
        <v>35</v>
      </c>
      <c r="U166" s="118" t="s">
        <v>37</v>
      </c>
      <c r="V166" s="118" t="s">
        <v>87</v>
      </c>
      <c r="W166" s="124">
        <v>58757.83</v>
      </c>
      <c r="X166" s="121">
        <v>45994</v>
      </c>
      <c r="Y166" s="121">
        <v>46000</v>
      </c>
      <c r="Z166" s="118" t="s">
        <v>39</v>
      </c>
      <c r="AA166" s="118"/>
      <c r="AB166" s="126">
        <f>Q166-W166</f>
        <v>0</v>
      </c>
    </row>
    <row r="167" spans="2:28" ht="51" hidden="1" customHeight="1">
      <c r="B167" s="118" t="s">
        <v>222</v>
      </c>
      <c r="C167" s="118" t="s">
        <v>223</v>
      </c>
      <c r="D167" s="118" t="s">
        <v>35</v>
      </c>
      <c r="E167" s="127" t="s">
        <v>224</v>
      </c>
      <c r="F167" s="118">
        <v>2488</v>
      </c>
      <c r="G167" s="118">
        <v>5</v>
      </c>
      <c r="H167" s="118" t="s">
        <v>333</v>
      </c>
      <c r="I167" s="118" t="s">
        <v>225</v>
      </c>
      <c r="J167" s="118">
        <v>65821</v>
      </c>
      <c r="K167" s="118">
        <v>1</v>
      </c>
      <c r="L167" s="118" t="s">
        <v>35</v>
      </c>
      <c r="M167" s="118" t="s">
        <v>35</v>
      </c>
      <c r="N167" s="118">
        <v>4195109</v>
      </c>
      <c r="O167" s="121">
        <v>45868</v>
      </c>
      <c r="P167" s="118">
        <v>4324342</v>
      </c>
      <c r="Q167" s="149">
        <v>172515.65</v>
      </c>
      <c r="R167" s="128"/>
      <c r="S167" s="118">
        <v>124</v>
      </c>
      <c r="T167" s="118" t="s">
        <v>35</v>
      </c>
      <c r="U167" s="118" t="s">
        <v>72</v>
      </c>
      <c r="V167" s="118" t="s">
        <v>23</v>
      </c>
      <c r="W167" s="129">
        <v>113757.82</v>
      </c>
      <c r="X167" s="121">
        <v>45964</v>
      </c>
      <c r="Y167" s="121">
        <v>45964</v>
      </c>
      <c r="Z167" s="118" t="s">
        <v>65</v>
      </c>
      <c r="AA167" s="118"/>
      <c r="AB167" s="126">
        <f t="shared" si="2"/>
        <v>58757.829999999987</v>
      </c>
    </row>
    <row r="168" spans="2:28" ht="51" hidden="1" customHeight="1">
      <c r="B168" s="118" t="s">
        <v>125</v>
      </c>
      <c r="C168" s="118" t="s">
        <v>585</v>
      </c>
      <c r="D168" s="118" t="s">
        <v>35</v>
      </c>
      <c r="E168" s="117" t="s">
        <v>586</v>
      </c>
      <c r="F168" s="118">
        <v>5345</v>
      </c>
      <c r="G168" s="118">
        <v>242</v>
      </c>
      <c r="H168" s="118" t="s">
        <v>333</v>
      </c>
      <c r="I168" s="118">
        <v>6</v>
      </c>
      <c r="J168" s="118">
        <v>89882</v>
      </c>
      <c r="K168" s="118">
        <v>5</v>
      </c>
      <c r="L168" s="118" t="s">
        <v>587</v>
      </c>
      <c r="M168" s="118" t="s">
        <v>35</v>
      </c>
      <c r="N168" s="118">
        <v>4290628</v>
      </c>
      <c r="O168" s="121">
        <v>45965</v>
      </c>
      <c r="P168" s="118">
        <v>4409534</v>
      </c>
      <c r="Q168" s="149">
        <v>4369.8999999999996</v>
      </c>
      <c r="R168" s="123" t="s">
        <v>35</v>
      </c>
      <c r="S168" s="118">
        <v>1789</v>
      </c>
      <c r="T168" s="118" t="s">
        <v>35</v>
      </c>
      <c r="U168" s="118" t="s">
        <v>72</v>
      </c>
      <c r="V168" s="118" t="s">
        <v>23</v>
      </c>
      <c r="W168" s="129">
        <v>4369.8999999999996</v>
      </c>
      <c r="X168" s="121">
        <v>45974</v>
      </c>
      <c r="Y168" s="121">
        <v>45978</v>
      </c>
      <c r="Z168" s="125" t="s">
        <v>39</v>
      </c>
      <c r="AA168" s="118"/>
      <c r="AB168" s="126">
        <f t="shared" si="2"/>
        <v>0</v>
      </c>
    </row>
    <row r="169" spans="2:28" ht="51" hidden="1" customHeight="1">
      <c r="B169" s="118" t="s">
        <v>287</v>
      </c>
      <c r="C169" s="118" t="s">
        <v>54</v>
      </c>
      <c r="D169" s="118" t="s">
        <v>35</v>
      </c>
      <c r="E169" s="118" t="s">
        <v>588</v>
      </c>
      <c r="F169" s="118">
        <v>2488</v>
      </c>
      <c r="G169" s="118">
        <v>5</v>
      </c>
      <c r="H169" s="118" t="s">
        <v>186</v>
      </c>
      <c r="I169" s="118">
        <v>3313</v>
      </c>
      <c r="J169" s="118">
        <v>81733</v>
      </c>
      <c r="K169" s="118">
        <v>2</v>
      </c>
      <c r="L169" s="118" t="s">
        <v>589</v>
      </c>
      <c r="M169" s="118" t="s">
        <v>35</v>
      </c>
      <c r="N169" s="118">
        <v>4245628</v>
      </c>
      <c r="O169" s="121">
        <v>45918</v>
      </c>
      <c r="P169" s="118">
        <v>4365089</v>
      </c>
      <c r="Q169" s="149">
        <v>18590</v>
      </c>
      <c r="R169" s="123">
        <v>45931</v>
      </c>
      <c r="S169" s="118">
        <v>2049</v>
      </c>
      <c r="T169" s="118" t="s">
        <v>35</v>
      </c>
      <c r="U169" s="118" t="s">
        <v>72</v>
      </c>
      <c r="V169" s="118" t="s">
        <v>38</v>
      </c>
      <c r="W169" s="129">
        <v>18590</v>
      </c>
      <c r="X169" s="121">
        <v>45964</v>
      </c>
      <c r="Y169" s="140">
        <v>45967</v>
      </c>
      <c r="Z169" s="125" t="s">
        <v>39</v>
      </c>
      <c r="AA169" s="118"/>
      <c r="AB169" s="126">
        <f t="shared" si="2"/>
        <v>0</v>
      </c>
    </row>
    <row r="170" spans="2:28" ht="51" hidden="1" customHeight="1">
      <c r="B170" s="118" t="s">
        <v>344</v>
      </c>
      <c r="C170" s="118" t="s">
        <v>501</v>
      </c>
      <c r="D170" s="118">
        <v>38026</v>
      </c>
      <c r="E170" s="118" t="s">
        <v>590</v>
      </c>
      <c r="F170" s="118">
        <v>2321</v>
      </c>
      <c r="G170" s="118">
        <v>242</v>
      </c>
      <c r="H170" s="118" t="s">
        <v>347</v>
      </c>
      <c r="I170" s="118">
        <v>11943</v>
      </c>
      <c r="J170" s="118">
        <v>89686</v>
      </c>
      <c r="K170" s="118">
        <v>6</v>
      </c>
      <c r="L170" s="118" t="s">
        <v>35</v>
      </c>
      <c r="M170" s="118" t="s">
        <v>35</v>
      </c>
      <c r="N170" s="118">
        <v>4291256</v>
      </c>
      <c r="O170" s="121">
        <v>45965</v>
      </c>
      <c r="P170" s="118">
        <v>4406381</v>
      </c>
      <c r="Q170" s="149">
        <v>8180</v>
      </c>
      <c r="R170" s="123">
        <v>45992</v>
      </c>
      <c r="S170" s="118">
        <v>3131</v>
      </c>
      <c r="T170" s="150">
        <v>45972</v>
      </c>
      <c r="U170" s="118" t="s">
        <v>72</v>
      </c>
      <c r="V170" s="118" t="s">
        <v>64</v>
      </c>
      <c r="W170" s="129">
        <v>8180</v>
      </c>
      <c r="X170" s="121">
        <v>45971</v>
      </c>
      <c r="Y170" s="121">
        <v>45979</v>
      </c>
      <c r="Z170" s="125" t="s">
        <v>39</v>
      </c>
      <c r="AA170" s="118"/>
      <c r="AB170" s="126">
        <f t="shared" si="2"/>
        <v>0</v>
      </c>
    </row>
    <row r="171" spans="2:28" ht="51" hidden="1" customHeight="1">
      <c r="B171" s="118" t="s">
        <v>262</v>
      </c>
      <c r="C171" s="118" t="s">
        <v>591</v>
      </c>
      <c r="D171" s="118" t="s">
        <v>35</v>
      </c>
      <c r="E171" s="118" t="s">
        <v>592</v>
      </c>
      <c r="F171" s="118">
        <v>1295</v>
      </c>
      <c r="G171" s="118">
        <v>242</v>
      </c>
      <c r="H171" s="118" t="s">
        <v>333</v>
      </c>
      <c r="I171" s="118" t="s">
        <v>593</v>
      </c>
      <c r="J171" s="160">
        <v>23624</v>
      </c>
      <c r="K171" s="118">
        <v>1</v>
      </c>
      <c r="L171" s="118" t="s">
        <v>35</v>
      </c>
      <c r="M171" s="118" t="s">
        <v>35</v>
      </c>
      <c r="N171" s="118">
        <v>3845839</v>
      </c>
      <c r="O171" s="121">
        <v>45525</v>
      </c>
      <c r="P171" s="118">
        <v>3985320</v>
      </c>
      <c r="Q171" s="149">
        <v>132000</v>
      </c>
      <c r="R171" s="123" t="s">
        <v>35</v>
      </c>
      <c r="S171" s="118">
        <v>2956</v>
      </c>
      <c r="T171" s="118" t="s">
        <v>35</v>
      </c>
      <c r="U171" s="118" t="s">
        <v>72</v>
      </c>
      <c r="V171" s="118" t="s">
        <v>64</v>
      </c>
      <c r="W171" s="129">
        <v>123990</v>
      </c>
      <c r="X171" s="121">
        <v>45965</v>
      </c>
      <c r="Y171" s="121">
        <v>45965</v>
      </c>
      <c r="Z171" s="118" t="s">
        <v>152</v>
      </c>
      <c r="AA171" s="118" t="s">
        <v>594</v>
      </c>
      <c r="AB171" s="126">
        <f>Q171-W171</f>
        <v>8010</v>
      </c>
    </row>
    <row r="172" spans="2:28" ht="51" hidden="1" customHeight="1">
      <c r="B172" s="118" t="s">
        <v>148</v>
      </c>
      <c r="C172" s="118" t="s">
        <v>116</v>
      </c>
      <c r="D172" s="118" t="s">
        <v>35</v>
      </c>
      <c r="E172" s="117" t="s">
        <v>595</v>
      </c>
      <c r="F172" s="118">
        <v>2224</v>
      </c>
      <c r="G172" s="118">
        <v>242</v>
      </c>
      <c r="H172" s="118" t="s">
        <v>333</v>
      </c>
      <c r="I172" s="118">
        <v>487</v>
      </c>
      <c r="J172" s="118">
        <v>89972</v>
      </c>
      <c r="K172" s="118">
        <v>2</v>
      </c>
      <c r="L172" s="118" t="s">
        <v>596</v>
      </c>
      <c r="M172" s="118" t="s">
        <v>35</v>
      </c>
      <c r="N172" s="118">
        <v>4291643</v>
      </c>
      <c r="O172" s="121">
        <v>45965</v>
      </c>
      <c r="P172" s="118">
        <v>4407055</v>
      </c>
      <c r="Q172" s="149">
        <v>3600</v>
      </c>
      <c r="R172" s="123">
        <v>45962</v>
      </c>
      <c r="S172" s="118">
        <v>355</v>
      </c>
      <c r="T172" s="118"/>
      <c r="U172" s="118" t="s">
        <v>37</v>
      </c>
      <c r="V172" s="118" t="s">
        <v>64</v>
      </c>
      <c r="W172" s="129">
        <v>3600</v>
      </c>
      <c r="X172" s="121">
        <v>45968</v>
      </c>
      <c r="Y172" s="121">
        <v>45972</v>
      </c>
      <c r="Z172" s="125" t="s">
        <v>39</v>
      </c>
      <c r="AA172" s="118"/>
      <c r="AB172" s="126">
        <f t="shared" si="2"/>
        <v>0</v>
      </c>
    </row>
    <row r="173" spans="2:28" ht="51" hidden="1" customHeight="1">
      <c r="B173" s="118" t="s">
        <v>148</v>
      </c>
      <c r="C173" s="118" t="s">
        <v>597</v>
      </c>
      <c r="D173" s="118">
        <v>39950</v>
      </c>
      <c r="E173" s="117" t="s">
        <v>598</v>
      </c>
      <c r="F173" s="118">
        <v>5525</v>
      </c>
      <c r="G173" s="118">
        <v>242</v>
      </c>
      <c r="H173" s="118" t="s">
        <v>333</v>
      </c>
      <c r="I173" s="118">
        <v>418</v>
      </c>
      <c r="J173" s="118">
        <v>89980</v>
      </c>
      <c r="K173" s="118">
        <v>6</v>
      </c>
      <c r="L173" s="118" t="s">
        <v>35</v>
      </c>
      <c r="M173" s="118" t="s">
        <v>35</v>
      </c>
      <c r="N173" s="118">
        <v>4291999</v>
      </c>
      <c r="O173" s="121">
        <v>45966</v>
      </c>
      <c r="P173" s="118">
        <v>4406438</v>
      </c>
      <c r="Q173" s="149">
        <v>4303.5</v>
      </c>
      <c r="R173" s="123">
        <v>45992</v>
      </c>
      <c r="S173" s="118">
        <v>3184</v>
      </c>
      <c r="T173" s="118"/>
      <c r="U173" s="118" t="s">
        <v>72</v>
      </c>
      <c r="V173" s="118" t="s">
        <v>23</v>
      </c>
      <c r="W173" s="129">
        <v>4303.5</v>
      </c>
      <c r="X173" s="121">
        <v>45973</v>
      </c>
      <c r="Y173" s="121">
        <v>45974</v>
      </c>
      <c r="Z173" s="125" t="s">
        <v>39</v>
      </c>
      <c r="AA173" s="118"/>
      <c r="AB173" s="126">
        <f t="shared" si="2"/>
        <v>0</v>
      </c>
    </row>
    <row r="174" spans="2:28" ht="51" hidden="1" customHeight="1">
      <c r="B174" s="118" t="s">
        <v>30</v>
      </c>
      <c r="C174" s="118" t="s">
        <v>599</v>
      </c>
      <c r="D174" s="118">
        <v>38879</v>
      </c>
      <c r="E174" s="118" t="s">
        <v>600</v>
      </c>
      <c r="F174" s="118">
        <v>5345</v>
      </c>
      <c r="G174" s="118">
        <v>242</v>
      </c>
      <c r="H174" s="118" t="s">
        <v>333</v>
      </c>
      <c r="I174" s="118">
        <v>255612</v>
      </c>
      <c r="J174" s="118">
        <v>90102</v>
      </c>
      <c r="K174" s="118">
        <v>6</v>
      </c>
      <c r="L174" s="118" t="s">
        <v>35</v>
      </c>
      <c r="M174" s="118" t="s">
        <v>35</v>
      </c>
      <c r="N174" s="118">
        <v>4292013</v>
      </c>
      <c r="O174" s="121">
        <v>45966</v>
      </c>
      <c r="P174" s="118">
        <v>4408235</v>
      </c>
      <c r="Q174" s="149">
        <v>1950</v>
      </c>
      <c r="R174" s="123">
        <v>45981</v>
      </c>
      <c r="S174" s="118">
        <v>1358</v>
      </c>
      <c r="T174" s="118"/>
      <c r="U174" s="118" t="s">
        <v>72</v>
      </c>
      <c r="V174" s="118" t="s">
        <v>64</v>
      </c>
      <c r="W174" s="149">
        <v>1950</v>
      </c>
      <c r="X174" s="121">
        <v>45980</v>
      </c>
      <c r="Y174" s="121">
        <v>45985</v>
      </c>
      <c r="Z174" s="118" t="s">
        <v>39</v>
      </c>
      <c r="AA174" s="118"/>
      <c r="AB174" s="126">
        <f t="shared" si="2"/>
        <v>0</v>
      </c>
    </row>
    <row r="175" spans="2:28" ht="51" hidden="1" customHeight="1">
      <c r="B175" s="118" t="s">
        <v>30</v>
      </c>
      <c r="C175" s="118" t="s">
        <v>585</v>
      </c>
      <c r="D175" s="118">
        <v>40064</v>
      </c>
      <c r="E175" s="117" t="s">
        <v>601</v>
      </c>
      <c r="F175" s="118">
        <v>5345</v>
      </c>
      <c r="G175" s="118">
        <v>242</v>
      </c>
      <c r="H175" s="118" t="s">
        <v>333</v>
      </c>
      <c r="I175" s="118">
        <v>7</v>
      </c>
      <c r="J175" s="118">
        <v>90104</v>
      </c>
      <c r="K175" s="118">
        <v>6</v>
      </c>
      <c r="L175" s="118" t="s">
        <v>35</v>
      </c>
      <c r="M175" s="118" t="s">
        <v>35</v>
      </c>
      <c r="N175" s="118">
        <v>4293172</v>
      </c>
      <c r="O175" s="121">
        <v>45966</v>
      </c>
      <c r="P175" s="118">
        <v>4408825</v>
      </c>
      <c r="Q175" s="149">
        <v>10519.8</v>
      </c>
      <c r="R175" s="123">
        <v>45981</v>
      </c>
      <c r="S175" s="118"/>
      <c r="T175" s="118"/>
      <c r="U175" s="118"/>
      <c r="V175" s="118"/>
      <c r="W175" s="129"/>
      <c r="X175" s="121"/>
      <c r="Y175" s="121"/>
      <c r="Z175" s="118" t="s">
        <v>48</v>
      </c>
      <c r="AA175" s="118"/>
      <c r="AB175" s="126">
        <f t="shared" si="2"/>
        <v>10519.8</v>
      </c>
    </row>
    <row r="176" spans="2:28" ht="51" hidden="1" customHeight="1">
      <c r="B176" s="118" t="s">
        <v>30</v>
      </c>
      <c r="C176" s="118" t="s">
        <v>597</v>
      </c>
      <c r="D176" s="118" t="s">
        <v>602</v>
      </c>
      <c r="E176" s="117" t="s">
        <v>603</v>
      </c>
      <c r="F176" s="118">
        <v>5345</v>
      </c>
      <c r="G176" s="118">
        <v>242</v>
      </c>
      <c r="H176" s="118" t="s">
        <v>333</v>
      </c>
      <c r="I176" s="118">
        <v>402</v>
      </c>
      <c r="J176" s="118">
        <v>90105</v>
      </c>
      <c r="K176" s="118">
        <v>6</v>
      </c>
      <c r="L176" s="118" t="s">
        <v>35</v>
      </c>
      <c r="M176" s="118" t="s">
        <v>35</v>
      </c>
      <c r="N176" s="125"/>
      <c r="O176" s="125"/>
      <c r="P176" s="125"/>
      <c r="Q176" s="149">
        <v>4940</v>
      </c>
      <c r="R176" s="123">
        <v>45981</v>
      </c>
      <c r="S176" s="118"/>
      <c r="T176" s="118"/>
      <c r="U176" s="118"/>
      <c r="V176" s="118"/>
      <c r="W176" s="129"/>
      <c r="X176" s="121"/>
      <c r="Y176" s="121"/>
      <c r="Z176" s="118" t="s">
        <v>604</v>
      </c>
      <c r="AA176" s="118" t="s">
        <v>605</v>
      </c>
      <c r="AB176" s="126">
        <f t="shared" si="2"/>
        <v>4940</v>
      </c>
    </row>
    <row r="177" spans="2:28" ht="51" hidden="1" customHeight="1">
      <c r="B177" s="118" t="s">
        <v>148</v>
      </c>
      <c r="C177" s="118" t="s">
        <v>116</v>
      </c>
      <c r="D177" s="118" t="s">
        <v>35</v>
      </c>
      <c r="E177" s="118" t="s">
        <v>606</v>
      </c>
      <c r="F177" s="118">
        <v>2313</v>
      </c>
      <c r="G177" s="118">
        <v>242</v>
      </c>
      <c r="H177" s="118" t="s">
        <v>333</v>
      </c>
      <c r="I177" s="118">
        <v>635</v>
      </c>
      <c r="J177" s="118">
        <v>90190</v>
      </c>
      <c r="K177" s="118">
        <v>5</v>
      </c>
      <c r="L177" s="118" t="s">
        <v>607</v>
      </c>
      <c r="M177" s="118" t="s">
        <v>35</v>
      </c>
      <c r="N177" s="118">
        <v>4293189</v>
      </c>
      <c r="O177" s="121">
        <v>45967</v>
      </c>
      <c r="P177" s="118">
        <v>4409745</v>
      </c>
      <c r="Q177" s="149">
        <v>3890</v>
      </c>
      <c r="R177" s="123" t="s">
        <v>35</v>
      </c>
      <c r="S177" s="118">
        <v>358</v>
      </c>
      <c r="T177" s="118"/>
      <c r="U177" s="118" t="s">
        <v>37</v>
      </c>
      <c r="V177" s="118" t="s">
        <v>64</v>
      </c>
      <c r="W177" s="129">
        <v>3890</v>
      </c>
      <c r="X177" s="121">
        <v>45972</v>
      </c>
      <c r="Y177" s="121">
        <v>45974</v>
      </c>
      <c r="Z177" s="125" t="s">
        <v>39</v>
      </c>
      <c r="AA177" s="118"/>
      <c r="AB177" s="126">
        <f t="shared" si="2"/>
        <v>0</v>
      </c>
    </row>
    <row r="178" spans="2:28" ht="37.5" hidden="1">
      <c r="B178" s="118" t="s">
        <v>344</v>
      </c>
      <c r="C178" s="118" t="s">
        <v>608</v>
      </c>
      <c r="D178" s="118">
        <v>39859</v>
      </c>
      <c r="E178" s="118" t="s">
        <v>609</v>
      </c>
      <c r="F178" s="118">
        <v>1236</v>
      </c>
      <c r="G178" s="118">
        <v>242</v>
      </c>
      <c r="H178" s="118" t="s">
        <v>347</v>
      </c>
      <c r="I178" s="118">
        <v>375</v>
      </c>
      <c r="J178" s="118">
        <v>88494</v>
      </c>
      <c r="K178" s="118">
        <v>6</v>
      </c>
      <c r="L178" s="118" t="s">
        <v>35</v>
      </c>
      <c r="M178" s="118" t="s">
        <v>35</v>
      </c>
      <c r="N178" s="118">
        <v>4293717</v>
      </c>
      <c r="O178" s="121">
        <v>45967</v>
      </c>
      <c r="P178" s="118">
        <v>4410859</v>
      </c>
      <c r="Q178" s="149">
        <v>5291.5</v>
      </c>
      <c r="R178" s="123">
        <v>45992</v>
      </c>
      <c r="S178" s="118">
        <v>4</v>
      </c>
      <c r="T178" s="150">
        <v>45979</v>
      </c>
      <c r="U178" s="118" t="s">
        <v>72</v>
      </c>
      <c r="V178" s="118" t="s">
        <v>23</v>
      </c>
      <c r="W178" s="129">
        <v>5291.5</v>
      </c>
      <c r="X178" s="121">
        <v>45973</v>
      </c>
      <c r="Y178" s="140">
        <v>45980</v>
      </c>
      <c r="Z178" s="125" t="s">
        <v>39</v>
      </c>
      <c r="AA178" s="118"/>
      <c r="AB178" s="126">
        <f t="shared" si="2"/>
        <v>0</v>
      </c>
    </row>
    <row r="179" spans="2:28" ht="24" hidden="1">
      <c r="B179" s="118" t="s">
        <v>295</v>
      </c>
      <c r="C179" s="118" t="s">
        <v>610</v>
      </c>
      <c r="D179" s="118" t="s">
        <v>35</v>
      </c>
      <c r="E179" s="118" t="s">
        <v>611</v>
      </c>
      <c r="F179" s="118">
        <v>4057</v>
      </c>
      <c r="G179" s="118">
        <v>242</v>
      </c>
      <c r="H179" s="118" t="s">
        <v>186</v>
      </c>
      <c r="I179" s="118" t="s">
        <v>612</v>
      </c>
      <c r="J179" s="118">
        <v>90443</v>
      </c>
      <c r="K179" s="118">
        <v>29</v>
      </c>
      <c r="L179" s="118" t="s">
        <v>613</v>
      </c>
      <c r="M179" s="118" t="s">
        <v>35</v>
      </c>
      <c r="N179" s="118">
        <v>4294295</v>
      </c>
      <c r="O179" s="121">
        <v>45968</v>
      </c>
      <c r="P179" s="118">
        <v>4412724</v>
      </c>
      <c r="Q179" s="149">
        <v>12900</v>
      </c>
      <c r="R179" s="123">
        <v>45962</v>
      </c>
      <c r="S179" s="118"/>
      <c r="T179" s="118"/>
      <c r="U179" s="118"/>
      <c r="V179" s="118"/>
      <c r="W179" s="129"/>
      <c r="X179" s="121"/>
      <c r="Y179" s="121"/>
      <c r="Z179" s="118" t="s">
        <v>48</v>
      </c>
      <c r="AA179" s="118"/>
      <c r="AB179" s="126">
        <f t="shared" si="2"/>
        <v>12900</v>
      </c>
    </row>
    <row r="180" spans="2:28" ht="168" hidden="1">
      <c r="B180" s="118" t="s">
        <v>344</v>
      </c>
      <c r="C180" s="118" t="s">
        <v>614</v>
      </c>
      <c r="D180" s="118" t="s">
        <v>35</v>
      </c>
      <c r="E180" s="118" t="s">
        <v>615</v>
      </c>
      <c r="F180" s="118">
        <v>2089</v>
      </c>
      <c r="G180" s="118">
        <v>242</v>
      </c>
      <c r="H180" s="118" t="s">
        <v>186</v>
      </c>
      <c r="I180" s="118" t="s">
        <v>616</v>
      </c>
      <c r="J180" s="118">
        <v>87524</v>
      </c>
      <c r="K180" s="118">
        <v>29</v>
      </c>
      <c r="L180" s="118" t="s">
        <v>617</v>
      </c>
      <c r="M180" s="118" t="s">
        <v>35</v>
      </c>
      <c r="N180" s="135" t="s">
        <v>618</v>
      </c>
      <c r="O180" s="121">
        <v>45968</v>
      </c>
      <c r="P180" s="125"/>
      <c r="Q180" s="149">
        <v>9960.16</v>
      </c>
      <c r="R180" s="123">
        <v>45986</v>
      </c>
      <c r="S180" s="118"/>
      <c r="T180" s="118"/>
      <c r="U180" s="118"/>
      <c r="V180" s="118"/>
      <c r="W180" s="129"/>
      <c r="X180" s="121"/>
      <c r="Y180" s="121"/>
      <c r="Z180" s="118" t="s">
        <v>158</v>
      </c>
      <c r="AA180" s="118" t="s">
        <v>619</v>
      </c>
      <c r="AB180" s="126">
        <f t="shared" si="2"/>
        <v>9960.16</v>
      </c>
    </row>
    <row r="181" spans="2:28" ht="36" hidden="1">
      <c r="B181" s="118" t="s">
        <v>222</v>
      </c>
      <c r="C181" s="118" t="s">
        <v>620</v>
      </c>
      <c r="D181" s="118" t="s">
        <v>35</v>
      </c>
      <c r="E181" s="118" t="s">
        <v>621</v>
      </c>
      <c r="F181" s="118">
        <v>5345</v>
      </c>
      <c r="G181" s="118">
        <v>242</v>
      </c>
      <c r="H181" s="118" t="s">
        <v>186</v>
      </c>
      <c r="I181" s="118">
        <v>722672</v>
      </c>
      <c r="J181" s="118" t="s">
        <v>35</v>
      </c>
      <c r="K181" s="118">
        <v>8</v>
      </c>
      <c r="L181" s="118" t="s">
        <v>621</v>
      </c>
      <c r="M181" s="118" t="s">
        <v>35</v>
      </c>
      <c r="N181" s="118">
        <v>4294379</v>
      </c>
      <c r="O181" s="121">
        <v>45968</v>
      </c>
      <c r="P181" s="138">
        <v>4407395</v>
      </c>
      <c r="Q181" s="149">
        <v>1420</v>
      </c>
      <c r="R181" s="123">
        <v>45962</v>
      </c>
      <c r="S181" s="118">
        <v>6605</v>
      </c>
      <c r="T181" s="118" t="s">
        <v>35</v>
      </c>
      <c r="U181" s="118" t="s">
        <v>72</v>
      </c>
      <c r="V181" s="118" t="s">
        <v>38</v>
      </c>
      <c r="W181" s="129">
        <v>1420</v>
      </c>
      <c r="X181" s="121">
        <v>45967</v>
      </c>
      <c r="Y181" s="140">
        <v>45968</v>
      </c>
      <c r="Z181" s="125" t="s">
        <v>39</v>
      </c>
      <c r="AA181" s="118"/>
      <c r="AB181" s="126">
        <f t="shared" si="2"/>
        <v>0</v>
      </c>
    </row>
    <row r="182" spans="2:28" ht="113.25" hidden="1">
      <c r="B182" s="118" t="s">
        <v>529</v>
      </c>
      <c r="C182" s="118" t="s">
        <v>622</v>
      </c>
      <c r="D182" s="118" t="s">
        <v>35</v>
      </c>
      <c r="E182" s="118" t="s">
        <v>623</v>
      </c>
      <c r="F182" s="118">
        <v>2321</v>
      </c>
      <c r="G182" s="118">
        <v>242</v>
      </c>
      <c r="H182" s="118" t="s">
        <v>186</v>
      </c>
      <c r="I182" s="118">
        <v>700</v>
      </c>
      <c r="J182" s="118">
        <v>90368</v>
      </c>
      <c r="K182" s="118">
        <v>5</v>
      </c>
      <c r="L182" s="118" t="s">
        <v>624</v>
      </c>
      <c r="M182" s="118" t="s">
        <v>35</v>
      </c>
      <c r="N182" s="118">
        <v>4294458</v>
      </c>
      <c r="O182" s="121">
        <v>45968</v>
      </c>
      <c r="P182" s="118">
        <v>4413212</v>
      </c>
      <c r="Q182" s="149">
        <v>34226</v>
      </c>
      <c r="R182" s="123">
        <v>45962</v>
      </c>
      <c r="S182" s="118">
        <v>118</v>
      </c>
      <c r="T182" s="118"/>
      <c r="U182" s="118" t="s">
        <v>72</v>
      </c>
      <c r="V182" s="118" t="s">
        <v>23</v>
      </c>
      <c r="W182" s="129">
        <v>34226</v>
      </c>
      <c r="X182" s="121">
        <v>45993</v>
      </c>
      <c r="Y182" s="121">
        <v>45999</v>
      </c>
      <c r="Z182" s="118" t="s">
        <v>39</v>
      </c>
      <c r="AA182" s="118"/>
      <c r="AB182" s="126">
        <f t="shared" si="2"/>
        <v>0</v>
      </c>
    </row>
    <row r="183" spans="2:28" ht="150.75" hidden="1">
      <c r="B183" s="118" t="s">
        <v>344</v>
      </c>
      <c r="C183" s="118" t="s">
        <v>625</v>
      </c>
      <c r="D183" s="118">
        <v>39789</v>
      </c>
      <c r="E183" s="118" t="s">
        <v>626</v>
      </c>
      <c r="F183" s="118">
        <v>1228</v>
      </c>
      <c r="G183" s="118">
        <v>242</v>
      </c>
      <c r="H183" s="118" t="s">
        <v>347</v>
      </c>
      <c r="I183" s="118">
        <v>15264</v>
      </c>
      <c r="J183" s="118">
        <v>88594</v>
      </c>
      <c r="K183" s="118">
        <v>6</v>
      </c>
      <c r="L183" s="118" t="s">
        <v>35</v>
      </c>
      <c r="M183" s="118" t="s">
        <v>35</v>
      </c>
      <c r="N183" s="118">
        <v>4296446</v>
      </c>
      <c r="O183" s="121">
        <v>45971</v>
      </c>
      <c r="P183" s="118">
        <v>4413255</v>
      </c>
      <c r="Q183" s="149">
        <v>4549.6000000000004</v>
      </c>
      <c r="R183" s="123">
        <v>45999</v>
      </c>
      <c r="S183" s="132" t="s">
        <v>627</v>
      </c>
      <c r="T183" s="118"/>
      <c r="U183" s="118" t="s">
        <v>37</v>
      </c>
      <c r="V183" s="118" t="s">
        <v>64</v>
      </c>
      <c r="W183" s="129">
        <v>4322.12</v>
      </c>
      <c r="X183" s="121">
        <v>45999</v>
      </c>
      <c r="Y183" s="121">
        <v>46000</v>
      </c>
      <c r="Z183" s="118" t="s">
        <v>39</v>
      </c>
      <c r="AA183" s="118"/>
      <c r="AB183" s="126">
        <f t="shared" si="2"/>
        <v>227.48000000000047</v>
      </c>
    </row>
    <row r="184" spans="2:28" ht="96" hidden="1">
      <c r="B184" s="118" t="s">
        <v>295</v>
      </c>
      <c r="C184" s="118" t="s">
        <v>628</v>
      </c>
      <c r="D184" s="118" t="s">
        <v>35</v>
      </c>
      <c r="E184" s="118" t="s">
        <v>629</v>
      </c>
      <c r="F184" s="118">
        <v>5345</v>
      </c>
      <c r="G184" s="118">
        <v>242</v>
      </c>
      <c r="H184" s="118" t="s">
        <v>186</v>
      </c>
      <c r="I184" s="118" t="s">
        <v>630</v>
      </c>
      <c r="J184" s="118">
        <v>90496</v>
      </c>
      <c r="K184" s="118">
        <v>5</v>
      </c>
      <c r="L184" s="118" t="s">
        <v>631</v>
      </c>
      <c r="M184" s="118" t="s">
        <v>37</v>
      </c>
      <c r="N184" s="118">
        <v>4296561</v>
      </c>
      <c r="O184" s="121">
        <v>45971</v>
      </c>
      <c r="P184" s="118">
        <v>4413697</v>
      </c>
      <c r="Q184" s="149">
        <v>32191.75</v>
      </c>
      <c r="R184" s="123">
        <v>45962</v>
      </c>
      <c r="S184" s="118">
        <v>338</v>
      </c>
      <c r="T184" s="118"/>
      <c r="U184" s="118" t="s">
        <v>447</v>
      </c>
      <c r="V184" s="118" t="s">
        <v>23</v>
      </c>
      <c r="W184" s="149">
        <v>32191.75</v>
      </c>
      <c r="X184" s="121">
        <v>45992</v>
      </c>
      <c r="Y184" s="121">
        <v>45993</v>
      </c>
      <c r="Z184" s="118" t="s">
        <v>39</v>
      </c>
      <c r="AA184" s="118"/>
      <c r="AB184" s="126">
        <f t="shared" si="2"/>
        <v>0</v>
      </c>
    </row>
    <row r="185" spans="2:28" ht="324" hidden="1">
      <c r="B185" s="118" t="s">
        <v>106</v>
      </c>
      <c r="C185" s="162" t="s">
        <v>632</v>
      </c>
      <c r="D185" s="118" t="s">
        <v>35</v>
      </c>
      <c r="E185" s="118" t="s">
        <v>540</v>
      </c>
      <c r="F185" s="118" t="s">
        <v>633</v>
      </c>
      <c r="G185" s="118">
        <v>5</v>
      </c>
      <c r="H185" s="118" t="s">
        <v>333</v>
      </c>
      <c r="I185" s="118">
        <v>0</v>
      </c>
      <c r="J185" s="118">
        <v>90827</v>
      </c>
      <c r="K185" s="118">
        <v>29</v>
      </c>
      <c r="L185" s="118" t="s">
        <v>634</v>
      </c>
      <c r="M185" s="118" t="s">
        <v>35</v>
      </c>
      <c r="N185" s="136" t="s">
        <v>635</v>
      </c>
      <c r="O185" s="121">
        <v>45972</v>
      </c>
      <c r="P185" s="123" t="s">
        <v>35</v>
      </c>
      <c r="Q185" s="149">
        <v>1700</v>
      </c>
      <c r="R185" s="123" t="s">
        <v>35</v>
      </c>
      <c r="S185" s="118"/>
      <c r="T185" s="118"/>
      <c r="U185" s="118"/>
      <c r="V185" s="118"/>
      <c r="W185" s="129"/>
      <c r="X185" s="121"/>
      <c r="Y185" s="121"/>
      <c r="Z185" s="118" t="s">
        <v>158</v>
      </c>
      <c r="AA185" s="118" t="s">
        <v>636</v>
      </c>
      <c r="AB185" s="126">
        <f t="shared" si="2"/>
        <v>1700</v>
      </c>
    </row>
    <row r="186" spans="2:28" ht="24" hidden="1">
      <c r="B186" s="118" t="s">
        <v>295</v>
      </c>
      <c r="C186" s="118" t="s">
        <v>296</v>
      </c>
      <c r="D186" s="118" t="s">
        <v>35</v>
      </c>
      <c r="E186" s="118" t="s">
        <v>637</v>
      </c>
      <c r="F186" s="118">
        <v>2291</v>
      </c>
      <c r="G186" s="118">
        <v>242</v>
      </c>
      <c r="H186" s="118" t="s">
        <v>347</v>
      </c>
      <c r="I186" s="118">
        <v>113</v>
      </c>
      <c r="J186" s="118">
        <v>90932</v>
      </c>
      <c r="K186" s="118">
        <v>29</v>
      </c>
      <c r="L186" s="118" t="s">
        <v>638</v>
      </c>
      <c r="M186" s="118" t="s">
        <v>35</v>
      </c>
      <c r="N186" s="118">
        <v>4297998</v>
      </c>
      <c r="O186" s="121">
        <v>45972</v>
      </c>
      <c r="P186" s="118">
        <v>4413854</v>
      </c>
      <c r="Q186" s="149">
        <v>25320</v>
      </c>
      <c r="R186" s="123">
        <v>45980</v>
      </c>
      <c r="S186" s="118"/>
      <c r="T186" s="118"/>
      <c r="U186" s="118"/>
      <c r="V186" s="118"/>
      <c r="W186" s="129"/>
      <c r="X186" s="121"/>
      <c r="Y186" s="121"/>
      <c r="Z186" s="118" t="s">
        <v>48</v>
      </c>
      <c r="AA186" s="118"/>
      <c r="AB186" s="126">
        <f t="shared" si="2"/>
        <v>25320</v>
      </c>
    </row>
    <row r="187" spans="2:28" ht="48" hidden="1">
      <c r="B187" s="118" t="s">
        <v>295</v>
      </c>
      <c r="C187" s="118" t="s">
        <v>639</v>
      </c>
      <c r="D187" s="118" t="s">
        <v>35</v>
      </c>
      <c r="E187" s="118" t="s">
        <v>640</v>
      </c>
      <c r="F187" s="118">
        <v>5345</v>
      </c>
      <c r="G187" s="118">
        <v>242</v>
      </c>
      <c r="H187" s="118" t="s">
        <v>347</v>
      </c>
      <c r="I187" s="118" t="s">
        <v>641</v>
      </c>
      <c r="J187" s="118">
        <v>91042</v>
      </c>
      <c r="K187" s="118">
        <v>29</v>
      </c>
      <c r="L187" s="118" t="s">
        <v>642</v>
      </c>
      <c r="M187" s="118" t="s">
        <v>35</v>
      </c>
      <c r="N187" s="118">
        <v>4298167</v>
      </c>
      <c r="O187" s="121">
        <v>45972</v>
      </c>
      <c r="P187" s="118">
        <v>4417448</v>
      </c>
      <c r="Q187" s="149">
        <v>276749</v>
      </c>
      <c r="R187" s="123">
        <v>45980</v>
      </c>
      <c r="S187" s="118"/>
      <c r="T187" s="118"/>
      <c r="U187" s="118"/>
      <c r="V187" s="118"/>
      <c r="W187" s="129"/>
      <c r="X187" s="121"/>
      <c r="Y187" s="121"/>
      <c r="Z187" s="118" t="s">
        <v>48</v>
      </c>
      <c r="AA187" s="118"/>
      <c r="AB187" s="126">
        <f t="shared" si="2"/>
        <v>276749</v>
      </c>
    </row>
    <row r="188" spans="2:28" ht="37.5" hidden="1">
      <c r="B188" s="118" t="s">
        <v>148</v>
      </c>
      <c r="C188" s="118" t="s">
        <v>116</v>
      </c>
      <c r="D188" s="118">
        <v>38600</v>
      </c>
      <c r="E188" s="117" t="s">
        <v>643</v>
      </c>
      <c r="F188" s="118">
        <v>5525</v>
      </c>
      <c r="G188" s="118">
        <v>242</v>
      </c>
      <c r="H188" s="118" t="s">
        <v>333</v>
      </c>
      <c r="I188" s="118">
        <v>502</v>
      </c>
      <c r="J188" s="118">
        <v>91183</v>
      </c>
      <c r="K188" s="118">
        <v>6</v>
      </c>
      <c r="L188" s="118" t="s">
        <v>35</v>
      </c>
      <c r="M188" s="118" t="s">
        <v>35</v>
      </c>
      <c r="N188" s="118">
        <v>4299208</v>
      </c>
      <c r="O188" s="121">
        <v>45973</v>
      </c>
      <c r="P188" s="118">
        <v>4413968</v>
      </c>
      <c r="Q188" s="149">
        <v>785</v>
      </c>
      <c r="R188" s="123">
        <v>45992</v>
      </c>
      <c r="S188" s="132" t="s">
        <v>644</v>
      </c>
      <c r="T188" s="118"/>
      <c r="U188" s="118" t="s">
        <v>37</v>
      </c>
      <c r="V188" s="118" t="s">
        <v>64</v>
      </c>
      <c r="W188" s="129">
        <v>785</v>
      </c>
      <c r="X188" s="121">
        <v>45962</v>
      </c>
      <c r="Y188" s="121">
        <v>45993</v>
      </c>
      <c r="Z188" s="118" t="s">
        <v>39</v>
      </c>
      <c r="AA188" s="118"/>
      <c r="AB188" s="126">
        <f t="shared" si="2"/>
        <v>0</v>
      </c>
    </row>
    <row r="189" spans="2:28" ht="48" hidden="1">
      <c r="B189" s="118" t="s">
        <v>148</v>
      </c>
      <c r="C189" s="118" t="s">
        <v>116</v>
      </c>
      <c r="D189" s="118" t="s">
        <v>35</v>
      </c>
      <c r="E189" s="117" t="s">
        <v>645</v>
      </c>
      <c r="F189" s="118">
        <v>2224</v>
      </c>
      <c r="G189" s="118">
        <v>242</v>
      </c>
      <c r="H189" s="118" t="s">
        <v>333</v>
      </c>
      <c r="I189" s="118">
        <v>634</v>
      </c>
      <c r="J189" s="118">
        <v>91170</v>
      </c>
      <c r="K189" s="118">
        <v>5</v>
      </c>
      <c r="L189" s="118" t="s">
        <v>646</v>
      </c>
      <c r="M189" s="118"/>
      <c r="N189" s="118">
        <v>4299058</v>
      </c>
      <c r="O189" s="121">
        <v>45973</v>
      </c>
      <c r="P189" s="118">
        <v>4415566</v>
      </c>
      <c r="Q189" s="149">
        <v>8960</v>
      </c>
      <c r="R189" s="123"/>
      <c r="S189" s="132" t="s">
        <v>647</v>
      </c>
      <c r="T189" s="118"/>
      <c r="U189" s="118" t="s">
        <v>37</v>
      </c>
      <c r="V189" s="118" t="s">
        <v>38</v>
      </c>
      <c r="W189" s="129">
        <v>8960</v>
      </c>
      <c r="X189" s="121">
        <v>45962</v>
      </c>
      <c r="Y189" s="121">
        <v>45993</v>
      </c>
      <c r="Z189" s="118" t="s">
        <v>39</v>
      </c>
      <c r="AA189" s="118"/>
      <c r="AB189" s="126">
        <f t="shared" si="2"/>
        <v>0</v>
      </c>
    </row>
    <row r="190" spans="2:28" ht="120" hidden="1">
      <c r="B190" s="118" t="s">
        <v>148</v>
      </c>
      <c r="C190" s="118" t="s">
        <v>116</v>
      </c>
      <c r="D190" s="118" t="s">
        <v>35</v>
      </c>
      <c r="E190" s="117" t="s">
        <v>451</v>
      </c>
      <c r="F190" s="118">
        <v>2470</v>
      </c>
      <c r="G190" s="118">
        <v>242</v>
      </c>
      <c r="H190" s="118" t="s">
        <v>333</v>
      </c>
      <c r="I190" s="118">
        <v>339</v>
      </c>
      <c r="J190" s="118">
        <v>88117</v>
      </c>
      <c r="K190" s="118">
        <v>5</v>
      </c>
      <c r="L190" s="118" t="s">
        <v>648</v>
      </c>
      <c r="M190" s="118"/>
      <c r="N190" s="118">
        <v>4298985</v>
      </c>
      <c r="O190" s="121">
        <v>45973</v>
      </c>
      <c r="P190" s="118">
        <v>4415564</v>
      </c>
      <c r="Q190" s="149">
        <v>2985</v>
      </c>
      <c r="R190" s="123"/>
      <c r="S190" s="118">
        <v>377</v>
      </c>
      <c r="T190" s="118"/>
      <c r="U190" s="118" t="s">
        <v>72</v>
      </c>
      <c r="V190" s="118" t="s">
        <v>38</v>
      </c>
      <c r="W190" s="149">
        <v>2985</v>
      </c>
      <c r="X190" s="121">
        <v>45978</v>
      </c>
      <c r="Y190" s="121">
        <v>45981</v>
      </c>
      <c r="Z190" s="118" t="s">
        <v>39</v>
      </c>
      <c r="AA190" s="118"/>
      <c r="AB190" s="126">
        <f t="shared" si="2"/>
        <v>0</v>
      </c>
    </row>
    <row r="191" spans="2:28" ht="72" hidden="1">
      <c r="B191" s="118" t="s">
        <v>148</v>
      </c>
      <c r="C191" s="118" t="s">
        <v>116</v>
      </c>
      <c r="D191" s="118" t="s">
        <v>35</v>
      </c>
      <c r="E191" s="117" t="s">
        <v>649</v>
      </c>
      <c r="F191" s="118">
        <v>2488</v>
      </c>
      <c r="G191" s="118">
        <v>242</v>
      </c>
      <c r="H191" s="118" t="s">
        <v>333</v>
      </c>
      <c r="I191" s="118">
        <v>481</v>
      </c>
      <c r="J191" s="118">
        <v>91171</v>
      </c>
      <c r="K191" s="118">
        <v>5</v>
      </c>
      <c r="L191" s="118" t="s">
        <v>650</v>
      </c>
      <c r="M191" s="118"/>
      <c r="N191" s="118">
        <v>4298958</v>
      </c>
      <c r="O191" s="121">
        <v>45973</v>
      </c>
      <c r="P191" s="118">
        <v>4415557</v>
      </c>
      <c r="Q191" s="149">
        <v>985.75</v>
      </c>
      <c r="R191" s="123"/>
      <c r="S191" s="118">
        <v>382</v>
      </c>
      <c r="T191" s="118"/>
      <c r="U191" s="118" t="s">
        <v>72</v>
      </c>
      <c r="V191" s="118" t="s">
        <v>64</v>
      </c>
      <c r="W191" s="129">
        <v>985.75</v>
      </c>
      <c r="X191" s="121">
        <v>45978</v>
      </c>
      <c r="Y191" s="121">
        <v>45981</v>
      </c>
      <c r="Z191" s="118" t="s">
        <v>39</v>
      </c>
      <c r="AA191" s="118"/>
      <c r="AB191" s="126">
        <f t="shared" si="2"/>
        <v>0</v>
      </c>
    </row>
    <row r="192" spans="2:28" ht="96" hidden="1">
      <c r="B192" s="118" t="s">
        <v>148</v>
      </c>
      <c r="C192" s="118" t="s">
        <v>116</v>
      </c>
      <c r="D192" s="118" t="s">
        <v>35</v>
      </c>
      <c r="E192" s="117" t="s">
        <v>651</v>
      </c>
      <c r="F192" s="118">
        <v>2232</v>
      </c>
      <c r="G192" s="118">
        <v>242</v>
      </c>
      <c r="H192" s="118" t="s">
        <v>333</v>
      </c>
      <c r="I192" s="118">
        <v>478</v>
      </c>
      <c r="J192" s="118">
        <v>91179</v>
      </c>
      <c r="K192" s="118">
        <v>5</v>
      </c>
      <c r="L192" s="118" t="s">
        <v>652</v>
      </c>
      <c r="M192" s="118"/>
      <c r="N192" s="118">
        <v>4299065</v>
      </c>
      <c r="O192" s="121">
        <v>45973</v>
      </c>
      <c r="P192" s="118">
        <v>4415567</v>
      </c>
      <c r="Q192" s="149">
        <v>1985</v>
      </c>
      <c r="R192" s="123"/>
      <c r="S192" s="118">
        <v>379</v>
      </c>
      <c r="T192" s="118"/>
      <c r="U192" s="118" t="s">
        <v>37</v>
      </c>
      <c r="V192" s="118" t="s">
        <v>64</v>
      </c>
      <c r="W192" s="129">
        <v>1985</v>
      </c>
      <c r="X192" s="121">
        <v>45978</v>
      </c>
      <c r="Y192" s="121">
        <v>45981</v>
      </c>
      <c r="Z192" s="118" t="s">
        <v>39</v>
      </c>
      <c r="AA192" s="118"/>
      <c r="AB192" s="126">
        <f t="shared" si="2"/>
        <v>0</v>
      </c>
    </row>
    <row r="193" spans="2:28" ht="108" hidden="1">
      <c r="B193" s="118" t="s">
        <v>148</v>
      </c>
      <c r="C193" s="118" t="s">
        <v>116</v>
      </c>
      <c r="D193" s="118" t="s">
        <v>35</v>
      </c>
      <c r="E193" s="117" t="s">
        <v>653</v>
      </c>
      <c r="F193" s="118">
        <v>2224</v>
      </c>
      <c r="G193" s="118">
        <v>242</v>
      </c>
      <c r="H193" s="118" t="s">
        <v>333</v>
      </c>
      <c r="I193" s="118">
        <v>501</v>
      </c>
      <c r="J193" s="118">
        <v>91182</v>
      </c>
      <c r="K193" s="118">
        <v>5</v>
      </c>
      <c r="L193" s="118" t="s">
        <v>654</v>
      </c>
      <c r="M193" s="118"/>
      <c r="N193" s="118">
        <v>4299191</v>
      </c>
      <c r="O193" s="121">
        <v>45973</v>
      </c>
      <c r="P193" s="118">
        <v>4415568</v>
      </c>
      <c r="Q193" s="149">
        <v>1280</v>
      </c>
      <c r="R193" s="123"/>
      <c r="S193" s="118">
        <v>380</v>
      </c>
      <c r="T193" s="118"/>
      <c r="U193" s="118" t="s">
        <v>37</v>
      </c>
      <c r="V193" s="118" t="s">
        <v>64</v>
      </c>
      <c r="W193" s="149">
        <v>1280</v>
      </c>
      <c r="X193" s="121">
        <v>45978</v>
      </c>
      <c r="Y193" s="121">
        <v>45981</v>
      </c>
      <c r="Z193" s="118" t="s">
        <v>39</v>
      </c>
      <c r="AA193" s="118"/>
      <c r="AB193" s="126">
        <f t="shared" si="2"/>
        <v>0</v>
      </c>
    </row>
    <row r="194" spans="2:28" ht="24.75" hidden="1">
      <c r="B194" s="118" t="s">
        <v>148</v>
      </c>
      <c r="C194" s="118" t="s">
        <v>568</v>
      </c>
      <c r="D194" s="118">
        <v>40150</v>
      </c>
      <c r="E194" s="117" t="s">
        <v>655</v>
      </c>
      <c r="F194" s="118">
        <v>2291</v>
      </c>
      <c r="G194" s="118">
        <v>242</v>
      </c>
      <c r="H194" s="118" t="s">
        <v>333</v>
      </c>
      <c r="I194" s="118">
        <v>426</v>
      </c>
      <c r="J194" s="118">
        <v>91164</v>
      </c>
      <c r="K194" s="118">
        <v>6</v>
      </c>
      <c r="L194" s="118" t="s">
        <v>35</v>
      </c>
      <c r="M194" s="118"/>
      <c r="N194" s="118">
        <v>4299005</v>
      </c>
      <c r="O194" s="121">
        <v>45973</v>
      </c>
      <c r="P194" s="118">
        <v>4413957</v>
      </c>
      <c r="Q194" s="149">
        <v>2210</v>
      </c>
      <c r="R194" s="123"/>
      <c r="S194" s="118">
        <v>3210</v>
      </c>
      <c r="T194" s="118"/>
      <c r="U194" s="118" t="s">
        <v>37</v>
      </c>
      <c r="V194" s="118" t="s">
        <v>23</v>
      </c>
      <c r="W194" s="129">
        <v>2099.5</v>
      </c>
      <c r="X194" s="121">
        <v>46001</v>
      </c>
      <c r="Y194" s="121">
        <v>46003</v>
      </c>
      <c r="Z194" s="118" t="s">
        <v>330</v>
      </c>
      <c r="AA194" s="118"/>
      <c r="AB194" s="126">
        <f t="shared" si="2"/>
        <v>110.5</v>
      </c>
    </row>
    <row r="195" spans="2:28" ht="24.75" hidden="1">
      <c r="B195" s="118" t="s">
        <v>43</v>
      </c>
      <c r="C195" s="118" t="s">
        <v>107</v>
      </c>
      <c r="D195" s="118">
        <v>39919</v>
      </c>
      <c r="E195" s="117" t="s">
        <v>656</v>
      </c>
      <c r="F195" s="118">
        <v>2330</v>
      </c>
      <c r="G195" s="118">
        <v>242</v>
      </c>
      <c r="H195" s="118" t="s">
        <v>333</v>
      </c>
      <c r="I195" s="118">
        <v>419</v>
      </c>
      <c r="J195" s="118">
        <v>91288</v>
      </c>
      <c r="K195" s="118">
        <v>6</v>
      </c>
      <c r="L195" s="118" t="s">
        <v>35</v>
      </c>
      <c r="M195" s="118"/>
      <c r="N195" s="118">
        <v>4299199</v>
      </c>
      <c r="O195" s="121">
        <v>45973</v>
      </c>
      <c r="P195" s="118">
        <v>4413962</v>
      </c>
      <c r="Q195" s="149">
        <v>2050</v>
      </c>
      <c r="R195" s="123"/>
      <c r="S195" s="118">
        <v>3195</v>
      </c>
      <c r="T195" s="118"/>
      <c r="U195" s="118" t="s">
        <v>37</v>
      </c>
      <c r="V195" s="118" t="s">
        <v>23</v>
      </c>
      <c r="W195" s="159">
        <v>1988.5</v>
      </c>
      <c r="X195" s="121">
        <v>45992</v>
      </c>
      <c r="Y195" s="121">
        <v>45993</v>
      </c>
      <c r="Z195" s="118" t="s">
        <v>39</v>
      </c>
      <c r="AA195" s="118"/>
      <c r="AB195" s="126">
        <f t="shared" si="2"/>
        <v>61.5</v>
      </c>
    </row>
    <row r="196" spans="2:28" ht="132" hidden="1">
      <c r="B196" s="118" t="s">
        <v>184</v>
      </c>
      <c r="C196" s="118" t="s">
        <v>31</v>
      </c>
      <c r="D196" s="118" t="s">
        <v>35</v>
      </c>
      <c r="E196" s="118" t="s">
        <v>657</v>
      </c>
      <c r="F196" s="118">
        <v>2283</v>
      </c>
      <c r="G196" s="118">
        <v>242</v>
      </c>
      <c r="H196" s="118" t="s">
        <v>333</v>
      </c>
      <c r="I196" s="118">
        <v>94478</v>
      </c>
      <c r="J196" s="118">
        <v>91219</v>
      </c>
      <c r="K196" s="118">
        <v>5</v>
      </c>
      <c r="L196" s="118" t="s">
        <v>658</v>
      </c>
      <c r="M196" s="118"/>
      <c r="N196" s="118">
        <v>4299233</v>
      </c>
      <c r="O196" s="121">
        <v>45973</v>
      </c>
      <c r="P196" s="118">
        <v>4415581</v>
      </c>
      <c r="Q196" s="149">
        <v>3509.74</v>
      </c>
      <c r="R196" s="123"/>
      <c r="S196" s="118">
        <v>19677</v>
      </c>
      <c r="T196" s="118"/>
      <c r="U196" s="118" t="s">
        <v>37</v>
      </c>
      <c r="V196" s="118" t="s">
        <v>314</v>
      </c>
      <c r="W196" s="129">
        <v>3509.74</v>
      </c>
      <c r="X196" s="121">
        <v>45992</v>
      </c>
      <c r="Y196" s="121">
        <v>45996</v>
      </c>
      <c r="Z196" s="118" t="s">
        <v>39</v>
      </c>
      <c r="AA196" s="118"/>
      <c r="AB196" s="126">
        <f t="shared" si="2"/>
        <v>0</v>
      </c>
    </row>
    <row r="197" spans="2:28" ht="50.25" hidden="1">
      <c r="B197" s="118" t="s">
        <v>344</v>
      </c>
      <c r="C197" s="118" t="s">
        <v>659</v>
      </c>
      <c r="D197" s="118">
        <v>40196</v>
      </c>
      <c r="E197" s="118" t="s">
        <v>660</v>
      </c>
      <c r="F197" s="118">
        <v>1236</v>
      </c>
      <c r="G197" s="118">
        <v>242</v>
      </c>
      <c r="H197" s="118" t="s">
        <v>333</v>
      </c>
      <c r="I197" s="118">
        <v>244253</v>
      </c>
      <c r="J197" s="118">
        <v>89037</v>
      </c>
      <c r="K197" s="118">
        <v>6</v>
      </c>
      <c r="L197" s="118" t="s">
        <v>35</v>
      </c>
      <c r="M197" s="118" t="s">
        <v>35</v>
      </c>
      <c r="N197" s="118">
        <v>4299366</v>
      </c>
      <c r="O197" s="121">
        <v>45973</v>
      </c>
      <c r="P197" s="118">
        <v>4413986</v>
      </c>
      <c r="Q197" s="149">
        <v>7282.34</v>
      </c>
      <c r="R197" s="123"/>
      <c r="S197" s="136" t="s">
        <v>661</v>
      </c>
      <c r="T197" s="118"/>
      <c r="U197" s="118" t="s">
        <v>37</v>
      </c>
      <c r="V197" s="118" t="s">
        <v>64</v>
      </c>
      <c r="W197" s="149">
        <v>7282.34</v>
      </c>
      <c r="X197" s="121">
        <v>45999</v>
      </c>
      <c r="Y197" s="121">
        <v>45999</v>
      </c>
      <c r="Z197" s="118" t="s">
        <v>39</v>
      </c>
      <c r="AA197" s="118"/>
      <c r="AB197" s="126">
        <f t="shared" si="2"/>
        <v>0</v>
      </c>
    </row>
    <row r="198" spans="2:28" ht="44.25" hidden="1" customHeight="1">
      <c r="B198" s="118" t="s">
        <v>43</v>
      </c>
      <c r="C198" s="118" t="s">
        <v>662</v>
      </c>
      <c r="D198" s="118">
        <v>40223</v>
      </c>
      <c r="E198" s="118" t="s">
        <v>663</v>
      </c>
      <c r="F198" s="118">
        <v>2488</v>
      </c>
      <c r="G198" s="118">
        <v>242</v>
      </c>
      <c r="H198" s="118" t="s">
        <v>333</v>
      </c>
      <c r="I198" s="118">
        <v>15203</v>
      </c>
      <c r="J198" s="118">
        <v>91312</v>
      </c>
      <c r="K198" s="118">
        <v>6</v>
      </c>
      <c r="L198" s="118"/>
      <c r="M198" s="118"/>
      <c r="N198" s="118">
        <v>4299409</v>
      </c>
      <c r="O198" s="121">
        <v>45973</v>
      </c>
      <c r="P198" s="118">
        <v>4419988</v>
      </c>
      <c r="Q198" s="149">
        <v>3800</v>
      </c>
      <c r="R198" s="123"/>
      <c r="S198" s="118">
        <v>2759</v>
      </c>
      <c r="T198" s="118"/>
      <c r="U198" s="118" t="s">
        <v>37</v>
      </c>
      <c r="V198" s="118" t="s">
        <v>23</v>
      </c>
      <c r="W198" s="129">
        <v>3800</v>
      </c>
      <c r="X198" s="121">
        <v>45995</v>
      </c>
      <c r="Y198" s="121">
        <v>46000</v>
      </c>
      <c r="Z198" s="118" t="s">
        <v>39</v>
      </c>
      <c r="AA198" s="118"/>
      <c r="AB198" s="126">
        <f t="shared" si="2"/>
        <v>0</v>
      </c>
    </row>
    <row r="199" spans="2:28" ht="50.25" hidden="1">
      <c r="B199" s="118" t="s">
        <v>513</v>
      </c>
      <c r="C199" s="118" t="s">
        <v>664</v>
      </c>
      <c r="D199" s="118">
        <v>39323</v>
      </c>
      <c r="E199" s="118" t="s">
        <v>665</v>
      </c>
      <c r="F199" s="118">
        <v>1244</v>
      </c>
      <c r="G199" s="118">
        <v>242</v>
      </c>
      <c r="H199" s="118" t="s">
        <v>333</v>
      </c>
      <c r="I199" s="118">
        <v>214085</v>
      </c>
      <c r="J199" s="118">
        <v>91397</v>
      </c>
      <c r="K199" s="118">
        <v>6</v>
      </c>
      <c r="L199" s="118"/>
      <c r="M199" s="118"/>
      <c r="N199" s="118">
        <v>4299447</v>
      </c>
      <c r="O199" s="121">
        <v>45973</v>
      </c>
      <c r="P199" s="118">
        <v>4414004</v>
      </c>
      <c r="Q199" s="149">
        <v>2288</v>
      </c>
      <c r="R199" s="123"/>
      <c r="S199" s="118"/>
      <c r="T199" s="118"/>
      <c r="U199" s="154"/>
      <c r="V199" s="154"/>
      <c r="W199" s="143"/>
      <c r="X199" s="121"/>
      <c r="Y199" s="121"/>
      <c r="Z199" s="118" t="s">
        <v>48</v>
      </c>
      <c r="AA199" s="118"/>
      <c r="AB199" s="126">
        <f t="shared" ref="AB199:AB240" si="3">Q199-W199</f>
        <v>2288</v>
      </c>
    </row>
    <row r="200" spans="2:28" ht="24.75" hidden="1">
      <c r="B200" s="154" t="s">
        <v>545</v>
      </c>
      <c r="C200" s="154" t="s">
        <v>597</v>
      </c>
      <c r="D200" s="118">
        <v>40561</v>
      </c>
      <c r="E200" s="163" t="s">
        <v>666</v>
      </c>
      <c r="F200" s="154">
        <v>5525</v>
      </c>
      <c r="G200" s="154">
        <v>242</v>
      </c>
      <c r="H200" s="154" t="s">
        <v>333</v>
      </c>
      <c r="I200" s="154">
        <v>424</v>
      </c>
      <c r="J200" s="154">
        <v>91341</v>
      </c>
      <c r="K200" s="154">
        <v>6</v>
      </c>
      <c r="L200" s="154"/>
      <c r="M200" s="154"/>
      <c r="N200" s="154">
        <v>4299464</v>
      </c>
      <c r="O200" s="164">
        <v>45973</v>
      </c>
      <c r="P200" s="118">
        <v>4413972</v>
      </c>
      <c r="Q200" s="165">
        <v>1950</v>
      </c>
      <c r="R200" s="166"/>
      <c r="S200" s="154">
        <v>3190</v>
      </c>
      <c r="T200" s="156"/>
      <c r="U200" s="118" t="s">
        <v>37</v>
      </c>
      <c r="V200" s="118" t="s">
        <v>23</v>
      </c>
      <c r="W200" s="129">
        <v>1852.5</v>
      </c>
      <c r="X200" s="168">
        <v>45992</v>
      </c>
      <c r="Y200" s="164">
        <v>45996</v>
      </c>
      <c r="Z200" s="118" t="s">
        <v>39</v>
      </c>
      <c r="AA200" s="154"/>
      <c r="AB200" s="126">
        <f t="shared" si="3"/>
        <v>97.5</v>
      </c>
    </row>
    <row r="201" spans="2:28" ht="120" hidden="1">
      <c r="B201" s="118" t="s">
        <v>148</v>
      </c>
      <c r="C201" s="118" t="s">
        <v>116</v>
      </c>
      <c r="D201" s="118" t="s">
        <v>35</v>
      </c>
      <c r="E201" s="117" t="s">
        <v>667</v>
      </c>
      <c r="F201" s="118">
        <v>2232</v>
      </c>
      <c r="G201" s="118">
        <v>242</v>
      </c>
      <c r="H201" s="118" t="s">
        <v>333</v>
      </c>
      <c r="I201" s="118">
        <v>566</v>
      </c>
      <c r="J201" s="118">
        <v>88105</v>
      </c>
      <c r="K201" s="118">
        <v>5</v>
      </c>
      <c r="L201" s="118" t="s">
        <v>668</v>
      </c>
      <c r="M201" s="118"/>
      <c r="N201" s="118">
        <v>4299480</v>
      </c>
      <c r="O201" s="121">
        <v>45973</v>
      </c>
      <c r="P201" s="118">
        <v>4415575</v>
      </c>
      <c r="Q201" s="149">
        <v>695</v>
      </c>
      <c r="R201" s="123"/>
      <c r="S201" s="118">
        <v>381</v>
      </c>
      <c r="T201" s="118"/>
      <c r="U201" s="158" t="s">
        <v>37</v>
      </c>
      <c r="V201" s="158" t="s">
        <v>64</v>
      </c>
      <c r="W201" s="145">
        <v>695</v>
      </c>
      <c r="X201" s="121">
        <v>45978</v>
      </c>
      <c r="Y201" s="121">
        <v>45981</v>
      </c>
      <c r="Z201" s="118" t="s">
        <v>39</v>
      </c>
      <c r="AA201" s="118"/>
      <c r="AB201" s="126">
        <f t="shared" si="3"/>
        <v>0</v>
      </c>
    </row>
    <row r="202" spans="2:28" ht="24.75" hidden="1">
      <c r="B202" s="118" t="s">
        <v>295</v>
      </c>
      <c r="C202" s="118" t="s">
        <v>107</v>
      </c>
      <c r="D202" s="118">
        <v>39795</v>
      </c>
      <c r="E202" s="117" t="s">
        <v>669</v>
      </c>
      <c r="F202" s="118">
        <v>4600</v>
      </c>
      <c r="G202" s="118">
        <v>242</v>
      </c>
      <c r="H202" s="118" t="s">
        <v>186</v>
      </c>
      <c r="I202" s="118">
        <v>413</v>
      </c>
      <c r="J202" s="118">
        <v>89927</v>
      </c>
      <c r="K202" s="118">
        <v>6</v>
      </c>
      <c r="L202" s="118" t="s">
        <v>35</v>
      </c>
      <c r="M202" s="118" t="s">
        <v>35</v>
      </c>
      <c r="N202" s="118">
        <v>4300333</v>
      </c>
      <c r="O202" s="121">
        <v>45974</v>
      </c>
      <c r="P202" s="118">
        <v>4416477</v>
      </c>
      <c r="Q202" s="149">
        <v>1560</v>
      </c>
      <c r="R202" s="123">
        <v>46001</v>
      </c>
      <c r="S202" s="118">
        <v>3198</v>
      </c>
      <c r="T202" s="118"/>
      <c r="U202" s="167" t="s">
        <v>37</v>
      </c>
      <c r="V202" s="167" t="s">
        <v>23</v>
      </c>
      <c r="W202" s="129">
        <v>1482</v>
      </c>
      <c r="X202" s="121">
        <v>45992</v>
      </c>
      <c r="Y202" s="121">
        <v>45996</v>
      </c>
      <c r="Z202" s="118" t="s">
        <v>39</v>
      </c>
      <c r="AA202" s="118"/>
      <c r="AB202" s="126">
        <f t="shared" si="3"/>
        <v>78</v>
      </c>
    </row>
    <row r="203" spans="2:28" ht="24.75" hidden="1">
      <c r="B203" s="118" t="s">
        <v>43</v>
      </c>
      <c r="C203" s="118" t="s">
        <v>597</v>
      </c>
      <c r="D203" s="118">
        <v>40562</v>
      </c>
      <c r="E203" s="117" t="s">
        <v>670</v>
      </c>
      <c r="F203" s="118">
        <v>2224</v>
      </c>
      <c r="G203" s="118">
        <v>242</v>
      </c>
      <c r="H203" s="118" t="s">
        <v>333</v>
      </c>
      <c r="I203" s="118">
        <v>431</v>
      </c>
      <c r="J203" s="118">
        <v>91597</v>
      </c>
      <c r="K203" s="118">
        <v>6</v>
      </c>
      <c r="L203" s="118"/>
      <c r="M203" s="118"/>
      <c r="N203" s="118">
        <v>4300441</v>
      </c>
      <c r="O203" s="121">
        <v>45974</v>
      </c>
      <c r="P203" s="118">
        <v>4416482</v>
      </c>
      <c r="Q203" s="149">
        <v>3480</v>
      </c>
      <c r="R203" s="123">
        <v>46001</v>
      </c>
      <c r="S203" s="118"/>
      <c r="T203" s="118"/>
      <c r="U203" s="118"/>
      <c r="V203" s="118"/>
      <c r="W203" s="143"/>
      <c r="X203" s="121"/>
      <c r="Y203" s="121"/>
      <c r="Z203" s="118" t="s">
        <v>48</v>
      </c>
      <c r="AA203" s="118"/>
      <c r="AB203" s="126">
        <f t="shared" si="3"/>
        <v>3480</v>
      </c>
    </row>
    <row r="204" spans="2:28" ht="24.75" hidden="1">
      <c r="B204" s="118" t="s">
        <v>148</v>
      </c>
      <c r="C204" s="118" t="s">
        <v>597</v>
      </c>
      <c r="D204" s="118">
        <v>40563</v>
      </c>
      <c r="E204" s="117" t="s">
        <v>671</v>
      </c>
      <c r="F204" s="118">
        <v>2224</v>
      </c>
      <c r="G204" s="118">
        <v>242</v>
      </c>
      <c r="H204" s="118" t="s">
        <v>333</v>
      </c>
      <c r="I204" s="118">
        <v>425</v>
      </c>
      <c r="J204" s="118">
        <v>91419</v>
      </c>
      <c r="K204" s="118">
        <v>6</v>
      </c>
      <c r="L204" s="118"/>
      <c r="M204" s="118"/>
      <c r="N204" s="118">
        <v>4300459</v>
      </c>
      <c r="O204" s="121">
        <v>45974</v>
      </c>
      <c r="P204" s="118">
        <v>4416484</v>
      </c>
      <c r="Q204" s="149">
        <v>8885</v>
      </c>
      <c r="R204" s="123">
        <v>45992</v>
      </c>
      <c r="S204" s="118">
        <v>3197</v>
      </c>
      <c r="T204" s="118"/>
      <c r="U204" s="118" t="s">
        <v>37</v>
      </c>
      <c r="V204" s="146" t="s">
        <v>23</v>
      </c>
      <c r="W204" s="129">
        <v>8440.75</v>
      </c>
      <c r="X204" s="144">
        <v>45992</v>
      </c>
      <c r="Y204" s="121">
        <v>45996</v>
      </c>
      <c r="Z204" s="118" t="s">
        <v>39</v>
      </c>
      <c r="AA204" s="118"/>
      <c r="AB204" s="126">
        <f t="shared" si="3"/>
        <v>444.25</v>
      </c>
    </row>
    <row r="205" spans="2:28" ht="24.75" hidden="1">
      <c r="B205" s="118" t="s">
        <v>148</v>
      </c>
      <c r="C205" s="118" t="s">
        <v>107</v>
      </c>
      <c r="D205" s="118">
        <v>40293</v>
      </c>
      <c r="E205" s="117" t="s">
        <v>672</v>
      </c>
      <c r="F205" s="118">
        <v>2232</v>
      </c>
      <c r="G205" s="118">
        <v>242</v>
      </c>
      <c r="H205" s="118" t="s">
        <v>333</v>
      </c>
      <c r="I205" s="118">
        <v>429</v>
      </c>
      <c r="J205" s="118">
        <v>91727</v>
      </c>
      <c r="K205" s="118">
        <v>6</v>
      </c>
      <c r="L205" s="118"/>
      <c r="M205" s="118"/>
      <c r="N205" s="118">
        <v>4300581</v>
      </c>
      <c r="O205" s="121">
        <v>45974</v>
      </c>
      <c r="P205" s="118">
        <v>4416486</v>
      </c>
      <c r="Q205" s="149">
        <v>1180</v>
      </c>
      <c r="R205" s="123">
        <v>45992</v>
      </c>
      <c r="S205" s="118">
        <v>3193</v>
      </c>
      <c r="T205" s="118"/>
      <c r="U205" s="118" t="s">
        <v>37</v>
      </c>
      <c r="V205" s="146" t="s">
        <v>23</v>
      </c>
      <c r="W205" s="145">
        <v>1121</v>
      </c>
      <c r="X205" s="121">
        <v>45992</v>
      </c>
      <c r="Y205" s="121">
        <v>45996</v>
      </c>
      <c r="Z205" s="118" t="s">
        <v>39</v>
      </c>
      <c r="AA205" s="118"/>
      <c r="AB205" s="126">
        <f t="shared" si="3"/>
        <v>59</v>
      </c>
    </row>
    <row r="206" spans="2:28" ht="62.25" hidden="1">
      <c r="B206" s="118" t="s">
        <v>287</v>
      </c>
      <c r="C206" s="118" t="s">
        <v>54</v>
      </c>
      <c r="D206" s="118" t="s">
        <v>35</v>
      </c>
      <c r="E206" s="118" t="s">
        <v>673</v>
      </c>
      <c r="F206" s="118" t="s">
        <v>674</v>
      </c>
      <c r="G206" s="118">
        <v>5</v>
      </c>
      <c r="H206" s="118" t="s">
        <v>186</v>
      </c>
      <c r="I206" s="118" t="s">
        <v>524</v>
      </c>
      <c r="J206" s="118">
        <v>91149</v>
      </c>
      <c r="K206" s="118">
        <v>2</v>
      </c>
      <c r="L206" s="118" t="s">
        <v>675</v>
      </c>
      <c r="M206" s="118" t="s">
        <v>35</v>
      </c>
      <c r="N206" s="118">
        <v>4301497</v>
      </c>
      <c r="O206" s="121">
        <v>45975</v>
      </c>
      <c r="P206" s="118">
        <v>4418371</v>
      </c>
      <c r="Q206" s="149">
        <v>63500</v>
      </c>
      <c r="R206" s="123">
        <v>45962</v>
      </c>
      <c r="S206" s="132" t="s">
        <v>676</v>
      </c>
      <c r="T206" s="118"/>
      <c r="U206" s="118" t="s">
        <v>72</v>
      </c>
      <c r="V206" s="118" t="s">
        <v>314</v>
      </c>
      <c r="W206" s="129">
        <v>19428</v>
      </c>
      <c r="X206" s="121">
        <v>45992</v>
      </c>
      <c r="Y206" s="121">
        <v>45994</v>
      </c>
      <c r="Z206" s="118" t="s">
        <v>65</v>
      </c>
      <c r="AA206" s="118"/>
      <c r="AB206" s="169">
        <f>Q206-W206</f>
        <v>44072</v>
      </c>
    </row>
    <row r="207" spans="2:28" ht="24.75" hidden="1">
      <c r="B207" s="118" t="s">
        <v>43</v>
      </c>
      <c r="C207" s="118" t="s">
        <v>677</v>
      </c>
      <c r="D207" s="118">
        <v>40636</v>
      </c>
      <c r="E207" s="118" t="s">
        <v>678</v>
      </c>
      <c r="F207" s="118">
        <v>2224</v>
      </c>
      <c r="G207" s="118">
        <v>242</v>
      </c>
      <c r="H207" s="118" t="s">
        <v>186</v>
      </c>
      <c r="I207" s="118" t="s">
        <v>679</v>
      </c>
      <c r="J207" s="118">
        <v>91596</v>
      </c>
      <c r="K207" s="118">
        <v>6</v>
      </c>
      <c r="L207" s="118" t="s">
        <v>35</v>
      </c>
      <c r="M207" s="118" t="s">
        <v>35</v>
      </c>
      <c r="N207" s="118">
        <v>4301685</v>
      </c>
      <c r="O207" s="121">
        <v>45975</v>
      </c>
      <c r="P207" s="118">
        <v>4416585</v>
      </c>
      <c r="Q207" s="149">
        <v>15821.17</v>
      </c>
      <c r="R207" s="123">
        <v>45992</v>
      </c>
      <c r="S207" s="118"/>
      <c r="T207" s="118"/>
      <c r="U207" s="118"/>
      <c r="V207" s="118"/>
      <c r="W207" s="129"/>
      <c r="X207" s="121"/>
      <c r="Y207" s="121"/>
      <c r="Z207" s="118" t="s">
        <v>48</v>
      </c>
      <c r="AA207" s="118"/>
      <c r="AB207" s="126">
        <f t="shared" si="3"/>
        <v>15821.17</v>
      </c>
    </row>
    <row r="208" spans="2:28" ht="108" hidden="1">
      <c r="B208" s="118" t="s">
        <v>243</v>
      </c>
      <c r="C208" s="118" t="s">
        <v>680</v>
      </c>
      <c r="D208" s="118" t="s">
        <v>35</v>
      </c>
      <c r="E208" s="118" t="s">
        <v>681</v>
      </c>
      <c r="F208" s="118">
        <v>2151</v>
      </c>
      <c r="G208" s="118">
        <v>242</v>
      </c>
      <c r="H208" s="118" t="s">
        <v>347</v>
      </c>
      <c r="I208" s="118">
        <v>1291</v>
      </c>
      <c r="J208" s="118">
        <v>91694</v>
      </c>
      <c r="K208" s="118">
        <v>2</v>
      </c>
      <c r="L208" s="118" t="s">
        <v>682</v>
      </c>
      <c r="M208" s="118" t="s">
        <v>35</v>
      </c>
      <c r="N208" s="118">
        <v>4301709</v>
      </c>
      <c r="O208" s="121">
        <v>45975</v>
      </c>
      <c r="P208" s="118">
        <v>4416677</v>
      </c>
      <c r="Q208" s="149">
        <v>10340</v>
      </c>
      <c r="R208" s="123">
        <v>45981</v>
      </c>
      <c r="S208" s="118">
        <v>17359</v>
      </c>
      <c r="T208" s="118"/>
      <c r="U208" s="118" t="s">
        <v>447</v>
      </c>
      <c r="V208" s="118" t="s">
        <v>38</v>
      </c>
      <c r="W208" s="129">
        <v>8120</v>
      </c>
      <c r="X208" s="121">
        <v>45994</v>
      </c>
      <c r="Y208" s="121">
        <v>45996</v>
      </c>
      <c r="Z208" s="118" t="s">
        <v>152</v>
      </c>
      <c r="AA208" s="118" t="s">
        <v>683</v>
      </c>
      <c r="AB208" s="126">
        <f t="shared" si="3"/>
        <v>2220</v>
      </c>
    </row>
    <row r="209" spans="2:28" ht="75.75" hidden="1">
      <c r="B209" s="118" t="s">
        <v>295</v>
      </c>
      <c r="C209" s="118" t="s">
        <v>628</v>
      </c>
      <c r="D209" s="118" t="s">
        <v>35</v>
      </c>
      <c r="E209" s="118" t="s">
        <v>684</v>
      </c>
      <c r="F209" s="118">
        <v>5345</v>
      </c>
      <c r="G209" s="118">
        <v>242</v>
      </c>
      <c r="H209" s="118" t="s">
        <v>186</v>
      </c>
      <c r="I209" s="118">
        <v>22</v>
      </c>
      <c r="J209" s="118">
        <v>26751</v>
      </c>
      <c r="K209" s="118">
        <v>19</v>
      </c>
      <c r="L209" s="118" t="s">
        <v>35</v>
      </c>
      <c r="M209" s="118" t="s">
        <v>35</v>
      </c>
      <c r="N209" s="118">
        <v>3857992</v>
      </c>
      <c r="O209" s="121">
        <v>45902</v>
      </c>
      <c r="P209" s="118">
        <v>3993405</v>
      </c>
      <c r="Q209" s="149">
        <v>67000</v>
      </c>
      <c r="R209" s="123" t="s">
        <v>35</v>
      </c>
      <c r="S209" s="118">
        <v>327</v>
      </c>
      <c r="T209" s="118" t="s">
        <v>35</v>
      </c>
      <c r="U209" s="118" t="s">
        <v>72</v>
      </c>
      <c r="V209" s="118" t="s">
        <v>23</v>
      </c>
      <c r="W209" s="129">
        <v>11166.66</v>
      </c>
      <c r="X209" s="121">
        <v>45973</v>
      </c>
      <c r="Y209" s="121">
        <v>45975</v>
      </c>
      <c r="Z209" s="118" t="s">
        <v>65</v>
      </c>
      <c r="AA209" s="118"/>
      <c r="AB209" s="126">
        <f t="shared" si="3"/>
        <v>55833.34</v>
      </c>
    </row>
    <row r="210" spans="2:28" ht="132" hidden="1">
      <c r="B210" s="118" t="s">
        <v>243</v>
      </c>
      <c r="C210" s="118" t="s">
        <v>685</v>
      </c>
      <c r="D210" s="118" t="s">
        <v>35</v>
      </c>
      <c r="E210" s="118" t="s">
        <v>681</v>
      </c>
      <c r="F210" s="118">
        <v>2151</v>
      </c>
      <c r="G210" s="118">
        <v>242</v>
      </c>
      <c r="H210" s="118" t="s">
        <v>333</v>
      </c>
      <c r="I210" s="118">
        <v>1291</v>
      </c>
      <c r="J210" s="118">
        <v>91694</v>
      </c>
      <c r="K210" s="118">
        <v>2</v>
      </c>
      <c r="L210" s="118" t="s">
        <v>686</v>
      </c>
      <c r="M210" s="118" t="s">
        <v>35</v>
      </c>
      <c r="N210" s="118">
        <v>4302328</v>
      </c>
      <c r="O210" s="121">
        <v>45977</v>
      </c>
      <c r="P210" s="118"/>
      <c r="Q210" s="149">
        <v>10340</v>
      </c>
      <c r="R210" s="123" t="s">
        <v>35</v>
      </c>
      <c r="S210" s="118"/>
      <c r="T210" s="118"/>
      <c r="U210" s="118"/>
      <c r="V210" s="118"/>
      <c r="W210" s="129"/>
      <c r="X210" s="121"/>
      <c r="Y210" s="121"/>
      <c r="Z210" s="118" t="s">
        <v>158</v>
      </c>
      <c r="AA210" s="158" t="s">
        <v>687</v>
      </c>
      <c r="AB210" s="169">
        <f>Q210-W210</f>
        <v>10340</v>
      </c>
    </row>
    <row r="211" spans="2:28" ht="24.75" hidden="1">
      <c r="B211" s="118" t="s">
        <v>106</v>
      </c>
      <c r="C211" s="118" t="s">
        <v>107</v>
      </c>
      <c r="D211" s="118">
        <v>40604</v>
      </c>
      <c r="E211" s="117" t="s">
        <v>688</v>
      </c>
      <c r="F211" s="118">
        <v>2488</v>
      </c>
      <c r="G211" s="118">
        <v>242</v>
      </c>
      <c r="H211" s="118" t="s">
        <v>333</v>
      </c>
      <c r="I211" s="118">
        <v>428</v>
      </c>
      <c r="J211" s="118">
        <v>91957</v>
      </c>
      <c r="K211" s="118">
        <v>6</v>
      </c>
      <c r="L211" s="118" t="s">
        <v>35</v>
      </c>
      <c r="M211" s="118" t="s">
        <v>35</v>
      </c>
      <c r="N211" s="118">
        <v>4302329</v>
      </c>
      <c r="O211" s="121">
        <v>45977</v>
      </c>
      <c r="P211" s="118">
        <v>4416580</v>
      </c>
      <c r="Q211" s="149">
        <v>1790</v>
      </c>
      <c r="R211" s="123">
        <v>45996</v>
      </c>
      <c r="S211" s="118"/>
      <c r="T211" s="118"/>
      <c r="U211" s="118"/>
      <c r="V211" s="118"/>
      <c r="W211" s="129"/>
      <c r="X211" s="121"/>
      <c r="Y211" s="121"/>
      <c r="Z211" s="118" t="s">
        <v>48</v>
      </c>
      <c r="AA211" s="118"/>
      <c r="AB211" s="169">
        <f>Q211-W211</f>
        <v>1790</v>
      </c>
    </row>
    <row r="212" spans="2:28" ht="24" hidden="1">
      <c r="B212" s="118" t="s">
        <v>43</v>
      </c>
      <c r="C212" s="118" t="s">
        <v>116</v>
      </c>
      <c r="D212" s="118" t="s">
        <v>35</v>
      </c>
      <c r="E212" s="117" t="s">
        <v>689</v>
      </c>
      <c r="F212" s="118">
        <v>4057</v>
      </c>
      <c r="G212" s="118">
        <v>242</v>
      </c>
      <c r="H212" s="118" t="s">
        <v>333</v>
      </c>
      <c r="I212" s="118">
        <v>675</v>
      </c>
      <c r="J212" s="118">
        <v>91702</v>
      </c>
      <c r="K212" s="118">
        <v>5</v>
      </c>
      <c r="L212" s="118" t="s">
        <v>690</v>
      </c>
      <c r="M212" s="118" t="s">
        <v>35</v>
      </c>
      <c r="N212" s="118">
        <v>4302330</v>
      </c>
      <c r="O212" s="121">
        <v>45977</v>
      </c>
      <c r="P212" s="118">
        <v>4417893</v>
      </c>
      <c r="Q212" s="149">
        <v>2244</v>
      </c>
      <c r="R212" s="123" t="s">
        <v>35</v>
      </c>
      <c r="S212" s="118">
        <v>404</v>
      </c>
      <c r="T212" s="118" t="s">
        <v>35</v>
      </c>
      <c r="U212" s="118" t="s">
        <v>72</v>
      </c>
      <c r="V212" s="118" t="s">
        <v>38</v>
      </c>
      <c r="W212" s="129">
        <v>2244</v>
      </c>
      <c r="X212" s="121">
        <v>45982</v>
      </c>
      <c r="Y212" s="121">
        <v>45986</v>
      </c>
      <c r="Z212" s="118" t="s">
        <v>39</v>
      </c>
      <c r="AA212" s="118"/>
      <c r="AB212" s="126">
        <f t="shared" si="3"/>
        <v>0</v>
      </c>
    </row>
    <row r="213" spans="2:28" ht="96" hidden="1">
      <c r="B213" s="118" t="s">
        <v>287</v>
      </c>
      <c r="C213" s="118" t="s">
        <v>417</v>
      </c>
      <c r="D213" s="118" t="s">
        <v>35</v>
      </c>
      <c r="E213" s="118" t="s">
        <v>318</v>
      </c>
      <c r="F213" s="118" t="s">
        <v>691</v>
      </c>
      <c r="G213" s="118">
        <v>5</v>
      </c>
      <c r="H213" s="118" t="s">
        <v>347</v>
      </c>
      <c r="I213" s="118" t="s">
        <v>524</v>
      </c>
      <c r="J213" s="118">
        <v>91141</v>
      </c>
      <c r="K213" s="118">
        <v>2</v>
      </c>
      <c r="L213" s="118" t="s">
        <v>692</v>
      </c>
      <c r="M213" s="118" t="s">
        <v>35</v>
      </c>
      <c r="N213" s="118">
        <v>4303124</v>
      </c>
      <c r="O213" s="121">
        <v>45978</v>
      </c>
      <c r="P213" s="118">
        <v>4421700</v>
      </c>
      <c r="Q213" s="149">
        <v>67802.399999999994</v>
      </c>
      <c r="R213" s="123">
        <v>45985</v>
      </c>
      <c r="S213" s="118"/>
      <c r="T213" s="118"/>
      <c r="U213" s="118"/>
      <c r="V213" s="118"/>
      <c r="W213" s="129"/>
      <c r="X213" s="121"/>
      <c r="Y213" s="121"/>
      <c r="Z213" s="118" t="s">
        <v>48</v>
      </c>
      <c r="AA213" s="118"/>
      <c r="AB213" s="126">
        <f t="shared" si="3"/>
        <v>67802.399999999994</v>
      </c>
    </row>
    <row r="214" spans="2:28" ht="24.75" hidden="1">
      <c r="B214" s="118" t="s">
        <v>344</v>
      </c>
      <c r="C214" s="118" t="s">
        <v>485</v>
      </c>
      <c r="D214" s="118">
        <v>40136</v>
      </c>
      <c r="E214" s="118" t="s">
        <v>693</v>
      </c>
      <c r="F214" s="118">
        <v>1295</v>
      </c>
      <c r="G214" s="118">
        <v>242</v>
      </c>
      <c r="H214" s="118" t="s">
        <v>347</v>
      </c>
      <c r="I214" s="118">
        <v>20824501</v>
      </c>
      <c r="J214" s="118">
        <v>89935</v>
      </c>
      <c r="K214" s="118">
        <v>6</v>
      </c>
      <c r="L214" s="118" t="s">
        <v>35</v>
      </c>
      <c r="M214" s="118" t="s">
        <v>35</v>
      </c>
      <c r="N214" s="118">
        <v>4303417</v>
      </c>
      <c r="O214" s="121">
        <v>45978</v>
      </c>
      <c r="P214" s="118">
        <v>4422324</v>
      </c>
      <c r="Q214" s="149">
        <v>5024.67</v>
      </c>
      <c r="R214" s="123">
        <v>45989</v>
      </c>
      <c r="S214" s="118"/>
      <c r="T214" s="118"/>
      <c r="U214" s="118"/>
      <c r="V214" s="118"/>
      <c r="W214" s="129"/>
      <c r="X214" s="121"/>
      <c r="Y214" s="121"/>
      <c r="Z214" s="118" t="s">
        <v>48</v>
      </c>
      <c r="AA214" s="118"/>
      <c r="AB214" s="126">
        <f t="shared" si="3"/>
        <v>5024.67</v>
      </c>
    </row>
    <row r="215" spans="2:28" ht="132" hidden="1">
      <c r="B215" s="118" t="s">
        <v>287</v>
      </c>
      <c r="C215" s="118" t="s">
        <v>694</v>
      </c>
      <c r="D215" s="118" t="s">
        <v>35</v>
      </c>
      <c r="E215" s="170" t="s">
        <v>322</v>
      </c>
      <c r="F215" s="118">
        <v>4472</v>
      </c>
      <c r="G215" s="118">
        <v>5</v>
      </c>
      <c r="H215" s="118" t="s">
        <v>347</v>
      </c>
      <c r="I215" s="118">
        <v>797</v>
      </c>
      <c r="J215" s="118">
        <v>91925</v>
      </c>
      <c r="K215" s="118">
        <v>29</v>
      </c>
      <c r="L215" s="118" t="s">
        <v>695</v>
      </c>
      <c r="M215" s="118" t="s">
        <v>35</v>
      </c>
      <c r="N215" s="118">
        <v>4303197</v>
      </c>
      <c r="O215" s="121">
        <v>45978</v>
      </c>
      <c r="P215" s="118">
        <v>4423013</v>
      </c>
      <c r="Q215" s="149">
        <v>32240</v>
      </c>
      <c r="R215" s="123">
        <v>45962</v>
      </c>
      <c r="S215" s="118"/>
      <c r="T215" s="118"/>
      <c r="U215" s="118"/>
      <c r="V215" s="118"/>
      <c r="W215" s="129"/>
      <c r="X215" s="121"/>
      <c r="Y215" s="121"/>
      <c r="Z215" s="118" t="s">
        <v>48</v>
      </c>
      <c r="AA215" s="118"/>
      <c r="AB215" s="126">
        <f t="shared" si="3"/>
        <v>32240</v>
      </c>
    </row>
    <row r="216" spans="2:28" ht="150.75" hidden="1">
      <c r="B216" s="118" t="s">
        <v>43</v>
      </c>
      <c r="C216" s="118">
        <v>217</v>
      </c>
      <c r="D216" s="118" t="s">
        <v>35</v>
      </c>
      <c r="E216" s="117" t="s">
        <v>696</v>
      </c>
      <c r="F216" s="118">
        <v>2721</v>
      </c>
      <c r="G216" s="118">
        <v>242</v>
      </c>
      <c r="H216" s="118" t="s">
        <v>186</v>
      </c>
      <c r="I216" s="118">
        <v>391</v>
      </c>
      <c r="J216" s="118">
        <v>91709</v>
      </c>
      <c r="K216" s="118">
        <v>5</v>
      </c>
      <c r="L216" s="118" t="s">
        <v>697</v>
      </c>
      <c r="M216" s="118" t="s">
        <v>35</v>
      </c>
      <c r="N216" s="118">
        <v>4303272</v>
      </c>
      <c r="O216" s="121">
        <v>45978</v>
      </c>
      <c r="P216" s="118">
        <v>4424780</v>
      </c>
      <c r="Q216" s="149">
        <v>765</v>
      </c>
      <c r="R216" s="123">
        <v>45981</v>
      </c>
      <c r="S216" s="118">
        <v>432</v>
      </c>
      <c r="T216" s="118"/>
      <c r="U216" s="118" t="s">
        <v>37</v>
      </c>
      <c r="V216" s="118" t="s">
        <v>314</v>
      </c>
      <c r="W216" s="129">
        <v>765</v>
      </c>
      <c r="X216" s="121">
        <v>45992</v>
      </c>
      <c r="Y216" s="121">
        <v>45993</v>
      </c>
      <c r="Z216" s="118" t="s">
        <v>39</v>
      </c>
      <c r="AA216" s="118"/>
      <c r="AB216" s="126">
        <f t="shared" si="3"/>
        <v>0</v>
      </c>
    </row>
    <row r="217" spans="2:28" ht="108" hidden="1">
      <c r="B217" s="118" t="s">
        <v>287</v>
      </c>
      <c r="C217" s="118" t="s">
        <v>698</v>
      </c>
      <c r="D217" s="118" t="s">
        <v>35</v>
      </c>
      <c r="E217" s="118" t="s">
        <v>326</v>
      </c>
      <c r="F217" s="118" t="s">
        <v>327</v>
      </c>
      <c r="G217" s="118">
        <v>5</v>
      </c>
      <c r="H217" s="118" t="s">
        <v>347</v>
      </c>
      <c r="I217" s="118" t="s">
        <v>524</v>
      </c>
      <c r="J217" s="118">
        <v>92041</v>
      </c>
      <c r="K217" s="118">
        <v>2</v>
      </c>
      <c r="L217" s="118" t="s">
        <v>699</v>
      </c>
      <c r="M217" s="118" t="s">
        <v>35</v>
      </c>
      <c r="N217" s="118">
        <v>4303441</v>
      </c>
      <c r="O217" s="121">
        <v>45978</v>
      </c>
      <c r="P217" s="118">
        <v>4421966</v>
      </c>
      <c r="Q217" s="149">
        <v>55000</v>
      </c>
      <c r="R217" s="123">
        <v>45931</v>
      </c>
      <c r="S217" s="118"/>
      <c r="T217" s="118"/>
      <c r="U217" s="118"/>
      <c r="V217" s="118"/>
      <c r="W217" s="129"/>
      <c r="X217" s="121"/>
      <c r="Y217" s="121"/>
      <c r="Z217" s="118" t="s">
        <v>48</v>
      </c>
      <c r="AA217" s="118"/>
      <c r="AB217" s="126">
        <f t="shared" si="3"/>
        <v>55000</v>
      </c>
    </row>
    <row r="218" spans="2:28" ht="120" hidden="1">
      <c r="B218" s="118" t="s">
        <v>344</v>
      </c>
      <c r="C218" s="118" t="s">
        <v>700</v>
      </c>
      <c r="D218" s="118" t="s">
        <v>35</v>
      </c>
      <c r="E218" s="118" t="s">
        <v>701</v>
      </c>
      <c r="F218" s="118">
        <v>1210</v>
      </c>
      <c r="G218" s="118">
        <v>242</v>
      </c>
      <c r="H218" s="118" t="s">
        <v>186</v>
      </c>
      <c r="I218" s="118" t="s">
        <v>700</v>
      </c>
      <c r="J218" s="118">
        <v>91726</v>
      </c>
      <c r="K218" s="118">
        <v>5</v>
      </c>
      <c r="L218" s="118" t="s">
        <v>702</v>
      </c>
      <c r="M218" s="118" t="s">
        <v>35</v>
      </c>
      <c r="N218" s="118">
        <v>4303461</v>
      </c>
      <c r="O218" s="121">
        <v>45978</v>
      </c>
      <c r="P218" s="118">
        <v>4424790</v>
      </c>
      <c r="Q218" s="149">
        <v>11753.77</v>
      </c>
      <c r="R218" s="123">
        <v>45982</v>
      </c>
      <c r="S218" s="118">
        <v>165884</v>
      </c>
      <c r="T218" s="118"/>
      <c r="U218" s="118" t="s">
        <v>37</v>
      </c>
      <c r="V218" s="118" t="s">
        <v>314</v>
      </c>
      <c r="W218" s="129">
        <v>11753.77</v>
      </c>
      <c r="X218" s="121">
        <v>45993</v>
      </c>
      <c r="Y218" s="121">
        <v>45994</v>
      </c>
      <c r="Z218" s="118" t="s">
        <v>39</v>
      </c>
      <c r="AA218" s="118"/>
      <c r="AB218" s="126">
        <f t="shared" si="3"/>
        <v>0</v>
      </c>
    </row>
    <row r="219" spans="2:28" ht="24.75" hidden="1">
      <c r="B219" s="118" t="s">
        <v>295</v>
      </c>
      <c r="C219" s="118" t="s">
        <v>107</v>
      </c>
      <c r="D219" s="118">
        <v>40605</v>
      </c>
      <c r="E219" s="117" t="s">
        <v>703</v>
      </c>
      <c r="F219" s="118">
        <v>5345</v>
      </c>
      <c r="G219" s="118">
        <v>242</v>
      </c>
      <c r="H219" s="118" t="s">
        <v>186</v>
      </c>
      <c r="I219" s="118" t="s">
        <v>704</v>
      </c>
      <c r="J219" s="118">
        <v>91598</v>
      </c>
      <c r="K219" s="118">
        <v>6</v>
      </c>
      <c r="L219" s="118" t="s">
        <v>35</v>
      </c>
      <c r="M219" s="118" t="s">
        <v>35</v>
      </c>
      <c r="N219" s="118">
        <v>4304011</v>
      </c>
      <c r="O219" s="121">
        <v>45979</v>
      </c>
      <c r="P219" s="118">
        <v>4422931</v>
      </c>
      <c r="Q219" s="149">
        <v>11830</v>
      </c>
      <c r="R219" s="123">
        <v>45981</v>
      </c>
      <c r="S219" s="118">
        <v>3212</v>
      </c>
      <c r="T219" s="118" t="s">
        <v>705</v>
      </c>
      <c r="U219" s="118" t="s">
        <v>37</v>
      </c>
      <c r="V219" s="118" t="s">
        <v>87</v>
      </c>
      <c r="W219" s="124">
        <v>11238.5</v>
      </c>
      <c r="X219" s="121">
        <v>46003</v>
      </c>
      <c r="Y219" s="121">
        <v>46006</v>
      </c>
      <c r="Z219" s="118" t="s">
        <v>330</v>
      </c>
      <c r="AA219" s="118"/>
      <c r="AB219" s="126">
        <f t="shared" si="3"/>
        <v>591.5</v>
      </c>
    </row>
    <row r="220" spans="2:28" ht="204" hidden="1">
      <c r="B220" s="118" t="s">
        <v>43</v>
      </c>
      <c r="C220" s="118" t="s">
        <v>706</v>
      </c>
      <c r="D220" s="118" t="s">
        <v>35</v>
      </c>
      <c r="E220" s="118" t="s">
        <v>707</v>
      </c>
      <c r="F220" s="118">
        <v>5391</v>
      </c>
      <c r="G220" s="118">
        <v>242</v>
      </c>
      <c r="H220" s="118" t="s">
        <v>186</v>
      </c>
      <c r="I220" s="118" t="s">
        <v>708</v>
      </c>
      <c r="J220" s="118">
        <v>92157</v>
      </c>
      <c r="K220" s="118">
        <v>2</v>
      </c>
      <c r="L220" s="118" t="s">
        <v>709</v>
      </c>
      <c r="M220" s="118" t="s">
        <v>35</v>
      </c>
      <c r="N220" s="118">
        <v>4304037</v>
      </c>
      <c r="O220" s="121">
        <v>45979</v>
      </c>
      <c r="P220" s="118">
        <v>4418364</v>
      </c>
      <c r="Q220" s="149">
        <v>1017.28</v>
      </c>
      <c r="R220" s="123">
        <v>45962</v>
      </c>
      <c r="S220" s="118"/>
      <c r="T220" s="118"/>
      <c r="U220" s="118"/>
      <c r="V220" s="118"/>
      <c r="W220" s="129"/>
      <c r="X220" s="121"/>
      <c r="Y220" s="121"/>
      <c r="Z220" s="118" t="s">
        <v>48</v>
      </c>
      <c r="AA220" s="118"/>
      <c r="AB220" s="126">
        <f t="shared" si="3"/>
        <v>1017.28</v>
      </c>
    </row>
    <row r="221" spans="2:28" ht="24.75" hidden="1">
      <c r="B221" s="118" t="s">
        <v>344</v>
      </c>
      <c r="C221" s="118" t="s">
        <v>432</v>
      </c>
      <c r="D221" s="118">
        <v>40605</v>
      </c>
      <c r="E221" s="118" t="s">
        <v>710</v>
      </c>
      <c r="F221" s="118">
        <v>1210</v>
      </c>
      <c r="G221" s="118">
        <v>242</v>
      </c>
      <c r="H221" s="118" t="s">
        <v>186</v>
      </c>
      <c r="I221" s="118" t="s">
        <v>711</v>
      </c>
      <c r="J221" s="118">
        <v>88593</v>
      </c>
      <c r="K221" s="118">
        <v>6</v>
      </c>
      <c r="L221" s="118" t="s">
        <v>35</v>
      </c>
      <c r="M221" s="118" t="s">
        <v>35</v>
      </c>
      <c r="N221" s="118">
        <v>4304062</v>
      </c>
      <c r="O221" s="121">
        <v>45979</v>
      </c>
      <c r="P221" s="118">
        <v>4422939</v>
      </c>
      <c r="Q221" s="149">
        <v>8311.34</v>
      </c>
      <c r="R221" s="123">
        <v>45996</v>
      </c>
      <c r="S221" s="118"/>
      <c r="T221" s="118"/>
      <c r="U221" s="118"/>
      <c r="V221" s="118"/>
      <c r="W221" s="129"/>
      <c r="X221" s="121"/>
      <c r="Y221" s="121"/>
      <c r="Z221" s="118" t="s">
        <v>48</v>
      </c>
      <c r="AA221" s="118"/>
      <c r="AB221" s="126">
        <f t="shared" si="3"/>
        <v>8311.34</v>
      </c>
    </row>
    <row r="222" spans="2:28" ht="24.75" hidden="1">
      <c r="B222" s="118" t="s">
        <v>344</v>
      </c>
      <c r="C222" s="118" t="s">
        <v>432</v>
      </c>
      <c r="D222" s="118">
        <v>39790</v>
      </c>
      <c r="E222" s="118" t="s">
        <v>712</v>
      </c>
      <c r="F222" s="118">
        <v>1210</v>
      </c>
      <c r="G222" s="118">
        <v>242</v>
      </c>
      <c r="H222" s="118" t="s">
        <v>186</v>
      </c>
      <c r="I222" s="118" t="s">
        <v>713</v>
      </c>
      <c r="J222" s="118">
        <v>88810</v>
      </c>
      <c r="K222" s="118">
        <v>6</v>
      </c>
      <c r="L222" s="118" t="s">
        <v>35</v>
      </c>
      <c r="M222" s="118" t="s">
        <v>35</v>
      </c>
      <c r="N222" s="118">
        <v>4304072</v>
      </c>
      <c r="O222" s="121">
        <v>45979</v>
      </c>
      <c r="P222" s="118">
        <v>4422956</v>
      </c>
      <c r="Q222" s="149">
        <v>4372.6899999999996</v>
      </c>
      <c r="R222" s="123">
        <v>45996</v>
      </c>
      <c r="S222" s="118"/>
      <c r="T222" s="118"/>
      <c r="U222" s="118"/>
      <c r="V222" s="118"/>
      <c r="W222" s="129"/>
      <c r="X222" s="121"/>
      <c r="Y222" s="121"/>
      <c r="Z222" s="118" t="s">
        <v>48</v>
      </c>
      <c r="AA222" s="118"/>
      <c r="AB222" s="126">
        <f t="shared" si="3"/>
        <v>4372.6899999999996</v>
      </c>
    </row>
    <row r="223" spans="2:28" ht="37.5" hidden="1">
      <c r="B223" s="118" t="s">
        <v>344</v>
      </c>
      <c r="C223" s="118" t="s">
        <v>714</v>
      </c>
      <c r="D223" s="118">
        <v>40141</v>
      </c>
      <c r="E223" s="118" t="s">
        <v>715</v>
      </c>
      <c r="F223" s="118">
        <v>1236</v>
      </c>
      <c r="G223" s="118">
        <v>242</v>
      </c>
      <c r="H223" s="118" t="s">
        <v>186</v>
      </c>
      <c r="I223" s="118" t="s">
        <v>716</v>
      </c>
      <c r="J223" s="118">
        <v>89051</v>
      </c>
      <c r="K223" s="118">
        <v>6</v>
      </c>
      <c r="L223" s="118" t="s">
        <v>35</v>
      </c>
      <c r="M223" s="118" t="s">
        <v>35</v>
      </c>
      <c r="N223" s="118">
        <v>4304086</v>
      </c>
      <c r="O223" s="121">
        <v>45979</v>
      </c>
      <c r="P223" s="118">
        <v>4422960</v>
      </c>
      <c r="Q223" s="149">
        <v>3606.6</v>
      </c>
      <c r="R223" s="123">
        <v>45996</v>
      </c>
      <c r="S223" s="118">
        <v>5777</v>
      </c>
      <c r="T223" s="118"/>
      <c r="U223" s="118" t="s">
        <v>37</v>
      </c>
      <c r="V223" s="118" t="s">
        <v>314</v>
      </c>
      <c r="W223" s="129">
        <v>3606.6</v>
      </c>
      <c r="X223" s="121">
        <v>45987</v>
      </c>
      <c r="Y223" s="121">
        <v>45994</v>
      </c>
      <c r="Z223" s="118" t="s">
        <v>39</v>
      </c>
      <c r="AA223" s="118"/>
      <c r="AB223" s="126">
        <f t="shared" si="3"/>
        <v>0</v>
      </c>
    </row>
    <row r="224" spans="2:28" ht="37.5" hidden="1">
      <c r="B224" s="118" t="s">
        <v>43</v>
      </c>
      <c r="C224" s="118" t="s">
        <v>362</v>
      </c>
      <c r="D224" s="118">
        <v>36375</v>
      </c>
      <c r="E224" s="118" t="s">
        <v>363</v>
      </c>
      <c r="F224" s="118">
        <v>2232</v>
      </c>
      <c r="G224" s="118">
        <v>242</v>
      </c>
      <c r="H224" s="118" t="s">
        <v>186</v>
      </c>
      <c r="I224" s="118" t="s">
        <v>717</v>
      </c>
      <c r="J224" s="118">
        <v>92364</v>
      </c>
      <c r="K224" s="118">
        <v>6</v>
      </c>
      <c r="L224" s="118" t="s">
        <v>35</v>
      </c>
      <c r="M224" s="118" t="s">
        <v>35</v>
      </c>
      <c r="N224" s="118">
        <v>4304337</v>
      </c>
      <c r="O224" s="121">
        <v>45979</v>
      </c>
      <c r="P224" s="118">
        <v>4422962</v>
      </c>
      <c r="Q224" s="149">
        <v>9461</v>
      </c>
      <c r="R224" s="123">
        <v>45992</v>
      </c>
      <c r="S224" s="118"/>
      <c r="T224" s="118"/>
      <c r="U224" s="118"/>
      <c r="V224" s="118"/>
      <c r="W224" s="129"/>
      <c r="X224" s="121"/>
      <c r="Y224" s="121"/>
      <c r="Z224" s="118" t="s">
        <v>48</v>
      </c>
      <c r="AA224" s="118"/>
      <c r="AB224" s="126">
        <f t="shared" si="3"/>
        <v>9461</v>
      </c>
    </row>
    <row r="225" spans="2:28" ht="180" hidden="1">
      <c r="B225" s="118" t="s">
        <v>43</v>
      </c>
      <c r="C225" s="118" t="s">
        <v>468</v>
      </c>
      <c r="D225" s="118" t="s">
        <v>35</v>
      </c>
      <c r="E225" s="118" t="s">
        <v>718</v>
      </c>
      <c r="F225" s="118">
        <v>2330</v>
      </c>
      <c r="G225" s="118">
        <v>242</v>
      </c>
      <c r="H225" s="118" t="s">
        <v>33</v>
      </c>
      <c r="I225" s="118" t="s">
        <v>719</v>
      </c>
      <c r="J225" s="118">
        <v>92318</v>
      </c>
      <c r="K225" s="118">
        <v>5</v>
      </c>
      <c r="L225" s="118" t="s">
        <v>720</v>
      </c>
      <c r="M225" s="118" t="s">
        <v>37</v>
      </c>
      <c r="N225" s="136" t="s">
        <v>721</v>
      </c>
      <c r="O225" s="133" t="s">
        <v>722</v>
      </c>
      <c r="P225" s="118">
        <v>4434694</v>
      </c>
      <c r="Q225" s="124">
        <v>5094.38</v>
      </c>
      <c r="R225" s="123">
        <v>45992</v>
      </c>
      <c r="S225" s="118"/>
      <c r="T225" s="118"/>
      <c r="U225" s="118"/>
      <c r="V225" s="118"/>
      <c r="W225" s="129"/>
      <c r="X225" s="121"/>
      <c r="Y225" s="121"/>
      <c r="Z225" s="118" t="s">
        <v>48</v>
      </c>
      <c r="AA225" s="118"/>
      <c r="AB225" s="126">
        <f t="shared" si="3"/>
        <v>5094.38</v>
      </c>
    </row>
    <row r="226" spans="2:28" ht="72" hidden="1">
      <c r="B226" s="118" t="s">
        <v>125</v>
      </c>
      <c r="C226" s="118" t="s">
        <v>723</v>
      </c>
      <c r="D226" s="118" t="s">
        <v>35</v>
      </c>
      <c r="E226" s="118" t="s">
        <v>724</v>
      </c>
      <c r="F226" s="118">
        <v>4472</v>
      </c>
      <c r="G226" s="118">
        <v>242</v>
      </c>
      <c r="H226" s="118" t="s">
        <v>333</v>
      </c>
      <c r="I226" s="118" t="s">
        <v>725</v>
      </c>
      <c r="J226" s="118">
        <v>91008</v>
      </c>
      <c r="K226" s="118">
        <v>1</v>
      </c>
      <c r="L226" s="118" t="s">
        <v>35</v>
      </c>
      <c r="M226" s="118" t="s">
        <v>35</v>
      </c>
      <c r="N226" s="135" t="s">
        <v>726</v>
      </c>
      <c r="O226" s="121">
        <v>45980</v>
      </c>
      <c r="P226" s="125"/>
      <c r="Q226" s="149" t="s">
        <v>524</v>
      </c>
      <c r="R226" s="123">
        <v>45996</v>
      </c>
      <c r="S226" s="118"/>
      <c r="T226" s="118"/>
      <c r="U226" s="118"/>
      <c r="V226" s="118"/>
      <c r="W226" s="129"/>
      <c r="X226" s="121"/>
      <c r="Y226" s="121"/>
      <c r="Z226" s="118" t="s">
        <v>158</v>
      </c>
      <c r="AA226" s="158" t="s">
        <v>727</v>
      </c>
      <c r="AB226" s="126" t="e">
        <f t="shared" si="3"/>
        <v>#VALUE!</v>
      </c>
    </row>
    <row r="227" spans="2:28" ht="24.75" hidden="1">
      <c r="B227" s="118" t="s">
        <v>253</v>
      </c>
      <c r="C227" s="118" t="s">
        <v>432</v>
      </c>
      <c r="D227" s="118">
        <v>35769</v>
      </c>
      <c r="E227" s="118" t="s">
        <v>728</v>
      </c>
      <c r="F227" s="118">
        <v>1210</v>
      </c>
      <c r="G227" s="118">
        <v>242</v>
      </c>
      <c r="H227" s="118" t="s">
        <v>186</v>
      </c>
      <c r="I227" s="118">
        <v>14869</v>
      </c>
      <c r="J227" s="118">
        <v>79736</v>
      </c>
      <c r="K227" s="118">
        <v>6</v>
      </c>
      <c r="L227" s="118" t="s">
        <v>35</v>
      </c>
      <c r="M227" s="118" t="s">
        <v>35</v>
      </c>
      <c r="N227" s="118">
        <v>4238736</v>
      </c>
      <c r="O227" s="121">
        <v>45911</v>
      </c>
      <c r="P227" s="118">
        <v>4359762</v>
      </c>
      <c r="Q227" s="149">
        <v>5516.15</v>
      </c>
      <c r="R227" s="123">
        <v>45962</v>
      </c>
      <c r="S227" s="118">
        <v>2428</v>
      </c>
      <c r="T227" s="118" t="s">
        <v>35</v>
      </c>
      <c r="U227" s="118" t="s">
        <v>37</v>
      </c>
      <c r="V227" s="118" t="s">
        <v>38</v>
      </c>
      <c r="W227" s="129">
        <v>5516.15</v>
      </c>
      <c r="X227" s="121">
        <v>45980</v>
      </c>
      <c r="Y227" s="140">
        <v>45985</v>
      </c>
      <c r="Z227" s="118" t="s">
        <v>39</v>
      </c>
      <c r="AA227" s="171"/>
      <c r="AB227" s="126">
        <f t="shared" si="3"/>
        <v>0</v>
      </c>
    </row>
    <row r="228" spans="2:28" ht="24.75" hidden="1">
      <c r="B228" s="118" t="s">
        <v>30</v>
      </c>
      <c r="C228" s="118" t="s">
        <v>107</v>
      </c>
      <c r="D228" s="118">
        <v>40743</v>
      </c>
      <c r="E228" s="117" t="s">
        <v>729</v>
      </c>
      <c r="F228" s="118">
        <v>5345</v>
      </c>
      <c r="G228" s="118">
        <v>242</v>
      </c>
      <c r="H228" s="118" t="s">
        <v>33</v>
      </c>
      <c r="I228" s="118" t="s">
        <v>730</v>
      </c>
      <c r="J228" s="118">
        <v>92547</v>
      </c>
      <c r="K228" s="118">
        <v>6</v>
      </c>
      <c r="L228" s="118" t="s">
        <v>35</v>
      </c>
      <c r="M228" s="118" t="s">
        <v>35</v>
      </c>
      <c r="N228" s="118">
        <v>4306330</v>
      </c>
      <c r="O228" s="121">
        <v>45981</v>
      </c>
      <c r="P228" s="118">
        <v>4425588</v>
      </c>
      <c r="Q228" s="124">
        <v>2546</v>
      </c>
      <c r="R228" s="123">
        <v>45985</v>
      </c>
      <c r="S228" s="118"/>
      <c r="T228" s="118" t="s">
        <v>731</v>
      </c>
      <c r="U228" s="118"/>
      <c r="V228" s="118"/>
      <c r="W228" s="129"/>
      <c r="X228" s="121"/>
      <c r="Y228" s="121"/>
      <c r="Z228" s="118" t="s">
        <v>48</v>
      </c>
      <c r="AA228" s="118"/>
      <c r="AB228" s="126">
        <f t="shared" si="3"/>
        <v>2546</v>
      </c>
    </row>
    <row r="229" spans="2:28" ht="72" hidden="1">
      <c r="B229" s="118" t="s">
        <v>125</v>
      </c>
      <c r="C229" s="118" t="s">
        <v>732</v>
      </c>
      <c r="D229" s="118" t="s">
        <v>35</v>
      </c>
      <c r="E229" s="118" t="s">
        <v>733</v>
      </c>
      <c r="F229" s="118">
        <v>4472</v>
      </c>
      <c r="G229" s="118">
        <v>242</v>
      </c>
      <c r="H229" s="118" t="s">
        <v>333</v>
      </c>
      <c r="I229" s="118" t="s">
        <v>725</v>
      </c>
      <c r="J229" s="118">
        <v>90705</v>
      </c>
      <c r="K229" s="118">
        <v>1</v>
      </c>
      <c r="L229" s="118" t="s">
        <v>35</v>
      </c>
      <c r="M229" s="118" t="s">
        <v>35</v>
      </c>
      <c r="N229" s="118">
        <v>4305359</v>
      </c>
      <c r="O229" s="121">
        <v>45980</v>
      </c>
      <c r="P229" s="118">
        <v>4431248</v>
      </c>
      <c r="Q229" s="149">
        <v>13500</v>
      </c>
      <c r="R229" s="123">
        <v>45996</v>
      </c>
      <c r="S229" s="118"/>
      <c r="T229" s="118"/>
      <c r="U229" s="118"/>
      <c r="V229" s="118"/>
      <c r="W229" s="129"/>
      <c r="X229" s="121"/>
      <c r="Y229" s="121"/>
      <c r="Z229" s="118" t="s">
        <v>48</v>
      </c>
      <c r="AA229" s="118"/>
      <c r="AB229" s="126">
        <f t="shared" si="3"/>
        <v>13500</v>
      </c>
    </row>
    <row r="230" spans="2:28" ht="96" hidden="1">
      <c r="B230" s="118" t="s">
        <v>222</v>
      </c>
      <c r="C230" s="118" t="s">
        <v>226</v>
      </c>
      <c r="D230" s="118" t="s">
        <v>35</v>
      </c>
      <c r="E230" s="118" t="s">
        <v>339</v>
      </c>
      <c r="F230" s="118" t="s">
        <v>734</v>
      </c>
      <c r="G230" s="118">
        <v>5</v>
      </c>
      <c r="H230" s="118" t="s">
        <v>333</v>
      </c>
      <c r="I230" s="118" t="s">
        <v>725</v>
      </c>
      <c r="J230" s="118">
        <v>92192</v>
      </c>
      <c r="K230" s="118">
        <v>1</v>
      </c>
      <c r="L230" s="118" t="s">
        <v>35</v>
      </c>
      <c r="M230" s="118" t="s">
        <v>35</v>
      </c>
      <c r="N230" s="118">
        <v>4305700</v>
      </c>
      <c r="O230" s="121">
        <v>45980</v>
      </c>
      <c r="P230" s="118">
        <v>4433568</v>
      </c>
      <c r="Q230" s="149">
        <v>51350</v>
      </c>
      <c r="R230" s="123">
        <v>46023</v>
      </c>
      <c r="S230" s="118"/>
      <c r="T230" s="118"/>
      <c r="U230" s="118"/>
      <c r="V230" s="118"/>
      <c r="W230" s="129"/>
      <c r="X230" s="121"/>
      <c r="Y230" s="121"/>
      <c r="Z230" s="118" t="s">
        <v>48</v>
      </c>
      <c r="AA230" s="118"/>
      <c r="AB230" s="126">
        <f t="shared" si="3"/>
        <v>51350</v>
      </c>
    </row>
    <row r="231" spans="2:28" ht="144" hidden="1">
      <c r="B231" s="118" t="s">
        <v>184</v>
      </c>
      <c r="C231" s="118" t="s">
        <v>735</v>
      </c>
      <c r="D231" s="118" t="s">
        <v>35</v>
      </c>
      <c r="E231" s="118" t="s">
        <v>736</v>
      </c>
      <c r="F231" s="118">
        <v>4669</v>
      </c>
      <c r="G231" s="118">
        <v>242</v>
      </c>
      <c r="H231" s="118" t="s">
        <v>33</v>
      </c>
      <c r="I231" s="118" t="s">
        <v>737</v>
      </c>
      <c r="J231" s="118">
        <v>92036</v>
      </c>
      <c r="K231" s="118">
        <v>5</v>
      </c>
      <c r="L231" s="118" t="s">
        <v>738</v>
      </c>
      <c r="M231" s="125" t="s">
        <v>38</v>
      </c>
      <c r="N231" s="118">
        <v>4305550</v>
      </c>
      <c r="O231" s="121">
        <v>45980</v>
      </c>
      <c r="P231" s="118">
        <v>4425739</v>
      </c>
      <c r="Q231" s="124">
        <v>14816.9</v>
      </c>
      <c r="R231" s="123">
        <v>45992</v>
      </c>
      <c r="S231" s="118">
        <v>165</v>
      </c>
      <c r="T231" s="118" t="s">
        <v>35</v>
      </c>
      <c r="U231" s="118" t="s">
        <v>72</v>
      </c>
      <c r="V231" s="118" t="s">
        <v>64</v>
      </c>
      <c r="W231" s="124">
        <v>14816.9</v>
      </c>
      <c r="X231" s="121">
        <v>45992</v>
      </c>
      <c r="Y231" s="121">
        <v>45993</v>
      </c>
      <c r="Z231" s="118" t="s">
        <v>39</v>
      </c>
      <c r="AA231" s="118"/>
      <c r="AB231" s="126">
        <f t="shared" si="3"/>
        <v>0</v>
      </c>
    </row>
    <row r="232" spans="2:28" ht="84" hidden="1">
      <c r="B232" s="118" t="s">
        <v>30</v>
      </c>
      <c r="C232" s="118" t="s">
        <v>723</v>
      </c>
      <c r="D232" s="118" t="s">
        <v>35</v>
      </c>
      <c r="E232" s="118" t="s">
        <v>739</v>
      </c>
      <c r="F232" s="118" t="s">
        <v>740</v>
      </c>
      <c r="G232" s="118">
        <v>242</v>
      </c>
      <c r="H232" s="118" t="s">
        <v>33</v>
      </c>
      <c r="I232" s="118" t="s">
        <v>741</v>
      </c>
      <c r="J232" s="118">
        <v>91007</v>
      </c>
      <c r="K232" s="118">
        <v>2</v>
      </c>
      <c r="L232" s="118" t="s">
        <v>742</v>
      </c>
      <c r="M232" s="118" t="s">
        <v>35</v>
      </c>
      <c r="N232" s="118">
        <v>4305605</v>
      </c>
      <c r="O232" s="121">
        <v>45980</v>
      </c>
      <c r="P232" s="118">
        <v>4419849</v>
      </c>
      <c r="Q232" s="124">
        <v>10600</v>
      </c>
      <c r="R232" s="123">
        <v>45989</v>
      </c>
      <c r="S232" s="118"/>
      <c r="T232" s="118"/>
      <c r="U232" s="118"/>
      <c r="V232" s="118"/>
      <c r="W232" s="129"/>
      <c r="X232" s="121"/>
      <c r="Y232" s="121"/>
      <c r="Z232" s="118" t="s">
        <v>48</v>
      </c>
      <c r="AA232" s="118"/>
      <c r="AB232" s="126">
        <f t="shared" si="3"/>
        <v>10600</v>
      </c>
    </row>
    <row r="233" spans="2:28" ht="120" hidden="1">
      <c r="B233" s="118" t="s">
        <v>148</v>
      </c>
      <c r="C233" s="118" t="s">
        <v>116</v>
      </c>
      <c r="D233" s="118" t="s">
        <v>35</v>
      </c>
      <c r="E233" s="117" t="s">
        <v>743</v>
      </c>
      <c r="F233" s="118">
        <v>4057</v>
      </c>
      <c r="G233" s="118">
        <v>242</v>
      </c>
      <c r="H233" s="118" t="s">
        <v>33</v>
      </c>
      <c r="I233" s="118" t="s">
        <v>744</v>
      </c>
      <c r="J233" s="118">
        <v>83989</v>
      </c>
      <c r="K233" s="118">
        <v>5</v>
      </c>
      <c r="L233" s="118" t="s">
        <v>745</v>
      </c>
      <c r="M233" s="118" t="s">
        <v>72</v>
      </c>
      <c r="N233" s="136" t="s">
        <v>746</v>
      </c>
      <c r="O233" s="121">
        <v>45980</v>
      </c>
      <c r="P233" s="118">
        <v>4425735</v>
      </c>
      <c r="Q233" s="124">
        <v>1850</v>
      </c>
      <c r="R233" s="123">
        <v>45992</v>
      </c>
      <c r="S233" s="118">
        <v>431</v>
      </c>
      <c r="T233" s="121" t="s">
        <v>747</v>
      </c>
      <c r="U233" s="118" t="s">
        <v>72</v>
      </c>
      <c r="V233" s="118" t="s">
        <v>64</v>
      </c>
      <c r="W233" s="124">
        <v>1850</v>
      </c>
      <c r="X233" s="121">
        <v>45992</v>
      </c>
      <c r="Y233" s="121">
        <v>45993</v>
      </c>
      <c r="Z233" s="118" t="s">
        <v>39</v>
      </c>
      <c r="AA233" s="118"/>
      <c r="AB233" s="126">
        <f t="shared" si="3"/>
        <v>0</v>
      </c>
    </row>
    <row r="234" spans="2:28" ht="37.5" hidden="1">
      <c r="B234" s="118" t="s">
        <v>222</v>
      </c>
      <c r="C234" s="118" t="s">
        <v>107</v>
      </c>
      <c r="D234" s="118">
        <v>40813</v>
      </c>
      <c r="E234" s="117" t="s">
        <v>748</v>
      </c>
      <c r="F234" s="118">
        <v>2330</v>
      </c>
      <c r="G234" s="118">
        <v>242</v>
      </c>
      <c r="H234" s="118" t="s">
        <v>333</v>
      </c>
      <c r="I234" s="118">
        <v>435</v>
      </c>
      <c r="J234" s="118">
        <v>92652</v>
      </c>
      <c r="K234" s="118">
        <v>6</v>
      </c>
      <c r="L234" s="118" t="s">
        <v>35</v>
      </c>
      <c r="M234" s="118" t="s">
        <v>35</v>
      </c>
      <c r="N234" s="118">
        <v>4306666</v>
      </c>
      <c r="O234" s="121">
        <v>45981</v>
      </c>
      <c r="P234" s="118">
        <v>4425589</v>
      </c>
      <c r="Q234" s="149">
        <v>12450</v>
      </c>
      <c r="R234" s="123">
        <v>45992</v>
      </c>
      <c r="S234" s="118">
        <v>3192</v>
      </c>
      <c r="T234" s="118"/>
      <c r="U234" s="118" t="s">
        <v>37</v>
      </c>
      <c r="V234" s="118" t="s">
        <v>23</v>
      </c>
      <c r="W234" s="129">
        <v>11827.5</v>
      </c>
      <c r="X234" s="121">
        <v>45992</v>
      </c>
      <c r="Y234" s="121">
        <v>45993</v>
      </c>
      <c r="Z234" s="118" t="s">
        <v>39</v>
      </c>
      <c r="AA234" s="118"/>
      <c r="AB234" s="126">
        <f t="shared" si="3"/>
        <v>622.5</v>
      </c>
    </row>
    <row r="235" spans="2:28" ht="96" hidden="1">
      <c r="B235" s="118" t="s">
        <v>545</v>
      </c>
      <c r="C235" s="118" t="s">
        <v>116</v>
      </c>
      <c r="D235" s="118" t="s">
        <v>35</v>
      </c>
      <c r="E235" s="117" t="s">
        <v>749</v>
      </c>
      <c r="F235" s="118">
        <v>2313</v>
      </c>
      <c r="G235" s="118">
        <v>242</v>
      </c>
      <c r="H235" s="118" t="s">
        <v>33</v>
      </c>
      <c r="I235" s="118" t="s">
        <v>750</v>
      </c>
      <c r="J235" s="118">
        <v>92698</v>
      </c>
      <c r="K235" s="118">
        <v>2</v>
      </c>
      <c r="L235" s="118" t="s">
        <v>751</v>
      </c>
      <c r="M235" s="118" t="s">
        <v>35</v>
      </c>
      <c r="N235" s="118">
        <v>4306454</v>
      </c>
      <c r="O235" s="121">
        <v>45950</v>
      </c>
      <c r="P235" s="118">
        <v>4419852</v>
      </c>
      <c r="Q235" s="124">
        <v>1400</v>
      </c>
      <c r="R235" s="123">
        <v>45986</v>
      </c>
      <c r="S235" s="118">
        <v>430</v>
      </c>
      <c r="T235" s="118" t="s">
        <v>35</v>
      </c>
      <c r="U235" s="118" t="s">
        <v>72</v>
      </c>
      <c r="V235" s="118" t="s">
        <v>64</v>
      </c>
      <c r="W235" s="124">
        <v>1400</v>
      </c>
      <c r="X235" s="121">
        <v>45992</v>
      </c>
      <c r="Y235" s="121">
        <v>45993</v>
      </c>
      <c r="Z235" s="118" t="s">
        <v>39</v>
      </c>
      <c r="AA235" s="118"/>
      <c r="AB235" s="126">
        <f t="shared" si="3"/>
        <v>0</v>
      </c>
    </row>
    <row r="236" spans="2:28" ht="24.75" hidden="1">
      <c r="B236" s="118" t="s">
        <v>49</v>
      </c>
      <c r="C236" s="118" t="s">
        <v>57</v>
      </c>
      <c r="D236" s="118">
        <v>39060</v>
      </c>
      <c r="E236" s="118" t="s">
        <v>752</v>
      </c>
      <c r="F236" s="118">
        <v>5345</v>
      </c>
      <c r="G236" s="118">
        <v>242</v>
      </c>
      <c r="H236" s="118" t="s">
        <v>33</v>
      </c>
      <c r="I236" s="118" t="s">
        <v>753</v>
      </c>
      <c r="J236" s="118">
        <v>92761</v>
      </c>
      <c r="K236" s="118">
        <v>6</v>
      </c>
      <c r="L236" s="118" t="s">
        <v>35</v>
      </c>
      <c r="M236" s="118" t="s">
        <v>35</v>
      </c>
      <c r="N236" s="136" t="s">
        <v>754</v>
      </c>
      <c r="O236" s="121" t="s">
        <v>755</v>
      </c>
      <c r="P236" s="118">
        <v>4437656</v>
      </c>
      <c r="Q236" s="189">
        <v>35530.239999999998</v>
      </c>
      <c r="R236" s="123">
        <v>46023</v>
      </c>
      <c r="S236" s="118"/>
      <c r="T236" s="118"/>
      <c r="U236" s="118"/>
      <c r="V236" s="118"/>
      <c r="W236" s="129"/>
      <c r="X236" s="121"/>
      <c r="Y236" s="121"/>
      <c r="Z236" s="118" t="s">
        <v>48</v>
      </c>
      <c r="AA236" s="118"/>
      <c r="AB236" s="126">
        <f t="shared" si="3"/>
        <v>35530.239999999998</v>
      </c>
    </row>
    <row r="237" spans="2:28" ht="37.5" hidden="1">
      <c r="B237" s="118" t="s">
        <v>222</v>
      </c>
      <c r="C237" s="118" t="s">
        <v>116</v>
      </c>
      <c r="D237" s="118">
        <v>40507</v>
      </c>
      <c r="E237" s="118" t="s">
        <v>756</v>
      </c>
      <c r="F237" s="118">
        <v>2470</v>
      </c>
      <c r="G237" s="118">
        <v>242</v>
      </c>
      <c r="H237" s="118" t="s">
        <v>333</v>
      </c>
      <c r="I237" s="118" t="s">
        <v>757</v>
      </c>
      <c r="J237" s="118">
        <v>92659</v>
      </c>
      <c r="K237" s="118">
        <v>6</v>
      </c>
      <c r="L237" s="118" t="s">
        <v>35</v>
      </c>
      <c r="M237" s="118" t="s">
        <v>35</v>
      </c>
      <c r="N237" s="118">
        <v>4306674</v>
      </c>
      <c r="O237" s="121">
        <v>45981</v>
      </c>
      <c r="P237" s="118">
        <v>4425605</v>
      </c>
      <c r="Q237" s="149">
        <v>5200</v>
      </c>
      <c r="R237" s="123">
        <v>45992</v>
      </c>
      <c r="S237" s="118">
        <v>448</v>
      </c>
      <c r="T237" s="118"/>
      <c r="U237" s="118" t="s">
        <v>37</v>
      </c>
      <c r="V237" s="118" t="s">
        <v>64</v>
      </c>
      <c r="W237" s="129">
        <v>5200</v>
      </c>
      <c r="X237" s="121">
        <v>45994</v>
      </c>
      <c r="Y237" s="121">
        <v>45994</v>
      </c>
      <c r="Z237" s="118" t="s">
        <v>39</v>
      </c>
      <c r="AA237" s="118"/>
      <c r="AB237" s="126">
        <f t="shared" si="3"/>
        <v>0</v>
      </c>
    </row>
    <row r="238" spans="2:28" ht="24.75" hidden="1">
      <c r="B238" s="118" t="s">
        <v>184</v>
      </c>
      <c r="C238" s="118" t="s">
        <v>107</v>
      </c>
      <c r="D238" s="118">
        <v>36938</v>
      </c>
      <c r="E238" s="117" t="s">
        <v>758</v>
      </c>
      <c r="F238" s="118">
        <v>5345</v>
      </c>
      <c r="G238" s="118">
        <v>242</v>
      </c>
      <c r="H238" s="118" t="s">
        <v>33</v>
      </c>
      <c r="I238" s="118" t="s">
        <v>759</v>
      </c>
      <c r="J238" s="118">
        <v>92822</v>
      </c>
      <c r="K238" s="118">
        <v>6</v>
      </c>
      <c r="L238" s="118" t="s">
        <v>35</v>
      </c>
      <c r="M238" s="118" t="s">
        <v>35</v>
      </c>
      <c r="N238" s="118">
        <v>4306768</v>
      </c>
      <c r="O238" s="121">
        <v>45981</v>
      </c>
      <c r="P238" s="118">
        <v>4425591</v>
      </c>
      <c r="Q238" s="124">
        <v>1159</v>
      </c>
      <c r="R238" s="123" t="s">
        <v>35</v>
      </c>
      <c r="S238" s="118">
        <v>3191</v>
      </c>
      <c r="T238" s="118" t="s">
        <v>760</v>
      </c>
      <c r="U238" s="118" t="s">
        <v>72</v>
      </c>
      <c r="V238" s="118" t="s">
        <v>87</v>
      </c>
      <c r="W238" s="124">
        <v>1159</v>
      </c>
      <c r="X238" s="121">
        <v>45992</v>
      </c>
      <c r="Y238" s="121">
        <v>45993</v>
      </c>
      <c r="Z238" s="118" t="s">
        <v>39</v>
      </c>
      <c r="AA238" s="118"/>
      <c r="AB238" s="126">
        <f t="shared" si="3"/>
        <v>0</v>
      </c>
    </row>
    <row r="239" spans="2:28" ht="24.75" hidden="1">
      <c r="B239" s="118" t="s">
        <v>184</v>
      </c>
      <c r="C239" s="118" t="s">
        <v>107</v>
      </c>
      <c r="D239" s="118">
        <v>38250</v>
      </c>
      <c r="E239" s="117" t="s">
        <v>761</v>
      </c>
      <c r="F239" s="118">
        <v>5345</v>
      </c>
      <c r="G239" s="118">
        <v>242</v>
      </c>
      <c r="H239" s="118" t="s">
        <v>33</v>
      </c>
      <c r="I239" s="118" t="s">
        <v>762</v>
      </c>
      <c r="J239" s="118">
        <v>92823</v>
      </c>
      <c r="K239" s="118">
        <v>6</v>
      </c>
      <c r="L239" s="118" t="s">
        <v>35</v>
      </c>
      <c r="M239" s="118" t="s">
        <v>35</v>
      </c>
      <c r="N239" s="118">
        <v>4308388</v>
      </c>
      <c r="O239" s="121">
        <v>45983</v>
      </c>
      <c r="P239" s="118">
        <v>4429840</v>
      </c>
      <c r="Q239" s="124">
        <v>1558</v>
      </c>
      <c r="R239" s="123">
        <v>45991</v>
      </c>
      <c r="S239" s="118">
        <v>3202</v>
      </c>
      <c r="T239" s="118" t="s">
        <v>763</v>
      </c>
      <c r="U239" s="118" t="s">
        <v>37</v>
      </c>
      <c r="V239" s="118" t="s">
        <v>87</v>
      </c>
      <c r="W239" s="124">
        <v>1558</v>
      </c>
      <c r="X239" s="121">
        <v>45993</v>
      </c>
      <c r="Y239" s="121">
        <v>46000</v>
      </c>
      <c r="Z239" s="118" t="s">
        <v>39</v>
      </c>
      <c r="AA239" s="118"/>
      <c r="AB239" s="126">
        <f t="shared" si="3"/>
        <v>0</v>
      </c>
    </row>
    <row r="240" spans="2:28" ht="50.25" hidden="1">
      <c r="B240" s="118" t="s">
        <v>545</v>
      </c>
      <c r="C240" s="118" t="s">
        <v>764</v>
      </c>
      <c r="D240" s="118">
        <v>40706</v>
      </c>
      <c r="E240" s="117" t="s">
        <v>765</v>
      </c>
      <c r="F240" s="118">
        <v>2488</v>
      </c>
      <c r="G240" s="118">
        <v>242</v>
      </c>
      <c r="H240" s="118" t="s">
        <v>33</v>
      </c>
      <c r="I240" s="118" t="s">
        <v>766</v>
      </c>
      <c r="J240" s="118">
        <v>93013</v>
      </c>
      <c r="K240" s="118">
        <v>6</v>
      </c>
      <c r="L240" s="118" t="s">
        <v>35</v>
      </c>
      <c r="M240" s="118" t="s">
        <v>35</v>
      </c>
      <c r="N240" s="118">
        <v>4308390</v>
      </c>
      <c r="O240" s="121">
        <v>45983</v>
      </c>
      <c r="P240" s="118">
        <v>4429848</v>
      </c>
      <c r="Q240" s="124">
        <v>5756.4</v>
      </c>
      <c r="R240" s="123">
        <v>45993</v>
      </c>
      <c r="S240" s="118">
        <v>1799</v>
      </c>
      <c r="T240" s="118" t="s">
        <v>767</v>
      </c>
      <c r="U240" s="118" t="s">
        <v>37</v>
      </c>
      <c r="V240" s="118" t="s">
        <v>87</v>
      </c>
      <c r="W240" s="124">
        <v>5756.4</v>
      </c>
      <c r="X240" s="121">
        <v>45992</v>
      </c>
      <c r="Y240" s="121">
        <v>46000</v>
      </c>
      <c r="Z240" s="118" t="s">
        <v>39</v>
      </c>
      <c r="AA240" s="118"/>
      <c r="AB240" s="126">
        <f t="shared" si="3"/>
        <v>0</v>
      </c>
    </row>
    <row r="241" spans="2:28" ht="36" hidden="1">
      <c r="B241" s="118" t="s">
        <v>529</v>
      </c>
      <c r="C241" s="118" t="s">
        <v>768</v>
      </c>
      <c r="D241" s="118" t="s">
        <v>35</v>
      </c>
      <c r="E241" s="118" t="s">
        <v>769</v>
      </c>
      <c r="F241" s="118">
        <v>1228</v>
      </c>
      <c r="G241" s="118">
        <v>242</v>
      </c>
      <c r="H241" s="118" t="s">
        <v>579</v>
      </c>
      <c r="I241" s="118">
        <v>1195</v>
      </c>
      <c r="J241" s="118"/>
      <c r="K241" s="118">
        <v>29</v>
      </c>
      <c r="L241" s="118" t="s">
        <v>35</v>
      </c>
      <c r="M241" s="118" t="s">
        <v>35</v>
      </c>
      <c r="N241" s="118">
        <v>4261980</v>
      </c>
      <c r="O241" s="121">
        <v>45936</v>
      </c>
      <c r="P241" s="118">
        <v>4383127</v>
      </c>
      <c r="Q241" s="149">
        <v>2505</v>
      </c>
      <c r="R241" s="123">
        <v>45992</v>
      </c>
      <c r="S241" s="118">
        <v>153</v>
      </c>
      <c r="T241" s="118" t="s">
        <v>35</v>
      </c>
      <c r="U241" s="118" t="s">
        <v>72</v>
      </c>
      <c r="V241" s="118" t="s">
        <v>23</v>
      </c>
      <c r="W241" s="129">
        <v>2025</v>
      </c>
      <c r="X241" s="121">
        <v>45974</v>
      </c>
      <c r="Y241" s="140">
        <v>45986</v>
      </c>
      <c r="Z241" s="118" t="s">
        <v>39</v>
      </c>
      <c r="AA241" s="118"/>
      <c r="AB241" s="126">
        <f t="shared" ref="AB241:AB294" si="4">Q241-W241</f>
        <v>480</v>
      </c>
    </row>
    <row r="242" spans="2:28" ht="36" hidden="1">
      <c r="B242" s="118" t="s">
        <v>529</v>
      </c>
      <c r="C242" s="118" t="s">
        <v>768</v>
      </c>
      <c r="D242" s="118" t="s">
        <v>35</v>
      </c>
      <c r="E242" s="118" t="s">
        <v>769</v>
      </c>
      <c r="F242" s="118">
        <v>1228</v>
      </c>
      <c r="G242" s="118">
        <v>242</v>
      </c>
      <c r="H242" s="118" t="s">
        <v>579</v>
      </c>
      <c r="I242" s="118">
        <v>1195</v>
      </c>
      <c r="J242" s="118"/>
      <c r="K242" s="118">
        <v>29</v>
      </c>
      <c r="L242" s="118" t="s">
        <v>35</v>
      </c>
      <c r="M242" s="118" t="s">
        <v>35</v>
      </c>
      <c r="N242" s="118">
        <v>4261980</v>
      </c>
      <c r="O242" s="121">
        <v>45936</v>
      </c>
      <c r="P242" s="118">
        <v>4383127</v>
      </c>
      <c r="Q242" s="149">
        <v>480</v>
      </c>
      <c r="R242" s="123">
        <v>45992</v>
      </c>
      <c r="S242" s="118">
        <v>154</v>
      </c>
      <c r="T242" s="118" t="s">
        <v>35</v>
      </c>
      <c r="U242" s="118" t="s">
        <v>72</v>
      </c>
      <c r="V242" s="118" t="s">
        <v>23</v>
      </c>
      <c r="W242" s="129">
        <v>480</v>
      </c>
      <c r="X242" s="121">
        <v>45974</v>
      </c>
      <c r="Y242" s="140">
        <v>45986</v>
      </c>
      <c r="Z242" s="118" t="s">
        <v>39</v>
      </c>
      <c r="AA242" s="118" t="s">
        <v>770</v>
      </c>
      <c r="AB242" s="126">
        <f>Q242-W242</f>
        <v>0</v>
      </c>
    </row>
    <row r="243" spans="2:28" ht="24.75" hidden="1">
      <c r="B243" s="118" t="s">
        <v>545</v>
      </c>
      <c r="C243" s="118" t="s">
        <v>771</v>
      </c>
      <c r="D243" s="118">
        <v>40627</v>
      </c>
      <c r="E243" s="118" t="s">
        <v>772</v>
      </c>
      <c r="F243" s="118">
        <v>2313</v>
      </c>
      <c r="G243" s="118">
        <v>242</v>
      </c>
      <c r="H243" s="118" t="s">
        <v>33</v>
      </c>
      <c r="I243" s="118" t="s">
        <v>773</v>
      </c>
      <c r="J243" s="118">
        <v>93014</v>
      </c>
      <c r="K243" s="118">
        <v>6</v>
      </c>
      <c r="L243" s="118" t="s">
        <v>35</v>
      </c>
      <c r="M243" s="118" t="s">
        <v>35</v>
      </c>
      <c r="N243" s="136" t="s">
        <v>774</v>
      </c>
      <c r="O243" s="121">
        <v>45983</v>
      </c>
      <c r="P243" s="135">
        <v>4429857</v>
      </c>
      <c r="Q243" s="124">
        <v>1164</v>
      </c>
      <c r="R243" s="123">
        <v>46006</v>
      </c>
      <c r="S243" s="118"/>
      <c r="T243" s="118"/>
      <c r="U243" s="118"/>
      <c r="V243" s="118"/>
      <c r="W243" s="129"/>
      <c r="X243" s="121"/>
      <c r="Y243" s="121"/>
      <c r="Z243" s="118" t="s">
        <v>48</v>
      </c>
      <c r="AA243" s="118"/>
      <c r="AB243" s="126">
        <f t="shared" si="4"/>
        <v>1164</v>
      </c>
    </row>
    <row r="244" spans="2:28" ht="96" hidden="1">
      <c r="B244" s="118" t="s">
        <v>344</v>
      </c>
      <c r="C244" s="118" t="s">
        <v>485</v>
      </c>
      <c r="D244" s="118" t="s">
        <v>35</v>
      </c>
      <c r="E244" s="118" t="s">
        <v>775</v>
      </c>
      <c r="F244" s="118">
        <v>1295</v>
      </c>
      <c r="G244" s="118">
        <v>242</v>
      </c>
      <c r="H244" s="118" t="s">
        <v>186</v>
      </c>
      <c r="I244" s="118" t="s">
        <v>776</v>
      </c>
      <c r="J244" s="118">
        <v>93001</v>
      </c>
      <c r="K244" s="118">
        <v>29</v>
      </c>
      <c r="L244" s="118" t="s">
        <v>777</v>
      </c>
      <c r="M244" s="118" t="s">
        <v>35</v>
      </c>
      <c r="N244" s="118">
        <v>4308403</v>
      </c>
      <c r="O244" s="121">
        <v>45983</v>
      </c>
      <c r="P244" s="118">
        <v>4432402</v>
      </c>
      <c r="Q244" s="149">
        <v>10838.92</v>
      </c>
      <c r="R244" s="123">
        <v>45996</v>
      </c>
      <c r="S244" s="118"/>
      <c r="T244" s="118"/>
      <c r="U244" s="118"/>
      <c r="V244" s="118"/>
      <c r="W244" s="129"/>
      <c r="X244" s="121"/>
      <c r="Y244" s="121"/>
      <c r="Z244" s="118" t="s">
        <v>48</v>
      </c>
      <c r="AA244" s="118"/>
      <c r="AB244" s="126">
        <f t="shared" si="4"/>
        <v>10838.92</v>
      </c>
    </row>
    <row r="245" spans="2:28" ht="60" hidden="1">
      <c r="B245" s="118" t="s">
        <v>344</v>
      </c>
      <c r="C245" s="118" t="s">
        <v>485</v>
      </c>
      <c r="D245" s="118" t="s">
        <v>35</v>
      </c>
      <c r="E245" s="118" t="s">
        <v>778</v>
      </c>
      <c r="F245" s="118">
        <v>1295</v>
      </c>
      <c r="G245" s="118">
        <v>242</v>
      </c>
      <c r="H245" s="118" t="s">
        <v>186</v>
      </c>
      <c r="I245" s="118" t="s">
        <v>779</v>
      </c>
      <c r="J245" s="118">
        <v>89935</v>
      </c>
      <c r="K245" s="118">
        <v>29</v>
      </c>
      <c r="L245" s="118" t="s">
        <v>780</v>
      </c>
      <c r="M245" s="118" t="s">
        <v>35</v>
      </c>
      <c r="N245" s="118">
        <v>4308404</v>
      </c>
      <c r="O245" s="121">
        <v>45983</v>
      </c>
      <c r="P245" s="118">
        <v>4425894</v>
      </c>
      <c r="Q245" s="149">
        <v>13335.9</v>
      </c>
      <c r="R245" s="123">
        <v>45996</v>
      </c>
      <c r="S245" s="118"/>
      <c r="T245" s="118"/>
      <c r="U245" s="118"/>
      <c r="V245" s="118"/>
      <c r="W245" s="143"/>
      <c r="X245" s="121"/>
      <c r="Y245" s="121"/>
      <c r="Z245" s="118" t="s">
        <v>48</v>
      </c>
      <c r="AA245" s="118"/>
      <c r="AB245" s="126">
        <f t="shared" si="4"/>
        <v>13335.9</v>
      </c>
    </row>
    <row r="246" spans="2:28" ht="24" hidden="1">
      <c r="B246" s="118" t="s">
        <v>344</v>
      </c>
      <c r="C246" s="118" t="s">
        <v>725</v>
      </c>
      <c r="D246" s="118" t="s">
        <v>35</v>
      </c>
      <c r="E246" s="118" t="s">
        <v>781</v>
      </c>
      <c r="F246" s="118" t="s">
        <v>782</v>
      </c>
      <c r="G246" s="118">
        <v>242</v>
      </c>
      <c r="H246" s="118" t="s">
        <v>186</v>
      </c>
      <c r="I246" s="118" t="s">
        <v>783</v>
      </c>
      <c r="J246" s="118">
        <v>93114</v>
      </c>
      <c r="K246" s="118">
        <v>1</v>
      </c>
      <c r="L246" s="118" t="s">
        <v>35</v>
      </c>
      <c r="M246" s="118" t="s">
        <v>35</v>
      </c>
      <c r="N246" s="118">
        <v>4308412</v>
      </c>
      <c r="O246" s="121">
        <v>45983</v>
      </c>
      <c r="P246" s="173">
        <v>4430941</v>
      </c>
      <c r="Q246" s="174">
        <v>3685</v>
      </c>
      <c r="R246" s="123">
        <v>45999</v>
      </c>
      <c r="S246" s="118">
        <v>707</v>
      </c>
      <c r="T246" s="118"/>
      <c r="U246" s="118" t="s">
        <v>37</v>
      </c>
      <c r="V246" s="146" t="s">
        <v>23</v>
      </c>
      <c r="W246" s="129">
        <v>1150</v>
      </c>
      <c r="X246" s="144">
        <v>45993</v>
      </c>
      <c r="Y246" s="121">
        <v>45994</v>
      </c>
      <c r="Z246" s="118" t="s">
        <v>330</v>
      </c>
      <c r="AA246" s="118"/>
      <c r="AB246" s="126">
        <f t="shared" si="4"/>
        <v>2535</v>
      </c>
    </row>
    <row r="247" spans="2:28" ht="48" hidden="1">
      <c r="B247" s="118" t="s">
        <v>222</v>
      </c>
      <c r="C247" s="118" t="s">
        <v>524</v>
      </c>
      <c r="D247" s="118" t="s">
        <v>35</v>
      </c>
      <c r="E247" s="118" t="s">
        <v>784</v>
      </c>
      <c r="F247" s="118">
        <v>2488</v>
      </c>
      <c r="G247" s="118">
        <v>5</v>
      </c>
      <c r="H247" s="118" t="s">
        <v>186</v>
      </c>
      <c r="I247" s="118" t="s">
        <v>785</v>
      </c>
      <c r="J247" s="118">
        <v>93438</v>
      </c>
      <c r="K247" s="118">
        <v>1</v>
      </c>
      <c r="L247" s="118" t="s">
        <v>35</v>
      </c>
      <c r="M247" s="118" t="s">
        <v>35</v>
      </c>
      <c r="N247" s="118">
        <v>4309831</v>
      </c>
      <c r="O247" s="121">
        <v>45985</v>
      </c>
      <c r="P247" s="118">
        <v>4435419</v>
      </c>
      <c r="Q247" s="181">
        <v>33260</v>
      </c>
      <c r="R247" s="123">
        <v>45992</v>
      </c>
      <c r="S247" s="118"/>
      <c r="T247" s="118"/>
      <c r="U247" s="118"/>
      <c r="V247" s="118"/>
      <c r="W247" s="145"/>
      <c r="X247" s="121"/>
      <c r="Y247" s="121"/>
      <c r="Z247" s="118" t="s">
        <v>48</v>
      </c>
      <c r="AA247" s="118"/>
      <c r="AB247" s="126">
        <f t="shared" si="4"/>
        <v>33260</v>
      </c>
    </row>
    <row r="248" spans="2:28" ht="48" hidden="1">
      <c r="B248" s="118" t="s">
        <v>222</v>
      </c>
      <c r="C248" s="118" t="s">
        <v>116</v>
      </c>
      <c r="D248" s="118" t="s">
        <v>35</v>
      </c>
      <c r="E248" s="118" t="s">
        <v>786</v>
      </c>
      <c r="F248" s="118">
        <v>2241</v>
      </c>
      <c r="G248" s="118">
        <v>5</v>
      </c>
      <c r="H248" s="118" t="s">
        <v>186</v>
      </c>
      <c r="I248" s="118" t="s">
        <v>785</v>
      </c>
      <c r="J248" s="118">
        <v>93437</v>
      </c>
      <c r="K248" s="118">
        <v>1</v>
      </c>
      <c r="L248" s="118" t="s">
        <v>35</v>
      </c>
      <c r="M248" s="118" t="s">
        <v>35</v>
      </c>
      <c r="N248" s="118">
        <v>4309902</v>
      </c>
      <c r="O248" s="121">
        <v>45985</v>
      </c>
      <c r="P248" s="118">
        <v>4439067</v>
      </c>
      <c r="Q248" s="181">
        <v>19831.97</v>
      </c>
      <c r="R248" s="123">
        <v>45992</v>
      </c>
      <c r="S248" s="118"/>
      <c r="T248" s="118"/>
      <c r="U248" s="118"/>
      <c r="V248" s="118"/>
      <c r="W248" s="129"/>
      <c r="X248" s="121"/>
      <c r="Y248" s="121"/>
      <c r="Z248" s="118" t="s">
        <v>48</v>
      </c>
      <c r="AA248" s="118"/>
      <c r="AB248" s="126">
        <f t="shared" si="4"/>
        <v>19831.97</v>
      </c>
    </row>
    <row r="249" spans="2:28" ht="24.75" hidden="1">
      <c r="B249" s="118" t="s">
        <v>148</v>
      </c>
      <c r="C249" s="118" t="s">
        <v>107</v>
      </c>
      <c r="D249" s="118">
        <v>40744</v>
      </c>
      <c r="E249" s="117" t="s">
        <v>787</v>
      </c>
      <c r="F249" s="118">
        <v>2224</v>
      </c>
      <c r="G249" s="118">
        <v>242</v>
      </c>
      <c r="H249" s="118" t="s">
        <v>33</v>
      </c>
      <c r="I249" s="118" t="s">
        <v>788</v>
      </c>
      <c r="J249" s="118">
        <v>93556</v>
      </c>
      <c r="K249" s="118">
        <v>6</v>
      </c>
      <c r="L249" s="118" t="s">
        <v>35</v>
      </c>
      <c r="M249" s="118" t="s">
        <v>35</v>
      </c>
      <c r="N249" s="118">
        <v>4310556</v>
      </c>
      <c r="O249" s="121">
        <v>45986</v>
      </c>
      <c r="P249" s="118">
        <v>4429851</v>
      </c>
      <c r="Q249" s="124">
        <v>8740</v>
      </c>
      <c r="R249" s="123">
        <v>45992</v>
      </c>
      <c r="S249" s="118"/>
      <c r="T249" s="118"/>
      <c r="U249" s="118"/>
      <c r="V249" s="118"/>
      <c r="W249" s="129"/>
      <c r="X249" s="121"/>
      <c r="Y249" s="121"/>
      <c r="Z249" s="118" t="s">
        <v>48</v>
      </c>
      <c r="AA249" s="118"/>
      <c r="AB249" s="126">
        <f t="shared" si="4"/>
        <v>8740</v>
      </c>
    </row>
    <row r="250" spans="2:28" ht="24.75" hidden="1">
      <c r="B250" s="118" t="s">
        <v>106</v>
      </c>
      <c r="C250" s="118" t="s">
        <v>107</v>
      </c>
      <c r="D250" s="118">
        <v>39792</v>
      </c>
      <c r="E250" s="117" t="s">
        <v>789</v>
      </c>
      <c r="F250" s="118">
        <v>2488</v>
      </c>
      <c r="G250" s="118">
        <v>242</v>
      </c>
      <c r="H250" s="118" t="s">
        <v>33</v>
      </c>
      <c r="I250" s="118" t="s">
        <v>790</v>
      </c>
      <c r="J250" s="118">
        <v>93626</v>
      </c>
      <c r="K250" s="118">
        <v>6</v>
      </c>
      <c r="L250" s="118" t="s">
        <v>35</v>
      </c>
      <c r="M250" s="118" t="s">
        <v>35</v>
      </c>
      <c r="N250" s="118">
        <v>4310565</v>
      </c>
      <c r="O250" s="121">
        <v>45986</v>
      </c>
      <c r="P250" s="118">
        <v>4429854</v>
      </c>
      <c r="Q250" s="124">
        <v>1919</v>
      </c>
      <c r="R250" s="123">
        <v>45992</v>
      </c>
      <c r="S250" s="118"/>
      <c r="T250" s="118"/>
      <c r="U250" s="118"/>
      <c r="V250" s="118"/>
      <c r="W250" s="129"/>
      <c r="X250" s="121"/>
      <c r="Y250" s="121"/>
      <c r="Z250" s="118" t="s">
        <v>48</v>
      </c>
      <c r="AA250" s="118"/>
      <c r="AB250" s="126">
        <f t="shared" si="4"/>
        <v>1919</v>
      </c>
    </row>
    <row r="251" spans="2:28" ht="48" hidden="1">
      <c r="B251" s="118" t="s">
        <v>222</v>
      </c>
      <c r="C251" s="175" t="s">
        <v>791</v>
      </c>
      <c r="D251" s="118" t="s">
        <v>35</v>
      </c>
      <c r="E251" s="118" t="s">
        <v>784</v>
      </c>
      <c r="F251" s="118">
        <v>2224</v>
      </c>
      <c r="G251" s="118">
        <v>5</v>
      </c>
      <c r="H251" s="118" t="s">
        <v>333</v>
      </c>
      <c r="I251" s="118" t="s">
        <v>524</v>
      </c>
      <c r="J251" s="118">
        <v>93545</v>
      </c>
      <c r="K251" s="118">
        <v>1</v>
      </c>
      <c r="L251" s="118" t="s">
        <v>35</v>
      </c>
      <c r="M251" s="118" t="s">
        <v>35</v>
      </c>
      <c r="N251" s="118">
        <v>4310932</v>
      </c>
      <c r="O251" s="121">
        <v>45986</v>
      </c>
      <c r="P251" s="125">
        <v>4439065</v>
      </c>
      <c r="Q251" s="149" t="s">
        <v>524</v>
      </c>
      <c r="R251" s="123">
        <v>46001</v>
      </c>
      <c r="S251" s="118">
        <v>741</v>
      </c>
      <c r="T251" s="118"/>
      <c r="U251" s="118" t="s">
        <v>37</v>
      </c>
      <c r="V251" s="118" t="s">
        <v>23</v>
      </c>
      <c r="W251" s="129">
        <v>57500</v>
      </c>
      <c r="X251" s="121">
        <v>46002</v>
      </c>
      <c r="Y251" s="121">
        <v>46003</v>
      </c>
      <c r="Z251" s="118" t="s">
        <v>330</v>
      </c>
      <c r="AA251" s="118"/>
      <c r="AB251" s="126" t="e">
        <f t="shared" si="4"/>
        <v>#VALUE!</v>
      </c>
    </row>
    <row r="252" spans="2:28" ht="12.75" hidden="1">
      <c r="B252" s="118" t="s">
        <v>106</v>
      </c>
      <c r="C252" s="118" t="s">
        <v>107</v>
      </c>
      <c r="D252" s="118">
        <v>39918</v>
      </c>
      <c r="E252" s="117" t="s">
        <v>792</v>
      </c>
      <c r="F252" s="118">
        <v>2488</v>
      </c>
      <c r="G252" s="118">
        <v>242</v>
      </c>
      <c r="H252" s="118" t="s">
        <v>33</v>
      </c>
      <c r="I252" s="118" t="s">
        <v>793</v>
      </c>
      <c r="J252" s="118">
        <v>93606</v>
      </c>
      <c r="K252" s="118">
        <v>6</v>
      </c>
      <c r="L252" s="118" t="s">
        <v>35</v>
      </c>
      <c r="M252" s="118" t="s">
        <v>35</v>
      </c>
      <c r="N252" s="118">
        <v>4311145</v>
      </c>
      <c r="O252" s="121">
        <v>45986</v>
      </c>
      <c r="P252" s="118">
        <v>4429856</v>
      </c>
      <c r="Q252" s="124">
        <v>1282.5</v>
      </c>
      <c r="R252" s="123">
        <v>46001</v>
      </c>
      <c r="S252" s="118">
        <v>3204</v>
      </c>
      <c r="T252" s="118" t="s">
        <v>794</v>
      </c>
      <c r="U252" s="118" t="s">
        <v>37</v>
      </c>
      <c r="V252" s="118" t="s">
        <v>87</v>
      </c>
      <c r="W252" s="124">
        <v>1282.5</v>
      </c>
      <c r="X252" s="121">
        <v>45994</v>
      </c>
      <c r="Y252" s="121">
        <v>46000</v>
      </c>
      <c r="Z252" s="118" t="s">
        <v>39</v>
      </c>
      <c r="AA252" s="118"/>
      <c r="AB252" s="126">
        <f t="shared" si="4"/>
        <v>0</v>
      </c>
    </row>
    <row r="253" spans="2:28" ht="24.75" hidden="1">
      <c r="B253" s="118" t="s">
        <v>148</v>
      </c>
      <c r="C253" s="118" t="s">
        <v>662</v>
      </c>
      <c r="D253" s="118">
        <v>40222</v>
      </c>
      <c r="E253" s="118" t="s">
        <v>795</v>
      </c>
      <c r="F253" s="118">
        <v>4057</v>
      </c>
      <c r="G253" s="118">
        <v>242</v>
      </c>
      <c r="H253" s="118" t="s">
        <v>33</v>
      </c>
      <c r="I253" s="118" t="s">
        <v>796</v>
      </c>
      <c r="J253" s="118">
        <v>93797</v>
      </c>
      <c r="K253" s="118">
        <v>6</v>
      </c>
      <c r="L253" s="118" t="s">
        <v>35</v>
      </c>
      <c r="M253" s="118" t="s">
        <v>35</v>
      </c>
      <c r="N253" s="118">
        <v>4311964</v>
      </c>
      <c r="O253" s="121">
        <v>45987</v>
      </c>
      <c r="P253" s="118">
        <v>4431154</v>
      </c>
      <c r="Q253" s="124">
        <v>5200</v>
      </c>
      <c r="R253" s="123">
        <v>46001</v>
      </c>
      <c r="S253" s="118"/>
      <c r="T253" s="118"/>
      <c r="U253" s="118"/>
      <c r="V253" s="118"/>
      <c r="W253" s="129"/>
      <c r="X253" s="121"/>
      <c r="Y253" s="121"/>
      <c r="Z253" s="118" t="s">
        <v>48</v>
      </c>
      <c r="AA253" s="118"/>
      <c r="AB253" s="126">
        <f t="shared" si="4"/>
        <v>5200</v>
      </c>
    </row>
    <row r="254" spans="2:28" ht="96" hidden="1">
      <c r="B254" s="118" t="s">
        <v>148</v>
      </c>
      <c r="C254" s="118" t="s">
        <v>116</v>
      </c>
      <c r="D254" s="118" t="s">
        <v>35</v>
      </c>
      <c r="E254" s="117" t="s">
        <v>797</v>
      </c>
      <c r="F254" s="118">
        <v>5525</v>
      </c>
      <c r="G254" s="118">
        <v>242</v>
      </c>
      <c r="H254" s="118" t="s">
        <v>33</v>
      </c>
      <c r="I254" s="118" t="s">
        <v>798</v>
      </c>
      <c r="J254" s="118">
        <v>94090</v>
      </c>
      <c r="K254" s="118">
        <v>5</v>
      </c>
      <c r="L254" s="118" t="s">
        <v>799</v>
      </c>
      <c r="M254" s="118" t="s">
        <v>37</v>
      </c>
      <c r="N254" s="118">
        <v>4317391</v>
      </c>
      <c r="O254" s="150">
        <v>45992</v>
      </c>
      <c r="P254" s="118">
        <v>4434679</v>
      </c>
      <c r="Q254" s="124">
        <v>1895</v>
      </c>
      <c r="R254" s="123">
        <v>46001</v>
      </c>
      <c r="S254" s="118">
        <v>451</v>
      </c>
      <c r="T254" s="118" t="s">
        <v>800</v>
      </c>
      <c r="U254" s="118" t="s">
        <v>37</v>
      </c>
      <c r="V254" s="118" t="s">
        <v>64</v>
      </c>
      <c r="W254" s="124">
        <v>1895</v>
      </c>
      <c r="X254" s="121">
        <v>45996</v>
      </c>
      <c r="Y254" s="121">
        <v>46000</v>
      </c>
      <c r="Z254" s="118" t="s">
        <v>39</v>
      </c>
      <c r="AA254" s="118"/>
      <c r="AB254" s="126">
        <f t="shared" si="4"/>
        <v>0</v>
      </c>
    </row>
    <row r="255" spans="2:28" ht="132" hidden="1">
      <c r="B255" s="118" t="s">
        <v>148</v>
      </c>
      <c r="C255" s="118" t="s">
        <v>116</v>
      </c>
      <c r="D255" s="118" t="s">
        <v>35</v>
      </c>
      <c r="E255" s="117" t="s">
        <v>801</v>
      </c>
      <c r="F255" s="118">
        <v>2224</v>
      </c>
      <c r="G255" s="118">
        <v>242</v>
      </c>
      <c r="H255" s="118" t="s">
        <v>33</v>
      </c>
      <c r="I255" s="118" t="s">
        <v>802</v>
      </c>
      <c r="J255" s="118">
        <v>94094</v>
      </c>
      <c r="K255" s="118">
        <v>5</v>
      </c>
      <c r="L255" s="118" t="s">
        <v>803</v>
      </c>
      <c r="M255" s="118" t="s">
        <v>37</v>
      </c>
      <c r="N255" s="118">
        <v>4317402</v>
      </c>
      <c r="O255" s="150">
        <v>45992</v>
      </c>
      <c r="P255" s="118">
        <v>4434656</v>
      </c>
      <c r="Q255" s="124">
        <v>3880</v>
      </c>
      <c r="R255" s="123">
        <v>46001</v>
      </c>
      <c r="S255" s="118">
        <v>452</v>
      </c>
      <c r="T255" s="118" t="s">
        <v>804</v>
      </c>
      <c r="U255" s="118" t="s">
        <v>37</v>
      </c>
      <c r="V255" s="118" t="s">
        <v>64</v>
      </c>
      <c r="W255" s="124">
        <v>3880</v>
      </c>
      <c r="X255" s="121">
        <v>45996</v>
      </c>
      <c r="Y255" s="121">
        <v>46000</v>
      </c>
      <c r="Z255" s="118" t="s">
        <v>39</v>
      </c>
      <c r="AA255" s="118"/>
      <c r="AB255" s="126">
        <f t="shared" si="4"/>
        <v>0</v>
      </c>
    </row>
    <row r="256" spans="2:28" ht="144" hidden="1">
      <c r="B256" s="118" t="s">
        <v>148</v>
      </c>
      <c r="C256" s="118" t="s">
        <v>116</v>
      </c>
      <c r="D256" s="118" t="s">
        <v>35</v>
      </c>
      <c r="E256" s="117" t="s">
        <v>805</v>
      </c>
      <c r="F256" s="118">
        <v>1228</v>
      </c>
      <c r="G256" s="118">
        <v>242</v>
      </c>
      <c r="H256" s="118" t="s">
        <v>33</v>
      </c>
      <c r="I256" s="118" t="s">
        <v>806</v>
      </c>
      <c r="J256" s="118">
        <v>94097</v>
      </c>
      <c r="K256" s="118">
        <v>5</v>
      </c>
      <c r="L256" s="118" t="s">
        <v>807</v>
      </c>
      <c r="M256" s="118" t="s">
        <v>37</v>
      </c>
      <c r="N256" s="118">
        <v>4317411</v>
      </c>
      <c r="O256" s="150">
        <v>45992</v>
      </c>
      <c r="P256" s="118">
        <v>4434682</v>
      </c>
      <c r="Q256" s="124">
        <v>2820</v>
      </c>
      <c r="R256" s="123">
        <v>46001</v>
      </c>
      <c r="S256" s="118">
        <v>454</v>
      </c>
      <c r="T256" s="118" t="s">
        <v>808</v>
      </c>
      <c r="U256" s="118" t="s">
        <v>37</v>
      </c>
      <c r="V256" s="118" t="s">
        <v>64</v>
      </c>
      <c r="W256" s="124">
        <v>2820</v>
      </c>
      <c r="X256" s="121">
        <v>45996</v>
      </c>
      <c r="Y256" s="121">
        <v>46000</v>
      </c>
      <c r="Z256" s="118" t="s">
        <v>39</v>
      </c>
      <c r="AA256" s="118"/>
      <c r="AB256" s="126">
        <f t="shared" si="4"/>
        <v>0</v>
      </c>
    </row>
    <row r="257" spans="2:28" ht="75.75" hidden="1">
      <c r="B257" s="118" t="s">
        <v>148</v>
      </c>
      <c r="C257" s="118" t="s">
        <v>116</v>
      </c>
      <c r="D257" s="118" t="s">
        <v>35</v>
      </c>
      <c r="E257" s="117" t="s">
        <v>809</v>
      </c>
      <c r="F257" s="118">
        <v>2232</v>
      </c>
      <c r="G257" s="118">
        <v>242</v>
      </c>
      <c r="H257" s="118" t="s">
        <v>33</v>
      </c>
      <c r="I257" s="118" t="s">
        <v>810</v>
      </c>
      <c r="J257" s="118">
        <v>94098</v>
      </c>
      <c r="K257" s="118">
        <v>5</v>
      </c>
      <c r="L257" s="118" t="s">
        <v>811</v>
      </c>
      <c r="M257" s="118" t="s">
        <v>37</v>
      </c>
      <c r="N257" s="118">
        <v>4317414</v>
      </c>
      <c r="O257" s="150">
        <v>45992</v>
      </c>
      <c r="P257" s="118">
        <v>4434659</v>
      </c>
      <c r="Q257" s="124">
        <v>830</v>
      </c>
      <c r="R257" s="123">
        <v>46001</v>
      </c>
      <c r="S257" s="118">
        <v>453</v>
      </c>
      <c r="T257" s="118" t="s">
        <v>812</v>
      </c>
      <c r="U257" s="118" t="s">
        <v>37</v>
      </c>
      <c r="V257" s="118" t="s">
        <v>64</v>
      </c>
      <c r="W257" s="124">
        <v>830</v>
      </c>
      <c r="X257" s="121">
        <v>45996</v>
      </c>
      <c r="Y257" s="121">
        <v>46000</v>
      </c>
      <c r="Z257" s="118" t="s">
        <v>39</v>
      </c>
      <c r="AA257" s="118"/>
      <c r="AB257" s="126">
        <f t="shared" si="4"/>
        <v>0</v>
      </c>
    </row>
    <row r="258" spans="2:28" ht="132" hidden="1">
      <c r="B258" s="118" t="s">
        <v>49</v>
      </c>
      <c r="C258" s="118" t="s">
        <v>116</v>
      </c>
      <c r="D258" s="118" t="s">
        <v>35</v>
      </c>
      <c r="E258" s="118" t="s">
        <v>813</v>
      </c>
      <c r="F258" s="118">
        <v>2224</v>
      </c>
      <c r="G258" s="118">
        <v>242</v>
      </c>
      <c r="H258" s="118" t="s">
        <v>33</v>
      </c>
      <c r="I258" s="118" t="s">
        <v>814</v>
      </c>
      <c r="J258" s="118">
        <v>94208</v>
      </c>
      <c r="K258" s="118">
        <v>5</v>
      </c>
      <c r="L258" s="118" t="s">
        <v>815</v>
      </c>
      <c r="M258" s="118" t="s">
        <v>72</v>
      </c>
      <c r="N258" s="118">
        <v>4317690</v>
      </c>
      <c r="O258" s="150">
        <v>45992</v>
      </c>
      <c r="P258" s="118">
        <v>4434675</v>
      </c>
      <c r="Q258" s="124">
        <v>950</v>
      </c>
      <c r="R258" s="123">
        <v>46001</v>
      </c>
      <c r="S258" s="118">
        <v>455</v>
      </c>
      <c r="T258" s="118" t="s">
        <v>35</v>
      </c>
      <c r="U258" s="118" t="s">
        <v>37</v>
      </c>
      <c r="V258" s="118" t="s">
        <v>64</v>
      </c>
      <c r="W258" s="124">
        <v>950</v>
      </c>
      <c r="X258" s="121">
        <v>45996</v>
      </c>
      <c r="Y258" s="121">
        <v>46000</v>
      </c>
      <c r="Z258" s="118" t="s">
        <v>39</v>
      </c>
      <c r="AA258" s="118"/>
      <c r="AB258" s="126">
        <f t="shared" si="4"/>
        <v>0</v>
      </c>
    </row>
    <row r="259" spans="2:28" ht="37.5" hidden="1">
      <c r="B259" s="118" t="s">
        <v>148</v>
      </c>
      <c r="C259" s="118" t="s">
        <v>208</v>
      </c>
      <c r="D259" s="118">
        <v>41235</v>
      </c>
      <c r="E259" s="118" t="s">
        <v>816</v>
      </c>
      <c r="F259" s="118">
        <v>2291</v>
      </c>
      <c r="G259" s="118">
        <v>242</v>
      </c>
      <c r="H259" s="118" t="s">
        <v>33</v>
      </c>
      <c r="I259" s="118" t="s">
        <v>817</v>
      </c>
      <c r="J259" s="118">
        <v>94446</v>
      </c>
      <c r="K259" s="118">
        <v>6</v>
      </c>
      <c r="L259" s="118" t="s">
        <v>35</v>
      </c>
      <c r="M259" s="118" t="s">
        <v>35</v>
      </c>
      <c r="N259" s="132" t="s">
        <v>818</v>
      </c>
      <c r="O259" s="121">
        <v>45993</v>
      </c>
      <c r="P259" s="118">
        <v>4435553</v>
      </c>
      <c r="Q259" s="124">
        <v>4769</v>
      </c>
      <c r="R259" s="123">
        <v>46001</v>
      </c>
      <c r="S259" s="118">
        <v>5151</v>
      </c>
      <c r="T259" s="118" t="s">
        <v>819</v>
      </c>
      <c r="U259" s="118" t="s">
        <v>37</v>
      </c>
      <c r="V259" s="118" t="s">
        <v>87</v>
      </c>
      <c r="W259" s="124">
        <v>4769</v>
      </c>
      <c r="X259" s="121">
        <v>46000</v>
      </c>
      <c r="Y259" s="121">
        <v>46006</v>
      </c>
      <c r="Z259" s="118" t="s">
        <v>330</v>
      </c>
      <c r="AA259" s="118"/>
      <c r="AB259" s="126">
        <f t="shared" si="4"/>
        <v>0</v>
      </c>
    </row>
    <row r="260" spans="2:28" ht="192" hidden="1">
      <c r="B260" s="118" t="s">
        <v>148</v>
      </c>
      <c r="C260" s="118" t="s">
        <v>820</v>
      </c>
      <c r="D260" s="118" t="s">
        <v>35</v>
      </c>
      <c r="E260" s="118" t="s">
        <v>821</v>
      </c>
      <c r="F260" s="118">
        <v>2232</v>
      </c>
      <c r="G260" s="118">
        <v>242</v>
      </c>
      <c r="H260" s="118" t="s">
        <v>33</v>
      </c>
      <c r="I260" s="118" t="s">
        <v>822</v>
      </c>
      <c r="J260" s="118">
        <v>94769</v>
      </c>
      <c r="K260" s="118">
        <v>29</v>
      </c>
      <c r="L260" s="118" t="s">
        <v>823</v>
      </c>
      <c r="M260" s="118" t="s">
        <v>35</v>
      </c>
      <c r="N260" s="125"/>
      <c r="O260" s="161"/>
      <c r="P260" s="125"/>
      <c r="Q260" s="172">
        <v>13716.6</v>
      </c>
      <c r="R260" s="123">
        <v>46023</v>
      </c>
      <c r="S260" s="118"/>
      <c r="T260" s="118"/>
      <c r="U260" s="118"/>
      <c r="V260" s="118"/>
      <c r="W260" s="129"/>
      <c r="X260" s="121"/>
      <c r="Y260" s="121"/>
      <c r="Z260" s="118" t="s">
        <v>824</v>
      </c>
      <c r="AA260" s="118" t="s">
        <v>825</v>
      </c>
      <c r="AB260" s="126">
        <f t="shared" si="4"/>
        <v>13716.6</v>
      </c>
    </row>
    <row r="261" spans="2:28" ht="125.25" hidden="1">
      <c r="B261" s="118" t="s">
        <v>222</v>
      </c>
      <c r="C261" s="118" t="s">
        <v>826</v>
      </c>
      <c r="D261" s="118" t="s">
        <v>35</v>
      </c>
      <c r="E261" s="118" t="s">
        <v>827</v>
      </c>
      <c r="F261" s="118">
        <v>2119</v>
      </c>
      <c r="G261" s="118">
        <v>242</v>
      </c>
      <c r="H261" s="118" t="s">
        <v>333</v>
      </c>
      <c r="I261" s="118"/>
      <c r="J261" s="118">
        <v>94217</v>
      </c>
      <c r="K261" s="118">
        <v>5</v>
      </c>
      <c r="L261" s="118" t="s">
        <v>828</v>
      </c>
      <c r="M261" s="125"/>
      <c r="N261" s="118">
        <v>4318297</v>
      </c>
      <c r="O261" s="121">
        <v>45993</v>
      </c>
      <c r="P261" s="118">
        <v>4438892</v>
      </c>
      <c r="Q261" s="149">
        <v>950</v>
      </c>
      <c r="R261" s="123" t="s">
        <v>35</v>
      </c>
      <c r="S261" s="118">
        <v>116</v>
      </c>
      <c r="T261" s="118"/>
      <c r="U261" s="118" t="s">
        <v>72</v>
      </c>
      <c r="V261" s="118" t="s">
        <v>23</v>
      </c>
      <c r="W261" s="129">
        <v>950</v>
      </c>
      <c r="X261" s="121">
        <v>46002</v>
      </c>
      <c r="Y261" s="121">
        <v>46003</v>
      </c>
      <c r="Z261" s="118" t="s">
        <v>330</v>
      </c>
      <c r="AA261" s="118"/>
      <c r="AB261" s="126">
        <f t="shared" si="4"/>
        <v>0</v>
      </c>
    </row>
    <row r="262" spans="2:28" ht="62.25" hidden="1">
      <c r="B262" s="118" t="s">
        <v>106</v>
      </c>
      <c r="C262" s="118" t="s">
        <v>829</v>
      </c>
      <c r="D262" s="118" t="s">
        <v>35</v>
      </c>
      <c r="E262" s="118" t="s">
        <v>830</v>
      </c>
      <c r="F262" s="118">
        <v>2488</v>
      </c>
      <c r="G262" s="118">
        <v>5</v>
      </c>
      <c r="H262" s="118" t="s">
        <v>33</v>
      </c>
      <c r="I262" s="118" t="s">
        <v>831</v>
      </c>
      <c r="J262" s="118">
        <v>94653</v>
      </c>
      <c r="K262" s="118">
        <v>1</v>
      </c>
      <c r="L262" s="118" t="s">
        <v>35</v>
      </c>
      <c r="M262" s="118" t="s">
        <v>35</v>
      </c>
      <c r="N262" s="118">
        <v>4318988</v>
      </c>
      <c r="O262" s="121">
        <v>45993</v>
      </c>
      <c r="P262" s="118">
        <v>4442220</v>
      </c>
      <c r="Q262" s="124">
        <v>7600</v>
      </c>
      <c r="R262" s="123">
        <v>46001</v>
      </c>
      <c r="S262" s="118"/>
      <c r="T262" s="118"/>
      <c r="U262" s="118"/>
      <c r="V262" s="118"/>
      <c r="W262" s="129"/>
      <c r="X262" s="121"/>
      <c r="Y262" s="121"/>
      <c r="Z262" s="118" t="s">
        <v>48</v>
      </c>
      <c r="AA262" s="118"/>
      <c r="AB262" s="126">
        <f t="shared" si="4"/>
        <v>7600</v>
      </c>
    </row>
    <row r="263" spans="2:28" ht="62.25" hidden="1">
      <c r="B263" s="118" t="s">
        <v>106</v>
      </c>
      <c r="C263" s="118" t="s">
        <v>31</v>
      </c>
      <c r="D263" s="118">
        <v>41291</v>
      </c>
      <c r="E263" s="118" t="s">
        <v>832</v>
      </c>
      <c r="F263" s="118">
        <v>2488</v>
      </c>
      <c r="G263" s="118">
        <v>242</v>
      </c>
      <c r="H263" s="118" t="s">
        <v>33</v>
      </c>
      <c r="I263" s="118" t="s">
        <v>833</v>
      </c>
      <c r="J263" s="118">
        <v>94860</v>
      </c>
      <c r="K263" s="118">
        <v>6</v>
      </c>
      <c r="L263" s="118" t="s">
        <v>35</v>
      </c>
      <c r="M263" s="118" t="s">
        <v>35</v>
      </c>
      <c r="N263" s="118">
        <v>4322173</v>
      </c>
      <c r="O263" s="121">
        <v>45996</v>
      </c>
      <c r="P263" s="118">
        <v>4437745</v>
      </c>
      <c r="Q263" s="124">
        <v>21585.64</v>
      </c>
      <c r="R263" s="123" t="s">
        <v>834</v>
      </c>
      <c r="S263" s="118"/>
      <c r="T263" s="118"/>
      <c r="U263" s="118"/>
      <c r="V263" s="118"/>
      <c r="W263" s="129"/>
      <c r="X263" s="121"/>
      <c r="Y263" s="121"/>
      <c r="Z263" s="118" t="s">
        <v>48</v>
      </c>
      <c r="AA263" s="118"/>
      <c r="AB263" s="126">
        <f t="shared" si="4"/>
        <v>21585.64</v>
      </c>
    </row>
    <row r="264" spans="2:28" ht="50.25" hidden="1">
      <c r="B264" s="118" t="s">
        <v>344</v>
      </c>
      <c r="C264" s="118" t="s">
        <v>835</v>
      </c>
      <c r="D264" s="118">
        <v>39682</v>
      </c>
      <c r="E264" s="118" t="s">
        <v>836</v>
      </c>
      <c r="F264" s="118">
        <v>1210</v>
      </c>
      <c r="G264" s="118">
        <v>242</v>
      </c>
      <c r="H264" s="118" t="s">
        <v>333</v>
      </c>
      <c r="I264" s="176">
        <v>59646</v>
      </c>
      <c r="J264" s="118">
        <v>88489</v>
      </c>
      <c r="K264" s="118">
        <v>6</v>
      </c>
      <c r="L264" s="118"/>
      <c r="M264" s="118"/>
      <c r="N264" s="118">
        <v>4318768</v>
      </c>
      <c r="O264" s="121">
        <v>45993</v>
      </c>
      <c r="P264" s="118">
        <v>4435991</v>
      </c>
      <c r="Q264" s="149">
        <v>3960</v>
      </c>
      <c r="R264" s="123">
        <v>46017</v>
      </c>
      <c r="S264" s="118"/>
      <c r="T264" s="118"/>
      <c r="U264" s="118"/>
      <c r="V264" s="118"/>
      <c r="W264" s="129"/>
      <c r="X264" s="121"/>
      <c r="Y264" s="121"/>
      <c r="Z264" s="118" t="s">
        <v>48</v>
      </c>
      <c r="AA264" s="118"/>
      <c r="AB264" s="126">
        <f t="shared" si="4"/>
        <v>3960</v>
      </c>
    </row>
    <row r="265" spans="2:28" ht="50.25" hidden="1">
      <c r="B265" s="118" t="s">
        <v>837</v>
      </c>
      <c r="C265" s="118" t="s">
        <v>226</v>
      </c>
      <c r="D265" s="118" t="s">
        <v>35</v>
      </c>
      <c r="E265" s="118" t="s">
        <v>838</v>
      </c>
      <c r="F265" s="118">
        <v>2283</v>
      </c>
      <c r="G265" s="118">
        <v>242</v>
      </c>
      <c r="H265" s="118" t="s">
        <v>333</v>
      </c>
      <c r="I265" s="118" t="s">
        <v>524</v>
      </c>
      <c r="J265" s="118">
        <v>94175</v>
      </c>
      <c r="K265" s="118">
        <v>1</v>
      </c>
      <c r="L265" s="118"/>
      <c r="M265" s="118"/>
      <c r="N265" s="118">
        <v>4318841</v>
      </c>
      <c r="O265" s="121">
        <v>45993</v>
      </c>
      <c r="P265" s="118">
        <v>4437436</v>
      </c>
      <c r="Q265" s="149">
        <v>8150</v>
      </c>
      <c r="R265" s="123">
        <v>46011</v>
      </c>
      <c r="S265" s="118"/>
      <c r="T265" s="118"/>
      <c r="U265" s="118"/>
      <c r="V265" s="118"/>
      <c r="W265" s="129"/>
      <c r="X265" s="121"/>
      <c r="Y265" s="121"/>
      <c r="Z265" s="118" t="s">
        <v>48</v>
      </c>
      <c r="AA265" s="118"/>
      <c r="AB265" s="126">
        <f t="shared" si="4"/>
        <v>8150</v>
      </c>
    </row>
    <row r="266" spans="2:28" ht="62.25" hidden="1">
      <c r="B266" s="118" t="s">
        <v>344</v>
      </c>
      <c r="C266" s="118" t="s">
        <v>839</v>
      </c>
      <c r="D266" s="118" t="s">
        <v>35</v>
      </c>
      <c r="E266" s="118" t="s">
        <v>840</v>
      </c>
      <c r="F266" s="118">
        <v>1236</v>
      </c>
      <c r="G266" s="118">
        <v>242</v>
      </c>
      <c r="H266" s="118" t="s">
        <v>333</v>
      </c>
      <c r="I266" s="118">
        <v>214</v>
      </c>
      <c r="J266" s="118">
        <v>94433</v>
      </c>
      <c r="K266" s="118">
        <v>29</v>
      </c>
      <c r="L266" s="118" t="s">
        <v>841</v>
      </c>
      <c r="M266" s="118"/>
      <c r="N266" s="118">
        <v>4318855</v>
      </c>
      <c r="O266" s="121">
        <v>45993</v>
      </c>
      <c r="P266" s="125">
        <v>4438975</v>
      </c>
      <c r="Q266" s="149">
        <v>1100</v>
      </c>
      <c r="R266" s="123">
        <v>45996</v>
      </c>
      <c r="S266" s="118">
        <v>413</v>
      </c>
      <c r="T266" s="118"/>
      <c r="U266" s="118" t="s">
        <v>37</v>
      </c>
      <c r="V266" s="118" t="s">
        <v>23</v>
      </c>
      <c r="W266" s="129">
        <v>1100</v>
      </c>
      <c r="X266" s="121">
        <v>46001</v>
      </c>
      <c r="Y266" s="121">
        <v>46003</v>
      </c>
      <c r="Z266" s="118" t="s">
        <v>330</v>
      </c>
      <c r="AA266" s="118"/>
      <c r="AB266" s="126">
        <f t="shared" si="4"/>
        <v>0</v>
      </c>
    </row>
    <row r="267" spans="2:28" ht="37.5" hidden="1">
      <c r="B267" s="118" t="s">
        <v>43</v>
      </c>
      <c r="C267" s="118" t="s">
        <v>362</v>
      </c>
      <c r="D267" s="118">
        <v>36375</v>
      </c>
      <c r="E267" s="118" t="s">
        <v>842</v>
      </c>
      <c r="F267" s="118">
        <v>2232</v>
      </c>
      <c r="G267" s="118">
        <v>242</v>
      </c>
      <c r="H267" s="118" t="s">
        <v>333</v>
      </c>
      <c r="I267" s="118">
        <v>127404</v>
      </c>
      <c r="J267" s="118">
        <v>94904</v>
      </c>
      <c r="K267" s="118">
        <v>6</v>
      </c>
      <c r="L267" s="118"/>
      <c r="M267" s="118"/>
      <c r="N267" s="118">
        <v>4318908</v>
      </c>
      <c r="O267" s="121">
        <v>45993</v>
      </c>
      <c r="P267" s="118">
        <v>4437429</v>
      </c>
      <c r="Q267" s="149">
        <v>23955.119999999999</v>
      </c>
      <c r="R267" s="123">
        <v>46023</v>
      </c>
      <c r="S267" s="118"/>
      <c r="T267" s="118"/>
      <c r="U267" s="118"/>
      <c r="V267" s="118"/>
      <c r="W267" s="129"/>
      <c r="X267" s="121"/>
      <c r="Y267" s="121"/>
      <c r="Z267" s="118" t="s">
        <v>48</v>
      </c>
      <c r="AA267" s="118"/>
      <c r="AB267" s="126">
        <f t="shared" si="4"/>
        <v>23955.119999999999</v>
      </c>
    </row>
    <row r="268" spans="2:28" ht="36" hidden="1">
      <c r="B268" s="118" t="s">
        <v>843</v>
      </c>
      <c r="C268" s="118" t="s">
        <v>844</v>
      </c>
      <c r="D268" s="118" t="s">
        <v>35</v>
      </c>
      <c r="E268" s="118" t="s">
        <v>845</v>
      </c>
      <c r="F268" s="118">
        <v>2488</v>
      </c>
      <c r="G268" s="118">
        <v>242</v>
      </c>
      <c r="H268" s="118" t="s">
        <v>33</v>
      </c>
      <c r="I268" s="118" t="s">
        <v>846</v>
      </c>
      <c r="J268" s="118">
        <v>94946</v>
      </c>
      <c r="K268" s="118">
        <v>29</v>
      </c>
      <c r="L268" s="118" t="s">
        <v>847</v>
      </c>
      <c r="M268" s="118" t="s">
        <v>35</v>
      </c>
      <c r="N268" s="118">
        <v>4319066</v>
      </c>
      <c r="O268" s="121">
        <v>45993</v>
      </c>
      <c r="P268" s="118">
        <v>4438253</v>
      </c>
      <c r="Q268" s="124">
        <v>10815.75</v>
      </c>
      <c r="R268" s="123">
        <v>46023</v>
      </c>
      <c r="S268" s="118"/>
      <c r="T268" s="118"/>
      <c r="U268" s="118"/>
      <c r="V268" s="118"/>
      <c r="W268" s="129"/>
      <c r="X268" s="121"/>
      <c r="Y268" s="121"/>
      <c r="Z268" s="118" t="s">
        <v>48</v>
      </c>
      <c r="AA268" s="118"/>
      <c r="AB268" s="126">
        <f t="shared" si="4"/>
        <v>10815.75</v>
      </c>
    </row>
    <row r="269" spans="2:28" ht="65.25" hidden="1" customHeight="1">
      <c r="B269" s="118" t="s">
        <v>344</v>
      </c>
      <c r="C269" s="118" t="s">
        <v>848</v>
      </c>
      <c r="D269" s="118"/>
      <c r="E269" s="118" t="s">
        <v>849</v>
      </c>
      <c r="F269" s="118">
        <v>94409</v>
      </c>
      <c r="G269" s="118">
        <v>242</v>
      </c>
      <c r="H269" s="118" t="s">
        <v>333</v>
      </c>
      <c r="I269" s="118">
        <v>392</v>
      </c>
      <c r="J269" s="118">
        <v>94409</v>
      </c>
      <c r="K269" s="118">
        <v>5</v>
      </c>
      <c r="L269" s="118" t="s">
        <v>850</v>
      </c>
      <c r="M269" s="118" t="s">
        <v>35</v>
      </c>
      <c r="N269" s="118">
        <v>4320302</v>
      </c>
      <c r="O269" s="121">
        <v>45994</v>
      </c>
      <c r="P269" s="118">
        <v>4440413</v>
      </c>
      <c r="Q269" s="124">
        <v>2390</v>
      </c>
      <c r="R269" s="123"/>
      <c r="S269" s="118"/>
      <c r="T269" s="118"/>
      <c r="U269" s="118"/>
      <c r="V269" s="118"/>
      <c r="W269" s="129"/>
      <c r="X269" s="121"/>
      <c r="Y269" s="121"/>
      <c r="Z269" s="118" t="s">
        <v>48</v>
      </c>
      <c r="AA269" s="118"/>
      <c r="AB269" s="126"/>
    </row>
    <row r="270" spans="2:28" ht="48" hidden="1">
      <c r="B270" s="118" t="s">
        <v>851</v>
      </c>
      <c r="C270" s="118" t="s">
        <v>852</v>
      </c>
      <c r="D270" s="118" t="s">
        <v>35</v>
      </c>
      <c r="E270" s="118" t="s">
        <v>853</v>
      </c>
      <c r="F270" s="118">
        <v>1228</v>
      </c>
      <c r="G270" s="118">
        <v>242</v>
      </c>
      <c r="H270" s="118" t="s">
        <v>333</v>
      </c>
      <c r="I270" s="118"/>
      <c r="J270" s="118"/>
      <c r="K270" s="118">
        <v>1</v>
      </c>
      <c r="L270" s="118"/>
      <c r="M270" s="118"/>
      <c r="N270" s="118">
        <v>4193339</v>
      </c>
      <c r="O270" s="121">
        <v>45867</v>
      </c>
      <c r="P270" s="118">
        <v>4324339</v>
      </c>
      <c r="Q270" s="149">
        <v>70950.89</v>
      </c>
      <c r="R270" s="123"/>
      <c r="S270" s="118">
        <v>179</v>
      </c>
      <c r="T270" s="118"/>
      <c r="U270" s="118" t="s">
        <v>72</v>
      </c>
      <c r="V270" s="118" t="s">
        <v>64</v>
      </c>
      <c r="W270" s="129">
        <v>70950.89</v>
      </c>
      <c r="X270" s="121">
        <v>45992</v>
      </c>
      <c r="Y270" s="121">
        <v>45993</v>
      </c>
      <c r="Z270" s="118" t="s">
        <v>39</v>
      </c>
      <c r="AA270" s="118"/>
      <c r="AB270" s="126">
        <f t="shared" si="4"/>
        <v>0</v>
      </c>
    </row>
    <row r="271" spans="2:28" ht="113.25" hidden="1">
      <c r="B271" s="118" t="s">
        <v>287</v>
      </c>
      <c r="C271" s="118" t="s">
        <v>854</v>
      </c>
      <c r="D271" s="118" t="s">
        <v>35</v>
      </c>
      <c r="E271" s="118" t="s">
        <v>855</v>
      </c>
      <c r="F271" s="118">
        <v>2330</v>
      </c>
      <c r="G271" s="118">
        <v>242</v>
      </c>
      <c r="H271" s="118" t="s">
        <v>33</v>
      </c>
      <c r="I271" s="118" t="s">
        <v>856</v>
      </c>
      <c r="J271" s="118">
        <v>95209</v>
      </c>
      <c r="K271" s="118">
        <v>5</v>
      </c>
      <c r="L271" s="118" t="s">
        <v>857</v>
      </c>
      <c r="M271" s="118" t="s">
        <v>37</v>
      </c>
      <c r="N271" s="118">
        <v>4322178</v>
      </c>
      <c r="O271" s="121">
        <v>45996</v>
      </c>
      <c r="P271" s="125"/>
      <c r="Q271" s="172">
        <v>7903.91</v>
      </c>
      <c r="R271" s="123">
        <v>45992</v>
      </c>
      <c r="S271" s="118"/>
      <c r="T271" s="118"/>
      <c r="U271" s="118"/>
      <c r="V271" s="118"/>
      <c r="W271" s="129"/>
      <c r="X271" s="121"/>
      <c r="Y271" s="121"/>
      <c r="Z271" s="118" t="s">
        <v>858</v>
      </c>
      <c r="AA271" s="118"/>
      <c r="AB271" s="126">
        <f t="shared" si="4"/>
        <v>7903.91</v>
      </c>
    </row>
    <row r="272" spans="2:28" ht="24.75" hidden="1">
      <c r="B272" s="118" t="s">
        <v>106</v>
      </c>
      <c r="C272" s="118" t="s">
        <v>107</v>
      </c>
      <c r="D272" s="118">
        <v>41358</v>
      </c>
      <c r="E272" s="179" t="s">
        <v>859</v>
      </c>
      <c r="F272" s="118">
        <v>2488</v>
      </c>
      <c r="G272" s="118">
        <v>242</v>
      </c>
      <c r="H272" s="118" t="s">
        <v>33</v>
      </c>
      <c r="I272" s="118" t="s">
        <v>860</v>
      </c>
      <c r="J272" s="118">
        <v>95167</v>
      </c>
      <c r="K272" s="118">
        <v>6</v>
      </c>
      <c r="L272" s="118" t="s">
        <v>35</v>
      </c>
      <c r="M272" s="118" t="s">
        <v>35</v>
      </c>
      <c r="N272" s="118">
        <v>4321227</v>
      </c>
      <c r="O272" s="121">
        <v>45995</v>
      </c>
      <c r="P272" s="118">
        <v>4436040</v>
      </c>
      <c r="Q272" s="124">
        <v>883.5</v>
      </c>
      <c r="R272" s="123">
        <v>45992</v>
      </c>
      <c r="S272" s="118">
        <v>3209</v>
      </c>
      <c r="T272" s="118" t="s">
        <v>861</v>
      </c>
      <c r="U272" s="118" t="s">
        <v>37</v>
      </c>
      <c r="V272" s="118" t="s">
        <v>87</v>
      </c>
      <c r="W272" s="129">
        <v>883.5</v>
      </c>
      <c r="X272" s="121">
        <v>46001</v>
      </c>
      <c r="Y272" s="121">
        <v>46002</v>
      </c>
      <c r="Z272" s="118" t="s">
        <v>39</v>
      </c>
      <c r="AA272" s="118"/>
      <c r="AB272" s="126">
        <f t="shared" si="4"/>
        <v>0</v>
      </c>
    </row>
    <row r="273" spans="2:29" ht="24.75" hidden="1">
      <c r="B273" s="118" t="s">
        <v>184</v>
      </c>
      <c r="C273" s="118" t="s">
        <v>208</v>
      </c>
      <c r="D273" s="118">
        <v>40688</v>
      </c>
      <c r="E273" s="118" t="s">
        <v>862</v>
      </c>
      <c r="F273" s="118">
        <v>2291</v>
      </c>
      <c r="G273" s="118">
        <v>242</v>
      </c>
      <c r="H273" s="118" t="s">
        <v>33</v>
      </c>
      <c r="I273" s="118" t="s">
        <v>863</v>
      </c>
      <c r="J273" s="118">
        <v>95152</v>
      </c>
      <c r="K273" s="118">
        <v>6</v>
      </c>
      <c r="L273" s="118" t="s">
        <v>35</v>
      </c>
      <c r="M273" s="118" t="s">
        <v>35</v>
      </c>
      <c r="N273" s="118">
        <v>4321296</v>
      </c>
      <c r="O273" s="121">
        <v>45995</v>
      </c>
      <c r="P273" s="118">
        <v>4436223</v>
      </c>
      <c r="Q273" s="124">
        <v>2109</v>
      </c>
      <c r="R273" s="123">
        <v>45992</v>
      </c>
      <c r="S273" s="118"/>
      <c r="T273" s="118"/>
      <c r="U273" s="118"/>
      <c r="V273" s="118"/>
      <c r="W273" s="129"/>
      <c r="X273" s="121"/>
      <c r="Y273" s="121"/>
      <c r="Z273" s="118" t="s">
        <v>48</v>
      </c>
      <c r="AA273" s="118"/>
      <c r="AB273" s="126">
        <f t="shared" si="4"/>
        <v>2109</v>
      </c>
    </row>
    <row r="274" spans="2:29" ht="50.25" hidden="1">
      <c r="B274" s="118" t="s">
        <v>184</v>
      </c>
      <c r="C274" s="118" t="s">
        <v>208</v>
      </c>
      <c r="D274" s="118">
        <v>40688</v>
      </c>
      <c r="E274" s="118" t="s">
        <v>864</v>
      </c>
      <c r="F274" s="118">
        <v>2283</v>
      </c>
      <c r="G274" s="118">
        <v>242</v>
      </c>
      <c r="H274" s="118" t="s">
        <v>33</v>
      </c>
      <c r="I274" s="118" t="s">
        <v>865</v>
      </c>
      <c r="J274" s="118">
        <v>95153</v>
      </c>
      <c r="K274" s="118">
        <v>6</v>
      </c>
      <c r="L274" s="118" t="s">
        <v>35</v>
      </c>
      <c r="M274" s="118" t="s">
        <v>35</v>
      </c>
      <c r="N274" s="118">
        <v>4321300</v>
      </c>
      <c r="O274" s="121">
        <v>45995</v>
      </c>
      <c r="P274" s="118">
        <v>4436059</v>
      </c>
      <c r="Q274" s="124">
        <v>2640</v>
      </c>
      <c r="R274" s="123">
        <v>45992</v>
      </c>
      <c r="S274" s="118">
        <v>5150</v>
      </c>
      <c r="T274" s="130" t="s">
        <v>866</v>
      </c>
      <c r="U274" s="118" t="s">
        <v>37</v>
      </c>
      <c r="V274" s="118" t="s">
        <v>87</v>
      </c>
      <c r="W274" s="124">
        <v>2640</v>
      </c>
      <c r="X274" s="121">
        <v>46000</v>
      </c>
      <c r="Y274" s="121"/>
      <c r="Z274" s="118" t="s">
        <v>467</v>
      </c>
      <c r="AA274" s="118" t="s">
        <v>867</v>
      </c>
      <c r="AB274" s="126">
        <f t="shared" si="4"/>
        <v>0</v>
      </c>
    </row>
    <row r="275" spans="2:29" ht="50.25" hidden="1">
      <c r="B275" s="118" t="s">
        <v>106</v>
      </c>
      <c r="C275" s="118" t="s">
        <v>107</v>
      </c>
      <c r="D275" s="118">
        <v>41359</v>
      </c>
      <c r="E275" s="117" t="s">
        <v>868</v>
      </c>
      <c r="F275" s="118">
        <v>2488</v>
      </c>
      <c r="G275" s="118">
        <v>242</v>
      </c>
      <c r="H275" s="118" t="s">
        <v>33</v>
      </c>
      <c r="I275" s="118" t="s">
        <v>869</v>
      </c>
      <c r="J275" s="118">
        <v>95172</v>
      </c>
      <c r="K275" s="118">
        <v>6</v>
      </c>
      <c r="L275" s="120" t="s">
        <v>35</v>
      </c>
      <c r="M275" s="118" t="s">
        <v>35</v>
      </c>
      <c r="N275" s="118">
        <v>4321310</v>
      </c>
      <c r="O275" s="121">
        <v>45995</v>
      </c>
      <c r="P275" s="118">
        <v>4436044</v>
      </c>
      <c r="Q275" s="124">
        <v>665</v>
      </c>
      <c r="R275" s="123">
        <v>45992</v>
      </c>
      <c r="S275" s="118">
        <v>3211</v>
      </c>
      <c r="T275" s="125"/>
      <c r="U275" s="118" t="s">
        <v>37</v>
      </c>
      <c r="V275" s="118" t="s">
        <v>87</v>
      </c>
      <c r="W275" s="124">
        <v>665</v>
      </c>
      <c r="X275" s="121">
        <v>46001</v>
      </c>
      <c r="Y275" s="121"/>
      <c r="Z275" s="118" t="s">
        <v>467</v>
      </c>
      <c r="AA275" s="118" t="s">
        <v>867</v>
      </c>
      <c r="AB275" s="126">
        <f t="shared" si="4"/>
        <v>0</v>
      </c>
    </row>
    <row r="276" spans="2:29" ht="24.75" hidden="1">
      <c r="B276" s="118" t="s">
        <v>184</v>
      </c>
      <c r="C276" s="118" t="s">
        <v>208</v>
      </c>
      <c r="D276" s="118">
        <v>40140</v>
      </c>
      <c r="E276" s="118" t="s">
        <v>870</v>
      </c>
      <c r="F276" s="118">
        <v>4057</v>
      </c>
      <c r="G276" s="118">
        <v>242</v>
      </c>
      <c r="H276" s="118" t="s">
        <v>33</v>
      </c>
      <c r="I276" s="118" t="s">
        <v>871</v>
      </c>
      <c r="J276" s="118">
        <v>95155</v>
      </c>
      <c r="K276" s="118">
        <v>6</v>
      </c>
      <c r="L276" s="118" t="s">
        <v>35</v>
      </c>
      <c r="M276" s="118" t="s">
        <v>35</v>
      </c>
      <c r="N276" s="118">
        <v>4325100</v>
      </c>
      <c r="O276" s="121">
        <v>46000</v>
      </c>
      <c r="P276" s="125"/>
      <c r="Q276" s="172">
        <v>6889.25</v>
      </c>
      <c r="R276" s="123">
        <v>45992</v>
      </c>
      <c r="S276" s="118"/>
      <c r="T276" s="118"/>
      <c r="U276" s="118"/>
      <c r="V276" s="118"/>
      <c r="W276" s="129"/>
      <c r="X276" s="121"/>
      <c r="Y276" s="121"/>
      <c r="Z276" s="118" t="s">
        <v>858</v>
      </c>
      <c r="AA276" s="118"/>
      <c r="AB276" s="126">
        <f t="shared" si="4"/>
        <v>6889.25</v>
      </c>
    </row>
    <row r="277" spans="2:29" ht="24.75" hidden="1">
      <c r="B277" s="118" t="s">
        <v>184</v>
      </c>
      <c r="C277" s="118" t="s">
        <v>208</v>
      </c>
      <c r="D277" s="118">
        <v>40688</v>
      </c>
      <c r="E277" s="118" t="s">
        <v>870</v>
      </c>
      <c r="F277" s="118">
        <v>2275</v>
      </c>
      <c r="G277" s="118">
        <v>242</v>
      </c>
      <c r="H277" s="118" t="s">
        <v>33</v>
      </c>
      <c r="I277" s="118" t="s">
        <v>872</v>
      </c>
      <c r="J277" s="118">
        <v>95165</v>
      </c>
      <c r="K277" s="118">
        <v>6</v>
      </c>
      <c r="L277" s="118" t="s">
        <v>35</v>
      </c>
      <c r="M277" s="118" t="s">
        <v>35</v>
      </c>
      <c r="N277" s="118">
        <v>4325111</v>
      </c>
      <c r="O277" s="121">
        <v>46000</v>
      </c>
      <c r="P277" s="125"/>
      <c r="Q277" s="172">
        <v>6368.23</v>
      </c>
      <c r="R277" s="123">
        <v>45992</v>
      </c>
      <c r="S277" s="118"/>
      <c r="T277" s="118"/>
      <c r="U277" s="118"/>
      <c r="V277" s="118"/>
      <c r="W277" s="129"/>
      <c r="X277" s="121"/>
      <c r="Y277" s="121"/>
      <c r="Z277" s="118" t="s">
        <v>858</v>
      </c>
      <c r="AA277" s="118"/>
      <c r="AB277" s="126">
        <f t="shared" si="4"/>
        <v>6368.23</v>
      </c>
    </row>
    <row r="278" spans="2:29" ht="24.75" hidden="1">
      <c r="B278" s="118" t="s">
        <v>184</v>
      </c>
      <c r="C278" s="118" t="s">
        <v>208</v>
      </c>
      <c r="D278" s="118">
        <v>40688</v>
      </c>
      <c r="E278" s="118" t="s">
        <v>873</v>
      </c>
      <c r="F278" s="118">
        <v>2291</v>
      </c>
      <c r="G278" s="118">
        <v>242</v>
      </c>
      <c r="H278" s="118" t="s">
        <v>33</v>
      </c>
      <c r="I278" s="118" t="s">
        <v>874</v>
      </c>
      <c r="J278" s="118">
        <v>95166</v>
      </c>
      <c r="K278" s="118">
        <v>6</v>
      </c>
      <c r="L278" s="118" t="s">
        <v>35</v>
      </c>
      <c r="M278" s="118" t="s">
        <v>35</v>
      </c>
      <c r="N278" s="118">
        <v>4321339</v>
      </c>
      <c r="O278" s="121">
        <v>45995</v>
      </c>
      <c r="P278" s="118">
        <v>4436227</v>
      </c>
      <c r="Q278" s="124">
        <v>1828</v>
      </c>
      <c r="R278" s="123">
        <v>45992</v>
      </c>
      <c r="S278" s="118"/>
      <c r="T278" s="118"/>
      <c r="U278" s="118"/>
      <c r="V278" s="118"/>
      <c r="W278" s="129"/>
      <c r="X278" s="121"/>
      <c r="Y278" s="121"/>
      <c r="Z278" s="118" t="s">
        <v>48</v>
      </c>
      <c r="AA278" s="118"/>
      <c r="AB278" s="126">
        <f t="shared" si="4"/>
        <v>1828</v>
      </c>
    </row>
    <row r="279" spans="2:29" ht="24.75">
      <c r="B279" s="118" t="s">
        <v>106</v>
      </c>
      <c r="C279" s="118" t="s">
        <v>482</v>
      </c>
      <c r="D279" s="118">
        <v>41368</v>
      </c>
      <c r="E279" s="118" t="s">
        <v>875</v>
      </c>
      <c r="F279" s="118">
        <v>2224</v>
      </c>
      <c r="G279" s="118">
        <v>170</v>
      </c>
      <c r="H279" s="118" t="s">
        <v>33</v>
      </c>
      <c r="I279" s="118" t="s">
        <v>876</v>
      </c>
      <c r="J279" s="118">
        <v>95189</v>
      </c>
      <c r="K279" s="118">
        <v>6</v>
      </c>
      <c r="L279" s="118" t="s">
        <v>35</v>
      </c>
      <c r="M279" s="118" t="s">
        <v>35</v>
      </c>
      <c r="N279" s="118">
        <v>4321352</v>
      </c>
      <c r="O279" s="121">
        <v>45995</v>
      </c>
      <c r="P279" s="118">
        <v>4436232</v>
      </c>
      <c r="Q279" s="124">
        <v>1440</v>
      </c>
      <c r="R279" s="123">
        <v>45992</v>
      </c>
      <c r="S279" s="118">
        <v>4325</v>
      </c>
      <c r="T279" s="118" t="s">
        <v>877</v>
      </c>
      <c r="U279" s="118" t="s">
        <v>37</v>
      </c>
      <c r="V279" s="118" t="s">
        <v>87</v>
      </c>
      <c r="W279" s="124">
        <v>1440</v>
      </c>
      <c r="X279" s="121">
        <v>46000</v>
      </c>
      <c r="Y279" s="121"/>
      <c r="Z279" s="118" t="s">
        <v>878</v>
      </c>
      <c r="AA279" s="118"/>
      <c r="AB279" s="126">
        <f t="shared" si="4"/>
        <v>0</v>
      </c>
    </row>
    <row r="280" spans="2:29" ht="113.25" hidden="1">
      <c r="B280" s="118" t="s">
        <v>148</v>
      </c>
      <c r="C280" s="118" t="s">
        <v>107</v>
      </c>
      <c r="D280" s="118">
        <v>40292</v>
      </c>
      <c r="E280" s="117" t="s">
        <v>879</v>
      </c>
      <c r="F280" s="118">
        <v>2224</v>
      </c>
      <c r="G280" s="118">
        <v>242</v>
      </c>
      <c r="H280" s="118" t="s">
        <v>33</v>
      </c>
      <c r="I280" s="118" t="s">
        <v>880</v>
      </c>
      <c r="J280" s="118">
        <v>95252</v>
      </c>
      <c r="K280" s="118">
        <v>5</v>
      </c>
      <c r="L280" s="118" t="s">
        <v>881</v>
      </c>
      <c r="M280" s="118" t="s">
        <v>37</v>
      </c>
      <c r="N280" s="118">
        <v>4322113</v>
      </c>
      <c r="O280" s="121">
        <v>45996</v>
      </c>
      <c r="P280" s="118">
        <v>4435043</v>
      </c>
      <c r="Q280" s="124">
        <v>510</v>
      </c>
      <c r="R280" s="123">
        <v>46023</v>
      </c>
      <c r="S280" s="118">
        <v>3208</v>
      </c>
      <c r="T280" s="118" t="s">
        <v>882</v>
      </c>
      <c r="U280" s="118" t="s">
        <v>37</v>
      </c>
      <c r="V280" s="118" t="s">
        <v>87</v>
      </c>
      <c r="W280" s="124">
        <v>510</v>
      </c>
      <c r="X280" s="121">
        <v>45999</v>
      </c>
      <c r="Y280" s="121">
        <v>46001</v>
      </c>
      <c r="Z280" s="118" t="s">
        <v>39</v>
      </c>
      <c r="AA280" s="118"/>
      <c r="AB280" s="126">
        <f t="shared" si="4"/>
        <v>0</v>
      </c>
    </row>
    <row r="281" spans="2:29" hidden="1">
      <c r="B281" s="118" t="s">
        <v>545</v>
      </c>
      <c r="C281" s="118" t="s">
        <v>116</v>
      </c>
      <c r="D281" s="154">
        <v>41123</v>
      </c>
      <c r="E281" s="117" t="s">
        <v>883</v>
      </c>
      <c r="F281" s="118">
        <v>2283</v>
      </c>
      <c r="G281" s="118">
        <v>242</v>
      </c>
      <c r="H281" s="118" t="s">
        <v>33</v>
      </c>
      <c r="I281" s="118" t="s">
        <v>884</v>
      </c>
      <c r="J281" s="118">
        <v>95253</v>
      </c>
      <c r="K281" s="118">
        <v>5</v>
      </c>
      <c r="L281" s="118" t="s">
        <v>885</v>
      </c>
      <c r="M281" s="118" t="s">
        <v>37</v>
      </c>
      <c r="N281" s="118">
        <v>4322180</v>
      </c>
      <c r="O281" s="121">
        <v>45996</v>
      </c>
      <c r="P281" s="118">
        <v>4442194</v>
      </c>
      <c r="Q281" s="124">
        <v>2000</v>
      </c>
      <c r="R281" s="123">
        <v>45992</v>
      </c>
      <c r="S281" s="118"/>
      <c r="T281" s="118" t="s">
        <v>886</v>
      </c>
      <c r="U281" s="118"/>
      <c r="V281" s="118"/>
      <c r="W281" s="129"/>
      <c r="X281" s="121"/>
      <c r="Y281" s="121"/>
      <c r="Z281" s="118" t="s">
        <v>48</v>
      </c>
      <c r="AA281" s="118"/>
      <c r="AB281" s="126">
        <f t="shared" si="4"/>
        <v>2000</v>
      </c>
    </row>
    <row r="282" spans="2:29" hidden="1">
      <c r="B282" s="118" t="s">
        <v>344</v>
      </c>
      <c r="C282" s="118" t="s">
        <v>887</v>
      </c>
      <c r="D282" s="118">
        <v>41085</v>
      </c>
      <c r="E282" s="118" t="s">
        <v>888</v>
      </c>
      <c r="F282" s="118">
        <v>2089</v>
      </c>
      <c r="G282" s="118">
        <v>242</v>
      </c>
      <c r="H282" s="118" t="s">
        <v>333</v>
      </c>
      <c r="I282" s="176">
        <v>234525</v>
      </c>
      <c r="J282" s="118">
        <v>92319</v>
      </c>
      <c r="K282" s="118">
        <v>6</v>
      </c>
      <c r="L282" s="118" t="s">
        <v>35</v>
      </c>
      <c r="M282" s="118" t="s">
        <v>35</v>
      </c>
      <c r="N282" s="118">
        <v>4322864</v>
      </c>
      <c r="O282" s="121">
        <v>45996</v>
      </c>
      <c r="P282" s="125"/>
      <c r="Q282" s="149">
        <v>32607.77</v>
      </c>
      <c r="R282" s="123">
        <v>46034</v>
      </c>
      <c r="S282" s="118"/>
      <c r="T282" s="118"/>
      <c r="U282" s="118"/>
      <c r="V282" s="118"/>
      <c r="W282" s="129"/>
      <c r="X282" s="121"/>
      <c r="Y282" s="121"/>
      <c r="Z282" s="118" t="s">
        <v>858</v>
      </c>
      <c r="AA282" s="118"/>
      <c r="AB282" s="126">
        <f t="shared" si="4"/>
        <v>32607.77</v>
      </c>
    </row>
    <row r="283" spans="2:29" ht="62.25" hidden="1">
      <c r="B283" s="118" t="s">
        <v>513</v>
      </c>
      <c r="C283" s="118" t="s">
        <v>889</v>
      </c>
      <c r="D283" s="118">
        <v>41367</v>
      </c>
      <c r="E283" s="118" t="s">
        <v>890</v>
      </c>
      <c r="F283" s="118">
        <v>1171</v>
      </c>
      <c r="G283" s="118">
        <v>242</v>
      </c>
      <c r="H283" s="118" t="s">
        <v>333</v>
      </c>
      <c r="I283" s="118">
        <v>539</v>
      </c>
      <c r="J283" s="118">
        <v>95397</v>
      </c>
      <c r="K283" s="118">
        <v>6</v>
      </c>
      <c r="L283" s="118" t="s">
        <v>35</v>
      </c>
      <c r="M283" s="118" t="s">
        <v>35</v>
      </c>
      <c r="N283" s="118">
        <v>4322881</v>
      </c>
      <c r="O283" s="121">
        <v>45996</v>
      </c>
      <c r="P283" s="118">
        <v>4438594</v>
      </c>
      <c r="Q283" s="149">
        <v>4460</v>
      </c>
      <c r="R283" s="123">
        <v>46023</v>
      </c>
      <c r="S283" s="118"/>
      <c r="T283" s="118"/>
      <c r="U283" s="118"/>
      <c r="V283" s="118"/>
      <c r="W283" s="129"/>
      <c r="X283" s="121"/>
      <c r="Y283" s="121"/>
      <c r="Z283" s="118" t="s">
        <v>48</v>
      </c>
      <c r="AA283" s="118"/>
      <c r="AB283" s="126">
        <f t="shared" si="4"/>
        <v>4460</v>
      </c>
    </row>
    <row r="284" spans="2:29" ht="301.5" hidden="1">
      <c r="B284" s="146" t="s">
        <v>49</v>
      </c>
      <c r="C284" s="118" t="s">
        <v>192</v>
      </c>
      <c r="D284" s="118" t="s">
        <v>35</v>
      </c>
      <c r="E284" s="118" t="s">
        <v>891</v>
      </c>
      <c r="F284" s="155">
        <v>4057</v>
      </c>
      <c r="G284" s="118">
        <v>242</v>
      </c>
      <c r="H284" s="118" t="s">
        <v>49</v>
      </c>
      <c r="I284" s="118" t="s">
        <v>892</v>
      </c>
      <c r="J284" s="118">
        <v>95447</v>
      </c>
      <c r="K284" s="118">
        <v>2</v>
      </c>
      <c r="L284" s="118" t="s">
        <v>893</v>
      </c>
      <c r="M284" s="118" t="s">
        <v>35</v>
      </c>
      <c r="N284" s="118">
        <v>4323115</v>
      </c>
      <c r="O284" s="121">
        <v>45997</v>
      </c>
      <c r="P284" s="125"/>
      <c r="Q284" s="149">
        <v>40865.75</v>
      </c>
      <c r="R284" s="123">
        <v>45999</v>
      </c>
      <c r="S284" s="118"/>
      <c r="T284" s="118"/>
      <c r="U284" s="118"/>
      <c r="V284" s="118"/>
      <c r="W284" s="129"/>
      <c r="X284" s="121"/>
      <c r="Y284" s="121"/>
      <c r="Z284" s="118" t="s">
        <v>858</v>
      </c>
      <c r="AA284" s="118"/>
      <c r="AB284" s="126">
        <f t="shared" si="4"/>
        <v>40865.75</v>
      </c>
    </row>
    <row r="285" spans="2:29" ht="62.25" hidden="1">
      <c r="B285" s="146" t="s">
        <v>344</v>
      </c>
      <c r="C285" s="118" t="s">
        <v>107</v>
      </c>
      <c r="D285" s="118">
        <v>41815</v>
      </c>
      <c r="E285" s="117" t="s">
        <v>894</v>
      </c>
      <c r="F285" s="155">
        <v>2330</v>
      </c>
      <c r="G285" s="118">
        <v>242</v>
      </c>
      <c r="H285" s="118" t="s">
        <v>333</v>
      </c>
      <c r="I285" s="118">
        <v>443</v>
      </c>
      <c r="J285" s="118">
        <v>95354</v>
      </c>
      <c r="K285" s="118">
        <v>5</v>
      </c>
      <c r="L285" s="118" t="s">
        <v>895</v>
      </c>
      <c r="M285" s="118" t="s">
        <v>35</v>
      </c>
      <c r="N285" s="180">
        <v>4323156</v>
      </c>
      <c r="O285" s="121">
        <v>45997</v>
      </c>
      <c r="P285" s="118">
        <v>4442193</v>
      </c>
      <c r="Q285" s="149">
        <v>2050</v>
      </c>
      <c r="R285" s="123">
        <v>45999</v>
      </c>
      <c r="S285" s="118"/>
      <c r="T285" s="118"/>
      <c r="U285" s="118"/>
      <c r="V285" s="118"/>
      <c r="W285" s="129"/>
      <c r="X285" s="121"/>
      <c r="Y285" s="121"/>
      <c r="Z285" s="118" t="s">
        <v>48</v>
      </c>
      <c r="AA285" s="118"/>
      <c r="AB285" s="126">
        <f t="shared" si="4"/>
        <v>2050</v>
      </c>
    </row>
    <row r="286" spans="2:29" ht="62.25" hidden="1">
      <c r="B286" s="118" t="s">
        <v>222</v>
      </c>
      <c r="C286" s="158" t="s">
        <v>896</v>
      </c>
      <c r="D286" s="158">
        <v>40999</v>
      </c>
      <c r="E286" s="158" t="s">
        <v>897</v>
      </c>
      <c r="F286" s="118">
        <v>1236</v>
      </c>
      <c r="G286" s="118">
        <v>242</v>
      </c>
      <c r="H286" s="118" t="s">
        <v>333</v>
      </c>
      <c r="I286" s="118">
        <v>11797</v>
      </c>
      <c r="J286" s="118">
        <v>95341</v>
      </c>
      <c r="K286" s="118">
        <v>6</v>
      </c>
      <c r="L286" s="118" t="s">
        <v>35</v>
      </c>
      <c r="M286" s="118" t="s">
        <v>35</v>
      </c>
      <c r="N286" s="118">
        <v>4323160</v>
      </c>
      <c r="O286" s="121">
        <v>45997</v>
      </c>
      <c r="P286" s="125">
        <v>4438597</v>
      </c>
      <c r="Q286" s="190">
        <v>9544</v>
      </c>
      <c r="R286" s="123"/>
      <c r="S286" s="118"/>
      <c r="T286" s="118"/>
      <c r="U286" s="118"/>
      <c r="V286" s="118"/>
      <c r="W286" s="129"/>
      <c r="X286" s="121"/>
      <c r="Y286" s="121"/>
      <c r="Z286" s="118" t="s">
        <v>48</v>
      </c>
      <c r="AA286" s="118"/>
      <c r="AB286" s="126">
        <f t="shared" si="4"/>
        <v>9544</v>
      </c>
    </row>
    <row r="287" spans="2:29" ht="66" hidden="1" customHeight="1">
      <c r="B287" s="118" t="s">
        <v>222</v>
      </c>
      <c r="C287" s="118" t="s">
        <v>725</v>
      </c>
      <c r="D287" s="118" t="s">
        <v>35</v>
      </c>
      <c r="E287" s="118" t="s">
        <v>898</v>
      </c>
      <c r="F287" s="118" t="s">
        <v>899</v>
      </c>
      <c r="G287" s="118">
        <v>242</v>
      </c>
      <c r="H287" s="118" t="s">
        <v>900</v>
      </c>
      <c r="I287" s="118" t="s">
        <v>901</v>
      </c>
      <c r="J287" s="118">
        <v>95656</v>
      </c>
      <c r="K287" s="118">
        <v>1</v>
      </c>
      <c r="L287" s="118" t="s">
        <v>35</v>
      </c>
      <c r="M287" s="118" t="s">
        <v>35</v>
      </c>
      <c r="N287" s="118">
        <v>4324396</v>
      </c>
      <c r="O287" s="121">
        <v>45999</v>
      </c>
      <c r="P287" s="125"/>
      <c r="Q287" s="123" t="s">
        <v>725</v>
      </c>
      <c r="R287" s="123"/>
      <c r="S287" s="118"/>
      <c r="T287" s="118"/>
      <c r="U287" s="118"/>
      <c r="V287" s="118"/>
      <c r="W287" s="129"/>
      <c r="X287" s="121"/>
      <c r="Y287" s="121"/>
      <c r="Z287" s="118" t="s">
        <v>858</v>
      </c>
      <c r="AA287" s="118"/>
      <c r="AB287" s="126"/>
      <c r="AC287" s="101" t="e">
        <v>#VALUE!</v>
      </c>
    </row>
    <row r="288" spans="2:29" ht="62.25" hidden="1">
      <c r="B288" s="118" t="s">
        <v>222</v>
      </c>
      <c r="C288" s="118" t="s">
        <v>902</v>
      </c>
      <c r="D288" s="118" t="s">
        <v>35</v>
      </c>
      <c r="E288" s="118" t="s">
        <v>445</v>
      </c>
      <c r="F288" s="118">
        <v>4502</v>
      </c>
      <c r="G288" s="118">
        <v>332</v>
      </c>
      <c r="H288" s="118" t="s">
        <v>222</v>
      </c>
      <c r="I288" s="118" t="s">
        <v>35</v>
      </c>
      <c r="J288" s="118" t="s">
        <v>35</v>
      </c>
      <c r="K288" s="118">
        <v>1</v>
      </c>
      <c r="L288" s="118" t="s">
        <v>35</v>
      </c>
      <c r="M288" s="118" t="s">
        <v>35</v>
      </c>
      <c r="N288" s="118">
        <v>4193628</v>
      </c>
      <c r="O288" s="121">
        <v>45867</v>
      </c>
      <c r="P288" s="118">
        <v>4322044</v>
      </c>
      <c r="Q288" s="149">
        <v>17000</v>
      </c>
      <c r="R288" s="123"/>
      <c r="S288" s="118">
        <v>35</v>
      </c>
      <c r="T288" s="118"/>
      <c r="U288" s="118" t="s">
        <v>72</v>
      </c>
      <c r="V288" s="118" t="s">
        <v>23</v>
      </c>
      <c r="W288" s="149">
        <v>17000</v>
      </c>
      <c r="X288" s="121">
        <v>45992</v>
      </c>
      <c r="Y288" s="121">
        <v>46000</v>
      </c>
      <c r="Z288" s="118" t="s">
        <v>39</v>
      </c>
      <c r="AA288" s="118"/>
      <c r="AB288" s="126">
        <f t="shared" si="4"/>
        <v>0</v>
      </c>
    </row>
    <row r="289" spans="2:28" ht="37.5" hidden="1">
      <c r="B289" s="118" t="s">
        <v>106</v>
      </c>
      <c r="C289" s="118" t="s">
        <v>107</v>
      </c>
      <c r="D289" s="118">
        <v>41782</v>
      </c>
      <c r="E289" s="117" t="s">
        <v>903</v>
      </c>
      <c r="F289" s="118">
        <v>2488</v>
      </c>
      <c r="G289" s="118">
        <v>242</v>
      </c>
      <c r="H289" s="118" t="s">
        <v>33</v>
      </c>
      <c r="I289" s="118" t="s">
        <v>904</v>
      </c>
      <c r="J289" s="118">
        <v>95460</v>
      </c>
      <c r="K289" s="118">
        <v>6</v>
      </c>
      <c r="L289" s="118" t="s">
        <v>35</v>
      </c>
      <c r="M289" s="118" t="s">
        <v>35</v>
      </c>
      <c r="N289" s="118">
        <v>4324813</v>
      </c>
      <c r="O289" s="121">
        <v>46000</v>
      </c>
      <c r="P289" s="125"/>
      <c r="Q289" s="172">
        <v>1420</v>
      </c>
      <c r="R289" s="123">
        <v>45999</v>
      </c>
      <c r="S289" s="118"/>
      <c r="T289" s="118"/>
      <c r="U289" s="118"/>
      <c r="V289" s="118"/>
      <c r="W289" s="129"/>
      <c r="X289" s="121"/>
      <c r="Y289" s="121"/>
      <c r="Z289" s="118" t="s">
        <v>858</v>
      </c>
      <c r="AA289" s="118"/>
      <c r="AB289" s="126">
        <f t="shared" ref="AB289:AB388" si="5">Q289-W289</f>
        <v>1420</v>
      </c>
    </row>
    <row r="290" spans="2:28" ht="24.75" hidden="1">
      <c r="B290" s="118" t="s">
        <v>344</v>
      </c>
      <c r="C290" s="118" t="s">
        <v>905</v>
      </c>
      <c r="D290" s="118"/>
      <c r="E290" s="118" t="s">
        <v>906</v>
      </c>
      <c r="F290" s="118" t="s">
        <v>907</v>
      </c>
      <c r="G290" s="118">
        <v>242</v>
      </c>
      <c r="H290" s="118" t="s">
        <v>333</v>
      </c>
      <c r="I290" s="118">
        <v>824</v>
      </c>
      <c r="J290" s="118">
        <v>95846</v>
      </c>
      <c r="K290" s="118">
        <v>5</v>
      </c>
      <c r="L290" s="118" t="s">
        <v>908</v>
      </c>
      <c r="M290" s="118" t="s">
        <v>72</v>
      </c>
      <c r="N290" s="118">
        <v>4325016</v>
      </c>
      <c r="O290" s="121">
        <v>46000</v>
      </c>
      <c r="P290" s="125"/>
      <c r="Q290" s="149">
        <v>2290</v>
      </c>
      <c r="R290" s="123"/>
      <c r="S290" s="118"/>
      <c r="T290" s="118"/>
      <c r="U290" s="118"/>
      <c r="V290" s="118"/>
      <c r="W290" s="129"/>
      <c r="X290" s="121"/>
      <c r="Y290" s="121"/>
      <c r="Z290" s="118" t="s">
        <v>858</v>
      </c>
      <c r="AA290" s="118"/>
      <c r="AB290" s="126">
        <f t="shared" si="5"/>
        <v>2290</v>
      </c>
    </row>
    <row r="291" spans="2:28" hidden="1">
      <c r="B291" s="118" t="s">
        <v>344</v>
      </c>
      <c r="C291" s="118" t="s">
        <v>116</v>
      </c>
      <c r="D291" s="118">
        <v>41666</v>
      </c>
      <c r="E291" s="117" t="s">
        <v>909</v>
      </c>
      <c r="F291" s="118">
        <v>1236</v>
      </c>
      <c r="G291" s="118">
        <v>242</v>
      </c>
      <c r="H291" s="118" t="s">
        <v>333</v>
      </c>
      <c r="I291" s="118">
        <v>779</v>
      </c>
      <c r="J291" s="118">
        <v>94504</v>
      </c>
      <c r="K291" s="118">
        <v>6</v>
      </c>
      <c r="L291" s="118"/>
      <c r="M291" s="118"/>
      <c r="N291" s="118">
        <v>4325532</v>
      </c>
      <c r="O291" s="121">
        <v>46000</v>
      </c>
      <c r="P291" s="125"/>
      <c r="Q291" s="149">
        <v>7850</v>
      </c>
      <c r="R291" s="123"/>
      <c r="S291" s="118"/>
      <c r="T291" s="118"/>
      <c r="U291" s="118"/>
      <c r="V291" s="118"/>
      <c r="W291" s="129"/>
      <c r="X291" s="121"/>
      <c r="Y291" s="121"/>
      <c r="Z291" s="118" t="s">
        <v>858</v>
      </c>
      <c r="AA291" s="118"/>
      <c r="AB291" s="126">
        <f t="shared" si="5"/>
        <v>7850</v>
      </c>
    </row>
    <row r="292" spans="2:28" ht="213.75" hidden="1">
      <c r="B292" s="118" t="s">
        <v>344</v>
      </c>
      <c r="C292" s="118" t="s">
        <v>910</v>
      </c>
      <c r="D292" s="118">
        <v>41640</v>
      </c>
      <c r="E292" s="118" t="s">
        <v>911</v>
      </c>
      <c r="F292" s="118">
        <v>1210</v>
      </c>
      <c r="G292" s="118">
        <v>242</v>
      </c>
      <c r="H292" s="118" t="s">
        <v>333</v>
      </c>
      <c r="I292" s="118">
        <v>12110</v>
      </c>
      <c r="J292" s="118">
        <v>94028</v>
      </c>
      <c r="K292" s="118">
        <v>6</v>
      </c>
      <c r="L292" s="118"/>
      <c r="M292" s="118"/>
      <c r="N292" s="118">
        <v>4325760</v>
      </c>
      <c r="O292" s="121">
        <v>46000</v>
      </c>
      <c r="P292" s="125"/>
      <c r="Q292" s="149">
        <v>6500</v>
      </c>
      <c r="R292" s="123"/>
      <c r="S292" s="118"/>
      <c r="T292" s="118"/>
      <c r="U292" s="118"/>
      <c r="V292" s="118"/>
      <c r="W292" s="129"/>
      <c r="X292" s="121"/>
      <c r="Y292" s="121"/>
      <c r="Z292" s="118" t="s">
        <v>858</v>
      </c>
      <c r="AA292" s="118"/>
      <c r="AB292" s="126">
        <f t="shared" si="5"/>
        <v>6500</v>
      </c>
    </row>
    <row r="293" spans="2:28" ht="37.5" hidden="1">
      <c r="B293" s="118" t="s">
        <v>344</v>
      </c>
      <c r="C293" s="118" t="s">
        <v>835</v>
      </c>
      <c r="D293" s="118">
        <v>39683</v>
      </c>
      <c r="E293" s="118" t="s">
        <v>912</v>
      </c>
      <c r="F293" s="118">
        <v>1210</v>
      </c>
      <c r="G293" s="118">
        <v>242</v>
      </c>
      <c r="H293" s="118" t="s">
        <v>333</v>
      </c>
      <c r="I293" s="118">
        <v>59666</v>
      </c>
      <c r="J293" s="118">
        <v>88490</v>
      </c>
      <c r="K293" s="118">
        <v>6</v>
      </c>
      <c r="L293" s="118"/>
      <c r="M293" s="118"/>
      <c r="N293" s="118">
        <v>4325848</v>
      </c>
      <c r="O293" s="121">
        <v>46000</v>
      </c>
      <c r="P293" s="125"/>
      <c r="Q293" s="149">
        <v>3010</v>
      </c>
      <c r="R293" s="123"/>
      <c r="S293" s="118"/>
      <c r="T293" s="118"/>
      <c r="U293" s="118"/>
      <c r="V293" s="118"/>
      <c r="W293" s="129"/>
      <c r="X293" s="121"/>
      <c r="Y293" s="121"/>
      <c r="Z293" s="118" t="s">
        <v>858</v>
      </c>
      <c r="AA293" s="118"/>
      <c r="AB293" s="126">
        <f t="shared" si="5"/>
        <v>3010</v>
      </c>
    </row>
    <row r="294" spans="2:28" ht="62.25" hidden="1">
      <c r="B294" s="118" t="s">
        <v>287</v>
      </c>
      <c r="C294" s="118" t="s">
        <v>54</v>
      </c>
      <c r="D294" s="118" t="s">
        <v>35</v>
      </c>
      <c r="E294" s="118" t="s">
        <v>673</v>
      </c>
      <c r="F294" s="118" t="s">
        <v>674</v>
      </c>
      <c r="G294" s="118">
        <v>5</v>
      </c>
      <c r="H294" s="118" t="s">
        <v>186</v>
      </c>
      <c r="I294" s="118" t="s">
        <v>524</v>
      </c>
      <c r="J294" s="118">
        <v>91149</v>
      </c>
      <c r="K294" s="118">
        <v>2</v>
      </c>
      <c r="L294" s="118" t="s">
        <v>675</v>
      </c>
      <c r="M294" s="118" t="s">
        <v>35</v>
      </c>
      <c r="N294" s="118">
        <v>4301497</v>
      </c>
      <c r="O294" s="121">
        <v>45975</v>
      </c>
      <c r="P294" s="118">
        <v>4418371</v>
      </c>
      <c r="Q294" s="149">
        <v>44072</v>
      </c>
      <c r="R294" s="123">
        <v>45962</v>
      </c>
      <c r="S294" s="118">
        <v>2073</v>
      </c>
      <c r="T294" s="118"/>
      <c r="U294" s="118" t="s">
        <v>72</v>
      </c>
      <c r="V294" s="118" t="s">
        <v>314</v>
      </c>
      <c r="W294" s="129">
        <v>24374</v>
      </c>
      <c r="X294" s="121">
        <v>46000</v>
      </c>
      <c r="Y294" s="121">
        <v>46003</v>
      </c>
      <c r="Z294" s="118" t="s">
        <v>330</v>
      </c>
      <c r="AA294" s="118"/>
      <c r="AB294" s="126">
        <f t="shared" si="5"/>
        <v>19698</v>
      </c>
    </row>
    <row r="295" spans="2:28" ht="138" hidden="1">
      <c r="B295" s="118" t="s">
        <v>49</v>
      </c>
      <c r="C295" s="118" t="s">
        <v>639</v>
      </c>
      <c r="D295" s="118" t="s">
        <v>35</v>
      </c>
      <c r="E295" s="118" t="s">
        <v>913</v>
      </c>
      <c r="F295" s="118">
        <v>5345</v>
      </c>
      <c r="G295" s="118">
        <v>242</v>
      </c>
      <c r="H295" s="118" t="s">
        <v>33</v>
      </c>
      <c r="I295" s="118" t="s">
        <v>914</v>
      </c>
      <c r="J295" s="118">
        <v>96405</v>
      </c>
      <c r="K295" s="118">
        <v>29</v>
      </c>
      <c r="L295" s="118" t="s">
        <v>915</v>
      </c>
      <c r="M295" s="118" t="s">
        <v>35</v>
      </c>
      <c r="N295" s="118">
        <v>4330850</v>
      </c>
      <c r="O295" s="121">
        <v>46006</v>
      </c>
      <c r="P295" s="125"/>
      <c r="Q295" s="172">
        <v>98619.33</v>
      </c>
      <c r="R295" s="123"/>
      <c r="S295" s="118"/>
      <c r="T295" s="118"/>
      <c r="U295" s="118"/>
      <c r="V295" s="118"/>
      <c r="W295" s="129"/>
      <c r="X295" s="121"/>
      <c r="Y295" s="121"/>
      <c r="Z295" s="118" t="s">
        <v>858</v>
      </c>
      <c r="AA295" s="118"/>
      <c r="AB295" s="126"/>
    </row>
    <row r="296" spans="2:28" ht="37.5" hidden="1">
      <c r="B296" s="118" t="s">
        <v>344</v>
      </c>
      <c r="C296" s="175" t="s">
        <v>839</v>
      </c>
      <c r="D296" s="118">
        <v>41942</v>
      </c>
      <c r="E296" s="118" t="s">
        <v>916</v>
      </c>
      <c r="F296" s="118">
        <v>1236</v>
      </c>
      <c r="G296" s="118">
        <v>242</v>
      </c>
      <c r="H296" s="118" t="s">
        <v>333</v>
      </c>
      <c r="I296" s="118">
        <v>218</v>
      </c>
      <c r="J296" s="118">
        <v>95381</v>
      </c>
      <c r="K296" s="118">
        <v>6</v>
      </c>
      <c r="L296" s="118" t="s">
        <v>35</v>
      </c>
      <c r="M296" s="118" t="s">
        <v>35</v>
      </c>
      <c r="N296" s="118">
        <v>4329122</v>
      </c>
      <c r="O296" s="121">
        <v>46003</v>
      </c>
      <c r="P296" s="125"/>
      <c r="Q296" s="149">
        <v>550</v>
      </c>
      <c r="R296" s="123">
        <v>46010</v>
      </c>
      <c r="S296" s="118"/>
      <c r="T296" s="118"/>
      <c r="U296" s="118"/>
      <c r="V296" s="118"/>
      <c r="W296" s="129"/>
      <c r="X296" s="121"/>
      <c r="Y296" s="121"/>
      <c r="Z296" s="118" t="s">
        <v>858</v>
      </c>
      <c r="AA296" s="118"/>
      <c r="AB296" s="169">
        <f>Q296-W296</f>
        <v>550</v>
      </c>
    </row>
    <row r="297" spans="2:28" ht="125.25" hidden="1">
      <c r="B297" s="118" t="s">
        <v>49</v>
      </c>
      <c r="C297" s="118" t="s">
        <v>917</v>
      </c>
      <c r="D297" s="118" t="s">
        <v>35</v>
      </c>
      <c r="E297" s="118" t="s">
        <v>918</v>
      </c>
      <c r="F297" s="118">
        <v>2216</v>
      </c>
      <c r="G297" s="118">
        <v>242</v>
      </c>
      <c r="H297" s="118" t="s">
        <v>33</v>
      </c>
      <c r="I297" s="118" t="s">
        <v>919</v>
      </c>
      <c r="J297" s="118">
        <v>96451</v>
      </c>
      <c r="K297" s="118">
        <v>5</v>
      </c>
      <c r="L297" s="118" t="s">
        <v>920</v>
      </c>
      <c r="M297" s="118" t="s">
        <v>37</v>
      </c>
      <c r="N297" s="118">
        <v>4330779</v>
      </c>
      <c r="O297" s="121">
        <v>46006</v>
      </c>
      <c r="P297" s="125"/>
      <c r="Q297" s="172">
        <v>1080</v>
      </c>
      <c r="R297" s="123">
        <v>46010</v>
      </c>
      <c r="S297" s="118"/>
      <c r="T297" s="118"/>
      <c r="U297" s="118"/>
      <c r="V297" s="118"/>
      <c r="W297" s="129"/>
      <c r="X297" s="121"/>
      <c r="Y297" s="121"/>
      <c r="Z297" s="118" t="s">
        <v>858</v>
      </c>
      <c r="AA297" s="118"/>
      <c r="AB297" s="126">
        <f t="shared" si="5"/>
        <v>1080</v>
      </c>
    </row>
    <row r="298" spans="2:28" ht="188.25" hidden="1">
      <c r="B298" s="118" t="s">
        <v>49</v>
      </c>
      <c r="C298" s="118" t="s">
        <v>116</v>
      </c>
      <c r="D298" s="118" t="s">
        <v>35</v>
      </c>
      <c r="E298" s="117" t="s">
        <v>921</v>
      </c>
      <c r="F298" s="118">
        <v>2291</v>
      </c>
      <c r="G298" s="118">
        <v>242</v>
      </c>
      <c r="H298" s="118" t="s">
        <v>33</v>
      </c>
      <c r="I298" s="118" t="s">
        <v>922</v>
      </c>
      <c r="J298" s="118">
        <v>96452</v>
      </c>
      <c r="K298" s="118">
        <v>5</v>
      </c>
      <c r="L298" s="118" t="s">
        <v>923</v>
      </c>
      <c r="M298" s="125" t="s">
        <v>924</v>
      </c>
      <c r="N298" s="125"/>
      <c r="O298" s="161"/>
      <c r="P298" s="125"/>
      <c r="Q298" s="172">
        <v>1860</v>
      </c>
      <c r="R298" s="123">
        <v>46010</v>
      </c>
      <c r="S298" s="118"/>
      <c r="T298" s="118"/>
      <c r="U298" s="118"/>
      <c r="V298" s="118"/>
      <c r="W298" s="129"/>
      <c r="X298" s="121"/>
      <c r="Y298" s="121"/>
      <c r="Z298" s="118" t="s">
        <v>925</v>
      </c>
      <c r="AA298" s="118"/>
      <c r="AB298" s="126">
        <f t="shared" si="5"/>
        <v>1860</v>
      </c>
    </row>
    <row r="299" spans="2:28" ht="27" hidden="1" customHeight="1">
      <c r="B299" s="118" t="s">
        <v>222</v>
      </c>
      <c r="C299" s="118" t="s">
        <v>926</v>
      </c>
      <c r="D299" s="118" t="s">
        <v>35</v>
      </c>
      <c r="E299" s="118" t="s">
        <v>927</v>
      </c>
      <c r="F299" s="118">
        <v>4502</v>
      </c>
      <c r="G299" s="118">
        <v>332</v>
      </c>
      <c r="H299" s="118" t="s">
        <v>333</v>
      </c>
      <c r="I299" s="118" t="s">
        <v>35</v>
      </c>
      <c r="J299" s="118" t="s">
        <v>35</v>
      </c>
      <c r="K299" s="118" t="s">
        <v>35</v>
      </c>
      <c r="L299" s="118" t="s">
        <v>35</v>
      </c>
      <c r="M299" s="118" t="s">
        <v>35</v>
      </c>
      <c r="N299" s="118">
        <v>4319032</v>
      </c>
      <c r="O299" s="121">
        <v>45993</v>
      </c>
      <c r="P299" s="118">
        <v>4434743</v>
      </c>
      <c r="Q299" s="149">
        <v>13450</v>
      </c>
      <c r="R299" s="123"/>
      <c r="S299" s="118">
        <v>1204</v>
      </c>
      <c r="T299" s="118"/>
      <c r="U299" s="118" t="s">
        <v>37</v>
      </c>
      <c r="V299" s="118" t="s">
        <v>64</v>
      </c>
      <c r="W299" s="129">
        <v>13450</v>
      </c>
      <c r="X299" s="121">
        <v>46002</v>
      </c>
      <c r="Y299" s="121">
        <v>46003</v>
      </c>
      <c r="Z299" s="118" t="s">
        <v>330</v>
      </c>
      <c r="AA299" s="118"/>
      <c r="AB299" s="126">
        <f t="shared" si="5"/>
        <v>0</v>
      </c>
    </row>
    <row r="300" spans="2:28" ht="24.75" hidden="1">
      <c r="B300" s="118" t="s">
        <v>222</v>
      </c>
      <c r="C300" s="118" t="s">
        <v>31</v>
      </c>
      <c r="D300" s="118" t="s">
        <v>35</v>
      </c>
      <c r="E300" s="118" t="s">
        <v>928</v>
      </c>
      <c r="F300" s="118">
        <v>1228</v>
      </c>
      <c r="G300" s="118">
        <v>327</v>
      </c>
      <c r="H300" s="118" t="s">
        <v>333</v>
      </c>
      <c r="I300" s="118" t="s">
        <v>35</v>
      </c>
      <c r="J300" s="118" t="s">
        <v>35</v>
      </c>
      <c r="K300" s="118" t="s">
        <v>35</v>
      </c>
      <c r="L300" s="118" t="s">
        <v>35</v>
      </c>
      <c r="M300" s="118" t="s">
        <v>35</v>
      </c>
      <c r="N300" s="118">
        <v>4271293</v>
      </c>
      <c r="O300" s="121">
        <v>45945</v>
      </c>
      <c r="P300" s="118">
        <v>4391348</v>
      </c>
      <c r="Q300" s="149">
        <v>12311.72</v>
      </c>
      <c r="R300" s="123"/>
      <c r="S300" s="118">
        <v>19769</v>
      </c>
      <c r="T300" s="118"/>
      <c r="U300" s="118" t="s">
        <v>72</v>
      </c>
      <c r="V300" s="118" t="s">
        <v>38</v>
      </c>
      <c r="W300" s="149">
        <v>12311.72</v>
      </c>
      <c r="X300" s="121">
        <v>46003</v>
      </c>
      <c r="Y300" s="121">
        <v>46003</v>
      </c>
      <c r="Z300" s="118" t="s">
        <v>330</v>
      </c>
      <c r="AA300" s="118"/>
      <c r="AB300" s="126">
        <f t="shared" si="5"/>
        <v>0</v>
      </c>
    </row>
    <row r="301" spans="2:28" ht="62.25" hidden="1">
      <c r="B301" s="118" t="s">
        <v>222</v>
      </c>
      <c r="C301" s="118" t="s">
        <v>929</v>
      </c>
      <c r="D301" s="125" t="s">
        <v>930</v>
      </c>
      <c r="E301" s="118" t="s">
        <v>931</v>
      </c>
      <c r="F301" s="118">
        <v>2291</v>
      </c>
      <c r="G301" s="118">
        <v>242</v>
      </c>
      <c r="H301" s="118" t="s">
        <v>33</v>
      </c>
      <c r="I301" s="118" t="s">
        <v>932</v>
      </c>
      <c r="J301" s="118">
        <v>96594</v>
      </c>
      <c r="K301" s="118">
        <v>6</v>
      </c>
      <c r="L301" s="118" t="s">
        <v>35</v>
      </c>
      <c r="M301" s="118" t="s">
        <v>35</v>
      </c>
      <c r="N301" s="125"/>
      <c r="O301" s="161"/>
      <c r="P301" s="125"/>
      <c r="Q301" s="149">
        <v>2206</v>
      </c>
      <c r="R301" s="123">
        <v>46010</v>
      </c>
      <c r="S301" s="118"/>
      <c r="T301" s="118"/>
      <c r="U301" s="118"/>
      <c r="V301" s="118"/>
      <c r="W301" s="129"/>
      <c r="X301" s="121"/>
      <c r="Y301" s="121"/>
      <c r="Z301" s="118" t="s">
        <v>604</v>
      </c>
      <c r="AA301" s="118" t="s">
        <v>933</v>
      </c>
      <c r="AB301" s="126">
        <f t="shared" si="5"/>
        <v>2206</v>
      </c>
    </row>
    <row r="302" spans="2:28" ht="125.25" hidden="1">
      <c r="B302" s="118" t="s">
        <v>243</v>
      </c>
      <c r="C302" s="118" t="s">
        <v>934</v>
      </c>
      <c r="D302" s="118"/>
      <c r="E302" s="118" t="s">
        <v>935</v>
      </c>
      <c r="F302" s="118">
        <v>2224</v>
      </c>
      <c r="G302" s="118">
        <v>242</v>
      </c>
      <c r="H302" s="118" t="s">
        <v>333</v>
      </c>
      <c r="I302" s="118" t="s">
        <v>936</v>
      </c>
      <c r="J302" s="191">
        <v>96579</v>
      </c>
      <c r="K302" s="118">
        <v>2</v>
      </c>
      <c r="L302" s="118" t="s">
        <v>937</v>
      </c>
      <c r="M302" s="118" t="s">
        <v>35</v>
      </c>
      <c r="N302" s="118">
        <v>4329978</v>
      </c>
      <c r="O302" s="121">
        <v>46003</v>
      </c>
      <c r="P302" s="118">
        <v>4442232</v>
      </c>
      <c r="Q302" s="149">
        <v>47666.84</v>
      </c>
      <c r="R302" s="123"/>
      <c r="S302" s="118"/>
      <c r="T302" s="118"/>
      <c r="U302" s="118"/>
      <c r="V302" s="118"/>
      <c r="W302" s="129"/>
      <c r="X302" s="121"/>
      <c r="Y302" s="121"/>
      <c r="Z302" s="118" t="s">
        <v>48</v>
      </c>
      <c r="AA302" s="118"/>
      <c r="AB302" s="126">
        <f t="shared" si="5"/>
        <v>47666.84</v>
      </c>
    </row>
    <row r="303" spans="2:28" ht="27.75" hidden="1" customHeight="1">
      <c r="B303" s="118" t="s">
        <v>344</v>
      </c>
      <c r="C303" s="118" t="s">
        <v>938</v>
      </c>
      <c r="D303" s="118">
        <v>41887</v>
      </c>
      <c r="E303" s="118" t="s">
        <v>939</v>
      </c>
      <c r="F303" s="118" t="s">
        <v>940</v>
      </c>
      <c r="G303" s="118">
        <v>242</v>
      </c>
      <c r="H303" s="118" t="s">
        <v>333</v>
      </c>
      <c r="I303" s="118">
        <v>841</v>
      </c>
      <c r="J303" s="118">
        <v>96577</v>
      </c>
      <c r="K303" s="118">
        <v>5</v>
      </c>
      <c r="L303" s="118" t="s">
        <v>941</v>
      </c>
      <c r="M303" s="118" t="s">
        <v>35</v>
      </c>
      <c r="N303" s="118">
        <v>4330091</v>
      </c>
      <c r="O303" s="121">
        <v>46003</v>
      </c>
      <c r="P303" s="125"/>
      <c r="Q303" s="149">
        <v>6940</v>
      </c>
      <c r="R303" s="123"/>
      <c r="S303" s="118"/>
      <c r="T303" s="118"/>
      <c r="U303" s="118"/>
      <c r="V303" s="118"/>
      <c r="W303" s="129"/>
      <c r="X303" s="121"/>
      <c r="Y303" s="121"/>
      <c r="Z303" s="118" t="s">
        <v>858</v>
      </c>
      <c r="AA303" s="118"/>
      <c r="AB303" s="126">
        <f t="shared" si="5"/>
        <v>6940</v>
      </c>
    </row>
    <row r="304" spans="2:28" ht="27.75" hidden="1" customHeight="1">
      <c r="B304" s="118" t="s">
        <v>344</v>
      </c>
      <c r="C304" s="118" t="s">
        <v>942</v>
      </c>
      <c r="D304" s="118" t="s">
        <v>943</v>
      </c>
      <c r="E304" s="117" t="s">
        <v>944</v>
      </c>
      <c r="F304" s="118">
        <v>1210</v>
      </c>
      <c r="G304" s="118">
        <v>242</v>
      </c>
      <c r="H304" s="118" t="s">
        <v>333</v>
      </c>
      <c r="I304" s="118">
        <v>592</v>
      </c>
      <c r="J304" s="118">
        <v>95616</v>
      </c>
      <c r="K304" s="118">
        <v>5</v>
      </c>
      <c r="L304" s="118" t="s">
        <v>945</v>
      </c>
      <c r="M304" s="118" t="s">
        <v>35</v>
      </c>
      <c r="N304" s="118">
        <v>4330105</v>
      </c>
      <c r="O304" s="121">
        <v>46003</v>
      </c>
      <c r="P304" s="125"/>
      <c r="Q304" s="149">
        <v>1985</v>
      </c>
      <c r="R304" s="123"/>
      <c r="S304" s="118"/>
      <c r="T304" s="118"/>
      <c r="U304" s="118"/>
      <c r="V304" s="118"/>
      <c r="W304" s="129"/>
      <c r="X304" s="121"/>
      <c r="Y304" s="121"/>
      <c r="Z304" s="118" t="s">
        <v>858</v>
      </c>
      <c r="AA304" s="118"/>
      <c r="AB304" s="126">
        <f t="shared" si="5"/>
        <v>1985</v>
      </c>
    </row>
    <row r="305" spans="1:28" ht="27.75" hidden="1" customHeight="1">
      <c r="B305" s="118" t="s">
        <v>344</v>
      </c>
      <c r="C305" s="118" t="s">
        <v>942</v>
      </c>
      <c r="D305" s="118" t="s">
        <v>946</v>
      </c>
      <c r="E305" s="117" t="s">
        <v>947</v>
      </c>
      <c r="F305" s="118">
        <v>1210</v>
      </c>
      <c r="G305" s="118">
        <v>242</v>
      </c>
      <c r="H305" s="118" t="s">
        <v>333</v>
      </c>
      <c r="I305" s="118">
        <v>676</v>
      </c>
      <c r="J305" s="118">
        <v>95616</v>
      </c>
      <c r="K305" s="118">
        <v>5</v>
      </c>
      <c r="L305" s="118" t="s">
        <v>945</v>
      </c>
      <c r="M305" s="118" t="s">
        <v>35</v>
      </c>
      <c r="N305" s="118">
        <v>4330173</v>
      </c>
      <c r="O305" s="121">
        <v>46003</v>
      </c>
      <c r="P305" s="125"/>
      <c r="Q305" s="149">
        <v>1680</v>
      </c>
      <c r="R305" s="123"/>
      <c r="S305" s="118"/>
      <c r="T305" s="118"/>
      <c r="U305" s="118"/>
      <c r="V305" s="118"/>
      <c r="W305" s="129"/>
      <c r="X305" s="121"/>
      <c r="Y305" s="121"/>
      <c r="Z305" s="118" t="s">
        <v>858</v>
      </c>
      <c r="AA305" s="118"/>
      <c r="AB305" s="126">
        <f t="shared" si="5"/>
        <v>1680</v>
      </c>
    </row>
    <row r="306" spans="1:28" ht="27.75" hidden="1" customHeight="1">
      <c r="B306" s="118" t="s">
        <v>344</v>
      </c>
      <c r="C306" s="118" t="s">
        <v>942</v>
      </c>
      <c r="D306" s="192">
        <v>39965</v>
      </c>
      <c r="E306" s="117" t="s">
        <v>948</v>
      </c>
      <c r="F306" s="118">
        <v>1228</v>
      </c>
      <c r="G306" s="118">
        <v>242</v>
      </c>
      <c r="H306" s="118" t="s">
        <v>333</v>
      </c>
      <c r="I306" s="118">
        <v>637</v>
      </c>
      <c r="J306" s="118">
        <v>95619</v>
      </c>
      <c r="K306" s="118">
        <v>5</v>
      </c>
      <c r="L306" s="118" t="s">
        <v>949</v>
      </c>
      <c r="M306" s="118" t="s">
        <v>35</v>
      </c>
      <c r="N306" s="118">
        <v>4330273</v>
      </c>
      <c r="O306" s="121">
        <v>46003</v>
      </c>
      <c r="P306" s="125"/>
      <c r="Q306" s="149">
        <v>1350</v>
      </c>
      <c r="R306" s="123"/>
      <c r="S306" s="118"/>
      <c r="T306" s="118"/>
      <c r="U306" s="118"/>
      <c r="V306" s="118"/>
      <c r="W306" s="129"/>
      <c r="X306" s="121"/>
      <c r="Y306" s="121"/>
      <c r="Z306" s="118" t="s">
        <v>858</v>
      </c>
      <c r="AA306" s="118"/>
      <c r="AB306" s="126">
        <f t="shared" si="5"/>
        <v>1350</v>
      </c>
    </row>
    <row r="307" spans="1:28" ht="27.75" hidden="1" customHeight="1">
      <c r="B307" s="118" t="s">
        <v>243</v>
      </c>
      <c r="C307" s="118" t="s">
        <v>244</v>
      </c>
      <c r="D307" s="118" t="s">
        <v>35</v>
      </c>
      <c r="E307" s="118" t="s">
        <v>950</v>
      </c>
      <c r="F307" s="118">
        <v>2224</v>
      </c>
      <c r="G307" s="118">
        <v>242</v>
      </c>
      <c r="H307" s="118" t="s">
        <v>33</v>
      </c>
      <c r="I307" s="118" t="s">
        <v>951</v>
      </c>
      <c r="J307" s="118">
        <v>96579</v>
      </c>
      <c r="K307" s="118">
        <v>5</v>
      </c>
      <c r="L307" s="118" t="s">
        <v>952</v>
      </c>
      <c r="M307" s="118" t="s">
        <v>35</v>
      </c>
      <c r="N307" s="118">
        <v>4330433</v>
      </c>
      <c r="O307" s="121">
        <v>46004</v>
      </c>
      <c r="P307" s="125"/>
      <c r="Q307" s="172">
        <v>22383.66</v>
      </c>
      <c r="R307" s="123"/>
      <c r="S307" s="118"/>
      <c r="T307" s="118"/>
      <c r="U307" s="118"/>
      <c r="V307" s="118"/>
      <c r="W307" s="129"/>
      <c r="X307" s="121"/>
      <c r="Y307" s="121"/>
      <c r="Z307" s="118" t="s">
        <v>158</v>
      </c>
      <c r="AA307" s="118" t="s">
        <v>953</v>
      </c>
      <c r="AB307" s="126">
        <f t="shared" si="5"/>
        <v>22383.66</v>
      </c>
    </row>
    <row r="308" spans="1:28" ht="37.5" hidden="1">
      <c r="B308" s="118" t="s">
        <v>49</v>
      </c>
      <c r="C308" s="118" t="s">
        <v>954</v>
      </c>
      <c r="D308" s="118">
        <v>42254</v>
      </c>
      <c r="E308" s="118" t="s">
        <v>955</v>
      </c>
      <c r="F308" s="118">
        <v>2216</v>
      </c>
      <c r="G308" s="118">
        <v>242</v>
      </c>
      <c r="H308" s="118" t="s">
        <v>33</v>
      </c>
      <c r="I308" s="118" t="s">
        <v>956</v>
      </c>
      <c r="J308" s="118">
        <v>96589</v>
      </c>
      <c r="K308" s="118">
        <v>6</v>
      </c>
      <c r="L308" s="118" t="s">
        <v>35</v>
      </c>
      <c r="M308" s="118" t="s">
        <v>35</v>
      </c>
      <c r="N308" s="118">
        <v>4330435</v>
      </c>
      <c r="O308" s="121">
        <v>46004</v>
      </c>
      <c r="P308" s="125"/>
      <c r="Q308" s="172">
        <v>900</v>
      </c>
      <c r="R308" s="123"/>
      <c r="S308" s="118"/>
      <c r="T308" s="118"/>
      <c r="U308" s="118"/>
      <c r="V308" s="118"/>
      <c r="W308" s="129"/>
      <c r="X308" s="121"/>
      <c r="Y308" s="121"/>
      <c r="Z308" s="118" t="s">
        <v>858</v>
      </c>
      <c r="AA308" s="118"/>
      <c r="AB308" s="126">
        <f t="shared" si="5"/>
        <v>900</v>
      </c>
    </row>
    <row r="309" spans="1:28" ht="100.5" hidden="1">
      <c r="B309" s="118" t="s">
        <v>287</v>
      </c>
      <c r="C309" s="118" t="s">
        <v>957</v>
      </c>
      <c r="D309" s="118" t="s">
        <v>35</v>
      </c>
      <c r="E309" s="118" t="s">
        <v>849</v>
      </c>
      <c r="F309" s="118">
        <v>2330</v>
      </c>
      <c r="G309" s="118">
        <v>242</v>
      </c>
      <c r="H309" s="118" t="s">
        <v>33</v>
      </c>
      <c r="I309" s="118" t="s">
        <v>958</v>
      </c>
      <c r="J309" s="118">
        <v>96607</v>
      </c>
      <c r="K309" s="118">
        <v>5</v>
      </c>
      <c r="L309" s="118" t="s">
        <v>959</v>
      </c>
      <c r="M309" s="118" t="s">
        <v>37</v>
      </c>
      <c r="N309" s="118">
        <v>4330721</v>
      </c>
      <c r="O309" s="121">
        <v>46006</v>
      </c>
      <c r="P309" s="125"/>
      <c r="Q309" s="172">
        <v>3024</v>
      </c>
      <c r="R309" s="123"/>
      <c r="S309" s="118"/>
      <c r="T309" s="118"/>
      <c r="U309" s="118"/>
      <c r="V309" s="118"/>
      <c r="W309" s="129"/>
      <c r="X309" s="121"/>
      <c r="Y309" s="121"/>
      <c r="Z309" s="118" t="s">
        <v>858</v>
      </c>
      <c r="AA309" s="118"/>
      <c r="AB309" s="126">
        <f t="shared" si="5"/>
        <v>3024</v>
      </c>
    </row>
    <row r="310" spans="1:28" ht="37.5" hidden="1">
      <c r="B310" s="118" t="s">
        <v>344</v>
      </c>
      <c r="C310" s="118" t="s">
        <v>960</v>
      </c>
      <c r="D310" s="118">
        <v>39202</v>
      </c>
      <c r="E310" s="118" t="s">
        <v>961</v>
      </c>
      <c r="F310" s="118">
        <v>1180</v>
      </c>
      <c r="G310" s="118">
        <v>7</v>
      </c>
      <c r="H310" s="118" t="s">
        <v>33</v>
      </c>
      <c r="I310" s="118" t="s">
        <v>962</v>
      </c>
      <c r="J310" s="118">
        <v>87452</v>
      </c>
      <c r="K310" s="118">
        <v>6</v>
      </c>
      <c r="L310" s="118" t="s">
        <v>35</v>
      </c>
      <c r="M310" s="118" t="s">
        <v>35</v>
      </c>
      <c r="N310" s="118">
        <v>4330441</v>
      </c>
      <c r="O310" s="121">
        <v>46004</v>
      </c>
      <c r="P310" s="125"/>
      <c r="Q310" s="172">
        <v>900</v>
      </c>
      <c r="R310" s="123"/>
      <c r="S310" s="118"/>
      <c r="T310" s="118"/>
      <c r="U310" s="118"/>
      <c r="V310" s="118"/>
      <c r="W310" s="129"/>
      <c r="X310" s="121"/>
      <c r="Y310" s="121"/>
      <c r="Z310" s="118" t="s">
        <v>858</v>
      </c>
      <c r="AA310" s="118"/>
      <c r="AB310" s="126">
        <f t="shared" si="5"/>
        <v>900</v>
      </c>
    </row>
    <row r="311" spans="1:28" ht="75.75" hidden="1">
      <c r="A311" s="101" t="s">
        <v>963</v>
      </c>
      <c r="B311" s="118" t="s">
        <v>344</v>
      </c>
      <c r="C311" s="118" t="s">
        <v>116</v>
      </c>
      <c r="D311" s="118" t="s">
        <v>964</v>
      </c>
      <c r="E311" s="117" t="s">
        <v>965</v>
      </c>
      <c r="F311" s="118">
        <v>2330</v>
      </c>
      <c r="G311" s="118">
        <v>242</v>
      </c>
      <c r="H311" s="118" t="s">
        <v>33</v>
      </c>
      <c r="I311" s="118" t="s">
        <v>966</v>
      </c>
      <c r="J311" s="118">
        <v>95621</v>
      </c>
      <c r="K311" s="118">
        <v>5</v>
      </c>
      <c r="L311" s="118" t="s">
        <v>967</v>
      </c>
      <c r="M311" s="118" t="s">
        <v>37</v>
      </c>
      <c r="N311" s="118">
        <v>4330790</v>
      </c>
      <c r="O311" s="121">
        <v>46006</v>
      </c>
      <c r="P311" s="125"/>
      <c r="Q311" s="172">
        <v>6403.76</v>
      </c>
      <c r="R311" s="123"/>
      <c r="S311" s="118"/>
      <c r="T311" s="118"/>
      <c r="U311" s="118"/>
      <c r="V311" s="118"/>
      <c r="W311" s="129"/>
      <c r="X311" s="121"/>
      <c r="Y311" s="121"/>
      <c r="Z311" s="118" t="s">
        <v>858</v>
      </c>
      <c r="AA311" s="118"/>
      <c r="AB311" s="126">
        <f t="shared" si="5"/>
        <v>6403.76</v>
      </c>
    </row>
    <row r="312" spans="1:28" ht="339.75" hidden="1">
      <c r="B312" s="118" t="s">
        <v>49</v>
      </c>
      <c r="C312" s="118" t="s">
        <v>192</v>
      </c>
      <c r="D312" s="118" t="s">
        <v>35</v>
      </c>
      <c r="E312" s="118" t="s">
        <v>968</v>
      </c>
      <c r="F312" s="118">
        <v>4057</v>
      </c>
      <c r="G312" s="118">
        <v>242</v>
      </c>
      <c r="H312" s="118" t="s">
        <v>33</v>
      </c>
      <c r="I312" s="118" t="s">
        <v>969</v>
      </c>
      <c r="J312" s="118">
        <v>95447</v>
      </c>
      <c r="K312" s="118">
        <v>8</v>
      </c>
      <c r="L312" s="118" t="s">
        <v>970</v>
      </c>
      <c r="M312" s="118" t="s">
        <v>35</v>
      </c>
      <c r="N312" s="118">
        <v>4330454</v>
      </c>
      <c r="O312" s="121">
        <v>46004</v>
      </c>
      <c r="P312" s="125"/>
      <c r="Q312" s="172">
        <v>6998</v>
      </c>
      <c r="R312" s="123">
        <v>45992</v>
      </c>
      <c r="S312" s="118">
        <v>6614</v>
      </c>
      <c r="T312" s="118" t="s">
        <v>35</v>
      </c>
      <c r="U312" s="118" t="s">
        <v>37</v>
      </c>
      <c r="V312" s="176" t="s">
        <v>64</v>
      </c>
      <c r="W312" s="129">
        <v>6998</v>
      </c>
      <c r="X312" s="121">
        <v>46001</v>
      </c>
      <c r="Y312" s="121">
        <v>46006</v>
      </c>
      <c r="Z312" s="118" t="s">
        <v>878</v>
      </c>
      <c r="AA312" s="118" t="s">
        <v>971</v>
      </c>
      <c r="AB312" s="126">
        <f t="shared" si="5"/>
        <v>0</v>
      </c>
    </row>
    <row r="313" spans="1:28" hidden="1">
      <c r="B313" s="118"/>
      <c r="C313" s="118"/>
      <c r="D313" s="118"/>
      <c r="E313" s="118"/>
      <c r="F313" s="118"/>
      <c r="G313" s="118"/>
      <c r="H313" s="118"/>
      <c r="I313" s="118"/>
      <c r="J313" s="118"/>
      <c r="K313" s="118"/>
      <c r="L313" s="118"/>
      <c r="M313" s="118"/>
      <c r="N313" s="118"/>
      <c r="O313" s="121"/>
      <c r="P313" s="118"/>
      <c r="Q313" s="149"/>
      <c r="R313" s="123"/>
      <c r="S313" s="118"/>
      <c r="T313" s="118"/>
      <c r="U313" s="118"/>
      <c r="V313" s="118"/>
      <c r="W313" s="129"/>
      <c r="X313" s="121"/>
      <c r="Y313" s="121"/>
      <c r="Z313" s="118"/>
      <c r="AA313" s="118"/>
      <c r="AB313" s="126">
        <f t="shared" si="5"/>
        <v>0</v>
      </c>
    </row>
    <row r="314" spans="1:28" hidden="1">
      <c r="B314" s="118"/>
      <c r="C314" s="118"/>
      <c r="D314" s="118"/>
      <c r="E314" s="118"/>
      <c r="F314" s="118"/>
      <c r="G314" s="118"/>
      <c r="H314" s="118"/>
      <c r="I314" s="118"/>
      <c r="J314" s="118"/>
      <c r="K314" s="118"/>
      <c r="L314" s="118"/>
      <c r="M314" s="118"/>
      <c r="N314" s="118"/>
      <c r="O314" s="121"/>
      <c r="P314" s="118"/>
      <c r="Q314" s="149"/>
      <c r="R314" s="123"/>
      <c r="S314" s="118"/>
      <c r="T314" s="118"/>
      <c r="U314" s="118"/>
      <c r="V314" s="118"/>
      <c r="W314" s="129"/>
      <c r="X314" s="121"/>
      <c r="Y314" s="121"/>
      <c r="Z314" s="118"/>
      <c r="AA314" s="118"/>
      <c r="AB314" s="126">
        <f t="shared" si="5"/>
        <v>0</v>
      </c>
    </row>
    <row r="315" spans="1:28" hidden="1">
      <c r="B315" s="118"/>
      <c r="C315" s="118"/>
      <c r="D315" s="118"/>
      <c r="E315" s="118"/>
      <c r="F315" s="118"/>
      <c r="G315" s="118"/>
      <c r="H315" s="118"/>
      <c r="I315" s="118"/>
      <c r="J315" s="118"/>
      <c r="K315" s="118"/>
      <c r="L315" s="118"/>
      <c r="M315" s="118"/>
      <c r="N315" s="118"/>
      <c r="O315" s="121"/>
      <c r="P315" s="118"/>
      <c r="Q315" s="149"/>
      <c r="R315" s="123"/>
      <c r="S315" s="118"/>
      <c r="T315" s="118"/>
      <c r="U315" s="118"/>
      <c r="V315" s="118"/>
      <c r="W315" s="129"/>
      <c r="X315" s="121"/>
      <c r="Y315" s="121"/>
      <c r="Z315" s="118"/>
      <c r="AA315" s="118"/>
      <c r="AB315" s="126">
        <f t="shared" si="5"/>
        <v>0</v>
      </c>
    </row>
    <row r="316" spans="1:28" hidden="1">
      <c r="B316" s="118"/>
      <c r="C316" s="118"/>
      <c r="D316" s="118"/>
      <c r="E316" s="118"/>
      <c r="F316" s="118"/>
      <c r="G316" s="118"/>
      <c r="H316" s="118"/>
      <c r="I316" s="118"/>
      <c r="J316" s="118"/>
      <c r="K316" s="118"/>
      <c r="L316" s="118"/>
      <c r="M316" s="118"/>
      <c r="N316" s="118"/>
      <c r="O316" s="121"/>
      <c r="P316" s="118"/>
      <c r="Q316" s="149"/>
      <c r="R316" s="123"/>
      <c r="S316" s="118"/>
      <c r="T316" s="118"/>
      <c r="U316" s="118"/>
      <c r="V316" s="118"/>
      <c r="W316" s="129"/>
      <c r="X316" s="121"/>
      <c r="Y316" s="121"/>
      <c r="Z316" s="118"/>
      <c r="AA316" s="118"/>
      <c r="AB316" s="126">
        <f t="shared" si="5"/>
        <v>0</v>
      </c>
    </row>
    <row r="317" spans="1:28" hidden="1">
      <c r="B317" s="118"/>
      <c r="C317" s="118"/>
      <c r="D317" s="118"/>
      <c r="E317" s="118"/>
      <c r="F317" s="118"/>
      <c r="G317" s="118"/>
      <c r="H317" s="118"/>
      <c r="I317" s="118"/>
      <c r="J317" s="118"/>
      <c r="K317" s="118"/>
      <c r="L317" s="118"/>
      <c r="M317" s="118"/>
      <c r="N317" s="118"/>
      <c r="O317" s="121"/>
      <c r="P317" s="118"/>
      <c r="Q317" s="149"/>
      <c r="R317" s="123"/>
      <c r="S317" s="118"/>
      <c r="T317" s="118"/>
      <c r="U317" s="118"/>
      <c r="V317" s="118"/>
      <c r="W317" s="129"/>
      <c r="X317" s="121"/>
      <c r="Y317" s="121"/>
      <c r="Z317" s="118"/>
      <c r="AA317" s="118"/>
      <c r="AB317" s="126">
        <f t="shared" si="5"/>
        <v>0</v>
      </c>
    </row>
    <row r="318" spans="1:28" hidden="1">
      <c r="B318" s="118"/>
      <c r="C318" s="118"/>
      <c r="D318" s="118"/>
      <c r="E318" s="118"/>
      <c r="F318" s="118"/>
      <c r="G318" s="118"/>
      <c r="H318" s="118"/>
      <c r="I318" s="118"/>
      <c r="J318" s="118"/>
      <c r="K318" s="118"/>
      <c r="L318" s="118"/>
      <c r="M318" s="118"/>
      <c r="N318" s="118"/>
      <c r="O318" s="121"/>
      <c r="P318" s="118"/>
      <c r="Q318" s="149"/>
      <c r="R318" s="123"/>
      <c r="S318" s="118"/>
      <c r="T318" s="118"/>
      <c r="U318" s="118"/>
      <c r="V318" s="118"/>
      <c r="W318" s="129"/>
      <c r="X318" s="121"/>
      <c r="Y318" s="121"/>
      <c r="Z318" s="118"/>
      <c r="AA318" s="118"/>
      <c r="AB318" s="126">
        <f t="shared" si="5"/>
        <v>0</v>
      </c>
    </row>
    <row r="319" spans="1:28" hidden="1">
      <c r="B319" s="118"/>
      <c r="C319" s="118"/>
      <c r="D319" s="118"/>
      <c r="E319" s="118"/>
      <c r="F319" s="118"/>
      <c r="G319" s="118"/>
      <c r="H319" s="118"/>
      <c r="I319" s="118"/>
      <c r="J319" s="118"/>
      <c r="K319" s="118"/>
      <c r="L319" s="118"/>
      <c r="M319" s="118"/>
      <c r="N319" s="118"/>
      <c r="O319" s="121"/>
      <c r="P319" s="118"/>
      <c r="Q319" s="149"/>
      <c r="R319" s="123"/>
      <c r="S319" s="118"/>
      <c r="T319" s="118"/>
      <c r="U319" s="118"/>
      <c r="V319" s="118"/>
      <c r="W319" s="129"/>
      <c r="X319" s="121"/>
      <c r="Y319" s="121"/>
      <c r="Z319" s="118"/>
      <c r="AA319" s="118"/>
      <c r="AB319" s="126">
        <f t="shared" si="5"/>
        <v>0</v>
      </c>
    </row>
    <row r="320" spans="1:28" hidden="1">
      <c r="B320" s="118"/>
      <c r="C320" s="118"/>
      <c r="D320" s="118"/>
      <c r="E320" s="118"/>
      <c r="F320" s="118"/>
      <c r="G320" s="118"/>
      <c r="H320" s="118"/>
      <c r="I320" s="118"/>
      <c r="J320" s="118"/>
      <c r="K320" s="118"/>
      <c r="L320" s="118"/>
      <c r="M320" s="118"/>
      <c r="N320" s="118"/>
      <c r="O320" s="121"/>
      <c r="P320" s="118"/>
      <c r="Q320" s="149"/>
      <c r="R320" s="123"/>
      <c r="S320" s="118"/>
      <c r="T320" s="118"/>
      <c r="U320" s="118"/>
      <c r="V320" s="118"/>
      <c r="W320" s="129"/>
      <c r="X320" s="121"/>
      <c r="Y320" s="121"/>
      <c r="Z320" s="118"/>
      <c r="AA320" s="118"/>
      <c r="AB320" s="126">
        <f t="shared" si="5"/>
        <v>0</v>
      </c>
    </row>
    <row r="321" spans="2:28" hidden="1">
      <c r="B321" s="118"/>
      <c r="C321" s="118"/>
      <c r="D321" s="118"/>
      <c r="E321" s="118"/>
      <c r="F321" s="118"/>
      <c r="G321" s="118"/>
      <c r="H321" s="118"/>
      <c r="I321" s="118"/>
      <c r="J321" s="118"/>
      <c r="K321" s="118"/>
      <c r="L321" s="118"/>
      <c r="M321" s="118"/>
      <c r="N321" s="118"/>
      <c r="O321" s="121"/>
      <c r="P321" s="118"/>
      <c r="Q321" s="149"/>
      <c r="R321" s="123"/>
      <c r="S321" s="118"/>
      <c r="T321" s="118"/>
      <c r="U321" s="118"/>
      <c r="V321" s="118"/>
      <c r="W321" s="129"/>
      <c r="X321" s="121"/>
      <c r="Y321" s="121"/>
      <c r="Z321" s="118"/>
      <c r="AA321" s="118"/>
      <c r="AB321" s="126">
        <f t="shared" si="5"/>
        <v>0</v>
      </c>
    </row>
    <row r="322" spans="2:28" hidden="1">
      <c r="B322" s="118"/>
      <c r="C322" s="118"/>
      <c r="D322" s="118"/>
      <c r="E322" s="118"/>
      <c r="F322" s="118"/>
      <c r="G322" s="118"/>
      <c r="H322" s="118"/>
      <c r="I322" s="118"/>
      <c r="J322" s="118"/>
      <c r="K322" s="118"/>
      <c r="L322" s="118"/>
      <c r="M322" s="118"/>
      <c r="N322" s="118"/>
      <c r="O322" s="121"/>
      <c r="P322" s="118"/>
      <c r="Q322" s="149"/>
      <c r="R322" s="123"/>
      <c r="S322" s="118"/>
      <c r="T322" s="118"/>
      <c r="U322" s="118"/>
      <c r="V322" s="118"/>
      <c r="W322" s="129"/>
      <c r="X322" s="121"/>
      <c r="Y322" s="121"/>
      <c r="Z322" s="118"/>
      <c r="AA322" s="118"/>
      <c r="AB322" s="126">
        <f t="shared" si="5"/>
        <v>0</v>
      </c>
    </row>
    <row r="323" spans="2:28" hidden="1">
      <c r="B323" s="118"/>
      <c r="C323" s="118"/>
      <c r="D323" s="118"/>
      <c r="E323" s="118"/>
      <c r="F323" s="118"/>
      <c r="G323" s="118"/>
      <c r="H323" s="118"/>
      <c r="I323" s="118"/>
      <c r="J323" s="118"/>
      <c r="K323" s="118"/>
      <c r="L323" s="118"/>
      <c r="M323" s="118"/>
      <c r="N323" s="118"/>
      <c r="O323" s="121"/>
      <c r="P323" s="118"/>
      <c r="Q323" s="149"/>
      <c r="R323" s="123"/>
      <c r="S323" s="118"/>
      <c r="T323" s="118"/>
      <c r="U323" s="118"/>
      <c r="V323" s="118"/>
      <c r="W323" s="129"/>
      <c r="X323" s="121"/>
      <c r="Y323" s="121"/>
      <c r="Z323" s="118"/>
      <c r="AA323" s="118"/>
      <c r="AB323" s="126">
        <f t="shared" si="5"/>
        <v>0</v>
      </c>
    </row>
    <row r="324" spans="2:28" hidden="1">
      <c r="B324" s="118"/>
      <c r="C324" s="118"/>
      <c r="D324" s="118"/>
      <c r="E324" s="118"/>
      <c r="F324" s="118"/>
      <c r="G324" s="118"/>
      <c r="H324" s="118"/>
      <c r="I324" s="118"/>
      <c r="J324" s="118"/>
      <c r="K324" s="118"/>
      <c r="L324" s="118"/>
      <c r="M324" s="118"/>
      <c r="N324" s="118"/>
      <c r="O324" s="121"/>
      <c r="P324" s="118"/>
      <c r="Q324" s="149"/>
      <c r="R324" s="123"/>
      <c r="S324" s="118"/>
      <c r="T324" s="118"/>
      <c r="U324" s="118"/>
      <c r="V324" s="118"/>
      <c r="W324" s="129"/>
      <c r="X324" s="121"/>
      <c r="Y324" s="121"/>
      <c r="Z324" s="118"/>
      <c r="AA324" s="118"/>
      <c r="AB324" s="126">
        <f t="shared" si="5"/>
        <v>0</v>
      </c>
    </row>
    <row r="325" spans="2:28" hidden="1">
      <c r="B325" s="118"/>
      <c r="C325" s="118"/>
      <c r="D325" s="118"/>
      <c r="E325" s="118"/>
      <c r="F325" s="118"/>
      <c r="G325" s="118"/>
      <c r="H325" s="118"/>
      <c r="I325" s="118"/>
      <c r="J325" s="118"/>
      <c r="K325" s="118"/>
      <c r="L325" s="118"/>
      <c r="M325" s="118"/>
      <c r="N325" s="118"/>
      <c r="O325" s="121"/>
      <c r="P325" s="118"/>
      <c r="Q325" s="149"/>
      <c r="R325" s="123"/>
      <c r="S325" s="118"/>
      <c r="T325" s="118"/>
      <c r="U325" s="118"/>
      <c r="V325" s="118"/>
      <c r="W325" s="129"/>
      <c r="X325" s="121"/>
      <c r="Y325" s="121"/>
      <c r="Z325" s="118"/>
      <c r="AA325" s="118"/>
      <c r="AB325" s="126">
        <f t="shared" si="5"/>
        <v>0</v>
      </c>
    </row>
    <row r="326" spans="2:28" hidden="1">
      <c r="B326" s="118"/>
      <c r="C326" s="118"/>
      <c r="D326" s="118"/>
      <c r="E326" s="118"/>
      <c r="F326" s="118"/>
      <c r="G326" s="118"/>
      <c r="H326" s="118"/>
      <c r="I326" s="118"/>
      <c r="J326" s="118"/>
      <c r="K326" s="118"/>
      <c r="L326" s="118"/>
      <c r="M326" s="118"/>
      <c r="N326" s="118"/>
      <c r="O326" s="121"/>
      <c r="P326" s="118"/>
      <c r="Q326" s="149"/>
      <c r="R326" s="123"/>
      <c r="S326" s="118"/>
      <c r="T326" s="118"/>
      <c r="U326" s="118"/>
      <c r="V326" s="118"/>
      <c r="W326" s="129"/>
      <c r="X326" s="121"/>
      <c r="Y326" s="121"/>
      <c r="Z326" s="118"/>
      <c r="AA326" s="118"/>
      <c r="AB326" s="126">
        <f t="shared" si="5"/>
        <v>0</v>
      </c>
    </row>
    <row r="327" spans="2:28" hidden="1">
      <c r="B327" s="118"/>
      <c r="C327" s="118"/>
      <c r="D327" s="118"/>
      <c r="E327" s="118"/>
      <c r="F327" s="118"/>
      <c r="G327" s="118"/>
      <c r="H327" s="118"/>
      <c r="I327" s="118"/>
      <c r="J327" s="118"/>
      <c r="K327" s="118"/>
      <c r="L327" s="118"/>
      <c r="M327" s="118"/>
      <c r="N327" s="118"/>
      <c r="O327" s="121"/>
      <c r="P327" s="118"/>
      <c r="Q327" s="149"/>
      <c r="R327" s="123"/>
      <c r="S327" s="118"/>
      <c r="T327" s="118"/>
      <c r="U327" s="118"/>
      <c r="V327" s="118"/>
      <c r="W327" s="129"/>
      <c r="X327" s="121"/>
      <c r="Y327" s="121"/>
      <c r="Z327" s="118"/>
      <c r="AA327" s="118"/>
      <c r="AB327" s="126">
        <f t="shared" si="5"/>
        <v>0</v>
      </c>
    </row>
    <row r="328" spans="2:28" hidden="1">
      <c r="B328" s="118"/>
      <c r="C328" s="118"/>
      <c r="D328" s="118"/>
      <c r="E328" s="118"/>
      <c r="F328" s="118"/>
      <c r="G328" s="118"/>
      <c r="H328" s="118"/>
      <c r="I328" s="118"/>
      <c r="J328" s="118"/>
      <c r="K328" s="118"/>
      <c r="L328" s="118"/>
      <c r="M328" s="118"/>
      <c r="N328" s="118"/>
      <c r="O328" s="121"/>
      <c r="P328" s="118"/>
      <c r="Q328" s="149"/>
      <c r="R328" s="123"/>
      <c r="S328" s="118"/>
      <c r="T328" s="118"/>
      <c r="U328" s="118"/>
      <c r="V328" s="118"/>
      <c r="W328" s="129"/>
      <c r="X328" s="121"/>
      <c r="Y328" s="121"/>
      <c r="Z328" s="118"/>
      <c r="AA328" s="118"/>
      <c r="AB328" s="126">
        <f t="shared" si="5"/>
        <v>0</v>
      </c>
    </row>
    <row r="329" spans="2:28" hidden="1">
      <c r="B329" s="118"/>
      <c r="C329" s="118"/>
      <c r="D329" s="118"/>
      <c r="E329" s="118"/>
      <c r="F329" s="118"/>
      <c r="G329" s="118"/>
      <c r="H329" s="118"/>
      <c r="I329" s="118"/>
      <c r="J329" s="118"/>
      <c r="K329" s="118"/>
      <c r="L329" s="118"/>
      <c r="M329" s="118"/>
      <c r="N329" s="118"/>
      <c r="O329" s="121"/>
      <c r="P329" s="118"/>
      <c r="Q329" s="149"/>
      <c r="R329" s="123"/>
      <c r="S329" s="118"/>
      <c r="T329" s="118"/>
      <c r="U329" s="118"/>
      <c r="V329" s="118"/>
      <c r="W329" s="129"/>
      <c r="X329" s="121"/>
      <c r="Y329" s="121"/>
      <c r="Z329" s="118"/>
      <c r="AA329" s="118"/>
      <c r="AB329" s="126">
        <f t="shared" si="5"/>
        <v>0</v>
      </c>
    </row>
    <row r="330" spans="2:28" hidden="1">
      <c r="B330" s="118"/>
      <c r="C330" s="118"/>
      <c r="D330" s="118"/>
      <c r="E330" s="118"/>
      <c r="F330" s="118"/>
      <c r="G330" s="118"/>
      <c r="H330" s="118"/>
      <c r="I330" s="118"/>
      <c r="J330" s="118"/>
      <c r="K330" s="118"/>
      <c r="L330" s="118"/>
      <c r="M330" s="118"/>
      <c r="N330" s="118"/>
      <c r="O330" s="121"/>
      <c r="P330" s="118"/>
      <c r="Q330" s="149"/>
      <c r="R330" s="123"/>
      <c r="S330" s="118"/>
      <c r="T330" s="118"/>
      <c r="U330" s="118"/>
      <c r="V330" s="118"/>
      <c r="W330" s="129"/>
      <c r="X330" s="121"/>
      <c r="Y330" s="121"/>
      <c r="Z330" s="118"/>
      <c r="AA330" s="118"/>
      <c r="AB330" s="126">
        <f t="shared" si="5"/>
        <v>0</v>
      </c>
    </row>
    <row r="331" spans="2:28" hidden="1">
      <c r="B331" s="118"/>
      <c r="C331" s="118"/>
      <c r="D331" s="118"/>
      <c r="E331" s="118"/>
      <c r="F331" s="118"/>
      <c r="G331" s="118"/>
      <c r="H331" s="118"/>
      <c r="I331" s="118"/>
      <c r="J331" s="118"/>
      <c r="K331" s="118"/>
      <c r="L331" s="118"/>
      <c r="M331" s="118"/>
      <c r="N331" s="118"/>
      <c r="O331" s="121"/>
      <c r="P331" s="118"/>
      <c r="Q331" s="149"/>
      <c r="R331" s="123"/>
      <c r="S331" s="118"/>
      <c r="T331" s="118"/>
      <c r="U331" s="118"/>
      <c r="V331" s="118"/>
      <c r="W331" s="129"/>
      <c r="X331" s="121"/>
      <c r="Y331" s="121"/>
      <c r="Z331" s="118"/>
      <c r="AA331" s="118"/>
      <c r="AB331" s="126">
        <f t="shared" si="5"/>
        <v>0</v>
      </c>
    </row>
    <row r="332" spans="2:28" hidden="1">
      <c r="B332" s="118"/>
      <c r="C332" s="118"/>
      <c r="D332" s="118"/>
      <c r="E332" s="118"/>
      <c r="F332" s="118"/>
      <c r="G332" s="118"/>
      <c r="H332" s="118"/>
      <c r="I332" s="118"/>
      <c r="J332" s="118"/>
      <c r="K332" s="118"/>
      <c r="L332" s="118"/>
      <c r="M332" s="118"/>
      <c r="N332" s="118"/>
      <c r="O332" s="121"/>
      <c r="P332" s="118"/>
      <c r="Q332" s="149"/>
      <c r="R332" s="123"/>
      <c r="S332" s="118"/>
      <c r="T332" s="118"/>
      <c r="U332" s="118"/>
      <c r="V332" s="118"/>
      <c r="W332" s="129"/>
      <c r="X332" s="121"/>
      <c r="Y332" s="121"/>
      <c r="Z332" s="118"/>
      <c r="AA332" s="118"/>
      <c r="AB332" s="126">
        <f t="shared" si="5"/>
        <v>0</v>
      </c>
    </row>
    <row r="333" spans="2:28" hidden="1">
      <c r="B333" s="118"/>
      <c r="C333" s="118"/>
      <c r="D333" s="118"/>
      <c r="E333" s="118"/>
      <c r="F333" s="118"/>
      <c r="G333" s="118"/>
      <c r="H333" s="118"/>
      <c r="I333" s="118"/>
      <c r="J333" s="118"/>
      <c r="K333" s="118"/>
      <c r="L333" s="118"/>
      <c r="M333" s="118"/>
      <c r="N333" s="118"/>
      <c r="O333" s="121"/>
      <c r="P333" s="118"/>
      <c r="Q333" s="149"/>
      <c r="R333" s="123"/>
      <c r="S333" s="118"/>
      <c r="T333" s="118"/>
      <c r="U333" s="118"/>
      <c r="V333" s="118"/>
      <c r="W333" s="129"/>
      <c r="X333" s="121"/>
      <c r="Y333" s="121"/>
      <c r="Z333" s="118"/>
      <c r="AA333" s="118"/>
      <c r="AB333" s="126">
        <f t="shared" si="5"/>
        <v>0</v>
      </c>
    </row>
    <row r="334" spans="2:28" hidden="1">
      <c r="B334" s="118"/>
      <c r="C334" s="118"/>
      <c r="D334" s="118"/>
      <c r="E334" s="118"/>
      <c r="F334" s="118"/>
      <c r="G334" s="118"/>
      <c r="H334" s="118"/>
      <c r="I334" s="118"/>
      <c r="J334" s="118"/>
      <c r="K334" s="118"/>
      <c r="L334" s="118"/>
      <c r="M334" s="118"/>
      <c r="N334" s="118"/>
      <c r="O334" s="121"/>
      <c r="P334" s="118"/>
      <c r="Q334" s="149"/>
      <c r="R334" s="123"/>
      <c r="S334" s="118"/>
      <c r="T334" s="118"/>
      <c r="U334" s="118"/>
      <c r="V334" s="118"/>
      <c r="W334" s="129"/>
      <c r="X334" s="121"/>
      <c r="Y334" s="121"/>
      <c r="Z334" s="118"/>
      <c r="AA334" s="118"/>
      <c r="AB334" s="126">
        <f t="shared" si="5"/>
        <v>0</v>
      </c>
    </row>
    <row r="335" spans="2:28" hidden="1">
      <c r="B335" s="118"/>
      <c r="C335" s="118"/>
      <c r="D335" s="118"/>
      <c r="E335" s="118"/>
      <c r="F335" s="118"/>
      <c r="G335" s="118"/>
      <c r="H335" s="118"/>
      <c r="I335" s="118"/>
      <c r="J335" s="118"/>
      <c r="K335" s="118"/>
      <c r="L335" s="118"/>
      <c r="M335" s="118"/>
      <c r="N335" s="118"/>
      <c r="O335" s="121"/>
      <c r="P335" s="118"/>
      <c r="Q335" s="149"/>
      <c r="R335" s="123"/>
      <c r="S335" s="118"/>
      <c r="T335" s="118"/>
      <c r="U335" s="118"/>
      <c r="V335" s="118"/>
      <c r="W335" s="129"/>
      <c r="X335" s="121"/>
      <c r="Y335" s="121"/>
      <c r="Z335" s="118"/>
      <c r="AA335" s="118"/>
      <c r="AB335" s="126">
        <f t="shared" si="5"/>
        <v>0</v>
      </c>
    </row>
    <row r="336" spans="2:28" hidden="1">
      <c r="B336" s="118"/>
      <c r="C336" s="118"/>
      <c r="D336" s="118"/>
      <c r="E336" s="118"/>
      <c r="F336" s="118"/>
      <c r="G336" s="118"/>
      <c r="H336" s="118"/>
      <c r="I336" s="118"/>
      <c r="J336" s="118"/>
      <c r="K336" s="118"/>
      <c r="L336" s="118"/>
      <c r="M336" s="118"/>
      <c r="N336" s="118"/>
      <c r="O336" s="121"/>
      <c r="P336" s="118"/>
      <c r="Q336" s="149"/>
      <c r="R336" s="123"/>
      <c r="S336" s="118"/>
      <c r="T336" s="118"/>
      <c r="U336" s="118"/>
      <c r="V336" s="118"/>
      <c r="W336" s="129"/>
      <c r="X336" s="121"/>
      <c r="Y336" s="121"/>
      <c r="Z336" s="118"/>
      <c r="AA336" s="118"/>
      <c r="AB336" s="126">
        <f t="shared" si="5"/>
        <v>0</v>
      </c>
    </row>
    <row r="337" spans="2:28" hidden="1">
      <c r="B337" s="118"/>
      <c r="C337" s="118"/>
      <c r="D337" s="118"/>
      <c r="E337" s="118"/>
      <c r="F337" s="118"/>
      <c r="G337" s="118"/>
      <c r="H337" s="118"/>
      <c r="I337" s="118"/>
      <c r="J337" s="118"/>
      <c r="K337" s="118"/>
      <c r="L337" s="118"/>
      <c r="M337" s="118"/>
      <c r="N337" s="118"/>
      <c r="O337" s="121"/>
      <c r="P337" s="118"/>
      <c r="Q337" s="149"/>
      <c r="R337" s="123"/>
      <c r="S337" s="118"/>
      <c r="T337" s="118"/>
      <c r="U337" s="118"/>
      <c r="V337" s="118"/>
      <c r="W337" s="129"/>
      <c r="X337" s="121"/>
      <c r="Y337" s="121"/>
      <c r="Z337" s="118"/>
      <c r="AA337" s="118"/>
      <c r="AB337" s="126">
        <f t="shared" si="5"/>
        <v>0</v>
      </c>
    </row>
    <row r="338" spans="2:28" hidden="1">
      <c r="B338" s="118"/>
      <c r="C338" s="118"/>
      <c r="D338" s="118"/>
      <c r="E338" s="118"/>
      <c r="F338" s="118"/>
      <c r="G338" s="118"/>
      <c r="H338" s="118"/>
      <c r="I338" s="118"/>
      <c r="J338" s="118"/>
      <c r="K338" s="118"/>
      <c r="L338" s="118"/>
      <c r="M338" s="118"/>
      <c r="N338" s="118"/>
      <c r="O338" s="121"/>
      <c r="P338" s="118"/>
      <c r="Q338" s="149"/>
      <c r="R338" s="123"/>
      <c r="S338" s="118"/>
      <c r="T338" s="118"/>
      <c r="U338" s="118"/>
      <c r="V338" s="118"/>
      <c r="W338" s="129"/>
      <c r="X338" s="121"/>
      <c r="Y338" s="121"/>
      <c r="Z338" s="118"/>
      <c r="AA338" s="118"/>
      <c r="AB338" s="126">
        <f t="shared" si="5"/>
        <v>0</v>
      </c>
    </row>
    <row r="339" spans="2:28" hidden="1">
      <c r="B339" s="118"/>
      <c r="C339" s="118"/>
      <c r="D339" s="118"/>
      <c r="E339" s="118"/>
      <c r="F339" s="118"/>
      <c r="G339" s="118"/>
      <c r="H339" s="118"/>
      <c r="I339" s="118"/>
      <c r="J339" s="118"/>
      <c r="K339" s="118"/>
      <c r="L339" s="118"/>
      <c r="M339" s="118"/>
      <c r="N339" s="118"/>
      <c r="O339" s="121"/>
      <c r="P339" s="118"/>
      <c r="Q339" s="149"/>
      <c r="R339" s="123"/>
      <c r="S339" s="118"/>
      <c r="T339" s="118"/>
      <c r="U339" s="118"/>
      <c r="V339" s="118"/>
      <c r="W339" s="129"/>
      <c r="X339" s="121"/>
      <c r="Y339" s="121"/>
      <c r="Z339" s="118"/>
      <c r="AA339" s="118"/>
      <c r="AB339" s="126">
        <f t="shared" si="5"/>
        <v>0</v>
      </c>
    </row>
    <row r="340" spans="2:28" hidden="1">
      <c r="B340" s="118"/>
      <c r="C340" s="118"/>
      <c r="D340" s="118"/>
      <c r="E340" s="118"/>
      <c r="F340" s="118"/>
      <c r="G340" s="118"/>
      <c r="H340" s="118"/>
      <c r="I340" s="118"/>
      <c r="J340" s="118"/>
      <c r="K340" s="118"/>
      <c r="L340" s="118"/>
      <c r="M340" s="118"/>
      <c r="N340" s="118"/>
      <c r="O340" s="121"/>
      <c r="P340" s="118"/>
      <c r="Q340" s="149"/>
      <c r="R340" s="123"/>
      <c r="S340" s="118"/>
      <c r="T340" s="118"/>
      <c r="U340" s="118"/>
      <c r="V340" s="118"/>
      <c r="W340" s="129"/>
      <c r="X340" s="121"/>
      <c r="Y340" s="121"/>
      <c r="Z340" s="118"/>
      <c r="AA340" s="118"/>
      <c r="AB340" s="126">
        <f t="shared" si="5"/>
        <v>0</v>
      </c>
    </row>
    <row r="341" spans="2:28" hidden="1">
      <c r="B341" s="118"/>
      <c r="C341" s="118"/>
      <c r="D341" s="118"/>
      <c r="E341" s="118"/>
      <c r="F341" s="118"/>
      <c r="G341" s="118"/>
      <c r="H341" s="118"/>
      <c r="I341" s="118"/>
      <c r="J341" s="118"/>
      <c r="K341" s="118"/>
      <c r="L341" s="118"/>
      <c r="M341" s="118"/>
      <c r="N341" s="118"/>
      <c r="O341" s="121"/>
      <c r="P341" s="118"/>
      <c r="Q341" s="149"/>
      <c r="R341" s="123"/>
      <c r="S341" s="118"/>
      <c r="T341" s="118"/>
      <c r="U341" s="118"/>
      <c r="V341" s="118"/>
      <c r="W341" s="129"/>
      <c r="X341" s="121"/>
      <c r="Y341" s="121"/>
      <c r="Z341" s="118"/>
      <c r="AA341" s="118"/>
      <c r="AB341" s="126">
        <f t="shared" si="5"/>
        <v>0</v>
      </c>
    </row>
    <row r="342" spans="2:28" hidden="1">
      <c r="B342" s="118"/>
      <c r="C342" s="118"/>
      <c r="D342" s="118"/>
      <c r="E342" s="118"/>
      <c r="F342" s="118"/>
      <c r="G342" s="118"/>
      <c r="H342" s="118"/>
      <c r="I342" s="118"/>
      <c r="J342" s="118"/>
      <c r="K342" s="118"/>
      <c r="L342" s="118"/>
      <c r="M342" s="118"/>
      <c r="N342" s="118"/>
      <c r="O342" s="121"/>
      <c r="P342" s="118"/>
      <c r="Q342" s="149"/>
      <c r="R342" s="123"/>
      <c r="S342" s="118"/>
      <c r="T342" s="118"/>
      <c r="U342" s="118"/>
      <c r="V342" s="118"/>
      <c r="W342" s="129"/>
      <c r="X342" s="121"/>
      <c r="Y342" s="121"/>
      <c r="Z342" s="118"/>
      <c r="AA342" s="118"/>
      <c r="AB342" s="126">
        <f t="shared" si="5"/>
        <v>0</v>
      </c>
    </row>
    <row r="343" spans="2:28" hidden="1">
      <c r="B343" s="118"/>
      <c r="C343" s="118"/>
      <c r="D343" s="118"/>
      <c r="E343" s="118"/>
      <c r="F343" s="118"/>
      <c r="G343" s="118"/>
      <c r="H343" s="118"/>
      <c r="I343" s="118"/>
      <c r="J343" s="118"/>
      <c r="K343" s="118"/>
      <c r="L343" s="118"/>
      <c r="M343" s="118"/>
      <c r="N343" s="118"/>
      <c r="O343" s="121"/>
      <c r="P343" s="118"/>
      <c r="Q343" s="149"/>
      <c r="R343" s="123"/>
      <c r="S343" s="118"/>
      <c r="T343" s="118"/>
      <c r="U343" s="118"/>
      <c r="V343" s="118"/>
      <c r="W343" s="129"/>
      <c r="X343" s="121"/>
      <c r="Y343" s="121"/>
      <c r="Z343" s="118"/>
      <c r="AA343" s="118"/>
      <c r="AB343" s="126">
        <f t="shared" si="5"/>
        <v>0</v>
      </c>
    </row>
    <row r="344" spans="2:28" hidden="1">
      <c r="B344" s="118"/>
      <c r="C344" s="118"/>
      <c r="D344" s="118"/>
      <c r="E344" s="118"/>
      <c r="F344" s="118"/>
      <c r="G344" s="118"/>
      <c r="H344" s="118"/>
      <c r="I344" s="118"/>
      <c r="J344" s="118"/>
      <c r="K344" s="118"/>
      <c r="L344" s="118"/>
      <c r="M344" s="118"/>
      <c r="N344" s="118"/>
      <c r="O344" s="121"/>
      <c r="P344" s="118"/>
      <c r="Q344" s="149"/>
      <c r="R344" s="123"/>
      <c r="S344" s="118"/>
      <c r="T344" s="118"/>
      <c r="U344" s="118"/>
      <c r="V344" s="118"/>
      <c r="W344" s="129"/>
      <c r="X344" s="121"/>
      <c r="Y344" s="121"/>
      <c r="Z344" s="118"/>
      <c r="AA344" s="118"/>
      <c r="AB344" s="126">
        <f t="shared" si="5"/>
        <v>0</v>
      </c>
    </row>
    <row r="345" spans="2:28" hidden="1">
      <c r="B345" s="118"/>
      <c r="C345" s="118"/>
      <c r="D345" s="118"/>
      <c r="E345" s="118"/>
      <c r="F345" s="118"/>
      <c r="G345" s="118"/>
      <c r="H345" s="118"/>
      <c r="I345" s="118"/>
      <c r="J345" s="118"/>
      <c r="K345" s="118"/>
      <c r="L345" s="118"/>
      <c r="M345" s="118"/>
      <c r="N345" s="118"/>
      <c r="O345" s="121"/>
      <c r="P345" s="118"/>
      <c r="Q345" s="149"/>
      <c r="R345" s="123"/>
      <c r="S345" s="118"/>
      <c r="T345" s="118"/>
      <c r="U345" s="118"/>
      <c r="V345" s="118"/>
      <c r="W345" s="129"/>
      <c r="X345" s="121"/>
      <c r="Y345" s="121"/>
      <c r="Z345" s="118"/>
      <c r="AA345" s="118"/>
      <c r="AB345" s="126">
        <f t="shared" si="5"/>
        <v>0</v>
      </c>
    </row>
    <row r="346" spans="2:28" hidden="1">
      <c r="B346" s="118"/>
      <c r="C346" s="118"/>
      <c r="D346" s="118"/>
      <c r="E346" s="118"/>
      <c r="F346" s="118"/>
      <c r="G346" s="118"/>
      <c r="H346" s="118"/>
      <c r="I346" s="118"/>
      <c r="J346" s="118"/>
      <c r="K346" s="118"/>
      <c r="L346" s="118"/>
      <c r="M346" s="118"/>
      <c r="N346" s="118"/>
      <c r="O346" s="121"/>
      <c r="P346" s="118"/>
      <c r="Q346" s="149"/>
      <c r="R346" s="123"/>
      <c r="S346" s="118"/>
      <c r="T346" s="118"/>
      <c r="U346" s="118"/>
      <c r="V346" s="118"/>
      <c r="W346" s="129"/>
      <c r="X346" s="121"/>
      <c r="Y346" s="121"/>
      <c r="Z346" s="118"/>
      <c r="AA346" s="118"/>
      <c r="AB346" s="126">
        <f t="shared" si="5"/>
        <v>0</v>
      </c>
    </row>
    <row r="347" spans="2:28" hidden="1">
      <c r="B347" s="118"/>
      <c r="C347" s="118"/>
      <c r="D347" s="118"/>
      <c r="E347" s="118"/>
      <c r="F347" s="118"/>
      <c r="G347" s="118"/>
      <c r="H347" s="118"/>
      <c r="I347" s="118"/>
      <c r="J347" s="118"/>
      <c r="K347" s="118"/>
      <c r="L347" s="118"/>
      <c r="M347" s="118"/>
      <c r="N347" s="118"/>
      <c r="O347" s="121"/>
      <c r="P347" s="118"/>
      <c r="Q347" s="149"/>
      <c r="R347" s="123"/>
      <c r="S347" s="118"/>
      <c r="T347" s="118"/>
      <c r="U347" s="118"/>
      <c r="V347" s="118"/>
      <c r="W347" s="129"/>
      <c r="X347" s="121"/>
      <c r="Y347" s="121"/>
      <c r="Z347" s="118"/>
      <c r="AA347" s="118"/>
      <c r="AB347" s="126">
        <f t="shared" si="5"/>
        <v>0</v>
      </c>
    </row>
    <row r="348" spans="2:28" hidden="1">
      <c r="B348" s="118"/>
      <c r="C348" s="118"/>
      <c r="D348" s="118"/>
      <c r="E348" s="118"/>
      <c r="F348" s="118"/>
      <c r="G348" s="118"/>
      <c r="H348" s="118"/>
      <c r="I348" s="118"/>
      <c r="J348" s="118"/>
      <c r="K348" s="118"/>
      <c r="L348" s="118"/>
      <c r="M348" s="118"/>
      <c r="N348" s="118"/>
      <c r="O348" s="121"/>
      <c r="P348" s="118"/>
      <c r="Q348" s="149"/>
      <c r="R348" s="123"/>
      <c r="S348" s="118"/>
      <c r="T348" s="118"/>
      <c r="U348" s="118"/>
      <c r="V348" s="118"/>
      <c r="W348" s="129"/>
      <c r="X348" s="121"/>
      <c r="Y348" s="121"/>
      <c r="Z348" s="118"/>
      <c r="AA348" s="118"/>
      <c r="AB348" s="126">
        <f t="shared" si="5"/>
        <v>0</v>
      </c>
    </row>
    <row r="349" spans="2:28" hidden="1">
      <c r="B349" s="118"/>
      <c r="C349" s="118"/>
      <c r="D349" s="118"/>
      <c r="E349" s="118"/>
      <c r="F349" s="118"/>
      <c r="G349" s="118"/>
      <c r="H349" s="118"/>
      <c r="I349" s="118"/>
      <c r="J349" s="118"/>
      <c r="K349" s="118"/>
      <c r="L349" s="118"/>
      <c r="M349" s="118"/>
      <c r="N349" s="118"/>
      <c r="O349" s="121"/>
      <c r="P349" s="118"/>
      <c r="Q349" s="149"/>
      <c r="R349" s="123"/>
      <c r="S349" s="118"/>
      <c r="T349" s="118"/>
      <c r="U349" s="118"/>
      <c r="V349" s="118"/>
      <c r="W349" s="129"/>
      <c r="X349" s="121"/>
      <c r="Y349" s="121"/>
      <c r="Z349" s="118"/>
      <c r="AA349" s="118"/>
      <c r="AB349" s="126">
        <f t="shared" si="5"/>
        <v>0</v>
      </c>
    </row>
    <row r="350" spans="2:28" hidden="1">
      <c r="B350" s="118"/>
      <c r="C350" s="118"/>
      <c r="D350" s="118"/>
      <c r="E350" s="118"/>
      <c r="F350" s="118"/>
      <c r="G350" s="118"/>
      <c r="H350" s="118"/>
      <c r="I350" s="118"/>
      <c r="J350" s="118"/>
      <c r="K350" s="118"/>
      <c r="L350" s="118"/>
      <c r="M350" s="118"/>
      <c r="N350" s="118"/>
      <c r="O350" s="121"/>
      <c r="P350" s="118"/>
      <c r="Q350" s="149"/>
      <c r="R350" s="123"/>
      <c r="S350" s="118"/>
      <c r="T350" s="118"/>
      <c r="U350" s="118"/>
      <c r="V350" s="118"/>
      <c r="W350" s="129"/>
      <c r="X350" s="121"/>
      <c r="Y350" s="121"/>
      <c r="Z350" s="118"/>
      <c r="AA350" s="118"/>
      <c r="AB350" s="126">
        <f t="shared" si="5"/>
        <v>0</v>
      </c>
    </row>
    <row r="351" spans="2:28" hidden="1">
      <c r="B351" s="118"/>
      <c r="C351" s="118"/>
      <c r="D351" s="118"/>
      <c r="E351" s="118"/>
      <c r="F351" s="118"/>
      <c r="G351" s="118"/>
      <c r="H351" s="118"/>
      <c r="I351" s="118"/>
      <c r="J351" s="118"/>
      <c r="K351" s="118"/>
      <c r="L351" s="118"/>
      <c r="M351" s="118"/>
      <c r="N351" s="118"/>
      <c r="O351" s="121"/>
      <c r="P351" s="118"/>
      <c r="Q351" s="149"/>
      <c r="R351" s="123"/>
      <c r="S351" s="118"/>
      <c r="T351" s="118"/>
      <c r="U351" s="118"/>
      <c r="V351" s="118"/>
      <c r="W351" s="129"/>
      <c r="X351" s="121"/>
      <c r="Y351" s="121"/>
      <c r="Z351" s="118"/>
      <c r="AA351" s="118"/>
      <c r="AB351" s="126">
        <f t="shared" si="5"/>
        <v>0</v>
      </c>
    </row>
    <row r="352" spans="2:28" hidden="1">
      <c r="B352" s="118"/>
      <c r="C352" s="118"/>
      <c r="D352" s="118"/>
      <c r="E352" s="118"/>
      <c r="F352" s="118"/>
      <c r="G352" s="118"/>
      <c r="H352" s="118"/>
      <c r="I352" s="118"/>
      <c r="J352" s="118"/>
      <c r="K352" s="118"/>
      <c r="L352" s="118"/>
      <c r="M352" s="118"/>
      <c r="N352" s="118"/>
      <c r="O352" s="121"/>
      <c r="P352" s="118"/>
      <c r="Q352" s="149"/>
      <c r="R352" s="123"/>
      <c r="S352" s="118"/>
      <c r="T352" s="118"/>
      <c r="U352" s="118"/>
      <c r="V352" s="118"/>
      <c r="W352" s="129"/>
      <c r="X352" s="121"/>
      <c r="Y352" s="121"/>
      <c r="Z352" s="118"/>
      <c r="AA352" s="118"/>
      <c r="AB352" s="126">
        <f t="shared" si="5"/>
        <v>0</v>
      </c>
    </row>
    <row r="353" spans="2:28" hidden="1">
      <c r="B353" s="118"/>
      <c r="C353" s="118"/>
      <c r="D353" s="118"/>
      <c r="E353" s="118"/>
      <c r="F353" s="118"/>
      <c r="G353" s="118"/>
      <c r="H353" s="118"/>
      <c r="I353" s="118"/>
      <c r="J353" s="118"/>
      <c r="K353" s="118"/>
      <c r="L353" s="118"/>
      <c r="M353" s="118"/>
      <c r="N353" s="118"/>
      <c r="O353" s="121"/>
      <c r="P353" s="118"/>
      <c r="Q353" s="149"/>
      <c r="R353" s="123"/>
      <c r="S353" s="118"/>
      <c r="T353" s="118"/>
      <c r="U353" s="118"/>
      <c r="V353" s="118"/>
      <c r="W353" s="129"/>
      <c r="X353" s="121"/>
      <c r="Y353" s="121"/>
      <c r="Z353" s="118"/>
      <c r="AA353" s="118"/>
      <c r="AB353" s="126">
        <f t="shared" si="5"/>
        <v>0</v>
      </c>
    </row>
    <row r="354" spans="2:28" hidden="1">
      <c r="B354" s="118"/>
      <c r="C354" s="118"/>
      <c r="D354" s="118"/>
      <c r="E354" s="118"/>
      <c r="F354" s="118"/>
      <c r="G354" s="118"/>
      <c r="H354" s="118"/>
      <c r="I354" s="118"/>
      <c r="J354" s="118"/>
      <c r="K354" s="118"/>
      <c r="L354" s="118"/>
      <c r="M354" s="118"/>
      <c r="N354" s="118"/>
      <c r="O354" s="121"/>
      <c r="P354" s="118"/>
      <c r="Q354" s="149"/>
      <c r="R354" s="123"/>
      <c r="S354" s="118"/>
      <c r="T354" s="118"/>
      <c r="U354" s="118"/>
      <c r="V354" s="118"/>
      <c r="W354" s="129"/>
      <c r="X354" s="121"/>
      <c r="Y354" s="121"/>
      <c r="Z354" s="118"/>
      <c r="AA354" s="118"/>
      <c r="AB354" s="126">
        <f t="shared" si="5"/>
        <v>0</v>
      </c>
    </row>
    <row r="355" spans="2:28" hidden="1">
      <c r="B355" s="118"/>
      <c r="C355" s="118"/>
      <c r="D355" s="118"/>
      <c r="E355" s="118"/>
      <c r="F355" s="118"/>
      <c r="G355" s="118"/>
      <c r="H355" s="118"/>
      <c r="I355" s="118"/>
      <c r="J355" s="118"/>
      <c r="K355" s="118"/>
      <c r="L355" s="118"/>
      <c r="M355" s="118"/>
      <c r="N355" s="118"/>
      <c r="O355" s="121"/>
      <c r="P355" s="118"/>
      <c r="Q355" s="149"/>
      <c r="R355" s="123"/>
      <c r="S355" s="118"/>
      <c r="T355" s="118"/>
      <c r="U355" s="118"/>
      <c r="V355" s="118"/>
      <c r="W355" s="129"/>
      <c r="X355" s="121"/>
      <c r="Y355" s="121"/>
      <c r="Z355" s="118"/>
      <c r="AA355" s="118"/>
      <c r="AB355" s="126">
        <f t="shared" si="5"/>
        <v>0</v>
      </c>
    </row>
    <row r="356" spans="2:28" hidden="1">
      <c r="B356" s="118"/>
      <c r="C356" s="118"/>
      <c r="D356" s="118"/>
      <c r="E356" s="118"/>
      <c r="F356" s="118"/>
      <c r="G356" s="118"/>
      <c r="H356" s="118"/>
      <c r="I356" s="118"/>
      <c r="J356" s="118"/>
      <c r="K356" s="118"/>
      <c r="L356" s="118"/>
      <c r="M356" s="118"/>
      <c r="N356" s="118"/>
      <c r="O356" s="121"/>
      <c r="P356" s="118"/>
      <c r="Q356" s="149"/>
      <c r="R356" s="123"/>
      <c r="S356" s="118"/>
      <c r="T356" s="118"/>
      <c r="U356" s="118"/>
      <c r="V356" s="118"/>
      <c r="W356" s="129"/>
      <c r="X356" s="121"/>
      <c r="Y356" s="121"/>
      <c r="Z356" s="118"/>
      <c r="AA356" s="118"/>
      <c r="AB356" s="126">
        <f t="shared" si="5"/>
        <v>0</v>
      </c>
    </row>
    <row r="357" spans="2:28" hidden="1">
      <c r="B357" s="118"/>
      <c r="C357" s="118"/>
      <c r="D357" s="118"/>
      <c r="E357" s="118"/>
      <c r="F357" s="118"/>
      <c r="G357" s="118"/>
      <c r="H357" s="118"/>
      <c r="I357" s="118"/>
      <c r="J357" s="118"/>
      <c r="K357" s="118"/>
      <c r="L357" s="118"/>
      <c r="M357" s="118"/>
      <c r="N357" s="118"/>
      <c r="O357" s="121"/>
      <c r="P357" s="118"/>
      <c r="Q357" s="149"/>
      <c r="R357" s="123"/>
      <c r="S357" s="118"/>
      <c r="T357" s="118"/>
      <c r="U357" s="118"/>
      <c r="V357" s="118"/>
      <c r="W357" s="129"/>
      <c r="X357" s="121"/>
      <c r="Y357" s="121"/>
      <c r="Z357" s="118"/>
      <c r="AA357" s="118"/>
      <c r="AB357" s="126">
        <f t="shared" si="5"/>
        <v>0</v>
      </c>
    </row>
    <row r="358" spans="2:28" hidden="1">
      <c r="B358" s="118"/>
      <c r="C358" s="118"/>
      <c r="D358" s="118"/>
      <c r="E358" s="118"/>
      <c r="F358" s="118"/>
      <c r="G358" s="118"/>
      <c r="H358" s="118"/>
      <c r="I358" s="118"/>
      <c r="J358" s="118"/>
      <c r="K358" s="118"/>
      <c r="L358" s="118"/>
      <c r="M358" s="118"/>
      <c r="N358" s="118"/>
      <c r="O358" s="121"/>
      <c r="P358" s="118"/>
      <c r="Q358" s="149"/>
      <c r="R358" s="123"/>
      <c r="S358" s="118"/>
      <c r="T358" s="118"/>
      <c r="U358" s="118"/>
      <c r="V358" s="118"/>
      <c r="W358" s="129"/>
      <c r="X358" s="121"/>
      <c r="Y358" s="121"/>
      <c r="Z358" s="118"/>
      <c r="AA358" s="118"/>
      <c r="AB358" s="126">
        <f t="shared" si="5"/>
        <v>0</v>
      </c>
    </row>
    <row r="359" spans="2:28" hidden="1">
      <c r="B359" s="118"/>
      <c r="C359" s="118"/>
      <c r="D359" s="118"/>
      <c r="E359" s="118"/>
      <c r="F359" s="118"/>
      <c r="G359" s="118"/>
      <c r="H359" s="118"/>
      <c r="I359" s="118"/>
      <c r="J359" s="118"/>
      <c r="K359" s="118"/>
      <c r="L359" s="118"/>
      <c r="M359" s="118"/>
      <c r="N359" s="118"/>
      <c r="O359" s="121"/>
      <c r="P359" s="118"/>
      <c r="Q359" s="149"/>
      <c r="R359" s="123"/>
      <c r="S359" s="118"/>
      <c r="T359" s="118"/>
      <c r="U359" s="118"/>
      <c r="V359" s="118"/>
      <c r="W359" s="129"/>
      <c r="X359" s="121"/>
      <c r="Y359" s="121"/>
      <c r="Z359" s="118"/>
      <c r="AA359" s="118"/>
      <c r="AB359" s="126">
        <f t="shared" si="5"/>
        <v>0</v>
      </c>
    </row>
    <row r="360" spans="2:28" hidden="1">
      <c r="B360" s="118"/>
      <c r="C360" s="118"/>
      <c r="D360" s="118"/>
      <c r="E360" s="118"/>
      <c r="F360" s="118"/>
      <c r="G360" s="118"/>
      <c r="H360" s="118"/>
      <c r="I360" s="118"/>
      <c r="J360" s="118"/>
      <c r="K360" s="118"/>
      <c r="L360" s="118"/>
      <c r="M360" s="118"/>
      <c r="N360" s="118"/>
      <c r="O360" s="121"/>
      <c r="P360" s="118"/>
      <c r="Q360" s="149"/>
      <c r="R360" s="123"/>
      <c r="S360" s="118"/>
      <c r="T360" s="118"/>
      <c r="U360" s="118"/>
      <c r="V360" s="118"/>
      <c r="W360" s="129"/>
      <c r="X360" s="121"/>
      <c r="Y360" s="121"/>
      <c r="Z360" s="118"/>
      <c r="AA360" s="118"/>
      <c r="AB360" s="126">
        <f t="shared" si="5"/>
        <v>0</v>
      </c>
    </row>
    <row r="361" spans="2:28" hidden="1">
      <c r="B361" s="118"/>
      <c r="C361" s="118"/>
      <c r="D361" s="118"/>
      <c r="E361" s="118"/>
      <c r="F361" s="118"/>
      <c r="G361" s="118"/>
      <c r="H361" s="118"/>
      <c r="I361" s="118"/>
      <c r="J361" s="118"/>
      <c r="K361" s="118"/>
      <c r="L361" s="118"/>
      <c r="M361" s="118"/>
      <c r="N361" s="118"/>
      <c r="O361" s="121"/>
      <c r="P361" s="118"/>
      <c r="Q361" s="149"/>
      <c r="R361" s="123"/>
      <c r="S361" s="118"/>
      <c r="T361" s="118"/>
      <c r="U361" s="118"/>
      <c r="V361" s="118"/>
      <c r="W361" s="129"/>
      <c r="X361" s="121"/>
      <c r="Y361" s="121"/>
      <c r="Z361" s="118"/>
      <c r="AA361" s="118"/>
      <c r="AB361" s="126">
        <f t="shared" si="5"/>
        <v>0</v>
      </c>
    </row>
    <row r="362" spans="2:28" hidden="1">
      <c r="B362" s="118"/>
      <c r="C362" s="118"/>
      <c r="D362" s="118"/>
      <c r="E362" s="118"/>
      <c r="F362" s="118"/>
      <c r="G362" s="118"/>
      <c r="H362" s="118"/>
      <c r="I362" s="118"/>
      <c r="J362" s="118"/>
      <c r="K362" s="118"/>
      <c r="L362" s="118"/>
      <c r="M362" s="118"/>
      <c r="N362" s="118"/>
      <c r="O362" s="121"/>
      <c r="P362" s="118"/>
      <c r="Q362" s="149"/>
      <c r="R362" s="123"/>
      <c r="S362" s="118"/>
      <c r="T362" s="118"/>
      <c r="U362" s="118"/>
      <c r="V362" s="118"/>
      <c r="W362" s="129"/>
      <c r="X362" s="121"/>
      <c r="Y362" s="121"/>
      <c r="Z362" s="118"/>
      <c r="AA362" s="118"/>
      <c r="AB362" s="126">
        <f t="shared" si="5"/>
        <v>0</v>
      </c>
    </row>
    <row r="363" spans="2:28" hidden="1">
      <c r="B363" s="118"/>
      <c r="C363" s="118"/>
      <c r="D363" s="118"/>
      <c r="E363" s="118"/>
      <c r="F363" s="118"/>
      <c r="G363" s="118"/>
      <c r="H363" s="118"/>
      <c r="I363" s="118"/>
      <c r="J363" s="118"/>
      <c r="K363" s="118"/>
      <c r="L363" s="118"/>
      <c r="M363" s="118"/>
      <c r="N363" s="118"/>
      <c r="O363" s="121"/>
      <c r="P363" s="118"/>
      <c r="Q363" s="149"/>
      <c r="R363" s="123"/>
      <c r="S363" s="118"/>
      <c r="T363" s="118"/>
      <c r="U363" s="118"/>
      <c r="V363" s="118"/>
      <c r="W363" s="129"/>
      <c r="X363" s="121"/>
      <c r="Y363" s="121"/>
      <c r="Z363" s="118"/>
      <c r="AA363" s="118"/>
      <c r="AB363" s="126">
        <f t="shared" si="5"/>
        <v>0</v>
      </c>
    </row>
    <row r="364" spans="2:28" hidden="1">
      <c r="B364" s="118"/>
      <c r="C364" s="118"/>
      <c r="D364" s="118"/>
      <c r="E364" s="118"/>
      <c r="F364" s="118"/>
      <c r="G364" s="118"/>
      <c r="H364" s="118"/>
      <c r="I364" s="118"/>
      <c r="J364" s="118"/>
      <c r="K364" s="118"/>
      <c r="L364" s="118"/>
      <c r="M364" s="118"/>
      <c r="N364" s="118"/>
      <c r="O364" s="121"/>
      <c r="P364" s="118"/>
      <c r="Q364" s="149"/>
      <c r="R364" s="123"/>
      <c r="S364" s="118"/>
      <c r="T364" s="118"/>
      <c r="U364" s="118"/>
      <c r="V364" s="118"/>
      <c r="W364" s="129"/>
      <c r="X364" s="121"/>
      <c r="Y364" s="121"/>
      <c r="Z364" s="118"/>
      <c r="AA364" s="118"/>
      <c r="AB364" s="126">
        <f t="shared" si="5"/>
        <v>0</v>
      </c>
    </row>
    <row r="365" spans="2:28" hidden="1">
      <c r="B365" s="118"/>
      <c r="C365" s="118"/>
      <c r="D365" s="118"/>
      <c r="E365" s="118"/>
      <c r="F365" s="118"/>
      <c r="G365" s="118"/>
      <c r="H365" s="118"/>
      <c r="I365" s="118"/>
      <c r="J365" s="118"/>
      <c r="K365" s="118"/>
      <c r="L365" s="118"/>
      <c r="M365" s="118"/>
      <c r="N365" s="118"/>
      <c r="O365" s="121"/>
      <c r="P365" s="118"/>
      <c r="Q365" s="149"/>
      <c r="R365" s="123"/>
      <c r="S365" s="118"/>
      <c r="T365" s="118"/>
      <c r="U365" s="118"/>
      <c r="V365" s="118"/>
      <c r="W365" s="129"/>
      <c r="X365" s="121"/>
      <c r="Y365" s="121"/>
      <c r="Z365" s="118"/>
      <c r="AA365" s="118"/>
      <c r="AB365" s="126">
        <f t="shared" si="5"/>
        <v>0</v>
      </c>
    </row>
    <row r="366" spans="2:28" hidden="1">
      <c r="B366" s="118"/>
      <c r="C366" s="118"/>
      <c r="D366" s="118"/>
      <c r="E366" s="118"/>
      <c r="F366" s="118"/>
      <c r="G366" s="118"/>
      <c r="H366" s="118"/>
      <c r="I366" s="118"/>
      <c r="J366" s="118"/>
      <c r="K366" s="118"/>
      <c r="L366" s="118"/>
      <c r="M366" s="118"/>
      <c r="N366" s="118"/>
      <c r="O366" s="121"/>
      <c r="P366" s="118"/>
      <c r="Q366" s="149"/>
      <c r="R366" s="123"/>
      <c r="S366" s="118"/>
      <c r="T366" s="118"/>
      <c r="U366" s="118"/>
      <c r="V366" s="118"/>
      <c r="W366" s="129"/>
      <c r="X366" s="121"/>
      <c r="Y366" s="121"/>
      <c r="Z366" s="118"/>
      <c r="AA366" s="118"/>
      <c r="AB366" s="126">
        <f t="shared" si="5"/>
        <v>0</v>
      </c>
    </row>
    <row r="367" spans="2:28" hidden="1">
      <c r="B367" s="118"/>
      <c r="C367" s="118"/>
      <c r="D367" s="118"/>
      <c r="E367" s="118"/>
      <c r="F367" s="118"/>
      <c r="G367" s="118"/>
      <c r="H367" s="118"/>
      <c r="I367" s="118"/>
      <c r="J367" s="118"/>
      <c r="K367" s="118"/>
      <c r="L367" s="118"/>
      <c r="M367" s="118"/>
      <c r="N367" s="118"/>
      <c r="O367" s="121"/>
      <c r="P367" s="118"/>
      <c r="Q367" s="149"/>
      <c r="R367" s="123"/>
      <c r="S367" s="118"/>
      <c r="T367" s="118"/>
      <c r="U367" s="118"/>
      <c r="V367" s="118"/>
      <c r="W367" s="129"/>
      <c r="X367" s="121"/>
      <c r="Y367" s="121"/>
      <c r="Z367" s="118"/>
      <c r="AA367" s="118"/>
      <c r="AB367" s="126">
        <f t="shared" si="5"/>
        <v>0</v>
      </c>
    </row>
    <row r="368" spans="2:28" hidden="1">
      <c r="B368" s="118"/>
      <c r="C368" s="118"/>
      <c r="D368" s="118"/>
      <c r="E368" s="118"/>
      <c r="F368" s="118"/>
      <c r="G368" s="118"/>
      <c r="H368" s="118"/>
      <c r="I368" s="118"/>
      <c r="J368" s="118"/>
      <c r="K368" s="118"/>
      <c r="L368" s="118"/>
      <c r="M368" s="118"/>
      <c r="N368" s="118"/>
      <c r="O368" s="121"/>
      <c r="P368" s="118"/>
      <c r="Q368" s="149"/>
      <c r="R368" s="123"/>
      <c r="S368" s="118"/>
      <c r="T368" s="118"/>
      <c r="U368" s="118"/>
      <c r="V368" s="118"/>
      <c r="W368" s="129"/>
      <c r="X368" s="121"/>
      <c r="Y368" s="121"/>
      <c r="Z368" s="118"/>
      <c r="AA368" s="118"/>
      <c r="AB368" s="126">
        <f t="shared" si="5"/>
        <v>0</v>
      </c>
    </row>
    <row r="369" spans="2:28" hidden="1">
      <c r="B369" s="118"/>
      <c r="C369" s="118"/>
      <c r="D369" s="118"/>
      <c r="E369" s="118"/>
      <c r="F369" s="118"/>
      <c r="G369" s="118"/>
      <c r="H369" s="118"/>
      <c r="I369" s="118"/>
      <c r="J369" s="118"/>
      <c r="K369" s="118"/>
      <c r="L369" s="118"/>
      <c r="M369" s="118"/>
      <c r="N369" s="118"/>
      <c r="O369" s="121"/>
      <c r="P369" s="118"/>
      <c r="Q369" s="149"/>
      <c r="R369" s="123"/>
      <c r="S369" s="118"/>
      <c r="T369" s="118"/>
      <c r="U369" s="118"/>
      <c r="V369" s="118"/>
      <c r="W369" s="129"/>
      <c r="X369" s="121"/>
      <c r="Y369" s="121"/>
      <c r="Z369" s="118"/>
      <c r="AA369" s="118"/>
      <c r="AB369" s="126">
        <f t="shared" si="5"/>
        <v>0</v>
      </c>
    </row>
    <row r="370" spans="2:28" hidden="1">
      <c r="B370" s="118"/>
      <c r="C370" s="118"/>
      <c r="D370" s="118"/>
      <c r="E370" s="118"/>
      <c r="F370" s="118"/>
      <c r="G370" s="118"/>
      <c r="H370" s="118"/>
      <c r="I370" s="118"/>
      <c r="J370" s="118"/>
      <c r="K370" s="118"/>
      <c r="L370" s="118"/>
      <c r="M370" s="118"/>
      <c r="N370" s="118"/>
      <c r="O370" s="121"/>
      <c r="P370" s="118"/>
      <c r="Q370" s="149"/>
      <c r="R370" s="123"/>
      <c r="S370" s="118"/>
      <c r="T370" s="118"/>
      <c r="U370" s="118"/>
      <c r="V370" s="118"/>
      <c r="W370" s="129"/>
      <c r="X370" s="121"/>
      <c r="Y370" s="121"/>
      <c r="Z370" s="118"/>
      <c r="AA370" s="118"/>
      <c r="AB370" s="126">
        <f t="shared" si="5"/>
        <v>0</v>
      </c>
    </row>
    <row r="371" spans="2:28" hidden="1">
      <c r="B371" s="118"/>
      <c r="C371" s="118"/>
      <c r="D371" s="118"/>
      <c r="E371" s="118"/>
      <c r="F371" s="118"/>
      <c r="G371" s="118"/>
      <c r="H371" s="118"/>
      <c r="I371" s="118"/>
      <c r="J371" s="118"/>
      <c r="K371" s="118"/>
      <c r="L371" s="118"/>
      <c r="M371" s="118"/>
      <c r="N371" s="118"/>
      <c r="O371" s="121"/>
      <c r="P371" s="118"/>
      <c r="Q371" s="149"/>
      <c r="R371" s="123"/>
      <c r="S371" s="118"/>
      <c r="T371" s="118"/>
      <c r="U371" s="118"/>
      <c r="V371" s="118"/>
      <c r="W371" s="129"/>
      <c r="X371" s="121"/>
      <c r="Y371" s="121"/>
      <c r="Z371" s="118"/>
      <c r="AA371" s="118"/>
      <c r="AB371" s="126">
        <f t="shared" si="5"/>
        <v>0</v>
      </c>
    </row>
    <row r="372" spans="2:28" hidden="1">
      <c r="B372" s="118"/>
      <c r="C372" s="118"/>
      <c r="D372" s="118"/>
      <c r="E372" s="118"/>
      <c r="F372" s="118"/>
      <c r="G372" s="118"/>
      <c r="H372" s="118"/>
      <c r="I372" s="118"/>
      <c r="J372" s="118"/>
      <c r="K372" s="118"/>
      <c r="L372" s="118"/>
      <c r="M372" s="118"/>
      <c r="N372" s="118"/>
      <c r="O372" s="121"/>
      <c r="P372" s="118"/>
      <c r="Q372" s="149"/>
      <c r="R372" s="123"/>
      <c r="S372" s="118"/>
      <c r="T372" s="118"/>
      <c r="U372" s="118"/>
      <c r="V372" s="118"/>
      <c r="W372" s="129"/>
      <c r="X372" s="121"/>
      <c r="Y372" s="121"/>
      <c r="Z372" s="118"/>
      <c r="AA372" s="118"/>
      <c r="AB372" s="126">
        <f t="shared" si="5"/>
        <v>0</v>
      </c>
    </row>
    <row r="373" spans="2:28" hidden="1">
      <c r="B373" s="118"/>
      <c r="C373" s="118"/>
      <c r="D373" s="118"/>
      <c r="E373" s="118"/>
      <c r="F373" s="118"/>
      <c r="G373" s="118"/>
      <c r="H373" s="118"/>
      <c r="I373" s="118"/>
      <c r="J373" s="118"/>
      <c r="K373" s="118"/>
      <c r="L373" s="118"/>
      <c r="M373" s="118"/>
      <c r="N373" s="118"/>
      <c r="O373" s="121"/>
      <c r="P373" s="118"/>
      <c r="Q373" s="149"/>
      <c r="R373" s="123"/>
      <c r="S373" s="118"/>
      <c r="T373" s="118"/>
      <c r="U373" s="118"/>
      <c r="V373" s="118"/>
      <c r="W373" s="129"/>
      <c r="X373" s="121"/>
      <c r="Y373" s="121"/>
      <c r="Z373" s="118"/>
      <c r="AA373" s="118"/>
      <c r="AB373" s="126">
        <f t="shared" si="5"/>
        <v>0</v>
      </c>
    </row>
    <row r="374" spans="2:28" hidden="1">
      <c r="B374" s="118"/>
      <c r="C374" s="118"/>
      <c r="D374" s="118"/>
      <c r="E374" s="118"/>
      <c r="F374" s="118"/>
      <c r="G374" s="118"/>
      <c r="H374" s="118"/>
      <c r="I374" s="118"/>
      <c r="J374" s="118"/>
      <c r="K374" s="118"/>
      <c r="L374" s="118"/>
      <c r="M374" s="118"/>
      <c r="N374" s="118"/>
      <c r="O374" s="121"/>
      <c r="P374" s="118"/>
      <c r="Q374" s="149"/>
      <c r="R374" s="123"/>
      <c r="S374" s="118"/>
      <c r="T374" s="118"/>
      <c r="U374" s="118"/>
      <c r="V374" s="118"/>
      <c r="W374" s="129"/>
      <c r="X374" s="121"/>
      <c r="Y374" s="121"/>
      <c r="Z374" s="118"/>
      <c r="AA374" s="118"/>
      <c r="AB374" s="126">
        <f t="shared" si="5"/>
        <v>0</v>
      </c>
    </row>
    <row r="375" spans="2:28" hidden="1">
      <c r="B375" s="118"/>
      <c r="C375" s="118"/>
      <c r="D375" s="118"/>
      <c r="E375" s="118"/>
      <c r="F375" s="118"/>
      <c r="G375" s="118"/>
      <c r="H375" s="118"/>
      <c r="I375" s="118"/>
      <c r="J375" s="118"/>
      <c r="K375" s="118"/>
      <c r="L375" s="118"/>
      <c r="M375" s="118"/>
      <c r="N375" s="118"/>
      <c r="O375" s="121"/>
      <c r="P375" s="118"/>
      <c r="Q375" s="149"/>
      <c r="R375" s="123"/>
      <c r="S375" s="118"/>
      <c r="T375" s="118"/>
      <c r="U375" s="118"/>
      <c r="V375" s="118"/>
      <c r="W375" s="129"/>
      <c r="X375" s="121"/>
      <c r="Y375" s="121"/>
      <c r="Z375" s="118"/>
      <c r="AA375" s="118"/>
      <c r="AB375" s="126">
        <f t="shared" si="5"/>
        <v>0</v>
      </c>
    </row>
    <row r="376" spans="2:28" hidden="1">
      <c r="B376" s="118"/>
      <c r="C376" s="118"/>
      <c r="D376" s="118"/>
      <c r="E376" s="118"/>
      <c r="F376" s="118"/>
      <c r="G376" s="118"/>
      <c r="H376" s="118"/>
      <c r="I376" s="118"/>
      <c r="J376" s="118"/>
      <c r="K376" s="118"/>
      <c r="L376" s="118"/>
      <c r="M376" s="118"/>
      <c r="N376" s="118"/>
      <c r="O376" s="121"/>
      <c r="P376" s="118"/>
      <c r="Q376" s="149"/>
      <c r="R376" s="123"/>
      <c r="S376" s="118"/>
      <c r="T376" s="118"/>
      <c r="U376" s="118"/>
      <c r="V376" s="118"/>
      <c r="W376" s="129"/>
      <c r="X376" s="121"/>
      <c r="Y376" s="121"/>
      <c r="Z376" s="118"/>
      <c r="AA376" s="118"/>
      <c r="AB376" s="126">
        <f t="shared" si="5"/>
        <v>0</v>
      </c>
    </row>
    <row r="377" spans="2:28" hidden="1">
      <c r="B377" s="118"/>
      <c r="C377" s="118"/>
      <c r="D377" s="118"/>
      <c r="E377" s="118"/>
      <c r="F377" s="118"/>
      <c r="G377" s="118"/>
      <c r="H377" s="118"/>
      <c r="I377" s="118"/>
      <c r="J377" s="118"/>
      <c r="K377" s="118"/>
      <c r="L377" s="118"/>
      <c r="M377" s="118"/>
      <c r="N377" s="118"/>
      <c r="O377" s="121"/>
      <c r="P377" s="118"/>
      <c r="Q377" s="149"/>
      <c r="R377" s="123"/>
      <c r="S377" s="118"/>
      <c r="T377" s="118"/>
      <c r="U377" s="118"/>
      <c r="V377" s="118"/>
      <c r="W377" s="129"/>
      <c r="X377" s="121"/>
      <c r="Y377" s="121"/>
      <c r="Z377" s="118"/>
      <c r="AA377" s="118"/>
      <c r="AB377" s="126">
        <f t="shared" si="5"/>
        <v>0</v>
      </c>
    </row>
    <row r="378" spans="2:28" hidden="1">
      <c r="B378" s="118"/>
      <c r="C378" s="118"/>
      <c r="D378" s="118"/>
      <c r="E378" s="118"/>
      <c r="F378" s="118"/>
      <c r="G378" s="118"/>
      <c r="H378" s="118"/>
      <c r="I378" s="118"/>
      <c r="J378" s="118"/>
      <c r="K378" s="118"/>
      <c r="L378" s="118"/>
      <c r="M378" s="118"/>
      <c r="N378" s="118"/>
      <c r="O378" s="121"/>
      <c r="P378" s="118"/>
      <c r="Q378" s="149"/>
      <c r="R378" s="123"/>
      <c r="S378" s="118"/>
      <c r="T378" s="118"/>
      <c r="U378" s="118"/>
      <c r="V378" s="118"/>
      <c r="W378" s="129"/>
      <c r="X378" s="121"/>
      <c r="Y378" s="121"/>
      <c r="Z378" s="118"/>
      <c r="AA378" s="118"/>
      <c r="AB378" s="126">
        <f t="shared" si="5"/>
        <v>0</v>
      </c>
    </row>
    <row r="379" spans="2:28" hidden="1">
      <c r="B379" s="118"/>
      <c r="C379" s="118"/>
      <c r="D379" s="118"/>
      <c r="E379" s="118"/>
      <c r="F379" s="118"/>
      <c r="G379" s="118"/>
      <c r="H379" s="118"/>
      <c r="I379" s="118"/>
      <c r="J379" s="118"/>
      <c r="K379" s="118"/>
      <c r="L379" s="118"/>
      <c r="M379" s="118"/>
      <c r="N379" s="118"/>
      <c r="O379" s="121"/>
      <c r="P379" s="118"/>
      <c r="Q379" s="149"/>
      <c r="R379" s="123"/>
      <c r="S379" s="118"/>
      <c r="T379" s="118"/>
      <c r="U379" s="118"/>
      <c r="V379" s="118"/>
      <c r="W379" s="129"/>
      <c r="X379" s="121"/>
      <c r="Y379" s="121"/>
      <c r="Z379" s="118"/>
      <c r="AA379" s="118"/>
      <c r="AB379" s="126">
        <f t="shared" si="5"/>
        <v>0</v>
      </c>
    </row>
    <row r="380" spans="2:28" hidden="1">
      <c r="B380" s="118"/>
      <c r="C380" s="118"/>
      <c r="D380" s="118"/>
      <c r="E380" s="118"/>
      <c r="F380" s="118"/>
      <c r="G380" s="118"/>
      <c r="H380" s="118"/>
      <c r="I380" s="118"/>
      <c r="J380" s="118"/>
      <c r="K380" s="118"/>
      <c r="L380" s="118"/>
      <c r="M380" s="118"/>
      <c r="N380" s="118"/>
      <c r="O380" s="121"/>
      <c r="P380" s="118"/>
      <c r="Q380" s="149"/>
      <c r="R380" s="123"/>
      <c r="S380" s="118"/>
      <c r="T380" s="118"/>
      <c r="U380" s="118"/>
      <c r="V380" s="118"/>
      <c r="W380" s="129"/>
      <c r="X380" s="121"/>
      <c r="Y380" s="121"/>
      <c r="Z380" s="118"/>
      <c r="AA380" s="118"/>
      <c r="AB380" s="126">
        <f t="shared" si="5"/>
        <v>0</v>
      </c>
    </row>
    <row r="381" spans="2:28" hidden="1">
      <c r="B381" s="118"/>
      <c r="C381" s="118"/>
      <c r="D381" s="118"/>
      <c r="E381" s="118"/>
      <c r="F381" s="118"/>
      <c r="G381" s="118"/>
      <c r="H381" s="118"/>
      <c r="I381" s="118"/>
      <c r="J381" s="118"/>
      <c r="K381" s="118"/>
      <c r="L381" s="118"/>
      <c r="M381" s="118"/>
      <c r="N381" s="118"/>
      <c r="O381" s="121"/>
      <c r="P381" s="118"/>
      <c r="Q381" s="149"/>
      <c r="R381" s="123"/>
      <c r="S381" s="118"/>
      <c r="T381" s="118"/>
      <c r="U381" s="118"/>
      <c r="V381" s="118"/>
      <c r="W381" s="129"/>
      <c r="X381" s="121"/>
      <c r="Y381" s="121"/>
      <c r="Z381" s="118"/>
      <c r="AA381" s="118"/>
      <c r="AB381" s="126">
        <f t="shared" si="5"/>
        <v>0</v>
      </c>
    </row>
    <row r="382" spans="2:28" hidden="1">
      <c r="B382" s="118"/>
      <c r="C382" s="118"/>
      <c r="D382" s="118"/>
      <c r="E382" s="118"/>
      <c r="F382" s="118"/>
      <c r="G382" s="118"/>
      <c r="H382" s="118"/>
      <c r="I382" s="118"/>
      <c r="J382" s="118"/>
      <c r="K382" s="118"/>
      <c r="L382" s="118"/>
      <c r="M382" s="118"/>
      <c r="N382" s="118"/>
      <c r="O382" s="121"/>
      <c r="P382" s="118"/>
      <c r="Q382" s="149"/>
      <c r="R382" s="123"/>
      <c r="S382" s="118"/>
      <c r="T382" s="118"/>
      <c r="U382" s="118"/>
      <c r="V382" s="118"/>
      <c r="W382" s="129"/>
      <c r="X382" s="121"/>
      <c r="Y382" s="121"/>
      <c r="Z382" s="118"/>
      <c r="AA382" s="118"/>
      <c r="AB382" s="126">
        <f t="shared" si="5"/>
        <v>0</v>
      </c>
    </row>
    <row r="383" spans="2:28" hidden="1">
      <c r="B383" s="118"/>
      <c r="C383" s="118"/>
      <c r="D383" s="118"/>
      <c r="E383" s="118"/>
      <c r="F383" s="118"/>
      <c r="G383" s="118"/>
      <c r="H383" s="118"/>
      <c r="I383" s="118"/>
      <c r="J383" s="118"/>
      <c r="K383" s="118"/>
      <c r="L383" s="118"/>
      <c r="M383" s="118"/>
      <c r="N383" s="118"/>
      <c r="O383" s="121"/>
      <c r="P383" s="118"/>
      <c r="Q383" s="149"/>
      <c r="R383" s="123"/>
      <c r="S383" s="118"/>
      <c r="T383" s="118"/>
      <c r="U383" s="118"/>
      <c r="V383" s="118"/>
      <c r="W383" s="129"/>
      <c r="X383" s="121"/>
      <c r="Y383" s="121"/>
      <c r="Z383" s="118"/>
      <c r="AA383" s="118"/>
      <c r="AB383" s="126">
        <f t="shared" si="5"/>
        <v>0</v>
      </c>
    </row>
    <row r="384" spans="2:28" hidden="1">
      <c r="B384" s="118"/>
      <c r="C384" s="118"/>
      <c r="D384" s="118"/>
      <c r="E384" s="118"/>
      <c r="F384" s="118"/>
      <c r="G384" s="118"/>
      <c r="H384" s="118"/>
      <c r="I384" s="118"/>
      <c r="J384" s="118"/>
      <c r="K384" s="118"/>
      <c r="L384" s="118"/>
      <c r="M384" s="118"/>
      <c r="N384" s="118"/>
      <c r="O384" s="121"/>
      <c r="P384" s="118"/>
      <c r="Q384" s="149"/>
      <c r="R384" s="123"/>
      <c r="S384" s="118"/>
      <c r="T384" s="118"/>
      <c r="U384" s="118"/>
      <c r="V384" s="118"/>
      <c r="W384" s="129"/>
      <c r="X384" s="121"/>
      <c r="Y384" s="121"/>
      <c r="Z384" s="118"/>
      <c r="AA384" s="118"/>
      <c r="AB384" s="126">
        <f t="shared" si="5"/>
        <v>0</v>
      </c>
    </row>
    <row r="385" spans="2:28" hidden="1">
      <c r="B385" s="118"/>
      <c r="C385" s="118"/>
      <c r="D385" s="118"/>
      <c r="E385" s="118"/>
      <c r="F385" s="118"/>
      <c r="G385" s="118"/>
      <c r="H385" s="118"/>
      <c r="I385" s="118"/>
      <c r="J385" s="118"/>
      <c r="K385" s="118"/>
      <c r="L385" s="118"/>
      <c r="M385" s="118"/>
      <c r="N385" s="118"/>
      <c r="O385" s="121"/>
      <c r="P385" s="118"/>
      <c r="Q385" s="149"/>
      <c r="R385" s="123"/>
      <c r="S385" s="118"/>
      <c r="T385" s="118"/>
      <c r="U385" s="118"/>
      <c r="V385" s="118"/>
      <c r="W385" s="129"/>
      <c r="X385" s="121"/>
      <c r="Y385" s="121"/>
      <c r="Z385" s="118"/>
      <c r="AA385" s="118"/>
      <c r="AB385" s="126">
        <f t="shared" si="5"/>
        <v>0</v>
      </c>
    </row>
    <row r="386" spans="2:28" hidden="1">
      <c r="B386" s="118"/>
      <c r="C386" s="118"/>
      <c r="D386" s="118"/>
      <c r="E386" s="118"/>
      <c r="F386" s="118"/>
      <c r="G386" s="118"/>
      <c r="H386" s="118"/>
      <c r="I386" s="118"/>
      <c r="J386" s="118"/>
      <c r="K386" s="118"/>
      <c r="L386" s="118"/>
      <c r="M386" s="118"/>
      <c r="N386" s="118"/>
      <c r="O386" s="121"/>
      <c r="P386" s="118"/>
      <c r="Q386" s="149"/>
      <c r="R386" s="123"/>
      <c r="S386" s="118"/>
      <c r="T386" s="118"/>
      <c r="U386" s="118"/>
      <c r="V386" s="118"/>
      <c r="W386" s="129"/>
      <c r="X386" s="121"/>
      <c r="Y386" s="121"/>
      <c r="Z386" s="118"/>
      <c r="AA386" s="118"/>
      <c r="AB386" s="126">
        <f t="shared" si="5"/>
        <v>0</v>
      </c>
    </row>
    <row r="387" spans="2:28" hidden="1">
      <c r="B387" s="118"/>
      <c r="C387" s="118"/>
      <c r="D387" s="118"/>
      <c r="E387" s="118"/>
      <c r="F387" s="118"/>
      <c r="G387" s="118"/>
      <c r="H387" s="118"/>
      <c r="I387" s="118"/>
      <c r="J387" s="118"/>
      <c r="K387" s="118"/>
      <c r="L387" s="118"/>
      <c r="M387" s="118"/>
      <c r="N387" s="118"/>
      <c r="O387" s="121"/>
      <c r="P387" s="118"/>
      <c r="Q387" s="149"/>
      <c r="R387" s="123"/>
      <c r="S387" s="118"/>
      <c r="T387" s="118"/>
      <c r="U387" s="118"/>
      <c r="V387" s="118"/>
      <c r="W387" s="129"/>
      <c r="X387" s="121"/>
      <c r="Y387" s="121"/>
      <c r="Z387" s="118"/>
      <c r="AA387" s="118"/>
      <c r="AB387" s="126">
        <f t="shared" si="5"/>
        <v>0</v>
      </c>
    </row>
    <row r="388" spans="2:28" hidden="1">
      <c r="B388" s="118"/>
      <c r="C388" s="118"/>
      <c r="D388" s="118"/>
      <c r="E388" s="118"/>
      <c r="F388" s="118"/>
      <c r="G388" s="118"/>
      <c r="H388" s="118"/>
      <c r="I388" s="118"/>
      <c r="J388" s="118"/>
      <c r="K388" s="118"/>
      <c r="L388" s="118"/>
      <c r="M388" s="118"/>
      <c r="N388" s="118"/>
      <c r="O388" s="121"/>
      <c r="P388" s="118"/>
      <c r="Q388" s="149"/>
      <c r="R388" s="123"/>
      <c r="S388" s="118"/>
      <c r="T388" s="118"/>
      <c r="U388" s="118"/>
      <c r="V388" s="118"/>
      <c r="W388" s="129"/>
      <c r="X388" s="121"/>
      <c r="Y388" s="121"/>
      <c r="Z388" s="118"/>
      <c r="AA388" s="118"/>
      <c r="AB388" s="126">
        <f t="shared" si="5"/>
        <v>0</v>
      </c>
    </row>
    <row r="389" spans="2:28">
      <c r="Q389" s="177"/>
    </row>
    <row r="390" spans="2:28">
      <c r="Q390" s="177"/>
    </row>
    <row r="391" spans="2:28">
      <c r="Q391" s="177"/>
    </row>
    <row r="392" spans="2:28">
      <c r="Q392" s="177"/>
    </row>
    <row r="393" spans="2:28">
      <c r="Q393" s="177"/>
    </row>
    <row r="394" spans="2:28">
      <c r="Q394" s="177"/>
    </row>
    <row r="395" spans="2:28">
      <c r="Q395" s="177"/>
    </row>
    <row r="396" spans="2:28">
      <c r="Q396" s="177"/>
    </row>
    <row r="397" spans="2:28">
      <c r="Q397" s="177"/>
    </row>
    <row r="398" spans="2:28">
      <c r="Q398" s="177"/>
    </row>
    <row r="399" spans="2:28">
      <c r="Q399" s="177"/>
    </row>
    <row r="400" spans="2:28">
      <c r="Q400" s="177"/>
    </row>
    <row r="401" spans="8:17">
      <c r="Q401" s="177"/>
    </row>
    <row r="402" spans="8:17">
      <c r="Q402" s="177"/>
    </row>
    <row r="403" spans="8:17">
      <c r="H403" s="188"/>
      <c r="I403" s="187"/>
      <c r="Q403" s="177"/>
    </row>
    <row r="404" spans="8:17">
      <c r="Q404" s="177"/>
    </row>
    <row r="405" spans="8:17">
      <c r="Q405" s="177"/>
    </row>
    <row r="406" spans="8:17">
      <c r="Q406" s="177"/>
    </row>
    <row r="407" spans="8:17">
      <c r="Q407" s="177"/>
    </row>
    <row r="408" spans="8:17">
      <c r="Q408" s="177"/>
    </row>
    <row r="409" spans="8:17">
      <c r="Q409" s="177"/>
    </row>
    <row r="410" spans="8:17">
      <c r="Q410" s="177"/>
    </row>
    <row r="411" spans="8:17">
      <c r="Q411" s="177"/>
    </row>
    <row r="412" spans="8:17">
      <c r="Q412" s="177"/>
    </row>
    <row r="413" spans="8:17">
      <c r="Q413" s="177"/>
    </row>
    <row r="414" spans="8:17">
      <c r="Q414" s="177"/>
    </row>
    <row r="415" spans="8:17">
      <c r="Q415" s="177"/>
    </row>
    <row r="416" spans="8:17">
      <c r="Q416" s="177"/>
    </row>
    <row r="417" spans="17:17">
      <c r="Q417" s="177"/>
    </row>
    <row r="418" spans="17:17">
      <c r="Q418" s="177"/>
    </row>
    <row r="419" spans="17:17">
      <c r="Q419" s="177"/>
    </row>
    <row r="420" spans="17:17">
      <c r="Q420" s="177"/>
    </row>
    <row r="421" spans="17:17">
      <c r="Q421" s="177"/>
    </row>
    <row r="422" spans="17:17">
      <c r="Q422" s="177"/>
    </row>
    <row r="423" spans="17:17">
      <c r="Q423" s="177"/>
    </row>
    <row r="424" spans="17:17">
      <c r="Q424" s="177"/>
    </row>
    <row r="425" spans="17:17">
      <c r="Q425" s="177"/>
    </row>
    <row r="426" spans="17:17">
      <c r="Q426" s="177"/>
    </row>
    <row r="427" spans="17:17">
      <c r="Q427" s="177"/>
    </row>
    <row r="428" spans="17:17">
      <c r="Q428" s="177"/>
    </row>
    <row r="429" spans="17:17">
      <c r="Q429" s="177"/>
    </row>
    <row r="430" spans="17:17">
      <c r="Q430" s="177"/>
    </row>
    <row r="431" spans="17:17">
      <c r="Q431" s="177"/>
    </row>
    <row r="432" spans="17:17">
      <c r="Q432" s="177"/>
    </row>
    <row r="433" spans="17:17">
      <c r="Q433" s="177"/>
    </row>
    <row r="434" spans="17:17">
      <c r="Q434" s="177"/>
    </row>
    <row r="435" spans="17:17">
      <c r="Q435" s="177"/>
    </row>
    <row r="436" spans="17:17">
      <c r="Q436" s="177"/>
    </row>
    <row r="437" spans="17:17">
      <c r="Q437" s="177"/>
    </row>
    <row r="438" spans="17:17">
      <c r="Q438" s="177"/>
    </row>
    <row r="439" spans="17:17">
      <c r="Q439" s="177"/>
    </row>
    <row r="440" spans="17:17">
      <c r="Q440" s="177"/>
    </row>
    <row r="441" spans="17:17">
      <c r="Q441" s="177"/>
    </row>
    <row r="442" spans="17:17">
      <c r="Q442" s="177"/>
    </row>
    <row r="443" spans="17:17">
      <c r="Q443" s="177"/>
    </row>
    <row r="444" spans="17:17">
      <c r="Q444" s="177"/>
    </row>
    <row r="445" spans="17:17">
      <c r="Q445" s="177"/>
    </row>
    <row r="446" spans="17:17">
      <c r="Q446" s="177"/>
    </row>
    <row r="447" spans="17:17">
      <c r="Q447" s="177"/>
    </row>
    <row r="448" spans="17:17">
      <c r="Q448" s="177"/>
    </row>
    <row r="449" spans="17:17">
      <c r="Q449" s="177"/>
    </row>
    <row r="450" spans="17:17">
      <c r="Q450" s="177"/>
    </row>
    <row r="451" spans="17:17">
      <c r="Q451" s="177"/>
    </row>
    <row r="452" spans="17:17">
      <c r="Q452" s="177"/>
    </row>
    <row r="453" spans="17:17">
      <c r="Q453" s="177"/>
    </row>
    <row r="454" spans="17:17">
      <c r="Q454" s="177"/>
    </row>
    <row r="455" spans="17:17">
      <c r="Q455" s="177"/>
    </row>
    <row r="456" spans="17:17">
      <c r="Q456" s="177"/>
    </row>
    <row r="457" spans="17:17">
      <c r="Q457" s="177"/>
    </row>
    <row r="458" spans="17:17">
      <c r="Q458" s="177"/>
    </row>
    <row r="459" spans="17:17">
      <c r="Q459" s="177"/>
    </row>
    <row r="460" spans="17:17">
      <c r="Q460" s="177"/>
    </row>
    <row r="461" spans="17:17">
      <c r="Q461" s="177"/>
    </row>
    <row r="462" spans="17:17">
      <c r="Q462" s="177"/>
    </row>
    <row r="463" spans="17:17">
      <c r="Q463" s="177"/>
    </row>
    <row r="464" spans="17:17">
      <c r="Q464" s="177"/>
    </row>
    <row r="465" spans="17:17">
      <c r="Q465" s="177"/>
    </row>
    <row r="466" spans="17:17">
      <c r="Q466" s="177"/>
    </row>
    <row r="467" spans="17:17">
      <c r="Q467" s="177"/>
    </row>
    <row r="468" spans="17:17">
      <c r="Q468" s="177"/>
    </row>
    <row r="469" spans="17:17">
      <c r="Q469" s="177"/>
    </row>
    <row r="470" spans="17:17">
      <c r="Q470" s="177"/>
    </row>
    <row r="471" spans="17:17">
      <c r="Q471" s="177"/>
    </row>
    <row r="472" spans="17:17">
      <c r="Q472" s="177"/>
    </row>
    <row r="473" spans="17:17">
      <c r="Q473" s="177"/>
    </row>
    <row r="474" spans="17:17">
      <c r="Q474" s="177"/>
    </row>
    <row r="475" spans="17:17">
      <c r="Q475" s="177"/>
    </row>
    <row r="476" spans="17:17">
      <c r="Q476" s="177"/>
    </row>
    <row r="477" spans="17:17">
      <c r="Q477" s="177"/>
    </row>
    <row r="478" spans="17:17">
      <c r="Q478" s="177"/>
    </row>
    <row r="479" spans="17:17">
      <c r="Q479" s="177"/>
    </row>
    <row r="480" spans="17:17">
      <c r="Q480" s="177"/>
    </row>
    <row r="481" spans="17:17">
      <c r="Q481" s="177"/>
    </row>
    <row r="482" spans="17:17">
      <c r="Q482" s="177"/>
    </row>
    <row r="483" spans="17:17">
      <c r="Q483" s="177"/>
    </row>
    <row r="484" spans="17:17">
      <c r="Q484" s="177"/>
    </row>
    <row r="485" spans="17:17">
      <c r="Q485" s="177"/>
    </row>
    <row r="486" spans="17:17">
      <c r="Q486" s="177"/>
    </row>
    <row r="487" spans="17:17">
      <c r="Q487" s="177"/>
    </row>
    <row r="488" spans="17:17">
      <c r="Q488" s="177"/>
    </row>
    <row r="489" spans="17:17">
      <c r="Q489" s="177"/>
    </row>
    <row r="490" spans="17:17">
      <c r="Q490" s="177"/>
    </row>
    <row r="491" spans="17:17">
      <c r="Q491" s="177"/>
    </row>
    <row r="492" spans="17:17">
      <c r="Q492" s="177"/>
    </row>
    <row r="493" spans="17:17">
      <c r="Q493" s="177"/>
    </row>
    <row r="494" spans="17:17">
      <c r="Q494" s="177"/>
    </row>
    <row r="495" spans="17:17">
      <c r="Q495" s="177"/>
    </row>
    <row r="496" spans="17:17">
      <c r="Q496" s="177"/>
    </row>
    <row r="497" spans="17:17">
      <c r="Q497" s="177"/>
    </row>
    <row r="498" spans="17:17">
      <c r="Q498" s="177"/>
    </row>
    <row r="499" spans="17:17">
      <c r="Q499" s="177"/>
    </row>
    <row r="500" spans="17:17">
      <c r="Q500" s="177"/>
    </row>
    <row r="501" spans="17:17">
      <c r="Q501" s="177"/>
    </row>
    <row r="502" spans="17:17">
      <c r="Q502" s="177"/>
    </row>
    <row r="503" spans="17:17">
      <c r="Q503" s="177"/>
    </row>
    <row r="504" spans="17:17">
      <c r="Q504" s="177"/>
    </row>
    <row r="505" spans="17:17">
      <c r="Q505" s="177"/>
    </row>
    <row r="506" spans="17:17">
      <c r="Q506" s="177"/>
    </row>
    <row r="507" spans="17:17">
      <c r="Q507" s="177"/>
    </row>
    <row r="508" spans="17:17">
      <c r="Q508" s="177"/>
    </row>
    <row r="509" spans="17:17">
      <c r="Q509" s="177"/>
    </row>
    <row r="510" spans="17:17">
      <c r="Q510" s="177"/>
    </row>
    <row r="511" spans="17:17">
      <c r="Q511" s="177"/>
    </row>
    <row r="512" spans="17:17">
      <c r="Q512" s="177"/>
    </row>
    <row r="513" spans="17:17">
      <c r="Q513" s="177"/>
    </row>
    <row r="514" spans="17:17">
      <c r="Q514" s="177"/>
    </row>
    <row r="515" spans="17:17">
      <c r="Q515" s="177"/>
    </row>
    <row r="516" spans="17:17">
      <c r="Q516" s="177"/>
    </row>
    <row r="517" spans="17:17">
      <c r="Q517" s="177"/>
    </row>
    <row r="518" spans="17:17">
      <c r="Q518" s="177"/>
    </row>
    <row r="519" spans="17:17">
      <c r="Q519" s="177"/>
    </row>
    <row r="520" spans="17:17">
      <c r="Q520" s="177"/>
    </row>
    <row r="521" spans="17:17">
      <c r="Q521" s="177"/>
    </row>
    <row r="522" spans="17:17">
      <c r="Q522" s="177"/>
    </row>
    <row r="523" spans="17:17">
      <c r="Q523" s="177"/>
    </row>
    <row r="524" spans="17:17">
      <c r="Q524" s="177"/>
    </row>
    <row r="525" spans="17:17">
      <c r="Q525" s="177"/>
    </row>
    <row r="526" spans="17:17">
      <c r="Q526" s="177"/>
    </row>
    <row r="527" spans="17:17">
      <c r="Q527" s="177"/>
    </row>
    <row r="528" spans="17:17">
      <c r="Q528" s="177"/>
    </row>
    <row r="529" spans="17:17">
      <c r="Q529" s="177"/>
    </row>
    <row r="530" spans="17:17">
      <c r="Q530" s="177"/>
    </row>
    <row r="531" spans="17:17">
      <c r="Q531" s="177"/>
    </row>
    <row r="532" spans="17:17">
      <c r="Q532" s="177"/>
    </row>
    <row r="533" spans="17:17">
      <c r="Q533" s="177"/>
    </row>
    <row r="534" spans="17:17">
      <c r="Q534" s="177"/>
    </row>
    <row r="535" spans="17:17">
      <c r="Q535" s="177"/>
    </row>
    <row r="536" spans="17:17">
      <c r="Q536" s="177"/>
    </row>
    <row r="537" spans="17:17">
      <c r="Q537" s="177"/>
    </row>
    <row r="538" spans="17:17">
      <c r="Q538" s="177"/>
    </row>
    <row r="539" spans="17:17">
      <c r="Q539" s="177"/>
    </row>
    <row r="540" spans="17:17">
      <c r="Q540" s="177"/>
    </row>
    <row r="541" spans="17:17">
      <c r="Q541" s="177"/>
    </row>
    <row r="542" spans="17:17">
      <c r="Q542" s="177"/>
    </row>
    <row r="543" spans="17:17">
      <c r="Q543" s="177"/>
    </row>
    <row r="544" spans="17:17">
      <c r="Q544" s="177"/>
    </row>
    <row r="545" spans="17:17">
      <c r="Q545" s="177"/>
    </row>
    <row r="546" spans="17:17">
      <c r="Q546" s="177"/>
    </row>
    <row r="547" spans="17:17">
      <c r="Q547" s="177"/>
    </row>
    <row r="548" spans="17:17">
      <c r="Q548" s="177"/>
    </row>
    <row r="549" spans="17:17">
      <c r="Q549" s="177"/>
    </row>
    <row r="550" spans="17:17">
      <c r="Q550" s="177"/>
    </row>
    <row r="551" spans="17:17">
      <c r="Q551" s="177"/>
    </row>
    <row r="552" spans="17:17">
      <c r="Q552" s="177"/>
    </row>
    <row r="553" spans="17:17">
      <c r="Q553" s="177"/>
    </row>
    <row r="554" spans="17:17">
      <c r="Q554" s="177"/>
    </row>
    <row r="555" spans="17:17">
      <c r="Q555" s="177"/>
    </row>
    <row r="556" spans="17:17">
      <c r="Q556" s="177"/>
    </row>
    <row r="557" spans="17:17">
      <c r="Q557" s="177"/>
    </row>
    <row r="558" spans="17:17">
      <c r="Q558" s="177"/>
    </row>
    <row r="559" spans="17:17">
      <c r="Q559" s="177"/>
    </row>
    <row r="560" spans="17:17">
      <c r="Q560" s="177"/>
    </row>
    <row r="561" spans="17:17">
      <c r="Q561" s="177"/>
    </row>
    <row r="562" spans="17:17">
      <c r="Q562" s="177"/>
    </row>
    <row r="563" spans="17:17">
      <c r="Q563" s="177"/>
    </row>
    <row r="564" spans="17:17">
      <c r="Q564" s="177"/>
    </row>
    <row r="565" spans="17:17">
      <c r="Q565" s="177"/>
    </row>
    <row r="566" spans="17:17">
      <c r="Q566" s="177"/>
    </row>
    <row r="567" spans="17:17">
      <c r="Q567" s="177"/>
    </row>
    <row r="568" spans="17:17">
      <c r="Q568" s="177"/>
    </row>
    <row r="569" spans="17:17">
      <c r="Q569" s="177"/>
    </row>
    <row r="570" spans="17:17">
      <c r="Q570" s="177"/>
    </row>
    <row r="571" spans="17:17">
      <c r="Q571" s="177"/>
    </row>
    <row r="572" spans="17:17">
      <c r="Q572" s="177"/>
    </row>
    <row r="573" spans="17:17">
      <c r="Q573" s="177"/>
    </row>
    <row r="574" spans="17:17">
      <c r="Q574" s="177"/>
    </row>
    <row r="575" spans="17:17">
      <c r="Q575" s="177"/>
    </row>
    <row r="576" spans="17:17">
      <c r="Q576" s="177"/>
    </row>
    <row r="577" spans="17:17">
      <c r="Q577" s="177"/>
    </row>
    <row r="578" spans="17:17">
      <c r="Q578" s="177"/>
    </row>
    <row r="579" spans="17:17">
      <c r="Q579" s="177"/>
    </row>
    <row r="580" spans="17:17">
      <c r="Q580" s="177"/>
    </row>
    <row r="581" spans="17:17">
      <c r="Q581" s="177"/>
    </row>
    <row r="582" spans="17:17">
      <c r="Q582" s="177"/>
    </row>
    <row r="583" spans="17:17">
      <c r="Q583" s="177"/>
    </row>
    <row r="584" spans="17:17">
      <c r="Q584" s="177"/>
    </row>
    <row r="585" spans="17:17">
      <c r="Q585" s="177"/>
    </row>
    <row r="586" spans="17:17">
      <c r="Q586" s="177"/>
    </row>
    <row r="587" spans="17:17">
      <c r="Q587" s="177"/>
    </row>
    <row r="588" spans="17:17">
      <c r="Q588" s="177"/>
    </row>
    <row r="589" spans="17:17">
      <c r="Q589" s="177"/>
    </row>
    <row r="590" spans="17:17">
      <c r="Q590" s="177"/>
    </row>
    <row r="591" spans="17:17">
      <c r="Q591" s="177"/>
    </row>
    <row r="592" spans="17:17">
      <c r="Q592" s="177"/>
    </row>
    <row r="593" spans="17:17">
      <c r="Q593" s="177"/>
    </row>
    <row r="594" spans="17:17">
      <c r="Q594" s="177"/>
    </row>
    <row r="595" spans="17:17">
      <c r="Q595" s="177"/>
    </row>
    <row r="596" spans="17:17">
      <c r="Q596" s="177"/>
    </row>
    <row r="597" spans="17:17">
      <c r="Q597" s="177"/>
    </row>
    <row r="598" spans="17:17">
      <c r="Q598" s="177"/>
    </row>
    <row r="599" spans="17:17">
      <c r="Q599" s="177"/>
    </row>
    <row r="600" spans="17:17">
      <c r="Q600" s="177"/>
    </row>
    <row r="601" spans="17:17">
      <c r="Q601" s="177"/>
    </row>
    <row r="602" spans="17:17">
      <c r="Q602" s="177"/>
    </row>
    <row r="603" spans="17:17">
      <c r="Q603" s="177"/>
    </row>
    <row r="604" spans="17:17">
      <c r="Q604" s="177"/>
    </row>
    <row r="605" spans="17:17">
      <c r="Q605" s="177"/>
    </row>
    <row r="606" spans="17:17">
      <c r="Q606" s="177"/>
    </row>
    <row r="607" spans="17:17">
      <c r="Q607" s="177"/>
    </row>
    <row r="608" spans="17:17">
      <c r="Q608" s="177"/>
    </row>
    <row r="609" spans="17:17">
      <c r="Q609" s="177"/>
    </row>
    <row r="610" spans="17:17">
      <c r="Q610" s="177"/>
    </row>
    <row r="611" spans="17:17">
      <c r="Q611" s="177"/>
    </row>
    <row r="612" spans="17:17">
      <c r="Q612" s="177"/>
    </row>
    <row r="613" spans="17:17">
      <c r="Q613" s="177"/>
    </row>
    <row r="614" spans="17:17">
      <c r="Q614" s="177"/>
    </row>
    <row r="615" spans="17:17">
      <c r="Q615" s="177"/>
    </row>
    <row r="616" spans="17:17">
      <c r="Q616" s="177"/>
    </row>
    <row r="617" spans="17:17">
      <c r="Q617" s="177"/>
    </row>
    <row r="618" spans="17:17">
      <c r="Q618" s="177"/>
    </row>
    <row r="619" spans="17:17">
      <c r="Q619" s="177"/>
    </row>
    <row r="620" spans="17:17">
      <c r="Q620" s="177"/>
    </row>
    <row r="621" spans="17:17">
      <c r="Q621" s="177"/>
    </row>
    <row r="622" spans="17:17">
      <c r="Q622" s="177"/>
    </row>
    <row r="623" spans="17:17">
      <c r="Q623" s="177"/>
    </row>
    <row r="624" spans="17:17">
      <c r="Q624" s="177"/>
    </row>
    <row r="625" spans="17:17">
      <c r="Q625" s="177"/>
    </row>
    <row r="626" spans="17:17">
      <c r="Q626" s="177"/>
    </row>
    <row r="627" spans="17:17">
      <c r="Q627" s="177"/>
    </row>
    <row r="628" spans="17:17">
      <c r="Q628" s="177"/>
    </row>
    <row r="629" spans="17:17">
      <c r="Q629" s="177"/>
    </row>
    <row r="630" spans="17:17">
      <c r="Q630" s="177"/>
    </row>
    <row r="631" spans="17:17">
      <c r="Q631" s="177"/>
    </row>
    <row r="632" spans="17:17">
      <c r="Q632" s="177"/>
    </row>
    <row r="633" spans="17:17">
      <c r="Q633" s="177"/>
    </row>
    <row r="634" spans="17:17">
      <c r="Q634" s="177"/>
    </row>
    <row r="635" spans="17:17">
      <c r="Q635" s="177"/>
    </row>
    <row r="636" spans="17:17">
      <c r="Q636" s="177"/>
    </row>
    <row r="637" spans="17:17">
      <c r="Q637" s="177"/>
    </row>
    <row r="638" spans="17:17">
      <c r="Q638" s="177"/>
    </row>
    <row r="639" spans="17:17">
      <c r="Q639" s="177"/>
    </row>
    <row r="640" spans="17:17">
      <c r="Q640" s="177"/>
    </row>
    <row r="641" spans="17:17">
      <c r="Q641" s="177"/>
    </row>
    <row r="642" spans="17:17">
      <c r="Q642" s="177"/>
    </row>
    <row r="643" spans="17:17">
      <c r="Q643" s="177"/>
    </row>
    <row r="644" spans="17:17">
      <c r="Q644" s="177"/>
    </row>
    <row r="645" spans="17:17">
      <c r="Q645" s="177"/>
    </row>
    <row r="646" spans="17:17">
      <c r="Q646" s="177"/>
    </row>
    <row r="647" spans="17:17">
      <c r="Q647" s="177"/>
    </row>
    <row r="648" spans="17:17">
      <c r="Q648" s="177"/>
    </row>
    <row r="649" spans="17:17">
      <c r="Q649" s="177"/>
    </row>
    <row r="650" spans="17:17">
      <c r="Q650" s="177"/>
    </row>
    <row r="651" spans="17:17">
      <c r="Q651" s="177"/>
    </row>
    <row r="652" spans="17:17">
      <c r="Q652" s="177"/>
    </row>
    <row r="653" spans="17:17">
      <c r="Q653" s="177"/>
    </row>
    <row r="654" spans="17:17">
      <c r="Q654" s="177"/>
    </row>
    <row r="655" spans="17:17">
      <c r="Q655" s="177"/>
    </row>
    <row r="656" spans="17:17">
      <c r="Q656" s="177"/>
    </row>
    <row r="657" spans="17:17">
      <c r="Q657" s="177"/>
    </row>
    <row r="658" spans="17:17">
      <c r="Q658" s="177"/>
    </row>
    <row r="659" spans="17:17">
      <c r="Q659" s="177"/>
    </row>
    <row r="660" spans="17:17">
      <c r="Q660" s="177"/>
    </row>
    <row r="661" spans="17:17">
      <c r="Q661" s="177"/>
    </row>
    <row r="662" spans="17:17">
      <c r="Q662" s="177"/>
    </row>
    <row r="663" spans="17:17">
      <c r="Q663" s="177"/>
    </row>
    <row r="664" spans="17:17">
      <c r="Q664" s="177"/>
    </row>
    <row r="665" spans="17:17">
      <c r="Q665" s="177"/>
    </row>
    <row r="666" spans="17:17">
      <c r="Q666" s="177"/>
    </row>
    <row r="667" spans="17:17">
      <c r="Q667" s="177"/>
    </row>
    <row r="668" spans="17:17">
      <c r="Q668" s="177"/>
    </row>
    <row r="669" spans="17:17">
      <c r="Q669" s="177"/>
    </row>
    <row r="670" spans="17:17">
      <c r="Q670" s="177"/>
    </row>
    <row r="671" spans="17:17">
      <c r="Q671" s="177"/>
    </row>
    <row r="672" spans="17:17">
      <c r="Q672" s="177"/>
    </row>
    <row r="673" spans="17:17">
      <c r="Q673" s="177"/>
    </row>
    <row r="674" spans="17:17">
      <c r="Q674" s="177"/>
    </row>
    <row r="675" spans="17:17">
      <c r="Q675" s="177"/>
    </row>
    <row r="676" spans="17:17">
      <c r="Q676" s="177"/>
    </row>
    <row r="677" spans="17:17">
      <c r="Q677" s="177"/>
    </row>
    <row r="678" spans="17:17">
      <c r="Q678" s="177"/>
    </row>
    <row r="679" spans="17:17">
      <c r="Q679" s="177"/>
    </row>
    <row r="680" spans="17:17">
      <c r="Q680" s="177"/>
    </row>
    <row r="681" spans="17:17">
      <c r="Q681" s="177"/>
    </row>
    <row r="682" spans="17:17">
      <c r="Q682" s="177"/>
    </row>
    <row r="683" spans="17:17">
      <c r="Q683" s="177"/>
    </row>
    <row r="684" spans="17:17">
      <c r="Q684" s="177"/>
    </row>
    <row r="685" spans="17:17">
      <c r="Q685" s="177"/>
    </row>
    <row r="686" spans="17:17">
      <c r="Q686" s="177"/>
    </row>
    <row r="687" spans="17:17">
      <c r="Q687" s="177"/>
    </row>
    <row r="688" spans="17:17">
      <c r="Q688" s="177"/>
    </row>
    <row r="689" spans="17:17">
      <c r="Q689" s="177"/>
    </row>
    <row r="690" spans="17:17">
      <c r="Q690" s="177"/>
    </row>
    <row r="691" spans="17:17">
      <c r="Q691" s="177"/>
    </row>
    <row r="692" spans="17:17">
      <c r="Q692" s="177"/>
    </row>
    <row r="693" spans="17:17">
      <c r="Q693" s="177"/>
    </row>
    <row r="694" spans="17:17">
      <c r="Q694" s="177"/>
    </row>
    <row r="695" spans="17:17">
      <c r="Q695" s="177"/>
    </row>
    <row r="696" spans="17:17">
      <c r="Q696" s="177"/>
    </row>
    <row r="697" spans="17:17">
      <c r="Q697" s="177"/>
    </row>
    <row r="698" spans="17:17">
      <c r="Q698" s="177"/>
    </row>
    <row r="699" spans="17:17">
      <c r="Q699" s="177"/>
    </row>
    <row r="700" spans="17:17">
      <c r="Q700" s="177"/>
    </row>
    <row r="701" spans="17:17">
      <c r="Q701" s="177"/>
    </row>
    <row r="702" spans="17:17">
      <c r="Q702" s="177"/>
    </row>
    <row r="703" spans="17:17">
      <c r="Q703" s="177"/>
    </row>
    <row r="704" spans="17:17">
      <c r="Q704" s="177"/>
    </row>
    <row r="705" spans="17:17">
      <c r="Q705" s="177"/>
    </row>
    <row r="706" spans="17:17">
      <c r="Q706" s="177"/>
    </row>
    <row r="707" spans="17:17">
      <c r="Q707" s="177"/>
    </row>
    <row r="708" spans="17:17">
      <c r="Q708" s="177"/>
    </row>
    <row r="709" spans="17:17">
      <c r="Q709" s="177"/>
    </row>
    <row r="710" spans="17:17">
      <c r="Q710" s="177"/>
    </row>
    <row r="711" spans="17:17">
      <c r="Q711" s="177"/>
    </row>
    <row r="712" spans="17:17">
      <c r="Q712" s="177"/>
    </row>
    <row r="713" spans="17:17">
      <c r="Q713" s="177"/>
    </row>
    <row r="714" spans="17:17">
      <c r="Q714" s="177"/>
    </row>
    <row r="715" spans="17:17">
      <c r="Q715" s="177"/>
    </row>
    <row r="716" spans="17:17">
      <c r="Q716" s="177"/>
    </row>
    <row r="717" spans="17:17">
      <c r="Q717" s="177"/>
    </row>
    <row r="718" spans="17:17">
      <c r="Q718" s="177"/>
    </row>
    <row r="719" spans="17:17">
      <c r="Q719" s="177"/>
    </row>
    <row r="720" spans="17:17">
      <c r="Q720" s="177"/>
    </row>
    <row r="721" spans="17:17">
      <c r="Q721" s="177"/>
    </row>
    <row r="722" spans="17:17">
      <c r="Q722" s="177"/>
    </row>
    <row r="723" spans="17:17">
      <c r="Q723" s="177"/>
    </row>
    <row r="724" spans="17:17">
      <c r="Q724" s="177"/>
    </row>
    <row r="725" spans="17:17">
      <c r="Q725" s="177"/>
    </row>
    <row r="726" spans="17:17">
      <c r="Q726" s="177"/>
    </row>
    <row r="727" spans="17:17">
      <c r="Q727" s="177"/>
    </row>
    <row r="728" spans="17:17">
      <c r="Q728" s="177"/>
    </row>
    <row r="729" spans="17:17">
      <c r="Q729" s="177"/>
    </row>
    <row r="730" spans="17:17">
      <c r="Q730" s="177"/>
    </row>
    <row r="731" spans="17:17">
      <c r="Q731" s="177"/>
    </row>
    <row r="732" spans="17:17">
      <c r="Q732" s="177"/>
    </row>
    <row r="733" spans="17:17">
      <c r="Q733" s="177"/>
    </row>
    <row r="734" spans="17:17">
      <c r="Q734" s="177"/>
    </row>
    <row r="735" spans="17:17">
      <c r="Q735" s="177"/>
    </row>
    <row r="736" spans="17:17">
      <c r="Q736" s="177"/>
    </row>
    <row r="737" spans="17:17">
      <c r="Q737" s="177"/>
    </row>
    <row r="738" spans="17:17">
      <c r="Q738" s="177"/>
    </row>
    <row r="739" spans="17:17">
      <c r="Q739" s="177"/>
    </row>
    <row r="740" spans="17:17">
      <c r="Q740" s="177"/>
    </row>
    <row r="741" spans="17:17">
      <c r="Q741" s="177"/>
    </row>
    <row r="742" spans="17:17">
      <c r="Q742" s="177"/>
    </row>
    <row r="743" spans="17:17">
      <c r="Q743" s="177"/>
    </row>
    <row r="744" spans="17:17">
      <c r="Q744" s="177"/>
    </row>
    <row r="745" spans="17:17">
      <c r="Q745" s="177"/>
    </row>
    <row r="746" spans="17:17">
      <c r="Q746" s="177"/>
    </row>
    <row r="747" spans="17:17">
      <c r="Q747" s="177"/>
    </row>
    <row r="748" spans="17:17">
      <c r="Q748" s="177"/>
    </row>
    <row r="749" spans="17:17">
      <c r="Q749" s="177"/>
    </row>
    <row r="750" spans="17:17">
      <c r="Q750" s="177"/>
    </row>
    <row r="751" spans="17:17">
      <c r="Q751" s="177"/>
    </row>
    <row r="752" spans="17:17">
      <c r="Q752" s="177"/>
    </row>
    <row r="753" spans="17:17">
      <c r="Q753" s="177"/>
    </row>
    <row r="754" spans="17:17">
      <c r="Q754" s="177"/>
    </row>
    <row r="755" spans="17:17">
      <c r="Q755" s="177"/>
    </row>
    <row r="756" spans="17:17">
      <c r="Q756" s="177"/>
    </row>
    <row r="757" spans="17:17">
      <c r="Q757" s="177"/>
    </row>
    <row r="758" spans="17:17">
      <c r="Q758" s="177"/>
    </row>
    <row r="759" spans="17:17">
      <c r="Q759" s="177"/>
    </row>
    <row r="760" spans="17:17">
      <c r="Q760" s="177"/>
    </row>
    <row r="761" spans="17:17">
      <c r="Q761" s="177"/>
    </row>
    <row r="762" spans="17:17">
      <c r="Q762" s="177"/>
    </row>
    <row r="763" spans="17:17">
      <c r="Q763" s="177"/>
    </row>
    <row r="764" spans="17:17">
      <c r="Q764" s="177"/>
    </row>
    <row r="765" spans="17:17">
      <c r="Q765" s="177"/>
    </row>
    <row r="766" spans="17:17">
      <c r="Q766" s="177"/>
    </row>
    <row r="767" spans="17:17">
      <c r="Q767" s="177"/>
    </row>
    <row r="768" spans="17:17">
      <c r="Q768" s="177"/>
    </row>
    <row r="769" spans="17:17">
      <c r="Q769" s="177"/>
    </row>
    <row r="770" spans="17:17">
      <c r="Q770" s="177"/>
    </row>
    <row r="771" spans="17:17">
      <c r="Q771" s="177"/>
    </row>
    <row r="772" spans="17:17">
      <c r="Q772" s="177"/>
    </row>
    <row r="773" spans="17:17">
      <c r="Q773" s="177"/>
    </row>
    <row r="774" spans="17:17">
      <c r="Q774" s="177"/>
    </row>
    <row r="775" spans="17:17">
      <c r="Q775" s="177"/>
    </row>
    <row r="776" spans="17:17">
      <c r="Q776" s="177"/>
    </row>
    <row r="777" spans="17:17">
      <c r="Q777" s="177"/>
    </row>
    <row r="778" spans="17:17">
      <c r="Q778" s="177"/>
    </row>
    <row r="779" spans="17:17">
      <c r="Q779" s="177"/>
    </row>
    <row r="780" spans="17:17">
      <c r="Q780" s="177"/>
    </row>
    <row r="781" spans="17:17">
      <c r="Q781" s="177"/>
    </row>
    <row r="782" spans="17:17">
      <c r="Q782" s="177"/>
    </row>
    <row r="783" spans="17:17">
      <c r="Q783" s="177"/>
    </row>
    <row r="784" spans="17:17">
      <c r="Q784" s="177"/>
    </row>
    <row r="785" spans="17:17">
      <c r="Q785" s="177"/>
    </row>
    <row r="786" spans="17:17">
      <c r="Q786" s="177"/>
    </row>
    <row r="787" spans="17:17">
      <c r="Q787" s="177"/>
    </row>
    <row r="788" spans="17:17">
      <c r="Q788" s="177"/>
    </row>
    <row r="789" spans="17:17">
      <c r="Q789" s="177"/>
    </row>
    <row r="790" spans="17:17">
      <c r="Q790" s="177"/>
    </row>
    <row r="791" spans="17:17">
      <c r="Q791" s="177"/>
    </row>
    <row r="792" spans="17:17">
      <c r="Q792" s="177"/>
    </row>
    <row r="793" spans="17:17">
      <c r="Q793" s="177"/>
    </row>
    <row r="794" spans="17:17">
      <c r="Q794" s="177"/>
    </row>
    <row r="795" spans="17:17">
      <c r="Q795" s="177"/>
    </row>
  </sheetData>
  <sheetProtection sheet="1" objects="1" scenarios="1" formatCells="0" formatColumns="0" formatRows="0" insertColumns="0" insertRows="0" insertHyperlinks="0" sort="0" autoFilter="0" pivotTables="0"/>
  <autoFilter ref="B3:AB388" xr:uid="{00000000-0009-0000-0000-000000000000}">
    <filterColumn colId="17">
      <filters>
        <filter val="4325"/>
      </filters>
    </filterColumn>
  </autoFilter>
  <mergeCells count="4">
    <mergeCell ref="S2:Y2"/>
    <mergeCell ref="E2:R2"/>
    <mergeCell ref="Z2:AB2"/>
    <mergeCell ref="B2:D2"/>
  </mergeCells>
  <conditionalFormatting sqref="Z1:Z1048576">
    <cfRule type="containsText" dxfId="331" priority="36" operator="containsText" text="RC - AGUARDANDO APROVAÇÃO CRISTIANO">
      <formula>NOT(ISERROR(SEARCH("RC - AGUARDANDO APROVAÇÃO CRISTIANO",Z1)))</formula>
    </cfRule>
  </conditionalFormatting>
  <conditionalFormatting sqref="Z1:Z1048576">
    <cfRule type="containsText" dxfId="330" priority="35" operator="containsText" text="5. NF - PEDIDO GERADO, AGUARDANDO NF">
      <formula>NOT(ISERROR(SEARCH("5. NF - PEDIDO GERADO, AGUARDANDO NF",Z1)))</formula>
    </cfRule>
  </conditionalFormatting>
  <conditionalFormatting sqref="Z1:Z1048576">
    <cfRule type="containsText" dxfId="329" priority="34" operator="containsText" text="4. RC - RC ABERTA, AGUARDANDO GERAR PEDIDO">
      <formula>NOT(ISERROR(SEARCH("4. RC - RC ABERTA, AGUARDANDO GERAR PEDIDO",Z1)))</formula>
    </cfRule>
  </conditionalFormatting>
  <conditionalFormatting sqref="Z1:Z1048576">
    <cfRule type="containsText" dxfId="328" priority="33" operator="containsText" text="NF INCLUSA NA 198">
      <formula>NOT(ISERROR(SEARCH("NF INCLUSA NA 198",Z1)))</formula>
    </cfRule>
  </conditionalFormatting>
  <conditionalFormatting sqref="Z1:Z1048576">
    <cfRule type="containsText" dxfId="327" priority="32" operator="containsText" text="7. NF - APROVADO, LANÇAR">
      <formula>NOT(ISERROR(SEARCH("7. NF - APROVADO, LANÇAR",Z1)))</formula>
    </cfRule>
  </conditionalFormatting>
  <conditionalFormatting sqref="Z1:Z1048576">
    <cfRule type="containsText" dxfId="326" priority="31" operator="containsText" text="FINALIZADO 100%">
      <formula>NOT(ISERROR(SEARCH("FINALIZADO 100%",Z1)))</formula>
    </cfRule>
  </conditionalFormatting>
  <conditionalFormatting sqref="Z1:Z1048576">
    <cfRule type="containsText" dxfId="325" priority="30" operator="containsText" text="RC - AGUARDANDO RETORNO DO SOLICITANTE">
      <formula>NOT(ISERROR(SEARCH("RC - AGUARDANDO RETORNO DO SOLICITANTE",Z1)))</formula>
    </cfRule>
  </conditionalFormatting>
  <conditionalFormatting sqref="Z1:Z1048576">
    <cfRule type="containsText" dxfId="324" priority="29" operator="containsText" text="NF - AGUARDANDO APROVAÇÃO PARA LANÇAMENTO">
      <formula>NOT(ISERROR(SEARCH("NF - AGUARDANDO APROVAÇÃO PARA LANÇAMENTO",Z1)))</formula>
    </cfRule>
  </conditionalFormatting>
  <conditionalFormatting sqref="Z1:Z1048576">
    <cfRule type="containsText" dxfId="323" priority="28" operator="containsText" text="NF - AGUARDANDO NF SUBSTITUTA">
      <formula>NOT(ISERROR(SEARCH("NF - AGUARDANDO NF SUBSTITUTA",Z1)))</formula>
    </cfRule>
  </conditionalFormatting>
  <conditionalFormatting sqref="Z1:Z1048576">
    <cfRule type="containsText" dxfId="322" priority="27" operator="containsText" text="NF - PENDENTE">
      <formula>NOT(ISERROR(SEARCH("NF - PENDENTE",Z1)))</formula>
    </cfRule>
  </conditionalFormatting>
  <conditionalFormatting sqref="A1:A147 A149:A1048576">
    <cfRule type="containsText" dxfId="321" priority="26" operator="containsText" text="TORNO">
      <formula>NOT(ISERROR(SEARCH("TORNO",A1)))</formula>
    </cfRule>
  </conditionalFormatting>
  <conditionalFormatting sqref="Q2:Q245 Q249:Q279 Q281:Q1048576">
    <cfRule type="cellIs" dxfId="320" priority="25" operator="lessThanOrEqual">
      <formula>550</formula>
    </cfRule>
  </conditionalFormatting>
  <conditionalFormatting sqref="W84">
    <cfRule type="cellIs" dxfId="319" priority="24" operator="lessThanOrEqual">
      <formula>550</formula>
    </cfRule>
  </conditionalFormatting>
  <conditionalFormatting sqref="W44">
    <cfRule type="cellIs" dxfId="318" priority="23" operator="lessThanOrEqual">
      <formula>550</formula>
    </cfRule>
  </conditionalFormatting>
  <conditionalFormatting sqref="W34">
    <cfRule type="cellIs" dxfId="317" priority="22" operator="lessThanOrEqual">
      <formula>550</formula>
    </cfRule>
  </conditionalFormatting>
  <conditionalFormatting sqref="W37">
    <cfRule type="cellIs" dxfId="316" priority="21" operator="lessThanOrEqual">
      <formula>550</formula>
    </cfRule>
  </conditionalFormatting>
  <conditionalFormatting sqref="W25">
    <cfRule type="cellIs" dxfId="315" priority="20" operator="lessThanOrEqual">
      <formula>550</formula>
    </cfRule>
  </conditionalFormatting>
  <conditionalFormatting sqref="W21">
    <cfRule type="cellIs" dxfId="314" priority="19" operator="lessThanOrEqual">
      <formula>550</formula>
    </cfRule>
  </conditionalFormatting>
  <conditionalFormatting sqref="W40">
    <cfRule type="cellIs" dxfId="313" priority="18" operator="lessThanOrEqual">
      <formula>550</formula>
    </cfRule>
  </conditionalFormatting>
  <conditionalFormatting sqref="W158">
    <cfRule type="cellIs" dxfId="312" priority="10" operator="lessThanOrEqual">
      <formula>550</formula>
    </cfRule>
  </conditionalFormatting>
  <conditionalFormatting sqref="W17">
    <cfRule type="cellIs" dxfId="311" priority="9" operator="lessThanOrEqual">
      <formula>550</formula>
    </cfRule>
  </conditionalFormatting>
  <conditionalFormatting sqref="W193">
    <cfRule type="cellIs" dxfId="310" priority="8" operator="lessThanOrEqual">
      <formula>550</formula>
    </cfRule>
  </conditionalFormatting>
  <conditionalFormatting sqref="W190">
    <cfRule type="cellIs" dxfId="309" priority="7" operator="lessThanOrEqual">
      <formula>550</formula>
    </cfRule>
  </conditionalFormatting>
  <conditionalFormatting sqref="W174">
    <cfRule type="cellIs" dxfId="308" priority="6" operator="lessThanOrEqual">
      <formula>550</formula>
    </cfRule>
  </conditionalFormatting>
  <conditionalFormatting sqref="W184">
    <cfRule type="cellIs" dxfId="307" priority="5" operator="lessThanOrEqual">
      <formula>550</formula>
    </cfRule>
  </conditionalFormatting>
  <conditionalFormatting sqref="W197">
    <cfRule type="cellIs" dxfId="306" priority="4" operator="lessThanOrEqual">
      <formula>550</formula>
    </cfRule>
  </conditionalFormatting>
  <conditionalFormatting sqref="W288">
    <cfRule type="cellIs" dxfId="305" priority="2" operator="lessThanOrEqual">
      <formula>550</formula>
    </cfRule>
  </conditionalFormatting>
  <conditionalFormatting sqref="W300">
    <cfRule type="cellIs" dxfId="304" priority="1" operator="lessThanOrEqual">
      <formula>550</formula>
    </cfRule>
  </conditionalFormatting>
  <pageMargins left="0.511811024" right="0.511811024" top="0.78740157499999996" bottom="0.78740157499999996" header="0.31496062000000002" footer="0.31496062000000002"/>
  <pageSetup paperSize="9" orientation="portrait" verticalDpi="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'LISTA SUSPENSA - NÃO ALTERAR '!$E$2:$E$9</xm:f>
          </x14:formula1>
          <xm:sqref>H4:H388</xm:sqref>
        </x14:dataValidation>
        <x14:dataValidation type="list" allowBlank="1" showInputMessage="1" showErrorMessage="1" xr:uid="{00000000-0002-0000-0000-000001000000}">
          <x14:formula1>
            <xm:f>'LISTA SUSPENSA - NÃO ALTERAR '!$C$2:$C$27</xm:f>
          </x14:formula1>
          <xm:sqref>B267:B388 B189:B263 B265 B4:B187</xm:sqref>
        </x14:dataValidation>
        <x14:dataValidation type="list" allowBlank="1" showInputMessage="1" showErrorMessage="1" xr:uid="{00000000-0002-0000-0000-000002000000}">
          <x14:formula1>
            <xm:f>'LISTA SUSPENSA - NÃO ALTERAR '!$H$2:$H$15</xm:f>
          </x14:formula1>
          <xm:sqref>Z4:Z388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election activeCell="H27" sqref="H27"/>
    </sheetView>
  </sheetViews>
  <sheetFormatPr defaultRowHeight="14.45"/>
  <cols>
    <col min="3" max="3" width="19.85546875" customWidth="1"/>
    <col min="5" max="5" width="14.85546875" customWidth="1"/>
    <col min="8" max="8" width="57.85546875" customWidth="1"/>
    <col min="9" max="9" width="37.7109375" customWidth="1"/>
  </cols>
  <sheetData>
    <row r="1" spans="1:8" ht="24" customHeight="1">
      <c r="A1" s="1"/>
      <c r="B1" s="1"/>
      <c r="C1" s="2" t="s">
        <v>4</v>
      </c>
      <c r="E1" s="3" t="s">
        <v>972</v>
      </c>
      <c r="H1" s="4" t="s">
        <v>27</v>
      </c>
    </row>
    <row r="2" spans="1:8" ht="14.45" customHeight="1">
      <c r="A2" s="1"/>
      <c r="B2" s="1"/>
      <c r="C2" s="1" t="s">
        <v>545</v>
      </c>
      <c r="E2" t="s">
        <v>222</v>
      </c>
      <c r="H2" s="5" t="s">
        <v>604</v>
      </c>
    </row>
    <row r="3" spans="1:8" ht="14.45" customHeight="1">
      <c r="A3" s="1"/>
      <c r="B3" s="1"/>
      <c r="C3" s="1"/>
      <c r="H3" s="5" t="s">
        <v>925</v>
      </c>
    </row>
    <row r="4" spans="1:8" ht="14.45" customHeight="1">
      <c r="A4" s="1"/>
      <c r="B4" s="1"/>
      <c r="C4" s="1" t="s">
        <v>222</v>
      </c>
      <c r="E4" t="s">
        <v>33</v>
      </c>
      <c r="H4" s="5" t="s">
        <v>824</v>
      </c>
    </row>
    <row r="5" spans="1:8">
      <c r="A5" s="1"/>
      <c r="B5" s="1"/>
      <c r="C5" s="1" t="s">
        <v>33</v>
      </c>
      <c r="E5" t="s">
        <v>49</v>
      </c>
      <c r="H5" s="5" t="s">
        <v>858</v>
      </c>
    </row>
    <row r="6" spans="1:8">
      <c r="A6" s="1"/>
      <c r="B6" s="1"/>
      <c r="C6" s="1" t="s">
        <v>295</v>
      </c>
      <c r="E6" t="s">
        <v>333</v>
      </c>
      <c r="H6" s="6" t="s">
        <v>48</v>
      </c>
    </row>
    <row r="7" spans="1:8" ht="14.45" customHeight="1">
      <c r="A7" s="1"/>
      <c r="B7" s="1"/>
      <c r="C7" s="1" t="s">
        <v>843</v>
      </c>
      <c r="E7" t="s">
        <v>186</v>
      </c>
      <c r="H7" s="6" t="s">
        <v>467</v>
      </c>
    </row>
    <row r="8" spans="1:8" ht="14.45" customHeight="1">
      <c r="A8" s="1"/>
      <c r="B8" s="1"/>
      <c r="C8" s="1" t="s">
        <v>262</v>
      </c>
      <c r="E8" t="s">
        <v>579</v>
      </c>
      <c r="H8" s="6" t="s">
        <v>973</v>
      </c>
    </row>
    <row r="9" spans="1:8" ht="14.45" customHeight="1">
      <c r="A9" s="1"/>
      <c r="B9" s="1"/>
      <c r="C9" s="1" t="s">
        <v>30</v>
      </c>
      <c r="E9" t="s">
        <v>347</v>
      </c>
      <c r="H9" s="6" t="s">
        <v>878</v>
      </c>
    </row>
    <row r="10" spans="1:8" ht="14.45" customHeight="1">
      <c r="A10" s="1"/>
      <c r="B10" s="1"/>
      <c r="C10" s="1" t="s">
        <v>49</v>
      </c>
      <c r="H10" s="6" t="s">
        <v>330</v>
      </c>
    </row>
    <row r="11" spans="1:8" ht="14.45" customHeight="1">
      <c r="A11" s="1"/>
      <c r="B11" s="1"/>
      <c r="C11" s="1" t="s">
        <v>235</v>
      </c>
      <c r="H11" s="6" t="s">
        <v>39</v>
      </c>
    </row>
    <row r="12" spans="1:8" ht="14.45" customHeight="1">
      <c r="C12" s="1" t="s">
        <v>513</v>
      </c>
      <c r="H12" s="6" t="s">
        <v>974</v>
      </c>
    </row>
    <row r="13" spans="1:8">
      <c r="C13" s="1" t="s">
        <v>851</v>
      </c>
      <c r="H13" s="5" t="s">
        <v>65</v>
      </c>
    </row>
    <row r="14" spans="1:8">
      <c r="C14" s="1" t="s">
        <v>106</v>
      </c>
      <c r="H14" s="5" t="s">
        <v>152</v>
      </c>
    </row>
    <row r="15" spans="1:8">
      <c r="C15" s="1" t="s">
        <v>253</v>
      </c>
      <c r="H15" s="5" t="s">
        <v>158</v>
      </c>
    </row>
    <row r="16" spans="1:8">
      <c r="C16" s="1" t="s">
        <v>243</v>
      </c>
    </row>
    <row r="17" spans="3:3">
      <c r="C17" s="1" t="s">
        <v>975</v>
      </c>
    </row>
    <row r="18" spans="3:3">
      <c r="C18" s="1" t="s">
        <v>125</v>
      </c>
    </row>
    <row r="19" spans="3:3">
      <c r="C19" s="1" t="s">
        <v>287</v>
      </c>
    </row>
    <row r="20" spans="3:3">
      <c r="C20" s="1" t="s">
        <v>344</v>
      </c>
    </row>
    <row r="21" spans="3:3">
      <c r="C21" s="1" t="s">
        <v>43</v>
      </c>
    </row>
    <row r="22" spans="3:3">
      <c r="C22" s="1" t="s">
        <v>148</v>
      </c>
    </row>
    <row r="23" spans="3:3">
      <c r="C23" s="1" t="s">
        <v>387</v>
      </c>
    </row>
    <row r="24" spans="3:3">
      <c r="C24" s="1" t="s">
        <v>837</v>
      </c>
    </row>
    <row r="25" spans="3:3">
      <c r="C25" s="1" t="s">
        <v>529</v>
      </c>
    </row>
    <row r="26" spans="3:3">
      <c r="C26" s="1" t="s">
        <v>231</v>
      </c>
    </row>
    <row r="27" spans="3:3">
      <c r="C27" s="1" t="s">
        <v>184</v>
      </c>
    </row>
  </sheetData>
  <autoFilter ref="E1:E9" xr:uid="{00000000-0009-0000-0000-000001000000}">
    <sortState xmlns:xlrd2="http://schemas.microsoft.com/office/spreadsheetml/2017/richdata2" ref="E2:E8">
      <sortCondition ref="E1:E8"/>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73"/>
  <sheetViews>
    <sheetView showGridLines="0" workbookViewId="0">
      <pane ySplit="1" topLeftCell="C23" activePane="bottomLeft" state="frozen"/>
      <selection pane="bottomLeft" activeCell="N263" sqref="N263"/>
    </sheetView>
  </sheetViews>
  <sheetFormatPr defaultRowHeight="14.45"/>
  <cols>
    <col min="1" max="2" width="10.5703125" style="1" customWidth="1"/>
    <col min="3" max="3" width="64" style="61" customWidth="1"/>
    <col min="4" max="4" width="21.42578125" customWidth="1"/>
    <col min="5" max="5" width="11" style="1" customWidth="1"/>
    <col min="6" max="6" width="13.85546875" style="1" customWidth="1"/>
    <col min="7" max="7" width="11.28515625" style="1" customWidth="1"/>
    <col min="8" max="8" width="15.140625" style="1" customWidth="1"/>
    <col min="9" max="10" width="10.7109375" style="1" customWidth="1"/>
    <col min="11" max="11" width="20.42578125" style="1" customWidth="1"/>
    <col min="12" max="12" width="35.5703125" style="1" customWidth="1"/>
    <col min="13" max="13" width="9.140625" style="1"/>
    <col min="14" max="14" width="16.140625" style="1" customWidth="1"/>
    <col min="15" max="15" width="17.7109375" style="1" customWidth="1"/>
    <col min="16" max="16" width="27.28515625" customWidth="1"/>
  </cols>
  <sheetData>
    <row r="1" spans="1:16" ht="43.15">
      <c r="A1" s="47" t="s">
        <v>15</v>
      </c>
      <c r="B1" s="47" t="s">
        <v>17</v>
      </c>
      <c r="C1" s="47" t="s">
        <v>6</v>
      </c>
      <c r="D1" s="47" t="s">
        <v>976</v>
      </c>
      <c r="E1" s="47" t="s">
        <v>22</v>
      </c>
      <c r="F1" s="47" t="s">
        <v>977</v>
      </c>
      <c r="G1" s="48" t="s">
        <v>978</v>
      </c>
      <c r="H1" s="49" t="s">
        <v>979</v>
      </c>
      <c r="I1" s="47" t="s">
        <v>980</v>
      </c>
      <c r="J1" s="47" t="s">
        <v>981</v>
      </c>
      <c r="K1" s="47" t="s">
        <v>982</v>
      </c>
      <c r="L1" s="47" t="s">
        <v>983</v>
      </c>
      <c r="M1" s="47" t="s">
        <v>984</v>
      </c>
      <c r="N1" s="47" t="s">
        <v>27</v>
      </c>
      <c r="O1" s="47" t="s">
        <v>985</v>
      </c>
      <c r="P1" s="47" t="s">
        <v>986</v>
      </c>
    </row>
    <row r="2" spans="1:16" ht="43.15">
      <c r="A2" s="27">
        <v>3590944</v>
      </c>
      <c r="B2" s="27">
        <v>3738200</v>
      </c>
      <c r="C2" s="25" t="s">
        <v>987</v>
      </c>
      <c r="D2" s="27" t="s">
        <v>988</v>
      </c>
      <c r="E2" s="27" t="s">
        <v>72</v>
      </c>
      <c r="F2" s="27" t="s">
        <v>989</v>
      </c>
      <c r="G2" s="27" t="s">
        <v>64</v>
      </c>
      <c r="H2" s="70">
        <v>3928.66</v>
      </c>
      <c r="I2" s="50">
        <v>45274</v>
      </c>
      <c r="J2" s="50">
        <v>45286</v>
      </c>
      <c r="K2" s="27">
        <v>444542</v>
      </c>
      <c r="L2" s="39" t="s">
        <v>990</v>
      </c>
      <c r="M2" s="52">
        <v>153</v>
      </c>
      <c r="N2" s="68" t="s">
        <v>991</v>
      </c>
      <c r="O2" s="27" t="s">
        <v>35</v>
      </c>
    </row>
    <row r="3" spans="1:16" ht="43.15">
      <c r="A3" s="27">
        <v>3590965</v>
      </c>
      <c r="B3" s="27">
        <v>3738201</v>
      </c>
      <c r="C3" s="25" t="s">
        <v>987</v>
      </c>
      <c r="D3" s="27" t="s">
        <v>988</v>
      </c>
      <c r="E3" s="27" t="s">
        <v>72</v>
      </c>
      <c r="F3" s="27" t="s">
        <v>989</v>
      </c>
      <c r="G3" s="27" t="s">
        <v>64</v>
      </c>
      <c r="H3" s="70">
        <v>3928.66</v>
      </c>
      <c r="I3" s="50">
        <v>45274</v>
      </c>
      <c r="J3" s="50">
        <v>45286</v>
      </c>
      <c r="K3" s="27">
        <v>444520</v>
      </c>
      <c r="L3" s="39" t="s">
        <v>990</v>
      </c>
      <c r="M3" s="52">
        <v>153</v>
      </c>
      <c r="N3" s="68" t="s">
        <v>991</v>
      </c>
      <c r="O3" s="27" t="s">
        <v>35</v>
      </c>
    </row>
    <row r="4" spans="1:16" ht="43.15">
      <c r="A4" s="27">
        <v>3619858</v>
      </c>
      <c r="B4" s="27">
        <v>3766711</v>
      </c>
      <c r="C4" s="25" t="s">
        <v>987</v>
      </c>
      <c r="D4" s="27" t="s">
        <v>988</v>
      </c>
      <c r="E4" s="27" t="s">
        <v>72</v>
      </c>
      <c r="F4" s="27" t="s">
        <v>989</v>
      </c>
      <c r="G4" s="27" t="s">
        <v>64</v>
      </c>
      <c r="H4" s="70">
        <v>3928.66</v>
      </c>
      <c r="I4" s="50">
        <v>45309</v>
      </c>
      <c r="J4" s="50">
        <v>45315</v>
      </c>
      <c r="K4" s="27">
        <v>450446</v>
      </c>
      <c r="L4" s="39" t="s">
        <v>990</v>
      </c>
      <c r="M4" s="52">
        <v>153</v>
      </c>
      <c r="N4" s="68" t="s">
        <v>991</v>
      </c>
      <c r="O4" s="27" t="s">
        <v>992</v>
      </c>
    </row>
    <row r="5" spans="1:16" ht="43.15">
      <c r="A5" s="27">
        <v>3619858</v>
      </c>
      <c r="B5" s="27">
        <v>3738201</v>
      </c>
      <c r="C5" s="25" t="s">
        <v>987</v>
      </c>
      <c r="D5" s="27" t="s">
        <v>988</v>
      </c>
      <c r="E5" s="27" t="s">
        <v>37</v>
      </c>
      <c r="F5" s="27" t="s">
        <v>989</v>
      </c>
      <c r="G5" s="27" t="s">
        <v>64</v>
      </c>
      <c r="H5" s="70">
        <v>3928.66</v>
      </c>
      <c r="I5" s="50">
        <v>45341</v>
      </c>
      <c r="J5" s="50">
        <v>45343</v>
      </c>
      <c r="K5" s="27">
        <v>456508</v>
      </c>
      <c r="L5" s="39" t="s">
        <v>990</v>
      </c>
      <c r="M5" s="52">
        <v>153</v>
      </c>
      <c r="N5" s="68" t="s">
        <v>991</v>
      </c>
      <c r="O5" s="27" t="s">
        <v>993</v>
      </c>
    </row>
    <row r="6" spans="1:16" ht="43.15">
      <c r="A6" s="27">
        <v>3619858</v>
      </c>
      <c r="B6" s="27">
        <v>3738201</v>
      </c>
      <c r="C6" s="25" t="s">
        <v>987</v>
      </c>
      <c r="D6" s="27" t="s">
        <v>988</v>
      </c>
      <c r="E6" s="27" t="s">
        <v>37</v>
      </c>
      <c r="F6" s="27" t="s">
        <v>989</v>
      </c>
      <c r="G6" s="27" t="s">
        <v>64</v>
      </c>
      <c r="H6" s="70">
        <v>3928.66</v>
      </c>
      <c r="I6" s="50">
        <v>45369</v>
      </c>
      <c r="J6" s="50">
        <v>45370</v>
      </c>
      <c r="K6" s="27">
        <v>462968</v>
      </c>
      <c r="L6" s="39" t="s">
        <v>990</v>
      </c>
      <c r="M6" s="52">
        <v>153</v>
      </c>
      <c r="N6" s="68" t="s">
        <v>991</v>
      </c>
      <c r="O6" s="27" t="s">
        <v>993</v>
      </c>
    </row>
    <row r="7" spans="1:16" ht="43.15">
      <c r="A7" s="27">
        <v>3619858</v>
      </c>
      <c r="B7" s="27">
        <v>3738201</v>
      </c>
      <c r="C7" s="25" t="s">
        <v>987</v>
      </c>
      <c r="D7" s="27" t="s">
        <v>988</v>
      </c>
      <c r="E7" s="27" t="s">
        <v>37</v>
      </c>
      <c r="F7" s="27" t="s">
        <v>989</v>
      </c>
      <c r="G7" s="27" t="s">
        <v>64</v>
      </c>
      <c r="H7" s="70">
        <v>3928.66</v>
      </c>
      <c r="I7" s="50">
        <v>45400</v>
      </c>
      <c r="J7" s="50">
        <v>45401</v>
      </c>
      <c r="K7" s="27">
        <v>469114</v>
      </c>
      <c r="L7" s="39" t="s">
        <v>990</v>
      </c>
      <c r="M7" s="52">
        <v>153</v>
      </c>
      <c r="N7" s="68" t="s">
        <v>991</v>
      </c>
      <c r="O7" s="27" t="s">
        <v>993</v>
      </c>
    </row>
    <row r="8" spans="1:16" ht="43.15">
      <c r="A8" s="27">
        <v>3619858</v>
      </c>
      <c r="B8" s="27">
        <v>3766711</v>
      </c>
      <c r="C8" s="25" t="s">
        <v>987</v>
      </c>
      <c r="D8" s="27" t="s">
        <v>988</v>
      </c>
      <c r="E8" s="27" t="s">
        <v>37</v>
      </c>
      <c r="F8" s="27" t="s">
        <v>989</v>
      </c>
      <c r="G8" s="27" t="s">
        <v>64</v>
      </c>
      <c r="H8" s="70">
        <v>3928.66</v>
      </c>
      <c r="I8" s="50">
        <v>45433</v>
      </c>
      <c r="J8" s="50">
        <v>45433</v>
      </c>
      <c r="K8" s="27">
        <v>475875</v>
      </c>
      <c r="L8" s="39" t="s">
        <v>990</v>
      </c>
      <c r="M8" s="52">
        <v>153</v>
      </c>
      <c r="N8" s="68" t="s">
        <v>991</v>
      </c>
      <c r="O8" s="27" t="s">
        <v>993</v>
      </c>
    </row>
    <row r="9" spans="1:16" ht="43.15">
      <c r="A9" s="27">
        <v>3619858</v>
      </c>
      <c r="B9" s="27">
        <v>3766711</v>
      </c>
      <c r="C9" s="25" t="s">
        <v>987</v>
      </c>
      <c r="D9" s="27" t="s">
        <v>988</v>
      </c>
      <c r="E9" s="27" t="s">
        <v>37</v>
      </c>
      <c r="F9" s="27" t="s">
        <v>989</v>
      </c>
      <c r="G9" s="27" t="s">
        <v>64</v>
      </c>
      <c r="H9" s="70">
        <v>3928.66</v>
      </c>
      <c r="I9" s="50">
        <v>45460</v>
      </c>
      <c r="J9" s="50">
        <v>45461</v>
      </c>
      <c r="K9" s="27">
        <v>482073</v>
      </c>
      <c r="L9" s="39" t="s">
        <v>990</v>
      </c>
      <c r="M9" s="52">
        <v>153</v>
      </c>
      <c r="N9" s="68" t="s">
        <v>991</v>
      </c>
      <c r="O9" s="27" t="s">
        <v>993</v>
      </c>
    </row>
    <row r="10" spans="1:16" ht="43.15">
      <c r="A10" s="27">
        <v>3619858</v>
      </c>
      <c r="B10" s="27">
        <v>3766711</v>
      </c>
      <c r="C10" s="25" t="s">
        <v>987</v>
      </c>
      <c r="D10" s="27" t="s">
        <v>988</v>
      </c>
      <c r="E10" s="27" t="s">
        <v>37</v>
      </c>
      <c r="F10" s="27" t="s">
        <v>989</v>
      </c>
      <c r="G10" s="27" t="s">
        <v>64</v>
      </c>
      <c r="H10" s="72">
        <v>3928.66</v>
      </c>
      <c r="I10" s="50">
        <v>45483</v>
      </c>
      <c r="J10" s="50">
        <v>45484</v>
      </c>
      <c r="K10" s="27">
        <v>487246</v>
      </c>
      <c r="L10" s="39" t="s">
        <v>990</v>
      </c>
      <c r="M10" s="52">
        <v>153</v>
      </c>
      <c r="N10" s="68" t="s">
        <v>991</v>
      </c>
      <c r="O10" s="27" t="s">
        <v>993</v>
      </c>
    </row>
    <row r="11" spans="1:16" ht="43.15">
      <c r="A11" s="27">
        <v>3619858</v>
      </c>
      <c r="B11" s="27">
        <v>3766711</v>
      </c>
      <c r="C11" s="25" t="s">
        <v>987</v>
      </c>
      <c r="D11" s="27" t="s">
        <v>988</v>
      </c>
      <c r="E11" s="27" t="s">
        <v>37</v>
      </c>
      <c r="F11" s="27" t="s">
        <v>989</v>
      </c>
      <c r="G11" s="27" t="s">
        <v>64</v>
      </c>
      <c r="H11" s="72">
        <v>3928.66</v>
      </c>
      <c r="I11" s="50">
        <v>45516</v>
      </c>
      <c r="J11" s="50">
        <v>45519</v>
      </c>
      <c r="K11" s="27">
        <v>494248</v>
      </c>
      <c r="L11" s="39" t="s">
        <v>990</v>
      </c>
      <c r="M11" s="52">
        <v>153</v>
      </c>
      <c r="N11" s="68" t="s">
        <v>991</v>
      </c>
      <c r="O11" s="27" t="s">
        <v>993</v>
      </c>
    </row>
    <row r="12" spans="1:16" ht="43.15">
      <c r="A12" s="27">
        <v>3619858</v>
      </c>
      <c r="B12" s="27">
        <v>3766711</v>
      </c>
      <c r="C12" s="25" t="s">
        <v>987</v>
      </c>
      <c r="D12" s="27" t="s">
        <v>988</v>
      </c>
      <c r="E12" s="27" t="s">
        <v>37</v>
      </c>
      <c r="F12" s="27" t="s">
        <v>989</v>
      </c>
      <c r="G12" s="27" t="s">
        <v>64</v>
      </c>
      <c r="H12" s="67">
        <v>3928.66</v>
      </c>
      <c r="I12" s="50">
        <v>45545</v>
      </c>
      <c r="J12" s="50">
        <v>45546</v>
      </c>
      <c r="K12" s="27">
        <v>500234</v>
      </c>
      <c r="L12" s="39" t="s">
        <v>990</v>
      </c>
      <c r="M12" s="52">
        <v>153</v>
      </c>
      <c r="N12" s="71" t="s">
        <v>991</v>
      </c>
      <c r="O12" s="27" t="s">
        <v>993</v>
      </c>
    </row>
    <row r="13" spans="1:16" ht="43.15">
      <c r="A13" s="27">
        <v>3619858</v>
      </c>
      <c r="B13" s="27">
        <v>3766711</v>
      </c>
      <c r="C13" s="25" t="s">
        <v>987</v>
      </c>
      <c r="D13" s="27" t="s">
        <v>988</v>
      </c>
      <c r="E13" s="27" t="s">
        <v>37</v>
      </c>
      <c r="F13" s="27" t="s">
        <v>989</v>
      </c>
      <c r="G13" s="27" t="s">
        <v>64</v>
      </c>
      <c r="H13" s="67">
        <v>4074.44</v>
      </c>
      <c r="I13" s="50">
        <v>45580</v>
      </c>
      <c r="J13" s="50">
        <v>45582</v>
      </c>
      <c r="K13" s="27">
        <v>508739</v>
      </c>
      <c r="L13" s="39" t="s">
        <v>990</v>
      </c>
      <c r="M13" s="52">
        <v>153</v>
      </c>
      <c r="N13" s="71" t="s">
        <v>991</v>
      </c>
      <c r="O13" s="52" t="s">
        <v>993</v>
      </c>
    </row>
    <row r="14" spans="1:16" ht="43.15">
      <c r="A14" s="27">
        <v>3619858</v>
      </c>
      <c r="B14" s="27">
        <v>3766711</v>
      </c>
      <c r="C14" s="25" t="s">
        <v>987</v>
      </c>
      <c r="D14" s="27" t="s">
        <v>988</v>
      </c>
      <c r="E14" s="27" t="s">
        <v>37</v>
      </c>
      <c r="F14" s="27" t="s">
        <v>989</v>
      </c>
      <c r="G14" s="27" t="s">
        <v>64</v>
      </c>
      <c r="H14" s="67">
        <v>4074.44</v>
      </c>
      <c r="I14" s="50">
        <v>45607</v>
      </c>
      <c r="J14" s="50">
        <v>45608</v>
      </c>
      <c r="K14" s="27">
        <v>514210</v>
      </c>
      <c r="L14" s="39" t="s">
        <v>990</v>
      </c>
      <c r="M14" s="52">
        <v>153</v>
      </c>
      <c r="N14" s="68" t="s">
        <v>991</v>
      </c>
      <c r="O14" s="52" t="s">
        <v>993</v>
      </c>
    </row>
    <row r="15" spans="1:16" ht="43.15">
      <c r="A15" s="27">
        <v>3619858</v>
      </c>
      <c r="B15" s="27">
        <v>3766711</v>
      </c>
      <c r="C15" s="25" t="s">
        <v>987</v>
      </c>
      <c r="D15" s="27" t="s">
        <v>988</v>
      </c>
      <c r="E15" s="27" t="s">
        <v>37</v>
      </c>
      <c r="F15" s="27" t="s">
        <v>989</v>
      </c>
      <c r="G15" s="27" t="s">
        <v>64</v>
      </c>
      <c r="H15" s="67">
        <v>4074.44</v>
      </c>
      <c r="I15" s="50">
        <v>45636</v>
      </c>
      <c r="J15" s="50">
        <v>45297</v>
      </c>
      <c r="K15" s="27">
        <v>521397</v>
      </c>
      <c r="L15" s="39" t="s">
        <v>990</v>
      </c>
      <c r="M15" s="52">
        <v>153</v>
      </c>
      <c r="N15" s="71" t="s">
        <v>991</v>
      </c>
      <c r="O15" s="52" t="s">
        <v>993</v>
      </c>
    </row>
    <row r="16" spans="1:16" ht="43.15">
      <c r="A16" s="27">
        <v>3619858</v>
      </c>
      <c r="B16" s="27">
        <v>3766711</v>
      </c>
      <c r="C16" s="25" t="s">
        <v>987</v>
      </c>
      <c r="D16" s="27" t="s">
        <v>988</v>
      </c>
      <c r="E16" s="27" t="s">
        <v>37</v>
      </c>
      <c r="F16" s="27" t="s">
        <v>989</v>
      </c>
      <c r="G16" s="27" t="s">
        <v>64</v>
      </c>
      <c r="H16" s="67">
        <v>4074.44</v>
      </c>
      <c r="I16" s="50">
        <v>45667</v>
      </c>
      <c r="J16" s="50">
        <v>45668</v>
      </c>
      <c r="K16" s="27">
        <v>527919</v>
      </c>
      <c r="L16" s="39" t="s">
        <v>990</v>
      </c>
      <c r="M16" s="52">
        <v>153</v>
      </c>
      <c r="N16" s="71" t="s">
        <v>991</v>
      </c>
      <c r="O16" s="52" t="s">
        <v>993</v>
      </c>
    </row>
    <row r="17" spans="1:15" ht="43.15">
      <c r="A17" s="27">
        <v>3619858</v>
      </c>
      <c r="B17" s="27">
        <v>3766711</v>
      </c>
      <c r="C17" s="25" t="s">
        <v>987</v>
      </c>
      <c r="D17" s="27" t="s">
        <v>988</v>
      </c>
      <c r="E17" s="27" t="s">
        <v>37</v>
      </c>
      <c r="F17" s="27" t="s">
        <v>989</v>
      </c>
      <c r="G17" s="27" t="s">
        <v>64</v>
      </c>
      <c r="H17" s="67">
        <v>4074.44</v>
      </c>
      <c r="I17" s="50">
        <v>45698</v>
      </c>
      <c r="J17" s="50">
        <v>45699</v>
      </c>
      <c r="K17" s="27">
        <v>534625</v>
      </c>
      <c r="L17" s="39" t="s">
        <v>990</v>
      </c>
      <c r="M17" s="52">
        <v>153</v>
      </c>
      <c r="N17" s="73" t="s">
        <v>991</v>
      </c>
      <c r="O17" s="55" t="s">
        <v>993</v>
      </c>
    </row>
    <row r="18" spans="1:15" ht="43.15">
      <c r="A18" s="27">
        <v>3619858</v>
      </c>
      <c r="B18" s="27">
        <v>3766711</v>
      </c>
      <c r="C18" s="25" t="s">
        <v>987</v>
      </c>
      <c r="D18" s="27" t="s">
        <v>988</v>
      </c>
      <c r="E18" s="27" t="s">
        <v>37</v>
      </c>
      <c r="F18" s="27" t="s">
        <v>989</v>
      </c>
      <c r="G18" s="27" t="s">
        <v>64</v>
      </c>
      <c r="H18" s="67">
        <v>4074.44</v>
      </c>
      <c r="I18" s="50">
        <v>45726</v>
      </c>
      <c r="J18" s="50">
        <v>45727</v>
      </c>
      <c r="K18" s="27">
        <v>541743</v>
      </c>
      <c r="L18" s="39" t="s">
        <v>990</v>
      </c>
      <c r="M18" s="52">
        <v>153</v>
      </c>
      <c r="N18" s="73" t="s">
        <v>991</v>
      </c>
      <c r="O18" s="55" t="s">
        <v>993</v>
      </c>
    </row>
    <row r="19" spans="1:15" ht="43.15">
      <c r="A19" s="27">
        <v>3619858</v>
      </c>
      <c r="B19" s="27">
        <v>3766711</v>
      </c>
      <c r="C19" s="25" t="s">
        <v>987</v>
      </c>
      <c r="D19" s="27" t="s">
        <v>988</v>
      </c>
      <c r="E19" s="27" t="s">
        <v>37</v>
      </c>
      <c r="F19" s="27" t="s">
        <v>989</v>
      </c>
      <c r="G19" s="27" t="s">
        <v>64</v>
      </c>
      <c r="H19" s="67">
        <v>4074.44</v>
      </c>
      <c r="I19" s="50">
        <v>45757</v>
      </c>
      <c r="J19" s="50">
        <v>45759</v>
      </c>
      <c r="K19" s="27">
        <v>549420</v>
      </c>
      <c r="L19" s="39" t="s">
        <v>990</v>
      </c>
      <c r="M19" s="52">
        <v>153</v>
      </c>
      <c r="N19" s="73" t="s">
        <v>991</v>
      </c>
      <c r="O19" s="55" t="s">
        <v>993</v>
      </c>
    </row>
    <row r="20" spans="1:15" ht="43.15">
      <c r="A20" s="27">
        <v>3619858</v>
      </c>
      <c r="B20" s="27">
        <v>3766711</v>
      </c>
      <c r="C20" s="25" t="s">
        <v>987</v>
      </c>
      <c r="D20" s="27" t="s">
        <v>988</v>
      </c>
      <c r="E20" s="27" t="s">
        <v>37</v>
      </c>
      <c r="F20" s="27" t="s">
        <v>989</v>
      </c>
      <c r="G20" s="27" t="s">
        <v>64</v>
      </c>
      <c r="H20" s="67">
        <v>4074.44</v>
      </c>
      <c r="I20" s="50">
        <v>45789</v>
      </c>
      <c r="J20" s="50">
        <v>45790</v>
      </c>
      <c r="K20" s="57">
        <v>555823</v>
      </c>
      <c r="L20" s="39" t="s">
        <v>990</v>
      </c>
      <c r="M20" s="52">
        <v>153</v>
      </c>
      <c r="N20" s="73" t="s">
        <v>991</v>
      </c>
      <c r="O20" s="55" t="s">
        <v>993</v>
      </c>
    </row>
    <row r="21" spans="1:15" ht="43.15">
      <c r="A21" s="27">
        <v>3619858</v>
      </c>
      <c r="B21" s="27">
        <v>3766711</v>
      </c>
      <c r="C21" s="25" t="s">
        <v>987</v>
      </c>
      <c r="D21" s="27" t="s">
        <v>988</v>
      </c>
      <c r="E21" s="27" t="s">
        <v>37</v>
      </c>
      <c r="F21" s="27" t="s">
        <v>989</v>
      </c>
      <c r="G21" s="27" t="s">
        <v>64</v>
      </c>
      <c r="H21" s="67">
        <v>4074.44</v>
      </c>
      <c r="I21" s="50">
        <v>45818</v>
      </c>
      <c r="J21" s="50">
        <v>45820</v>
      </c>
      <c r="K21" s="57">
        <v>563897</v>
      </c>
      <c r="L21" s="39" t="s">
        <v>990</v>
      </c>
      <c r="M21" s="52">
        <v>153</v>
      </c>
      <c r="N21" s="73" t="s">
        <v>991</v>
      </c>
      <c r="O21" s="27" t="s">
        <v>992</v>
      </c>
    </row>
    <row r="22" spans="1:15" ht="43.15">
      <c r="A22" s="27">
        <v>3619858</v>
      </c>
      <c r="B22" s="27">
        <v>3766711</v>
      </c>
      <c r="C22" s="25" t="s">
        <v>987</v>
      </c>
      <c r="D22" s="27" t="s">
        <v>988</v>
      </c>
      <c r="E22" s="27" t="s">
        <v>37</v>
      </c>
      <c r="F22" s="27" t="s">
        <v>989</v>
      </c>
      <c r="G22" s="27" t="s">
        <v>64</v>
      </c>
      <c r="H22" s="67">
        <v>4074.44</v>
      </c>
      <c r="I22" s="50">
        <v>45848</v>
      </c>
      <c r="J22" s="50">
        <v>45849</v>
      </c>
      <c r="K22" s="57">
        <v>571072</v>
      </c>
      <c r="L22" s="39" t="s">
        <v>990</v>
      </c>
      <c r="M22" s="52">
        <v>153</v>
      </c>
      <c r="N22" s="73" t="s">
        <v>991</v>
      </c>
      <c r="O22" s="55" t="s">
        <v>993</v>
      </c>
    </row>
    <row r="23" spans="1:15" ht="43.15">
      <c r="A23" s="27">
        <v>3619858</v>
      </c>
      <c r="B23" s="27">
        <v>3766711</v>
      </c>
      <c r="C23" s="25" t="s">
        <v>987</v>
      </c>
      <c r="D23" s="27" t="s">
        <v>988</v>
      </c>
      <c r="E23" s="27" t="s">
        <v>37</v>
      </c>
      <c r="F23" s="27" t="s">
        <v>989</v>
      </c>
      <c r="G23" s="27" t="s">
        <v>64</v>
      </c>
      <c r="H23" s="67">
        <v>4074.44</v>
      </c>
      <c r="I23" s="50">
        <v>45880</v>
      </c>
      <c r="J23" s="50">
        <v>45881</v>
      </c>
      <c r="K23" s="57">
        <v>577883</v>
      </c>
      <c r="L23" s="39" t="s">
        <v>990</v>
      </c>
      <c r="M23" s="52">
        <v>153</v>
      </c>
      <c r="N23" s="73" t="s">
        <v>991</v>
      </c>
      <c r="O23" s="55" t="s">
        <v>993</v>
      </c>
    </row>
    <row r="24" spans="1:15" ht="43.15">
      <c r="A24" s="27">
        <v>3619858</v>
      </c>
      <c r="B24" s="27">
        <v>3766711</v>
      </c>
      <c r="C24" s="25" t="s">
        <v>987</v>
      </c>
      <c r="D24" s="27" t="s">
        <v>988</v>
      </c>
      <c r="E24" s="27" t="s">
        <v>37</v>
      </c>
      <c r="F24" s="27" t="s">
        <v>989</v>
      </c>
      <c r="G24" s="27" t="s">
        <v>64</v>
      </c>
      <c r="H24" s="67">
        <v>4074.44</v>
      </c>
      <c r="I24" s="50">
        <v>45910</v>
      </c>
      <c r="J24" s="50">
        <v>45911</v>
      </c>
      <c r="K24" s="57">
        <v>586291</v>
      </c>
      <c r="L24" s="39" t="s">
        <v>990</v>
      </c>
      <c r="M24" s="52">
        <v>153</v>
      </c>
      <c r="N24" s="73" t="s">
        <v>991</v>
      </c>
      <c r="O24" s="55" t="s">
        <v>993</v>
      </c>
    </row>
    <row r="25" spans="1:15" ht="43.15">
      <c r="A25" s="27">
        <v>3619858</v>
      </c>
      <c r="B25" s="27">
        <v>3766711</v>
      </c>
      <c r="C25" s="25" t="s">
        <v>987</v>
      </c>
      <c r="D25" s="27" t="s">
        <v>988</v>
      </c>
      <c r="E25" s="27" t="s">
        <v>37</v>
      </c>
      <c r="F25" s="27" t="s">
        <v>989</v>
      </c>
      <c r="G25" s="27" t="s">
        <v>64</v>
      </c>
      <c r="H25" s="67">
        <v>4208.75</v>
      </c>
      <c r="I25" s="50">
        <v>45945</v>
      </c>
      <c r="J25" s="50">
        <v>45947</v>
      </c>
      <c r="K25" s="57">
        <v>594916</v>
      </c>
      <c r="L25" s="39" t="s">
        <v>990</v>
      </c>
      <c r="M25" s="52">
        <v>153</v>
      </c>
      <c r="N25" s="73" t="s">
        <v>994</v>
      </c>
      <c r="O25" s="55" t="s">
        <v>993</v>
      </c>
    </row>
    <row r="26" spans="1:15" ht="28.9">
      <c r="A26" s="30">
        <v>3627916</v>
      </c>
      <c r="B26" s="30">
        <v>3773474</v>
      </c>
      <c r="C26" s="25" t="s">
        <v>995</v>
      </c>
      <c r="D26" s="27" t="s">
        <v>996</v>
      </c>
      <c r="E26" s="27" t="s">
        <v>37</v>
      </c>
      <c r="F26" s="27" t="s">
        <v>997</v>
      </c>
      <c r="G26" s="27" t="s">
        <v>64</v>
      </c>
      <c r="H26" s="70">
        <v>1483.71</v>
      </c>
      <c r="I26" s="50">
        <v>45531</v>
      </c>
      <c r="J26" s="50">
        <v>45532</v>
      </c>
      <c r="K26" s="27">
        <v>86976541</v>
      </c>
      <c r="L26" s="39">
        <v>2488</v>
      </c>
      <c r="M26" s="52">
        <v>153</v>
      </c>
      <c r="N26" s="68" t="s">
        <v>991</v>
      </c>
      <c r="O26" s="27" t="s">
        <v>992</v>
      </c>
    </row>
    <row r="27" spans="1:15" ht="28.9">
      <c r="A27" s="27">
        <v>3631801</v>
      </c>
      <c r="B27" s="27">
        <v>3776543</v>
      </c>
      <c r="C27" s="25" t="s">
        <v>998</v>
      </c>
      <c r="D27" s="27" t="s">
        <v>996</v>
      </c>
      <c r="E27" s="27" t="s">
        <v>37</v>
      </c>
      <c r="F27" s="27" t="s">
        <v>997</v>
      </c>
      <c r="G27" s="27" t="s">
        <v>64</v>
      </c>
      <c r="H27" s="70">
        <v>485.26</v>
      </c>
      <c r="I27" s="50">
        <v>45536</v>
      </c>
      <c r="J27" s="50">
        <v>45561</v>
      </c>
      <c r="K27" s="27">
        <v>6017</v>
      </c>
      <c r="L27" s="39">
        <v>2488</v>
      </c>
      <c r="M27" s="52">
        <v>242</v>
      </c>
      <c r="N27" s="68" t="s">
        <v>991</v>
      </c>
      <c r="O27" s="27" t="s">
        <v>992</v>
      </c>
    </row>
    <row r="28" spans="1:15" ht="28.9">
      <c r="A28" s="30">
        <v>3627916</v>
      </c>
      <c r="B28" s="30">
        <v>3773474</v>
      </c>
      <c r="C28" s="25" t="s">
        <v>995</v>
      </c>
      <c r="D28" s="27" t="s">
        <v>996</v>
      </c>
      <c r="E28" s="27" t="s">
        <v>37</v>
      </c>
      <c r="F28" s="27" t="s">
        <v>997</v>
      </c>
      <c r="G28" s="27" t="s">
        <v>64</v>
      </c>
      <c r="H28" s="70">
        <v>1483.71</v>
      </c>
      <c r="I28" s="50">
        <v>45562</v>
      </c>
      <c r="J28" s="50">
        <v>45563</v>
      </c>
      <c r="K28" s="27">
        <v>87032521</v>
      </c>
      <c r="L28" s="39">
        <v>2488</v>
      </c>
      <c r="M28" s="52">
        <v>153</v>
      </c>
      <c r="N28" s="68" t="s">
        <v>991</v>
      </c>
      <c r="O28" s="27" t="s">
        <v>992</v>
      </c>
    </row>
    <row r="29" spans="1:15" ht="28.9">
      <c r="A29" s="27">
        <v>3631801</v>
      </c>
      <c r="B29" s="27">
        <v>3776543</v>
      </c>
      <c r="C29" s="25" t="s">
        <v>998</v>
      </c>
      <c r="D29" s="27" t="s">
        <v>996</v>
      </c>
      <c r="E29" s="27" t="s">
        <v>37</v>
      </c>
      <c r="F29" s="27" t="s">
        <v>997</v>
      </c>
      <c r="G29" s="27" t="s">
        <v>64</v>
      </c>
      <c r="H29" s="70">
        <v>485.26</v>
      </c>
      <c r="I29" s="50">
        <v>45566</v>
      </c>
      <c r="J29" s="50">
        <v>45576</v>
      </c>
      <c r="K29" s="27">
        <v>6056</v>
      </c>
      <c r="L29" s="39">
        <v>2488</v>
      </c>
      <c r="M29" s="52">
        <v>242</v>
      </c>
      <c r="N29" s="68" t="s">
        <v>991</v>
      </c>
      <c r="O29" s="27" t="s">
        <v>992</v>
      </c>
    </row>
    <row r="30" spans="1:15" ht="28.9">
      <c r="A30" s="30">
        <v>3627916</v>
      </c>
      <c r="B30" s="30">
        <v>3773474</v>
      </c>
      <c r="C30" s="25" t="s">
        <v>995</v>
      </c>
      <c r="D30" s="27" t="s">
        <v>996</v>
      </c>
      <c r="E30" s="27" t="s">
        <v>37</v>
      </c>
      <c r="F30" s="27" t="s">
        <v>997</v>
      </c>
      <c r="G30" s="27" t="s">
        <v>64</v>
      </c>
      <c r="H30" s="70">
        <v>1483.71</v>
      </c>
      <c r="I30" s="50">
        <v>45592</v>
      </c>
      <c r="J30" s="50">
        <v>45593</v>
      </c>
      <c r="K30" s="27">
        <v>87081242</v>
      </c>
      <c r="L30" s="39">
        <v>2488</v>
      </c>
      <c r="M30" s="52">
        <v>153</v>
      </c>
      <c r="N30" s="68" t="s">
        <v>991</v>
      </c>
      <c r="O30" s="27" t="s">
        <v>992</v>
      </c>
    </row>
    <row r="31" spans="1:15" ht="28.9">
      <c r="A31" s="27">
        <v>3631801</v>
      </c>
      <c r="B31" s="27">
        <v>3776543</v>
      </c>
      <c r="C31" s="25" t="s">
        <v>998</v>
      </c>
      <c r="D31" s="27" t="s">
        <v>996</v>
      </c>
      <c r="E31" s="27" t="s">
        <v>37</v>
      </c>
      <c r="F31" s="27" t="s">
        <v>997</v>
      </c>
      <c r="G31" s="27" t="s">
        <v>64</v>
      </c>
      <c r="H31" s="70">
        <v>485.26</v>
      </c>
      <c r="I31" s="50">
        <v>45597</v>
      </c>
      <c r="J31" s="50">
        <v>45600</v>
      </c>
      <c r="K31" s="27">
        <v>6083</v>
      </c>
      <c r="L31" s="39">
        <v>2488</v>
      </c>
      <c r="M31" s="52">
        <v>242</v>
      </c>
      <c r="N31" s="68" t="s">
        <v>991</v>
      </c>
      <c r="O31" s="27" t="s">
        <v>992</v>
      </c>
    </row>
    <row r="32" spans="1:15" ht="28.9">
      <c r="A32" s="30">
        <v>3627916</v>
      </c>
      <c r="B32" s="30">
        <v>3773474</v>
      </c>
      <c r="C32" s="25" t="s">
        <v>995</v>
      </c>
      <c r="D32" s="27" t="s">
        <v>996</v>
      </c>
      <c r="E32" s="27" t="s">
        <v>37</v>
      </c>
      <c r="F32" s="27" t="s">
        <v>997</v>
      </c>
      <c r="G32" s="27" t="s">
        <v>64</v>
      </c>
      <c r="H32" s="70">
        <v>1483.71</v>
      </c>
      <c r="I32" s="50">
        <v>45623</v>
      </c>
      <c r="J32" s="50">
        <v>45624</v>
      </c>
      <c r="K32" s="27">
        <v>87133815</v>
      </c>
      <c r="L32" s="39">
        <v>2488</v>
      </c>
      <c r="M32" s="52">
        <v>153</v>
      </c>
      <c r="N32" s="68" t="s">
        <v>991</v>
      </c>
      <c r="O32" s="27" t="s">
        <v>992</v>
      </c>
    </row>
    <row r="33" spans="1:15" ht="28.9">
      <c r="A33" s="27">
        <v>3631801</v>
      </c>
      <c r="B33" s="27">
        <v>3776543</v>
      </c>
      <c r="C33" s="25" t="s">
        <v>998</v>
      </c>
      <c r="D33" s="27" t="s">
        <v>996</v>
      </c>
      <c r="E33" s="27" t="s">
        <v>72</v>
      </c>
      <c r="F33" s="27" t="s">
        <v>997</v>
      </c>
      <c r="G33" s="27" t="s">
        <v>64</v>
      </c>
      <c r="H33" s="70">
        <v>485.26</v>
      </c>
      <c r="I33" s="50">
        <v>45627</v>
      </c>
      <c r="J33" s="50">
        <v>45630</v>
      </c>
      <c r="K33" s="27">
        <v>6119</v>
      </c>
      <c r="L33" s="39">
        <v>2488</v>
      </c>
      <c r="M33" s="52">
        <v>242</v>
      </c>
      <c r="N33" s="73" t="s">
        <v>991</v>
      </c>
      <c r="O33" s="27" t="s">
        <v>992</v>
      </c>
    </row>
    <row r="34" spans="1:15" ht="28.9">
      <c r="A34" s="30">
        <v>3627916</v>
      </c>
      <c r="B34" s="30">
        <v>3773474</v>
      </c>
      <c r="C34" s="25" t="s">
        <v>995</v>
      </c>
      <c r="D34" s="27" t="s">
        <v>996</v>
      </c>
      <c r="E34" s="27" t="s">
        <v>72</v>
      </c>
      <c r="F34" s="27" t="s">
        <v>997</v>
      </c>
      <c r="G34" s="27" t="s">
        <v>64</v>
      </c>
      <c r="H34" s="70">
        <v>1483.71</v>
      </c>
      <c r="I34" s="50">
        <v>45653</v>
      </c>
      <c r="J34" s="50">
        <v>45654</v>
      </c>
      <c r="K34" s="27">
        <v>87184486</v>
      </c>
      <c r="L34" s="39">
        <v>2488</v>
      </c>
      <c r="M34" s="52">
        <v>153</v>
      </c>
      <c r="N34" s="73" t="s">
        <v>991</v>
      </c>
      <c r="O34" s="27" t="s">
        <v>999</v>
      </c>
    </row>
    <row r="35" spans="1:15" ht="28.9">
      <c r="A35" s="27">
        <v>3631801</v>
      </c>
      <c r="B35" s="27">
        <v>3776543</v>
      </c>
      <c r="C35" s="25" t="s">
        <v>998</v>
      </c>
      <c r="D35" s="27" t="s">
        <v>996</v>
      </c>
      <c r="E35" s="27" t="s">
        <v>72</v>
      </c>
      <c r="F35" s="27" t="s">
        <v>997</v>
      </c>
      <c r="G35" s="27" t="s">
        <v>64</v>
      </c>
      <c r="H35" s="70">
        <v>485.26</v>
      </c>
      <c r="I35" s="50">
        <v>45658</v>
      </c>
      <c r="J35" s="50">
        <v>45659</v>
      </c>
      <c r="K35" s="27">
        <v>6140</v>
      </c>
      <c r="L35" s="39">
        <v>2488</v>
      </c>
      <c r="M35" s="52">
        <v>242</v>
      </c>
      <c r="N35" s="73" t="s">
        <v>991</v>
      </c>
      <c r="O35" s="27" t="s">
        <v>999</v>
      </c>
    </row>
    <row r="36" spans="1:15" ht="28.9">
      <c r="A36" s="30">
        <v>3627916</v>
      </c>
      <c r="B36" s="30">
        <v>3773474</v>
      </c>
      <c r="C36" s="25" t="s">
        <v>995</v>
      </c>
      <c r="D36" s="27" t="s">
        <v>996</v>
      </c>
      <c r="E36" s="27" t="s">
        <v>72</v>
      </c>
      <c r="F36" s="27" t="s">
        <v>997</v>
      </c>
      <c r="G36" s="27" t="s">
        <v>64</v>
      </c>
      <c r="H36" s="67">
        <v>1483.71</v>
      </c>
      <c r="I36" s="50">
        <v>45684</v>
      </c>
      <c r="J36" s="50">
        <v>45685</v>
      </c>
      <c r="K36" s="27">
        <v>87229572</v>
      </c>
      <c r="L36" s="39">
        <v>2488</v>
      </c>
      <c r="M36" s="52">
        <v>153</v>
      </c>
      <c r="N36" s="73" t="s">
        <v>991</v>
      </c>
      <c r="O36" s="27" t="s">
        <v>992</v>
      </c>
    </row>
    <row r="37" spans="1:15" ht="28.9">
      <c r="A37" s="27">
        <v>3631801</v>
      </c>
      <c r="B37" s="27">
        <v>3776543</v>
      </c>
      <c r="C37" s="25" t="s">
        <v>1000</v>
      </c>
      <c r="D37" s="27" t="s">
        <v>996</v>
      </c>
      <c r="E37" s="27" t="s">
        <v>37</v>
      </c>
      <c r="F37" s="27" t="s">
        <v>997</v>
      </c>
      <c r="G37" s="27" t="s">
        <v>64</v>
      </c>
      <c r="H37" s="70">
        <v>485.26</v>
      </c>
      <c r="I37" s="50">
        <v>45689</v>
      </c>
      <c r="J37" s="50">
        <v>45692</v>
      </c>
      <c r="K37" s="27">
        <v>6171</v>
      </c>
      <c r="L37" s="39">
        <v>2488</v>
      </c>
      <c r="M37" s="52">
        <v>242</v>
      </c>
      <c r="N37" s="73" t="s">
        <v>991</v>
      </c>
      <c r="O37" s="27" t="s">
        <v>992</v>
      </c>
    </row>
    <row r="38" spans="1:15" ht="28.9">
      <c r="A38" s="30">
        <v>3627916</v>
      </c>
      <c r="B38" s="30">
        <v>3773474</v>
      </c>
      <c r="C38" s="25" t="s">
        <v>995</v>
      </c>
      <c r="D38" s="27" t="s">
        <v>996</v>
      </c>
      <c r="E38" s="27" t="s">
        <v>37</v>
      </c>
      <c r="F38" s="27" t="s">
        <v>997</v>
      </c>
      <c r="G38" s="27" t="s">
        <v>64</v>
      </c>
      <c r="H38" s="67">
        <v>1483.71</v>
      </c>
      <c r="I38" s="50">
        <v>45715</v>
      </c>
      <c r="J38" s="50">
        <v>45716</v>
      </c>
      <c r="K38" s="27">
        <v>87282190</v>
      </c>
      <c r="L38" s="39">
        <v>2488</v>
      </c>
      <c r="M38" s="52">
        <v>153</v>
      </c>
      <c r="N38" s="73" t="s">
        <v>991</v>
      </c>
      <c r="O38" s="27" t="s">
        <v>992</v>
      </c>
    </row>
    <row r="39" spans="1:15" ht="28.9">
      <c r="A39" s="27">
        <v>3631801</v>
      </c>
      <c r="B39" s="27">
        <v>3776543</v>
      </c>
      <c r="C39" s="25" t="s">
        <v>1000</v>
      </c>
      <c r="D39" s="27" t="s">
        <v>996</v>
      </c>
      <c r="E39" s="27" t="s">
        <v>37</v>
      </c>
      <c r="F39" s="27" t="s">
        <v>997</v>
      </c>
      <c r="G39" s="27" t="s">
        <v>64</v>
      </c>
      <c r="H39" s="70">
        <v>485.26</v>
      </c>
      <c r="I39" s="50">
        <v>45717</v>
      </c>
      <c r="J39" s="50">
        <v>45723</v>
      </c>
      <c r="K39" s="27">
        <v>6204</v>
      </c>
      <c r="L39" s="39">
        <v>2488</v>
      </c>
      <c r="M39" s="52">
        <v>242</v>
      </c>
      <c r="N39" s="74" t="s">
        <v>991</v>
      </c>
      <c r="O39" s="27" t="s">
        <v>992</v>
      </c>
    </row>
    <row r="40" spans="1:15" ht="28.9">
      <c r="A40" s="30">
        <v>3627916</v>
      </c>
      <c r="B40" s="30">
        <v>3773474</v>
      </c>
      <c r="C40" s="25" t="s">
        <v>995</v>
      </c>
      <c r="D40" s="27" t="s">
        <v>996</v>
      </c>
      <c r="E40" s="27" t="s">
        <v>37</v>
      </c>
      <c r="F40" s="27" t="s">
        <v>997</v>
      </c>
      <c r="G40" s="27" t="s">
        <v>64</v>
      </c>
      <c r="H40" s="67">
        <v>1595.88</v>
      </c>
      <c r="I40" s="50">
        <v>45743</v>
      </c>
      <c r="J40" s="50">
        <v>45744</v>
      </c>
      <c r="K40" s="27">
        <v>87330192</v>
      </c>
      <c r="L40" s="39">
        <v>2488</v>
      </c>
      <c r="M40" s="52">
        <v>153</v>
      </c>
      <c r="N40" s="75" t="s">
        <v>991</v>
      </c>
      <c r="O40" s="27" t="s">
        <v>992</v>
      </c>
    </row>
    <row r="41" spans="1:15" ht="28.9">
      <c r="A41" s="27">
        <v>3631801</v>
      </c>
      <c r="B41" s="27">
        <v>3776543</v>
      </c>
      <c r="C41" s="25" t="s">
        <v>1000</v>
      </c>
      <c r="D41" s="27" t="s">
        <v>996</v>
      </c>
      <c r="E41" s="27" t="s">
        <v>72</v>
      </c>
      <c r="F41" s="27" t="s">
        <v>997</v>
      </c>
      <c r="G41" s="27" t="s">
        <v>64</v>
      </c>
      <c r="H41" s="67">
        <v>521.95000000000005</v>
      </c>
      <c r="I41" s="50">
        <v>45748</v>
      </c>
      <c r="J41" s="50">
        <v>45749</v>
      </c>
      <c r="K41" s="27">
        <v>6242</v>
      </c>
      <c r="L41" s="39">
        <v>2488</v>
      </c>
      <c r="M41" s="52">
        <v>242</v>
      </c>
      <c r="N41" s="68" t="s">
        <v>991</v>
      </c>
      <c r="O41" s="27" t="s">
        <v>992</v>
      </c>
    </row>
    <row r="42" spans="1:15" ht="28.9">
      <c r="A42" s="30">
        <v>3627916</v>
      </c>
      <c r="B42" s="30">
        <v>3773474</v>
      </c>
      <c r="C42" s="25" t="s">
        <v>995</v>
      </c>
      <c r="D42" s="27" t="s">
        <v>996</v>
      </c>
      <c r="E42" s="27" t="s">
        <v>37</v>
      </c>
      <c r="F42" s="27" t="s">
        <v>997</v>
      </c>
      <c r="G42" s="27" t="s">
        <v>64</v>
      </c>
      <c r="H42" s="67">
        <v>1595.88</v>
      </c>
      <c r="I42" s="50">
        <v>45774</v>
      </c>
      <c r="J42" s="50">
        <v>45775</v>
      </c>
      <c r="K42" s="57">
        <v>87377081</v>
      </c>
      <c r="L42" s="39">
        <v>2488</v>
      </c>
      <c r="M42" s="52">
        <v>153</v>
      </c>
      <c r="N42" s="75" t="s">
        <v>991</v>
      </c>
      <c r="O42" s="27" t="s">
        <v>992</v>
      </c>
    </row>
    <row r="43" spans="1:15" ht="28.9">
      <c r="A43" s="27">
        <v>3631801</v>
      </c>
      <c r="B43" s="27">
        <v>3776543</v>
      </c>
      <c r="C43" s="25" t="s">
        <v>1000</v>
      </c>
      <c r="D43" s="27" t="s">
        <v>996</v>
      </c>
      <c r="E43" s="27" t="s">
        <v>37</v>
      </c>
      <c r="F43" s="27" t="s">
        <v>997</v>
      </c>
      <c r="G43" s="27" t="s">
        <v>64</v>
      </c>
      <c r="H43" s="67">
        <v>521.95000000000005</v>
      </c>
      <c r="I43" s="50">
        <v>45778</v>
      </c>
      <c r="J43" s="50">
        <v>45783</v>
      </c>
      <c r="K43" s="57">
        <v>6278</v>
      </c>
      <c r="L43" s="39">
        <v>2488</v>
      </c>
      <c r="M43" s="52">
        <v>242</v>
      </c>
      <c r="N43" s="68" t="s">
        <v>991</v>
      </c>
      <c r="O43" s="27" t="s">
        <v>992</v>
      </c>
    </row>
    <row r="44" spans="1:15" ht="28.9">
      <c r="A44" s="30">
        <v>3627916</v>
      </c>
      <c r="B44" s="30">
        <v>3773474</v>
      </c>
      <c r="C44" s="25" t="s">
        <v>995</v>
      </c>
      <c r="D44" s="27" t="s">
        <v>996</v>
      </c>
      <c r="E44" s="27" t="s">
        <v>37</v>
      </c>
      <c r="F44" s="27" t="s">
        <v>997</v>
      </c>
      <c r="G44" s="27" t="s">
        <v>64</v>
      </c>
      <c r="H44" s="67">
        <v>1595.88</v>
      </c>
      <c r="I44" s="50">
        <v>45804</v>
      </c>
      <c r="J44" s="50">
        <v>45805</v>
      </c>
      <c r="K44" s="57">
        <v>87428900</v>
      </c>
      <c r="L44" s="39">
        <v>2488</v>
      </c>
      <c r="M44" s="52">
        <v>153</v>
      </c>
      <c r="N44" s="75" t="s">
        <v>991</v>
      </c>
      <c r="O44" s="27" t="s">
        <v>992</v>
      </c>
    </row>
    <row r="45" spans="1:15" ht="28.9">
      <c r="A45" s="27">
        <v>3631801</v>
      </c>
      <c r="B45" s="27">
        <v>3776543</v>
      </c>
      <c r="C45" s="25" t="s">
        <v>1000</v>
      </c>
      <c r="D45" s="27" t="s">
        <v>996</v>
      </c>
      <c r="E45" s="27" t="s">
        <v>37</v>
      </c>
      <c r="F45" s="27" t="s">
        <v>997</v>
      </c>
      <c r="G45" s="27" t="s">
        <v>64</v>
      </c>
      <c r="H45" s="67">
        <v>521.95000000000005</v>
      </c>
      <c r="I45" s="50">
        <v>45809</v>
      </c>
      <c r="J45" s="50">
        <v>45810</v>
      </c>
      <c r="K45" s="57">
        <v>6803</v>
      </c>
      <c r="L45" s="39">
        <v>2488</v>
      </c>
      <c r="M45" s="52">
        <v>242</v>
      </c>
      <c r="N45" s="75" t="s">
        <v>991</v>
      </c>
      <c r="O45" s="27" t="s">
        <v>992</v>
      </c>
    </row>
    <row r="46" spans="1:15" ht="28.9">
      <c r="A46" s="30">
        <v>3627916</v>
      </c>
      <c r="B46" s="30">
        <v>3773474</v>
      </c>
      <c r="C46" s="25" t="s">
        <v>995</v>
      </c>
      <c r="D46" s="27" t="s">
        <v>996</v>
      </c>
      <c r="E46" s="27" t="s">
        <v>37</v>
      </c>
      <c r="F46" s="27" t="s">
        <v>997</v>
      </c>
      <c r="G46" s="27" t="s">
        <v>64</v>
      </c>
      <c r="H46" s="67">
        <v>1595.88</v>
      </c>
      <c r="I46" s="50">
        <v>45835</v>
      </c>
      <c r="J46" s="50">
        <v>45836</v>
      </c>
      <c r="K46" s="57">
        <v>87482132</v>
      </c>
      <c r="L46" s="39">
        <v>2488</v>
      </c>
      <c r="M46" s="52">
        <v>153</v>
      </c>
      <c r="N46" s="75" t="s">
        <v>991</v>
      </c>
      <c r="O46" s="27" t="s">
        <v>992</v>
      </c>
    </row>
    <row r="47" spans="1:15" ht="28.9">
      <c r="A47" s="27">
        <v>3631801</v>
      </c>
      <c r="B47" s="27">
        <v>3776543</v>
      </c>
      <c r="C47" s="25" t="s">
        <v>1000</v>
      </c>
      <c r="D47" s="27" t="s">
        <v>996</v>
      </c>
      <c r="E47" s="27" t="s">
        <v>37</v>
      </c>
      <c r="F47" s="27" t="s">
        <v>997</v>
      </c>
      <c r="G47" s="27" t="s">
        <v>64</v>
      </c>
      <c r="H47" s="67">
        <v>521.95000000000005</v>
      </c>
      <c r="I47" s="50">
        <v>45839</v>
      </c>
      <c r="J47" s="50">
        <v>45841</v>
      </c>
      <c r="K47" s="57">
        <v>6345</v>
      </c>
      <c r="L47" s="39">
        <v>2488</v>
      </c>
      <c r="M47" s="52">
        <v>242</v>
      </c>
      <c r="N47" s="68" t="s">
        <v>991</v>
      </c>
      <c r="O47" s="27" t="s">
        <v>992</v>
      </c>
    </row>
    <row r="48" spans="1:15" ht="28.9">
      <c r="A48" s="30">
        <v>3627916</v>
      </c>
      <c r="B48" s="30">
        <v>3773474</v>
      </c>
      <c r="C48" s="25" t="s">
        <v>995</v>
      </c>
      <c r="D48" s="27" t="s">
        <v>996</v>
      </c>
      <c r="E48" s="27" t="s">
        <v>37</v>
      </c>
      <c r="F48" s="27" t="s">
        <v>997</v>
      </c>
      <c r="G48" s="27" t="s">
        <v>64</v>
      </c>
      <c r="H48" s="67">
        <v>1595.88</v>
      </c>
      <c r="I48" s="50">
        <v>45865</v>
      </c>
      <c r="J48" s="50">
        <v>45866</v>
      </c>
      <c r="K48" s="57">
        <v>87532428</v>
      </c>
      <c r="L48" s="39">
        <v>2488</v>
      </c>
      <c r="M48" s="52">
        <v>153</v>
      </c>
      <c r="N48" s="68" t="s">
        <v>991</v>
      </c>
      <c r="O48" s="27" t="s">
        <v>992</v>
      </c>
    </row>
    <row r="49" spans="1:15" ht="28.9">
      <c r="A49" s="27">
        <v>3631801</v>
      </c>
      <c r="B49" s="27">
        <v>3776543</v>
      </c>
      <c r="C49" s="25" t="s">
        <v>1000</v>
      </c>
      <c r="D49" s="27" t="s">
        <v>996</v>
      </c>
      <c r="E49" s="27" t="s">
        <v>37</v>
      </c>
      <c r="F49" s="27" t="s">
        <v>997</v>
      </c>
      <c r="G49" s="27" t="s">
        <v>64</v>
      </c>
      <c r="H49" s="67">
        <v>521.95000000000005</v>
      </c>
      <c r="I49" s="50">
        <v>45870</v>
      </c>
      <c r="J49" s="50">
        <v>45873</v>
      </c>
      <c r="K49" s="57">
        <v>6382</v>
      </c>
      <c r="L49" s="39">
        <v>2488</v>
      </c>
      <c r="M49" s="52">
        <v>242</v>
      </c>
      <c r="N49" s="68" t="s">
        <v>991</v>
      </c>
      <c r="O49" s="27" t="s">
        <v>992</v>
      </c>
    </row>
    <row r="50" spans="1:15" ht="28.9">
      <c r="A50" s="30">
        <v>3627916</v>
      </c>
      <c r="B50" s="30">
        <v>3773474</v>
      </c>
      <c r="C50" s="25" t="s">
        <v>995</v>
      </c>
      <c r="D50" s="27" t="s">
        <v>996</v>
      </c>
      <c r="E50" s="27" t="s">
        <v>37</v>
      </c>
      <c r="F50" s="27" t="s">
        <v>997</v>
      </c>
      <c r="G50" s="27" t="s">
        <v>64</v>
      </c>
      <c r="H50" s="67">
        <v>1595.88</v>
      </c>
      <c r="I50" s="50">
        <v>45896</v>
      </c>
      <c r="J50" s="50">
        <v>45897</v>
      </c>
      <c r="K50" s="57">
        <v>87585582</v>
      </c>
      <c r="L50" s="39">
        <v>2488</v>
      </c>
      <c r="M50" s="52">
        <v>153</v>
      </c>
      <c r="N50" s="68" t="s">
        <v>991</v>
      </c>
      <c r="O50" s="27" t="s">
        <v>992</v>
      </c>
    </row>
    <row r="51" spans="1:15" ht="28.9">
      <c r="A51" s="27">
        <v>3631801</v>
      </c>
      <c r="B51" s="27">
        <v>3776543</v>
      </c>
      <c r="C51" s="25" t="s">
        <v>1000</v>
      </c>
      <c r="D51" s="27" t="s">
        <v>996</v>
      </c>
      <c r="E51" s="27" t="s">
        <v>37</v>
      </c>
      <c r="F51" s="27" t="s">
        <v>997</v>
      </c>
      <c r="G51" s="27" t="s">
        <v>64</v>
      </c>
      <c r="H51" s="67">
        <v>521.95000000000005</v>
      </c>
      <c r="I51" s="50">
        <v>45902</v>
      </c>
      <c r="J51" s="50">
        <v>45902</v>
      </c>
      <c r="K51" s="57">
        <v>6403</v>
      </c>
      <c r="L51" s="39">
        <v>2488</v>
      </c>
      <c r="M51" s="52">
        <v>242</v>
      </c>
      <c r="N51" s="73" t="s">
        <v>991</v>
      </c>
      <c r="O51" s="55" t="s">
        <v>993</v>
      </c>
    </row>
    <row r="52" spans="1:15" ht="28.9">
      <c r="A52" s="30">
        <v>3627916</v>
      </c>
      <c r="B52" s="30">
        <v>3773474</v>
      </c>
      <c r="C52" s="25" t="s">
        <v>995</v>
      </c>
      <c r="D52" s="27" t="s">
        <v>996</v>
      </c>
      <c r="E52" s="27" t="s">
        <v>37</v>
      </c>
      <c r="F52" s="27" t="s">
        <v>997</v>
      </c>
      <c r="G52" s="27" t="s">
        <v>64</v>
      </c>
      <c r="H52" s="67">
        <v>1595.88</v>
      </c>
      <c r="I52" s="50">
        <v>45927</v>
      </c>
      <c r="J52" s="50">
        <v>45929</v>
      </c>
      <c r="K52" s="57">
        <v>87637785</v>
      </c>
      <c r="L52" s="39">
        <v>2488</v>
      </c>
      <c r="M52" s="52">
        <v>153</v>
      </c>
      <c r="N52" s="68" t="s">
        <v>991</v>
      </c>
      <c r="O52" s="27" t="s">
        <v>992</v>
      </c>
    </row>
    <row r="53" spans="1:15" ht="28.9">
      <c r="A53" s="27">
        <v>3631801</v>
      </c>
      <c r="B53" s="27">
        <v>3776543</v>
      </c>
      <c r="C53" s="25" t="s">
        <v>1000</v>
      </c>
      <c r="D53" s="27" t="s">
        <v>996</v>
      </c>
      <c r="E53" s="27" t="s">
        <v>37</v>
      </c>
      <c r="F53" s="27" t="s">
        <v>997</v>
      </c>
      <c r="G53" s="27" t="s">
        <v>64</v>
      </c>
      <c r="H53" s="67">
        <v>521.95000000000005</v>
      </c>
      <c r="I53" s="50">
        <v>45931</v>
      </c>
      <c r="J53" s="50">
        <v>45933</v>
      </c>
      <c r="K53" s="57">
        <v>6444</v>
      </c>
      <c r="L53" s="39">
        <v>2488</v>
      </c>
      <c r="M53" s="52">
        <v>242</v>
      </c>
      <c r="N53" s="73" t="s">
        <v>991</v>
      </c>
      <c r="O53" s="27" t="s">
        <v>992</v>
      </c>
    </row>
    <row r="54" spans="1:15" ht="28.9">
      <c r="A54" s="30">
        <v>3627916</v>
      </c>
      <c r="B54" s="30">
        <v>3773474</v>
      </c>
      <c r="C54" s="25" t="s">
        <v>995</v>
      </c>
      <c r="D54" s="27" t="s">
        <v>996</v>
      </c>
      <c r="E54" s="27" t="s">
        <v>37</v>
      </c>
      <c r="F54" s="27" t="s">
        <v>997</v>
      </c>
      <c r="G54" s="27" t="s">
        <v>64</v>
      </c>
      <c r="H54" s="67">
        <v>1595.88</v>
      </c>
      <c r="I54" s="50">
        <v>45957</v>
      </c>
      <c r="J54" s="50">
        <v>45958</v>
      </c>
      <c r="K54" s="57">
        <v>87688187</v>
      </c>
      <c r="L54" s="39">
        <v>2488</v>
      </c>
      <c r="M54" s="52">
        <v>153</v>
      </c>
      <c r="N54" s="68" t="s">
        <v>991</v>
      </c>
      <c r="O54" s="27" t="s">
        <v>992</v>
      </c>
    </row>
    <row r="55" spans="1:15" ht="80.25" customHeight="1">
      <c r="A55" s="27">
        <v>3796459</v>
      </c>
      <c r="B55" s="27">
        <v>3934135</v>
      </c>
      <c r="C55" s="25" t="s">
        <v>1001</v>
      </c>
      <c r="D55" s="27" t="s">
        <v>1002</v>
      </c>
      <c r="E55" s="27" t="s">
        <v>37</v>
      </c>
      <c r="F55" s="27" t="s">
        <v>1003</v>
      </c>
      <c r="G55" s="27" t="s">
        <v>64</v>
      </c>
      <c r="H55" s="67">
        <v>400</v>
      </c>
      <c r="I55" s="50">
        <v>45475</v>
      </c>
      <c r="J55" s="50">
        <v>45506</v>
      </c>
      <c r="K55" s="27">
        <v>47</v>
      </c>
      <c r="L55" s="39" t="s">
        <v>1004</v>
      </c>
      <c r="M55" s="52">
        <v>81</v>
      </c>
      <c r="N55" s="68" t="s">
        <v>991</v>
      </c>
      <c r="O55" s="27" t="s">
        <v>992</v>
      </c>
    </row>
    <row r="56" spans="1:15" ht="80.25" customHeight="1">
      <c r="A56" s="27">
        <v>3796459</v>
      </c>
      <c r="B56" s="27">
        <v>3934135</v>
      </c>
      <c r="C56" s="25" t="s">
        <v>1001</v>
      </c>
      <c r="D56" s="27" t="s">
        <v>1002</v>
      </c>
      <c r="E56" s="27" t="s">
        <v>37</v>
      </c>
      <c r="F56" s="27" t="s">
        <v>1003</v>
      </c>
      <c r="G56" s="62" t="s">
        <v>64</v>
      </c>
      <c r="H56" s="67">
        <v>400</v>
      </c>
      <c r="I56" s="50">
        <v>45513</v>
      </c>
      <c r="J56" s="50">
        <v>45516</v>
      </c>
      <c r="K56" s="27">
        <v>269</v>
      </c>
      <c r="L56" s="39" t="s">
        <v>1004</v>
      </c>
      <c r="M56" s="52">
        <v>81</v>
      </c>
      <c r="N56" s="68" t="s">
        <v>991</v>
      </c>
      <c r="O56" s="27" t="s">
        <v>992</v>
      </c>
    </row>
    <row r="57" spans="1:15" ht="28.9">
      <c r="A57" s="27">
        <v>3796459</v>
      </c>
      <c r="B57" s="27">
        <v>3934135</v>
      </c>
      <c r="C57" s="25" t="s">
        <v>1001</v>
      </c>
      <c r="D57" s="27" t="s">
        <v>1002</v>
      </c>
      <c r="E57" s="27" t="s">
        <v>37</v>
      </c>
      <c r="F57" s="27" t="s">
        <v>1003</v>
      </c>
      <c r="G57" s="62" t="s">
        <v>64</v>
      </c>
      <c r="H57" s="67">
        <v>400</v>
      </c>
      <c r="I57" s="50">
        <v>45541</v>
      </c>
      <c r="J57" s="50">
        <v>45548</v>
      </c>
      <c r="K57" s="27">
        <v>146</v>
      </c>
      <c r="L57" s="39">
        <v>2054</v>
      </c>
      <c r="M57" s="52" t="s">
        <v>1005</v>
      </c>
      <c r="N57" s="74" t="s">
        <v>991</v>
      </c>
      <c r="O57" s="27" t="s">
        <v>992</v>
      </c>
    </row>
    <row r="58" spans="1:15" ht="28.9">
      <c r="A58" s="27">
        <v>3796459</v>
      </c>
      <c r="B58" s="27">
        <v>3934135</v>
      </c>
      <c r="C58" s="25" t="s">
        <v>1001</v>
      </c>
      <c r="D58" s="27" t="s">
        <v>1002</v>
      </c>
      <c r="E58" s="27" t="s">
        <v>37</v>
      </c>
      <c r="F58" s="27" t="s">
        <v>1003</v>
      </c>
      <c r="G58" s="62" t="s">
        <v>64</v>
      </c>
      <c r="H58" s="67">
        <v>400</v>
      </c>
      <c r="I58" s="50">
        <v>45583</v>
      </c>
      <c r="J58" s="50">
        <v>45583</v>
      </c>
      <c r="K58" s="58" t="s">
        <v>1006</v>
      </c>
      <c r="L58" s="39">
        <v>2054</v>
      </c>
      <c r="M58" s="52" t="s">
        <v>1005</v>
      </c>
      <c r="N58" s="73" t="s">
        <v>991</v>
      </c>
      <c r="O58" s="27" t="s">
        <v>992</v>
      </c>
    </row>
    <row r="59" spans="1:15" ht="28.9">
      <c r="A59" s="27">
        <v>3796459</v>
      </c>
      <c r="B59" s="27">
        <v>3934135</v>
      </c>
      <c r="C59" s="25" t="s">
        <v>1001</v>
      </c>
      <c r="D59" s="27" t="s">
        <v>1002</v>
      </c>
      <c r="E59" s="27" t="s">
        <v>72</v>
      </c>
      <c r="F59" s="27" t="s">
        <v>1003</v>
      </c>
      <c r="G59" s="62" t="s">
        <v>64</v>
      </c>
      <c r="H59" s="67">
        <v>400</v>
      </c>
      <c r="I59" s="50">
        <v>45604</v>
      </c>
      <c r="J59" s="50">
        <v>45608</v>
      </c>
      <c r="K59" s="27">
        <v>218</v>
      </c>
      <c r="L59" s="39">
        <v>2054</v>
      </c>
      <c r="M59" s="52" t="s">
        <v>1005</v>
      </c>
      <c r="N59" s="73" t="s">
        <v>991</v>
      </c>
      <c r="O59" s="27" t="s">
        <v>992</v>
      </c>
    </row>
    <row r="60" spans="1:15" ht="28.9">
      <c r="A60" s="27">
        <v>3796459</v>
      </c>
      <c r="B60" s="27">
        <v>3934135</v>
      </c>
      <c r="C60" s="25" t="s">
        <v>1001</v>
      </c>
      <c r="D60" s="27" t="s">
        <v>1002</v>
      </c>
      <c r="E60" s="27" t="s">
        <v>37</v>
      </c>
      <c r="F60" s="27" t="s">
        <v>1003</v>
      </c>
      <c r="G60" s="62" t="s">
        <v>64</v>
      </c>
      <c r="H60" s="67">
        <v>400</v>
      </c>
      <c r="I60" s="50">
        <v>45632</v>
      </c>
      <c r="J60" s="50">
        <v>45635</v>
      </c>
      <c r="K60" s="27">
        <v>175</v>
      </c>
      <c r="L60" s="39">
        <v>2054</v>
      </c>
      <c r="M60" s="52" t="s">
        <v>1005</v>
      </c>
      <c r="N60" s="73" t="s">
        <v>991</v>
      </c>
      <c r="O60" s="27" t="s">
        <v>992</v>
      </c>
    </row>
    <row r="61" spans="1:15" ht="28.9">
      <c r="A61" s="27">
        <v>3796459</v>
      </c>
      <c r="B61" s="27">
        <v>3934135</v>
      </c>
      <c r="C61" s="25" t="s">
        <v>1001</v>
      </c>
      <c r="D61" s="27" t="s">
        <v>1002</v>
      </c>
      <c r="E61" s="27" t="s">
        <v>37</v>
      </c>
      <c r="F61" s="27" t="s">
        <v>1003</v>
      </c>
      <c r="G61" s="27" t="s">
        <v>64</v>
      </c>
      <c r="H61" s="67">
        <v>400</v>
      </c>
      <c r="I61" s="50">
        <v>45664</v>
      </c>
      <c r="J61" s="50">
        <v>45667</v>
      </c>
      <c r="K61" s="27">
        <v>136</v>
      </c>
      <c r="L61" s="39">
        <v>2054</v>
      </c>
      <c r="M61" s="52">
        <v>71</v>
      </c>
      <c r="N61" s="68" t="s">
        <v>991</v>
      </c>
      <c r="O61" s="27" t="s">
        <v>992</v>
      </c>
    </row>
    <row r="62" spans="1:15" ht="28.9">
      <c r="A62" s="27">
        <v>3796459</v>
      </c>
      <c r="B62" s="27">
        <v>3934135</v>
      </c>
      <c r="C62" s="25" t="s">
        <v>1001</v>
      </c>
      <c r="D62" s="27" t="s">
        <v>1002</v>
      </c>
      <c r="E62" s="27" t="s">
        <v>37</v>
      </c>
      <c r="F62" s="27" t="s">
        <v>1003</v>
      </c>
      <c r="G62" s="27" t="s">
        <v>64</v>
      </c>
      <c r="H62" s="67">
        <v>400</v>
      </c>
      <c r="I62" s="50">
        <v>45700</v>
      </c>
      <c r="J62" s="50">
        <v>45700</v>
      </c>
      <c r="K62" s="27">
        <v>294</v>
      </c>
      <c r="L62" s="39">
        <v>2054</v>
      </c>
      <c r="M62" s="52">
        <v>71</v>
      </c>
      <c r="N62" s="73" t="s">
        <v>991</v>
      </c>
      <c r="O62" s="27" t="s">
        <v>992</v>
      </c>
    </row>
    <row r="63" spans="1:15" ht="28.9">
      <c r="A63" s="27">
        <v>3796459</v>
      </c>
      <c r="B63" s="27">
        <v>3934135</v>
      </c>
      <c r="C63" s="25" t="s">
        <v>1001</v>
      </c>
      <c r="D63" s="27" t="s">
        <v>1002</v>
      </c>
      <c r="E63" s="27" t="s">
        <v>37</v>
      </c>
      <c r="F63" s="27" t="s">
        <v>1003</v>
      </c>
      <c r="G63" s="27" t="s">
        <v>64</v>
      </c>
      <c r="H63" s="67">
        <v>400</v>
      </c>
      <c r="I63" s="50">
        <v>45729</v>
      </c>
      <c r="J63" s="50">
        <v>45729</v>
      </c>
      <c r="K63" s="27">
        <v>232</v>
      </c>
      <c r="L63" s="39">
        <v>2054</v>
      </c>
      <c r="M63" s="52">
        <v>71</v>
      </c>
      <c r="N63" s="68" t="s">
        <v>991</v>
      </c>
      <c r="O63" s="27" t="s">
        <v>992</v>
      </c>
    </row>
    <row r="64" spans="1:15" ht="28.9">
      <c r="A64" s="27">
        <v>3796459</v>
      </c>
      <c r="B64" s="27">
        <v>3934135</v>
      </c>
      <c r="C64" s="25" t="s">
        <v>1001</v>
      </c>
      <c r="D64" s="27" t="s">
        <v>1002</v>
      </c>
      <c r="E64" s="27" t="s">
        <v>37</v>
      </c>
      <c r="F64" s="27" t="s">
        <v>1003</v>
      </c>
      <c r="G64" s="27" t="s">
        <v>64</v>
      </c>
      <c r="H64" s="67">
        <v>400</v>
      </c>
      <c r="I64" s="50">
        <v>45758</v>
      </c>
      <c r="J64" s="50">
        <v>45762</v>
      </c>
      <c r="K64" s="27">
        <v>299</v>
      </c>
      <c r="L64" s="39">
        <v>2054</v>
      </c>
      <c r="M64" s="52">
        <v>71</v>
      </c>
      <c r="N64" s="73" t="s">
        <v>991</v>
      </c>
      <c r="O64" s="27" t="s">
        <v>992</v>
      </c>
    </row>
    <row r="65" spans="1:15" ht="28.9">
      <c r="A65" s="27">
        <v>3796459</v>
      </c>
      <c r="B65" s="27">
        <v>3934135</v>
      </c>
      <c r="C65" s="25" t="s">
        <v>1001</v>
      </c>
      <c r="D65" s="27" t="s">
        <v>1002</v>
      </c>
      <c r="E65" s="27" t="s">
        <v>37</v>
      </c>
      <c r="F65" s="27" t="s">
        <v>1003</v>
      </c>
      <c r="G65" s="27" t="s">
        <v>64</v>
      </c>
      <c r="H65" s="67">
        <v>395</v>
      </c>
      <c r="I65" s="50">
        <v>45790</v>
      </c>
      <c r="J65" s="50">
        <v>45790</v>
      </c>
      <c r="K65" s="57">
        <v>307</v>
      </c>
      <c r="L65" s="39">
        <v>2054</v>
      </c>
      <c r="M65" s="52">
        <v>71</v>
      </c>
      <c r="N65" s="68" t="s">
        <v>991</v>
      </c>
      <c r="O65" s="27" t="s">
        <v>993</v>
      </c>
    </row>
    <row r="66" spans="1:15" ht="28.9">
      <c r="A66" s="27">
        <v>3796459</v>
      </c>
      <c r="B66" s="27">
        <v>3934135</v>
      </c>
      <c r="C66" s="25" t="s">
        <v>1001</v>
      </c>
      <c r="D66" s="27" t="s">
        <v>1002</v>
      </c>
      <c r="E66" s="27" t="s">
        <v>37</v>
      </c>
      <c r="F66" s="27" t="s">
        <v>1003</v>
      </c>
      <c r="G66" s="27" t="s">
        <v>64</v>
      </c>
      <c r="H66" s="67">
        <v>400</v>
      </c>
      <c r="I66" s="50">
        <v>45819</v>
      </c>
      <c r="J66" s="50">
        <v>45820</v>
      </c>
      <c r="K66" s="57">
        <v>194</v>
      </c>
      <c r="L66" s="39">
        <v>2054</v>
      </c>
      <c r="M66" s="52">
        <v>71</v>
      </c>
      <c r="N66" s="73" t="s">
        <v>991</v>
      </c>
      <c r="O66" s="27" t="s">
        <v>992</v>
      </c>
    </row>
    <row r="67" spans="1:15" ht="28.9">
      <c r="A67" s="27">
        <v>3796459</v>
      </c>
      <c r="B67" s="27">
        <v>3934135</v>
      </c>
      <c r="C67" s="25" t="s">
        <v>1001</v>
      </c>
      <c r="D67" s="27" t="s">
        <v>1002</v>
      </c>
      <c r="E67" s="27" t="s">
        <v>37</v>
      </c>
      <c r="F67" s="27" t="s">
        <v>1003</v>
      </c>
      <c r="G67" s="27" t="s">
        <v>64</v>
      </c>
      <c r="H67" s="67">
        <v>400</v>
      </c>
      <c r="I67" s="50">
        <v>45849</v>
      </c>
      <c r="J67" s="50">
        <v>45854</v>
      </c>
      <c r="K67" s="57">
        <v>261</v>
      </c>
      <c r="L67" s="39">
        <v>2054</v>
      </c>
      <c r="M67" s="52">
        <v>71</v>
      </c>
      <c r="N67" s="68" t="s">
        <v>991</v>
      </c>
      <c r="O67" s="27" t="s">
        <v>992</v>
      </c>
    </row>
    <row r="68" spans="1:15" ht="28.9">
      <c r="A68" s="27">
        <v>3796459</v>
      </c>
      <c r="B68" s="27">
        <v>3934135</v>
      </c>
      <c r="C68" s="25" t="s">
        <v>1001</v>
      </c>
      <c r="D68" s="27" t="s">
        <v>1002</v>
      </c>
      <c r="E68" s="27" t="s">
        <v>72</v>
      </c>
      <c r="F68" s="27" t="s">
        <v>1003</v>
      </c>
      <c r="G68" s="27" t="s">
        <v>64</v>
      </c>
      <c r="H68" s="67">
        <v>400</v>
      </c>
      <c r="I68" s="50">
        <v>45876</v>
      </c>
      <c r="J68" s="50">
        <v>45877</v>
      </c>
      <c r="K68" s="57">
        <v>135</v>
      </c>
      <c r="L68" s="39">
        <v>2054</v>
      </c>
      <c r="M68" s="52">
        <v>71</v>
      </c>
      <c r="N68" s="75" t="s">
        <v>991</v>
      </c>
      <c r="O68" s="27" t="s">
        <v>992</v>
      </c>
    </row>
    <row r="69" spans="1:15" ht="28.9">
      <c r="A69" s="27">
        <v>3796459</v>
      </c>
      <c r="B69" s="27">
        <v>3934135</v>
      </c>
      <c r="C69" s="25" t="s">
        <v>1001</v>
      </c>
      <c r="D69" s="27" t="s">
        <v>1002</v>
      </c>
      <c r="E69" s="27" t="s">
        <v>37</v>
      </c>
      <c r="F69" s="27" t="s">
        <v>1003</v>
      </c>
      <c r="G69" s="27" t="s">
        <v>64</v>
      </c>
      <c r="H69" s="67">
        <v>400</v>
      </c>
      <c r="I69" s="50">
        <v>45910</v>
      </c>
      <c r="J69" s="50">
        <v>45910</v>
      </c>
      <c r="K69" s="57">
        <v>213</v>
      </c>
      <c r="L69" s="39">
        <v>2054</v>
      </c>
      <c r="M69" s="52">
        <v>71</v>
      </c>
      <c r="N69" s="73" t="s">
        <v>991</v>
      </c>
      <c r="O69" s="27" t="s">
        <v>999</v>
      </c>
    </row>
    <row r="70" spans="1:15" ht="28.9">
      <c r="A70" s="27">
        <v>3796459</v>
      </c>
      <c r="B70" s="27">
        <v>3934135</v>
      </c>
      <c r="C70" s="25" t="s">
        <v>1001</v>
      </c>
      <c r="D70" s="27" t="s">
        <v>1002</v>
      </c>
      <c r="E70" s="27" t="s">
        <v>37</v>
      </c>
      <c r="F70" s="27" t="s">
        <v>1003</v>
      </c>
      <c r="G70" s="27" t="s">
        <v>64</v>
      </c>
      <c r="H70" s="67">
        <v>400</v>
      </c>
      <c r="I70" s="50">
        <v>45938</v>
      </c>
      <c r="J70" s="50">
        <v>45939</v>
      </c>
      <c r="K70" s="57">
        <v>204</v>
      </c>
      <c r="L70" s="39">
        <v>2054</v>
      </c>
      <c r="M70" s="52">
        <v>71</v>
      </c>
      <c r="N70" s="73" t="s">
        <v>991</v>
      </c>
      <c r="O70" s="27" t="s">
        <v>992</v>
      </c>
    </row>
    <row r="71" spans="1:15" ht="108.75" customHeight="1">
      <c r="A71" s="27" t="s">
        <v>1007</v>
      </c>
      <c r="B71" s="27">
        <v>3934796</v>
      </c>
      <c r="C71" s="25" t="s">
        <v>1008</v>
      </c>
      <c r="D71" s="27" t="s">
        <v>1009</v>
      </c>
      <c r="E71" s="27" t="s">
        <v>37</v>
      </c>
      <c r="F71" s="27" t="s">
        <v>1010</v>
      </c>
      <c r="G71" s="27" t="s">
        <v>64</v>
      </c>
      <c r="H71" s="76">
        <v>6391.44</v>
      </c>
      <c r="I71" s="50">
        <v>45475</v>
      </c>
      <c r="J71" s="50">
        <v>45489</v>
      </c>
      <c r="K71" s="27">
        <v>1001</v>
      </c>
      <c r="L71" s="39" t="s">
        <v>1011</v>
      </c>
      <c r="M71" s="52">
        <v>262</v>
      </c>
      <c r="N71" s="68" t="s">
        <v>991</v>
      </c>
      <c r="O71" s="27" t="s">
        <v>992</v>
      </c>
    </row>
    <row r="72" spans="1:15" ht="108.75" customHeight="1">
      <c r="A72" s="27">
        <v>3796471</v>
      </c>
      <c r="B72" s="27">
        <v>3934127</v>
      </c>
      <c r="C72" s="25" t="s">
        <v>1008</v>
      </c>
      <c r="D72" s="27" t="s">
        <v>1009</v>
      </c>
      <c r="E72" s="27" t="s">
        <v>37</v>
      </c>
      <c r="F72" s="27" t="s">
        <v>1010</v>
      </c>
      <c r="G72" s="62" t="s">
        <v>64</v>
      </c>
      <c r="H72" s="67">
        <v>5810.4</v>
      </c>
      <c r="I72" s="50">
        <v>45513</v>
      </c>
      <c r="J72" s="50">
        <v>45516</v>
      </c>
      <c r="K72" s="27">
        <v>1002</v>
      </c>
      <c r="L72" s="39" t="s">
        <v>1012</v>
      </c>
      <c r="M72" s="52">
        <v>262</v>
      </c>
      <c r="N72" s="68" t="s">
        <v>991</v>
      </c>
      <c r="O72" s="27" t="s">
        <v>992</v>
      </c>
    </row>
    <row r="73" spans="1:15" ht="72">
      <c r="A73" s="27">
        <v>3796471</v>
      </c>
      <c r="B73" s="27">
        <v>3934127</v>
      </c>
      <c r="C73" s="25" t="s">
        <v>1008</v>
      </c>
      <c r="D73" s="27" t="s">
        <v>1009</v>
      </c>
      <c r="E73" s="27" t="s">
        <v>37</v>
      </c>
      <c r="F73" s="27" t="s">
        <v>1010</v>
      </c>
      <c r="G73" s="62" t="s">
        <v>64</v>
      </c>
      <c r="H73" s="67">
        <v>5810.4</v>
      </c>
      <c r="I73" s="50">
        <v>45541</v>
      </c>
      <c r="J73" s="50">
        <v>45548</v>
      </c>
      <c r="K73" s="27">
        <v>1003</v>
      </c>
      <c r="L73" s="39" t="s">
        <v>1013</v>
      </c>
      <c r="M73" s="52" t="s">
        <v>1014</v>
      </c>
      <c r="N73" s="74" t="s">
        <v>991</v>
      </c>
      <c r="O73" s="27" t="s">
        <v>992</v>
      </c>
    </row>
    <row r="74" spans="1:15" ht="72">
      <c r="A74" s="27">
        <v>3796471</v>
      </c>
      <c r="B74" s="27">
        <v>3934127</v>
      </c>
      <c r="C74" s="25" t="s">
        <v>1008</v>
      </c>
      <c r="D74" s="27" t="s">
        <v>1009</v>
      </c>
      <c r="E74" s="27" t="s">
        <v>37</v>
      </c>
      <c r="F74" s="27" t="s">
        <v>1010</v>
      </c>
      <c r="G74" s="62" t="s">
        <v>64</v>
      </c>
      <c r="H74" s="67">
        <v>5810.4</v>
      </c>
      <c r="I74" s="50">
        <v>45583</v>
      </c>
      <c r="J74" s="50">
        <v>45583</v>
      </c>
      <c r="K74" s="58" t="s">
        <v>1015</v>
      </c>
      <c r="L74" s="39" t="s">
        <v>1013</v>
      </c>
      <c r="M74" s="52" t="s">
        <v>1014</v>
      </c>
      <c r="N74" s="73" t="s">
        <v>991</v>
      </c>
      <c r="O74" s="27" t="s">
        <v>992</v>
      </c>
    </row>
    <row r="75" spans="1:15" ht="72">
      <c r="A75" s="27">
        <v>3796471</v>
      </c>
      <c r="B75" s="27">
        <v>3934127</v>
      </c>
      <c r="C75" s="25" t="s">
        <v>1008</v>
      </c>
      <c r="D75" s="27" t="s">
        <v>1009</v>
      </c>
      <c r="E75" s="27" t="s">
        <v>72</v>
      </c>
      <c r="F75" s="27" t="s">
        <v>1010</v>
      </c>
      <c r="G75" s="62" t="s">
        <v>64</v>
      </c>
      <c r="H75" s="67">
        <v>5810.4</v>
      </c>
      <c r="I75" s="50">
        <v>45604</v>
      </c>
      <c r="J75" s="50">
        <v>45608</v>
      </c>
      <c r="K75" s="27">
        <v>1005</v>
      </c>
      <c r="L75" s="39" t="s">
        <v>1013</v>
      </c>
      <c r="M75" s="52" t="s">
        <v>1014</v>
      </c>
      <c r="N75" s="73" t="s">
        <v>991</v>
      </c>
      <c r="O75" s="27" t="s">
        <v>992</v>
      </c>
    </row>
    <row r="76" spans="1:15" ht="72">
      <c r="A76" s="27">
        <v>3796471</v>
      </c>
      <c r="B76" s="27">
        <v>3934127</v>
      </c>
      <c r="C76" s="25" t="s">
        <v>1008</v>
      </c>
      <c r="D76" s="27" t="s">
        <v>1009</v>
      </c>
      <c r="E76" s="27" t="s">
        <v>37</v>
      </c>
      <c r="F76" s="27" t="s">
        <v>1010</v>
      </c>
      <c r="G76" s="62" t="s">
        <v>64</v>
      </c>
      <c r="H76" s="67">
        <v>5810.4</v>
      </c>
      <c r="I76" s="50">
        <v>45632</v>
      </c>
      <c r="J76" s="50">
        <v>45635</v>
      </c>
      <c r="K76" s="27">
        <v>1006</v>
      </c>
      <c r="L76" s="39" t="s">
        <v>1013</v>
      </c>
      <c r="M76" s="52" t="s">
        <v>1014</v>
      </c>
      <c r="N76" s="73" t="s">
        <v>991</v>
      </c>
      <c r="O76" s="27" t="s">
        <v>992</v>
      </c>
    </row>
    <row r="77" spans="1:15" ht="72">
      <c r="A77" s="27">
        <v>3796471</v>
      </c>
      <c r="B77" s="27">
        <v>3934127</v>
      </c>
      <c r="C77" s="25" t="s">
        <v>1008</v>
      </c>
      <c r="D77" s="27" t="s">
        <v>1009</v>
      </c>
      <c r="E77" s="27" t="s">
        <v>37</v>
      </c>
      <c r="F77" s="27" t="s">
        <v>1010</v>
      </c>
      <c r="G77" s="27" t="s">
        <v>64</v>
      </c>
      <c r="H77" s="67">
        <v>5810.4</v>
      </c>
      <c r="I77" s="50">
        <v>45664</v>
      </c>
      <c r="J77" s="50">
        <v>45667</v>
      </c>
      <c r="K77" s="27">
        <v>1007</v>
      </c>
      <c r="L77" s="39" t="s">
        <v>1013</v>
      </c>
      <c r="M77" s="52">
        <v>262</v>
      </c>
      <c r="N77" s="68" t="s">
        <v>991</v>
      </c>
      <c r="O77" s="27" t="s">
        <v>992</v>
      </c>
    </row>
    <row r="78" spans="1:15" ht="72">
      <c r="A78" s="27">
        <v>3796471</v>
      </c>
      <c r="B78" s="27">
        <v>3934127</v>
      </c>
      <c r="C78" s="25" t="s">
        <v>1008</v>
      </c>
      <c r="D78" s="27" t="s">
        <v>1009</v>
      </c>
      <c r="E78" s="27" t="s">
        <v>37</v>
      </c>
      <c r="F78" s="27" t="s">
        <v>1010</v>
      </c>
      <c r="G78" s="27" t="s">
        <v>64</v>
      </c>
      <c r="H78" s="67">
        <v>6087.3</v>
      </c>
      <c r="I78" s="50">
        <v>45700</v>
      </c>
      <c r="J78" s="50">
        <v>45708</v>
      </c>
      <c r="K78" s="57">
        <v>1008</v>
      </c>
      <c r="L78" s="39" t="s">
        <v>1016</v>
      </c>
      <c r="M78" s="52">
        <v>262</v>
      </c>
      <c r="N78" s="73" t="s">
        <v>991</v>
      </c>
      <c r="O78" s="27" t="s">
        <v>992</v>
      </c>
    </row>
    <row r="79" spans="1:15" ht="72">
      <c r="A79" s="27">
        <v>3796471</v>
      </c>
      <c r="B79" s="27">
        <v>3934127</v>
      </c>
      <c r="C79" s="25" t="s">
        <v>1008</v>
      </c>
      <c r="D79" s="27" t="s">
        <v>1009</v>
      </c>
      <c r="E79" s="27" t="s">
        <v>37</v>
      </c>
      <c r="F79" s="27" t="s">
        <v>1010</v>
      </c>
      <c r="G79" s="27" t="s">
        <v>64</v>
      </c>
      <c r="H79" s="67">
        <v>6087.3</v>
      </c>
      <c r="I79" s="50">
        <v>45729</v>
      </c>
      <c r="J79" s="50">
        <v>45729</v>
      </c>
      <c r="K79" s="27">
        <v>1009</v>
      </c>
      <c r="L79" s="39" t="s">
        <v>1016</v>
      </c>
      <c r="M79" s="201" t="s">
        <v>1017</v>
      </c>
      <c r="N79" s="68" t="s">
        <v>991</v>
      </c>
      <c r="O79" s="27" t="s">
        <v>992</v>
      </c>
    </row>
    <row r="80" spans="1:15" ht="72">
      <c r="A80" s="27">
        <v>3796471</v>
      </c>
      <c r="B80" s="27">
        <v>3934127</v>
      </c>
      <c r="C80" s="25" t="s">
        <v>1008</v>
      </c>
      <c r="D80" s="27" t="s">
        <v>1009</v>
      </c>
      <c r="E80" s="27" t="s">
        <v>37</v>
      </c>
      <c r="F80" s="27" t="s">
        <v>1010</v>
      </c>
      <c r="G80" s="27" t="s">
        <v>64</v>
      </c>
      <c r="H80" s="67">
        <v>6087.3</v>
      </c>
      <c r="I80" s="50">
        <v>45758</v>
      </c>
      <c r="J80" s="50">
        <v>45762</v>
      </c>
      <c r="K80" s="27">
        <v>1010</v>
      </c>
      <c r="L80" s="39" t="s">
        <v>1016</v>
      </c>
      <c r="M80" s="201" t="s">
        <v>1018</v>
      </c>
      <c r="N80" s="73" t="s">
        <v>991</v>
      </c>
      <c r="O80" s="27" t="s">
        <v>992</v>
      </c>
    </row>
    <row r="81" spans="1:15" ht="72">
      <c r="A81" s="27">
        <v>3796471</v>
      </c>
      <c r="B81" s="27">
        <v>3934127</v>
      </c>
      <c r="C81" s="25" t="s">
        <v>1008</v>
      </c>
      <c r="D81" s="27" t="s">
        <v>1009</v>
      </c>
      <c r="E81" s="27" t="s">
        <v>37</v>
      </c>
      <c r="F81" s="27" t="s">
        <v>1010</v>
      </c>
      <c r="G81" s="27" t="s">
        <v>64</v>
      </c>
      <c r="H81" s="67">
        <v>6087.3</v>
      </c>
      <c r="I81" s="50">
        <v>45790</v>
      </c>
      <c r="J81" s="50">
        <v>45790</v>
      </c>
      <c r="K81" s="57">
        <v>1011</v>
      </c>
      <c r="L81" s="39" t="s">
        <v>1016</v>
      </c>
      <c r="M81" s="201" t="s">
        <v>1019</v>
      </c>
      <c r="N81" s="68" t="s">
        <v>991</v>
      </c>
      <c r="O81" s="27" t="s">
        <v>993</v>
      </c>
    </row>
    <row r="82" spans="1:15" ht="72">
      <c r="A82" s="27">
        <v>3796471</v>
      </c>
      <c r="B82" s="27">
        <v>3934127</v>
      </c>
      <c r="C82" s="25" t="s">
        <v>1008</v>
      </c>
      <c r="D82" s="27" t="s">
        <v>1009</v>
      </c>
      <c r="E82" s="27" t="s">
        <v>37</v>
      </c>
      <c r="F82" s="27" t="s">
        <v>1010</v>
      </c>
      <c r="G82" s="27" t="s">
        <v>64</v>
      </c>
      <c r="H82" s="67">
        <v>6087.3</v>
      </c>
      <c r="I82" s="50">
        <v>45820</v>
      </c>
      <c r="J82" s="50">
        <v>45820</v>
      </c>
      <c r="K82" s="57">
        <v>1012</v>
      </c>
      <c r="L82" s="39" t="s">
        <v>1016</v>
      </c>
      <c r="M82" s="201" t="s">
        <v>1019</v>
      </c>
      <c r="N82" s="73" t="s">
        <v>991</v>
      </c>
      <c r="O82" s="27" t="s">
        <v>992</v>
      </c>
    </row>
    <row r="83" spans="1:15" ht="72">
      <c r="A83" s="27">
        <v>3796471</v>
      </c>
      <c r="B83" s="27">
        <v>3934127</v>
      </c>
      <c r="C83" s="25" t="s">
        <v>1008</v>
      </c>
      <c r="D83" s="27" t="s">
        <v>1009</v>
      </c>
      <c r="E83" s="27" t="s">
        <v>37</v>
      </c>
      <c r="F83" s="27" t="s">
        <v>1010</v>
      </c>
      <c r="G83" s="27" t="s">
        <v>64</v>
      </c>
      <c r="H83" s="67">
        <v>6134.66</v>
      </c>
      <c r="I83" s="50">
        <v>45849</v>
      </c>
      <c r="J83" s="50">
        <v>45863</v>
      </c>
      <c r="K83" s="57">
        <v>1013</v>
      </c>
      <c r="L83" s="39" t="s">
        <v>1016</v>
      </c>
      <c r="M83" s="201" t="s">
        <v>1019</v>
      </c>
      <c r="N83" s="68" t="s">
        <v>991</v>
      </c>
      <c r="O83" s="27" t="s">
        <v>992</v>
      </c>
    </row>
    <row r="84" spans="1:15" ht="72">
      <c r="A84" s="27">
        <v>3796471</v>
      </c>
      <c r="B84" s="27">
        <v>3934127</v>
      </c>
      <c r="C84" s="25" t="s">
        <v>1008</v>
      </c>
      <c r="D84" s="27" t="s">
        <v>1009</v>
      </c>
      <c r="E84" s="50" t="s">
        <v>72</v>
      </c>
      <c r="F84" s="27" t="s">
        <v>1010</v>
      </c>
      <c r="G84" s="27" t="s">
        <v>64</v>
      </c>
      <c r="H84" s="67">
        <v>6087.3</v>
      </c>
      <c r="I84" s="50">
        <v>45876</v>
      </c>
      <c r="J84" s="50">
        <v>45877</v>
      </c>
      <c r="K84" s="57">
        <v>1014</v>
      </c>
      <c r="L84" s="39" t="s">
        <v>1016</v>
      </c>
      <c r="M84" s="201" t="s">
        <v>1019</v>
      </c>
      <c r="N84" s="75" t="s">
        <v>991</v>
      </c>
      <c r="O84" s="27" t="s">
        <v>992</v>
      </c>
    </row>
    <row r="85" spans="1:15" ht="72">
      <c r="A85" s="27">
        <v>3796471</v>
      </c>
      <c r="B85" s="27">
        <v>3934127</v>
      </c>
      <c r="C85" s="25" t="s">
        <v>1008</v>
      </c>
      <c r="D85" s="27" t="s">
        <v>1009</v>
      </c>
      <c r="E85" s="50" t="s">
        <v>72</v>
      </c>
      <c r="F85" s="27" t="s">
        <v>1010</v>
      </c>
      <c r="G85" s="27" t="s">
        <v>64</v>
      </c>
      <c r="H85" s="67">
        <v>6087.3</v>
      </c>
      <c r="I85" s="50">
        <v>45910</v>
      </c>
      <c r="J85" s="50">
        <v>45910</v>
      </c>
      <c r="K85" s="57">
        <v>9881001015</v>
      </c>
      <c r="L85" s="39" t="s">
        <v>1016</v>
      </c>
      <c r="M85" s="201" t="s">
        <v>1019</v>
      </c>
      <c r="N85" s="73" t="s">
        <v>991</v>
      </c>
      <c r="O85" s="27" t="s">
        <v>999</v>
      </c>
    </row>
    <row r="86" spans="1:15" ht="72">
      <c r="A86" s="27">
        <v>3796471</v>
      </c>
      <c r="B86" s="27">
        <v>3934127</v>
      </c>
      <c r="C86" s="25" t="s">
        <v>1008</v>
      </c>
      <c r="D86" s="27" t="s">
        <v>1009</v>
      </c>
      <c r="E86" s="27" t="s">
        <v>37</v>
      </c>
      <c r="F86" s="27" t="s">
        <v>1010</v>
      </c>
      <c r="G86" s="27" t="s">
        <v>64</v>
      </c>
      <c r="H86" s="67">
        <v>6087.3</v>
      </c>
      <c r="I86" s="50">
        <v>45938</v>
      </c>
      <c r="J86" s="50">
        <v>45939</v>
      </c>
      <c r="K86" s="57">
        <v>881001016</v>
      </c>
      <c r="L86" s="39" t="s">
        <v>1016</v>
      </c>
      <c r="M86" s="201" t="s">
        <v>1019</v>
      </c>
      <c r="N86" s="73" t="s">
        <v>991</v>
      </c>
      <c r="O86" s="27" t="s">
        <v>992</v>
      </c>
    </row>
    <row r="87" spans="1:15">
      <c r="A87" s="27" t="s">
        <v>35</v>
      </c>
      <c r="B87" s="27" t="s">
        <v>35</v>
      </c>
      <c r="C87" s="25" t="s">
        <v>1020</v>
      </c>
      <c r="D87" s="27"/>
      <c r="E87" s="27" t="s">
        <v>72</v>
      </c>
      <c r="F87" s="27" t="s">
        <v>1021</v>
      </c>
      <c r="G87" s="27" t="s">
        <v>64</v>
      </c>
      <c r="H87" s="67">
        <v>1261.03</v>
      </c>
      <c r="I87" s="50">
        <v>45370</v>
      </c>
      <c r="J87" s="50"/>
      <c r="K87" s="27">
        <v>12925</v>
      </c>
      <c r="L87" s="39">
        <v>1295</v>
      </c>
      <c r="M87" s="52">
        <v>30</v>
      </c>
      <c r="N87" s="68" t="s">
        <v>991</v>
      </c>
      <c r="O87" s="27" t="s">
        <v>1022</v>
      </c>
    </row>
    <row r="88" spans="1:15">
      <c r="A88" s="27" t="s">
        <v>35</v>
      </c>
      <c r="B88" s="27" t="s">
        <v>35</v>
      </c>
      <c r="C88" s="25" t="s">
        <v>1020</v>
      </c>
      <c r="D88" s="27"/>
      <c r="E88" s="27" t="s">
        <v>72</v>
      </c>
      <c r="F88" s="27" t="s">
        <v>1021</v>
      </c>
      <c r="G88" s="27" t="s">
        <v>64</v>
      </c>
      <c r="H88" s="67">
        <v>1261.03</v>
      </c>
      <c r="I88" s="50">
        <v>45490</v>
      </c>
      <c r="J88" s="50">
        <v>45492</v>
      </c>
      <c r="K88" s="27">
        <v>13267</v>
      </c>
      <c r="L88" s="39">
        <v>1295</v>
      </c>
      <c r="M88" s="52">
        <v>30</v>
      </c>
      <c r="N88" s="68" t="s">
        <v>991</v>
      </c>
      <c r="O88" s="27" t="s">
        <v>992</v>
      </c>
    </row>
    <row r="89" spans="1:15">
      <c r="A89" s="27" t="s">
        <v>35</v>
      </c>
      <c r="B89" s="27" t="s">
        <v>35</v>
      </c>
      <c r="C89" s="25" t="s">
        <v>1020</v>
      </c>
      <c r="D89" s="27"/>
      <c r="E89" s="27" t="s">
        <v>72</v>
      </c>
      <c r="F89" s="27" t="s">
        <v>1021</v>
      </c>
      <c r="G89" s="27" t="s">
        <v>64</v>
      </c>
      <c r="H89" s="67">
        <v>1261.03</v>
      </c>
      <c r="I89" s="50">
        <v>45520</v>
      </c>
      <c r="J89" s="50">
        <v>45552</v>
      </c>
      <c r="K89" s="27">
        <v>13356</v>
      </c>
      <c r="L89" s="39">
        <v>1295</v>
      </c>
      <c r="M89" s="52">
        <v>30</v>
      </c>
      <c r="N89" s="68" t="s">
        <v>991</v>
      </c>
      <c r="O89" s="27" t="s">
        <v>1022</v>
      </c>
    </row>
    <row r="90" spans="1:15">
      <c r="A90" s="27" t="s">
        <v>35</v>
      </c>
      <c r="B90" s="27" t="s">
        <v>35</v>
      </c>
      <c r="C90" s="25" t="s">
        <v>1020</v>
      </c>
      <c r="D90" s="27"/>
      <c r="E90" s="27" t="s">
        <v>37</v>
      </c>
      <c r="F90" s="27" t="s">
        <v>1021</v>
      </c>
      <c r="G90" s="27" t="s">
        <v>64</v>
      </c>
      <c r="H90" s="67">
        <v>1261.03</v>
      </c>
      <c r="I90" s="50">
        <v>45552</v>
      </c>
      <c r="J90" s="50">
        <v>45554</v>
      </c>
      <c r="K90" s="27">
        <v>13469</v>
      </c>
      <c r="L90" s="39">
        <v>1295</v>
      </c>
      <c r="M90" s="52">
        <v>30</v>
      </c>
      <c r="N90" s="68" t="s">
        <v>991</v>
      </c>
      <c r="O90" s="27" t="s">
        <v>992</v>
      </c>
    </row>
    <row r="91" spans="1:15">
      <c r="A91" s="27" t="s">
        <v>35</v>
      </c>
      <c r="B91" s="27" t="s">
        <v>35</v>
      </c>
      <c r="C91" s="25" t="s">
        <v>1020</v>
      </c>
      <c r="D91" s="27"/>
      <c r="E91" s="27" t="s">
        <v>37</v>
      </c>
      <c r="F91" s="27" t="s">
        <v>1021</v>
      </c>
      <c r="G91" s="27" t="s">
        <v>64</v>
      </c>
      <c r="H91" s="67">
        <v>1261.03</v>
      </c>
      <c r="I91" s="50">
        <v>45583</v>
      </c>
      <c r="J91" s="50">
        <v>45586</v>
      </c>
      <c r="K91" s="27">
        <v>13582</v>
      </c>
      <c r="L91" s="39">
        <v>1295</v>
      </c>
      <c r="M91" s="52">
        <v>30</v>
      </c>
      <c r="N91" s="68" t="s">
        <v>991</v>
      </c>
      <c r="O91" s="27" t="s">
        <v>992</v>
      </c>
    </row>
    <row r="92" spans="1:15">
      <c r="A92" s="27" t="s">
        <v>35</v>
      </c>
      <c r="B92" s="27" t="s">
        <v>35</v>
      </c>
      <c r="C92" s="25" t="s">
        <v>1020</v>
      </c>
      <c r="D92" s="27"/>
      <c r="E92" s="27" t="s">
        <v>37</v>
      </c>
      <c r="F92" s="27" t="s">
        <v>1021</v>
      </c>
      <c r="G92" s="27" t="s">
        <v>64</v>
      </c>
      <c r="H92" s="67">
        <v>1261.03</v>
      </c>
      <c r="I92" s="50">
        <v>45614</v>
      </c>
      <c r="J92" s="50">
        <v>45624</v>
      </c>
      <c r="K92" s="27">
        <v>13627</v>
      </c>
      <c r="L92" s="39">
        <v>1295</v>
      </c>
      <c r="M92" s="52">
        <v>30</v>
      </c>
      <c r="N92" s="68" t="s">
        <v>991</v>
      </c>
      <c r="O92" s="27" t="s">
        <v>992</v>
      </c>
    </row>
    <row r="93" spans="1:15">
      <c r="A93" s="27" t="s">
        <v>35</v>
      </c>
      <c r="B93" s="27" t="s">
        <v>35</v>
      </c>
      <c r="C93" s="25" t="s">
        <v>1020</v>
      </c>
      <c r="D93" s="27"/>
      <c r="E93" s="27" t="s">
        <v>72</v>
      </c>
      <c r="F93" s="27" t="s">
        <v>1021</v>
      </c>
      <c r="G93" s="27" t="s">
        <v>64</v>
      </c>
      <c r="H93" s="67">
        <v>1261.03</v>
      </c>
      <c r="I93" s="50">
        <v>45636</v>
      </c>
      <c r="J93" s="50">
        <v>45638</v>
      </c>
      <c r="K93" s="27">
        <v>13698</v>
      </c>
      <c r="L93" s="39">
        <v>1295</v>
      </c>
      <c r="M93" s="52">
        <v>30</v>
      </c>
      <c r="N93" s="73" t="s">
        <v>991</v>
      </c>
      <c r="O93" s="27" t="s">
        <v>992</v>
      </c>
    </row>
    <row r="94" spans="1:15">
      <c r="A94" s="27" t="s">
        <v>35</v>
      </c>
      <c r="B94" s="27" t="s">
        <v>35</v>
      </c>
      <c r="C94" s="25" t="s">
        <v>1020</v>
      </c>
      <c r="D94" s="27"/>
      <c r="E94" s="27" t="s">
        <v>72</v>
      </c>
      <c r="F94" s="27" t="s">
        <v>1021</v>
      </c>
      <c r="G94" s="27" t="s">
        <v>64</v>
      </c>
      <c r="H94" s="67">
        <v>1321.15</v>
      </c>
      <c r="I94" s="50">
        <v>45673</v>
      </c>
      <c r="J94" s="50">
        <v>45674</v>
      </c>
      <c r="K94" s="27">
        <v>13781</v>
      </c>
      <c r="L94" s="39">
        <v>1295</v>
      </c>
      <c r="M94" s="52">
        <v>30</v>
      </c>
      <c r="N94" s="75" t="s">
        <v>991</v>
      </c>
      <c r="O94" s="27" t="s">
        <v>992</v>
      </c>
    </row>
    <row r="95" spans="1:15">
      <c r="A95" s="27" t="s">
        <v>35</v>
      </c>
      <c r="B95" s="27" t="s">
        <v>35</v>
      </c>
      <c r="C95" s="25" t="s">
        <v>1020</v>
      </c>
      <c r="D95" s="27"/>
      <c r="E95" s="27" t="s">
        <v>37</v>
      </c>
      <c r="F95" s="27" t="s">
        <v>1021</v>
      </c>
      <c r="G95" s="27" t="s">
        <v>64</v>
      </c>
      <c r="H95" s="67">
        <v>1321.15</v>
      </c>
      <c r="I95" s="50">
        <v>45706</v>
      </c>
      <c r="J95" s="50">
        <v>45713</v>
      </c>
      <c r="K95" s="27">
        <v>13870</v>
      </c>
      <c r="L95" s="39">
        <v>1295</v>
      </c>
      <c r="M95" s="52">
        <v>30</v>
      </c>
      <c r="N95" s="75" t="s">
        <v>991</v>
      </c>
      <c r="O95" s="27" t="s">
        <v>992</v>
      </c>
    </row>
    <row r="96" spans="1:15">
      <c r="A96" s="27" t="s">
        <v>35</v>
      </c>
      <c r="B96" s="27" t="s">
        <v>35</v>
      </c>
      <c r="C96" s="25" t="s">
        <v>1020</v>
      </c>
      <c r="D96" s="27"/>
      <c r="E96" s="27" t="s">
        <v>37</v>
      </c>
      <c r="F96" s="27" t="s">
        <v>1021</v>
      </c>
      <c r="G96" s="27" t="s">
        <v>64</v>
      </c>
      <c r="H96" s="67">
        <v>1321.15</v>
      </c>
      <c r="I96" s="50">
        <v>45734</v>
      </c>
      <c r="J96" s="50">
        <v>45740</v>
      </c>
      <c r="K96" s="27">
        <v>13981</v>
      </c>
      <c r="L96" s="39">
        <v>1295</v>
      </c>
      <c r="M96" s="52">
        <v>30</v>
      </c>
      <c r="N96" s="68" t="s">
        <v>991</v>
      </c>
      <c r="O96" s="27" t="s">
        <v>992</v>
      </c>
    </row>
    <row r="97" spans="1:15">
      <c r="A97" s="27" t="s">
        <v>35</v>
      </c>
      <c r="B97" s="27" t="s">
        <v>35</v>
      </c>
      <c r="C97" s="25" t="s">
        <v>1020</v>
      </c>
      <c r="D97" s="27"/>
      <c r="E97" s="27" t="s">
        <v>37</v>
      </c>
      <c r="F97" s="27" t="s">
        <v>1021</v>
      </c>
      <c r="G97" s="27" t="s">
        <v>64</v>
      </c>
      <c r="H97" s="67">
        <v>1321.15</v>
      </c>
      <c r="I97" s="50">
        <v>45764</v>
      </c>
      <c r="J97" s="50">
        <v>45769</v>
      </c>
      <c r="K97" s="57">
        <v>14054</v>
      </c>
      <c r="L97" s="39">
        <v>1295</v>
      </c>
      <c r="M97" s="52">
        <v>30</v>
      </c>
      <c r="N97" s="73" t="s">
        <v>991</v>
      </c>
      <c r="O97" s="27" t="s">
        <v>992</v>
      </c>
    </row>
    <row r="98" spans="1:15">
      <c r="A98" s="27" t="s">
        <v>35</v>
      </c>
      <c r="B98" s="27" t="s">
        <v>35</v>
      </c>
      <c r="C98" s="25" t="s">
        <v>1020</v>
      </c>
      <c r="D98" s="27"/>
      <c r="E98" s="27" t="s">
        <v>37</v>
      </c>
      <c r="F98" s="27" t="s">
        <v>1021</v>
      </c>
      <c r="G98" s="27" t="s">
        <v>64</v>
      </c>
      <c r="H98" s="69">
        <v>1321.15</v>
      </c>
      <c r="I98" s="50">
        <v>45793</v>
      </c>
      <c r="J98" s="50">
        <v>45797</v>
      </c>
      <c r="K98" s="57">
        <v>14141</v>
      </c>
      <c r="L98" s="39">
        <v>1295</v>
      </c>
      <c r="M98" s="52">
        <v>30</v>
      </c>
      <c r="N98" s="75" t="s">
        <v>991</v>
      </c>
      <c r="O98" s="27" t="s">
        <v>993</v>
      </c>
    </row>
    <row r="99" spans="1:15">
      <c r="A99" s="27" t="s">
        <v>35</v>
      </c>
      <c r="B99" s="27" t="s">
        <v>35</v>
      </c>
      <c r="C99" s="25" t="s">
        <v>1020</v>
      </c>
      <c r="D99" s="27"/>
      <c r="E99" s="27" t="s">
        <v>37</v>
      </c>
      <c r="F99" s="27" t="s">
        <v>1021</v>
      </c>
      <c r="G99" s="27" t="s">
        <v>64</v>
      </c>
      <c r="H99" s="67">
        <v>1321.15</v>
      </c>
      <c r="I99" s="50">
        <v>45824</v>
      </c>
      <c r="J99" s="50">
        <v>45827</v>
      </c>
      <c r="K99" s="57">
        <v>14200</v>
      </c>
      <c r="L99" s="39">
        <v>1295</v>
      </c>
      <c r="M99" s="52">
        <v>30</v>
      </c>
      <c r="N99" s="73" t="s">
        <v>991</v>
      </c>
      <c r="O99" s="27" t="s">
        <v>992</v>
      </c>
    </row>
    <row r="100" spans="1:15">
      <c r="A100" s="27" t="s">
        <v>35</v>
      </c>
      <c r="B100" s="27" t="s">
        <v>35</v>
      </c>
      <c r="C100" s="25" t="s">
        <v>1020</v>
      </c>
      <c r="D100" s="27"/>
      <c r="E100" s="27" t="s">
        <v>37</v>
      </c>
      <c r="F100" s="27" t="s">
        <v>1021</v>
      </c>
      <c r="G100" s="27" t="s">
        <v>64</v>
      </c>
      <c r="H100" s="67">
        <v>1321.15</v>
      </c>
      <c r="I100" s="50">
        <v>45854</v>
      </c>
      <c r="J100" s="50">
        <v>45856</v>
      </c>
      <c r="K100" s="57">
        <v>14288</v>
      </c>
      <c r="L100" s="39">
        <v>1295</v>
      </c>
      <c r="M100" s="52">
        <v>30</v>
      </c>
      <c r="N100" s="68" t="s">
        <v>991</v>
      </c>
      <c r="O100" s="27" t="s">
        <v>992</v>
      </c>
    </row>
    <row r="101" spans="1:15">
      <c r="A101" s="27" t="s">
        <v>35</v>
      </c>
      <c r="B101" s="27" t="s">
        <v>35</v>
      </c>
      <c r="C101" s="25" t="s">
        <v>1020</v>
      </c>
      <c r="D101" s="27"/>
      <c r="E101" s="27" t="s">
        <v>37</v>
      </c>
      <c r="F101" s="27" t="s">
        <v>1021</v>
      </c>
      <c r="G101" s="27" t="s">
        <v>64</v>
      </c>
      <c r="H101" s="67">
        <v>1321.15</v>
      </c>
      <c r="I101" s="50">
        <v>45887</v>
      </c>
      <c r="J101" s="50">
        <v>45891</v>
      </c>
      <c r="K101" s="57">
        <v>14371</v>
      </c>
      <c r="L101" s="39">
        <v>1295</v>
      </c>
      <c r="M101" s="52">
        <v>30</v>
      </c>
      <c r="N101" s="68" t="s">
        <v>991</v>
      </c>
      <c r="O101" s="27" t="s">
        <v>992</v>
      </c>
    </row>
    <row r="102" spans="1:15">
      <c r="A102" s="27" t="s">
        <v>35</v>
      </c>
      <c r="B102" s="27" t="s">
        <v>35</v>
      </c>
      <c r="C102" s="25" t="s">
        <v>1020</v>
      </c>
      <c r="D102" s="27"/>
      <c r="E102" s="27" t="s">
        <v>37</v>
      </c>
      <c r="F102" s="27" t="s">
        <v>1021</v>
      </c>
      <c r="G102" s="27" t="s">
        <v>64</v>
      </c>
      <c r="H102" s="67">
        <v>1321.15</v>
      </c>
      <c r="I102" s="50">
        <v>45919</v>
      </c>
      <c r="J102" s="50">
        <v>45924</v>
      </c>
      <c r="K102" s="57">
        <v>14473</v>
      </c>
      <c r="L102" s="39">
        <v>1295</v>
      </c>
      <c r="M102" s="52">
        <v>30</v>
      </c>
      <c r="N102" s="68" t="s">
        <v>991</v>
      </c>
      <c r="O102" s="27" t="s">
        <v>992</v>
      </c>
    </row>
    <row r="103" spans="1:15">
      <c r="A103" s="27" t="s">
        <v>35</v>
      </c>
      <c r="B103" s="27" t="s">
        <v>35</v>
      </c>
      <c r="C103" s="25" t="s">
        <v>1020</v>
      </c>
      <c r="D103" s="27"/>
      <c r="E103" s="27" t="s">
        <v>37</v>
      </c>
      <c r="F103" s="27" t="s">
        <v>1021</v>
      </c>
      <c r="G103" s="27" t="s">
        <v>64</v>
      </c>
      <c r="H103" s="67">
        <v>1321.15</v>
      </c>
      <c r="I103" s="50">
        <v>45946</v>
      </c>
      <c r="J103" s="50">
        <v>45947</v>
      </c>
      <c r="K103" s="57">
        <v>14596</v>
      </c>
      <c r="L103" s="39">
        <v>1295</v>
      </c>
      <c r="M103" s="52">
        <v>30</v>
      </c>
      <c r="N103" s="73" t="s">
        <v>991</v>
      </c>
      <c r="O103" s="64" t="s">
        <v>992</v>
      </c>
    </row>
    <row r="104" spans="1:15" ht="86.45">
      <c r="A104" s="27">
        <v>3977321</v>
      </c>
      <c r="B104" s="27">
        <v>4106352</v>
      </c>
      <c r="C104" s="25" t="s">
        <v>1023</v>
      </c>
      <c r="D104" s="27" t="s">
        <v>1024</v>
      </c>
      <c r="E104" s="27" t="s">
        <v>37</v>
      </c>
      <c r="F104" s="27" t="s">
        <v>1025</v>
      </c>
      <c r="G104" s="27" t="s">
        <v>64</v>
      </c>
      <c r="H104" s="67">
        <v>7500</v>
      </c>
      <c r="I104" s="50">
        <v>45671</v>
      </c>
      <c r="J104" s="50">
        <v>45672</v>
      </c>
      <c r="K104" s="27">
        <v>10490</v>
      </c>
      <c r="L104" s="39">
        <v>1210</v>
      </c>
      <c r="M104" s="52">
        <v>242</v>
      </c>
      <c r="N104" s="73" t="s">
        <v>991</v>
      </c>
      <c r="O104" s="27" t="s">
        <v>992</v>
      </c>
    </row>
    <row r="105" spans="1:15" ht="86.45">
      <c r="A105" s="27">
        <v>3977321</v>
      </c>
      <c r="B105" s="27">
        <v>4106352</v>
      </c>
      <c r="C105" s="25" t="s">
        <v>1023</v>
      </c>
      <c r="D105" s="27" t="s">
        <v>1024</v>
      </c>
      <c r="E105" s="27" t="s">
        <v>37</v>
      </c>
      <c r="F105" s="27" t="s">
        <v>1025</v>
      </c>
      <c r="G105" s="27" t="s">
        <v>64</v>
      </c>
      <c r="H105" s="67">
        <v>7500</v>
      </c>
      <c r="I105" s="50">
        <v>45706</v>
      </c>
      <c r="J105" s="50">
        <v>45708</v>
      </c>
      <c r="K105" s="27">
        <v>10651</v>
      </c>
      <c r="L105" s="39">
        <v>1210</v>
      </c>
      <c r="M105" s="52">
        <v>242</v>
      </c>
      <c r="N105" s="73" t="s">
        <v>991</v>
      </c>
      <c r="O105" s="27" t="s">
        <v>992</v>
      </c>
    </row>
    <row r="106" spans="1:15" ht="86.45">
      <c r="A106" s="27">
        <v>3977321</v>
      </c>
      <c r="B106" s="27">
        <v>4106352</v>
      </c>
      <c r="C106" s="25" t="s">
        <v>1023</v>
      </c>
      <c r="D106" s="27" t="s">
        <v>1024</v>
      </c>
      <c r="E106" s="27" t="s">
        <v>37</v>
      </c>
      <c r="F106" s="27" t="s">
        <v>1025</v>
      </c>
      <c r="G106" s="27" t="s">
        <v>64</v>
      </c>
      <c r="H106" s="67">
        <v>7500</v>
      </c>
      <c r="I106" s="50">
        <v>45734</v>
      </c>
      <c r="J106" s="50">
        <v>45734</v>
      </c>
      <c r="K106" s="27">
        <v>10808</v>
      </c>
      <c r="L106" s="39">
        <v>1210</v>
      </c>
      <c r="M106" s="52">
        <v>242</v>
      </c>
      <c r="N106" s="73" t="s">
        <v>991</v>
      </c>
      <c r="O106" s="27" t="s">
        <v>992</v>
      </c>
    </row>
    <row r="107" spans="1:15" ht="86.45">
      <c r="A107" s="27">
        <v>3977321</v>
      </c>
      <c r="B107" s="27">
        <v>4106352</v>
      </c>
      <c r="C107" s="25" t="s">
        <v>1023</v>
      </c>
      <c r="D107" s="27" t="s">
        <v>1024</v>
      </c>
      <c r="E107" s="27" t="s">
        <v>37</v>
      </c>
      <c r="F107" s="27" t="s">
        <v>1025</v>
      </c>
      <c r="G107" s="27" t="s">
        <v>64</v>
      </c>
      <c r="H107" s="67">
        <v>7500</v>
      </c>
      <c r="I107" s="50">
        <v>45755</v>
      </c>
      <c r="J107" s="50">
        <v>45759</v>
      </c>
      <c r="K107" s="27">
        <v>10922</v>
      </c>
      <c r="L107" s="39">
        <v>1210</v>
      </c>
      <c r="M107" s="52">
        <v>242</v>
      </c>
      <c r="N107" s="68" t="s">
        <v>991</v>
      </c>
      <c r="O107" s="27" t="s">
        <v>992</v>
      </c>
    </row>
    <row r="108" spans="1:15" ht="86.45">
      <c r="A108" s="27">
        <v>3977321</v>
      </c>
      <c r="B108" s="27">
        <v>4106352</v>
      </c>
      <c r="C108" s="25" t="s">
        <v>1023</v>
      </c>
      <c r="D108" s="27" t="s">
        <v>1024</v>
      </c>
      <c r="E108" s="27" t="s">
        <v>37</v>
      </c>
      <c r="F108" s="27" t="s">
        <v>1025</v>
      </c>
      <c r="G108" s="27" t="s">
        <v>64</v>
      </c>
      <c r="H108" s="67">
        <v>7500</v>
      </c>
      <c r="I108" s="50">
        <v>45790</v>
      </c>
      <c r="J108" s="50">
        <v>45791</v>
      </c>
      <c r="K108" s="57">
        <v>11102</v>
      </c>
      <c r="L108" s="39">
        <v>1210</v>
      </c>
      <c r="M108" s="52">
        <v>242</v>
      </c>
      <c r="N108" s="71" t="s">
        <v>991</v>
      </c>
      <c r="O108" s="27" t="s">
        <v>993</v>
      </c>
    </row>
    <row r="109" spans="1:15" ht="86.45">
      <c r="A109" s="14">
        <v>3977321</v>
      </c>
      <c r="B109" s="14">
        <v>4106352</v>
      </c>
      <c r="C109" s="25" t="s">
        <v>1023</v>
      </c>
      <c r="D109" s="27" t="s">
        <v>1024</v>
      </c>
      <c r="E109" s="27" t="s">
        <v>37</v>
      </c>
      <c r="F109" s="27" t="s">
        <v>1025</v>
      </c>
      <c r="G109" s="27" t="s">
        <v>64</v>
      </c>
      <c r="H109" s="67">
        <v>7500</v>
      </c>
      <c r="I109" s="50">
        <v>45811</v>
      </c>
      <c r="J109" s="50">
        <v>45813</v>
      </c>
      <c r="K109" s="57">
        <v>11198</v>
      </c>
      <c r="L109" s="39">
        <v>1210</v>
      </c>
      <c r="M109" s="52">
        <v>242</v>
      </c>
      <c r="N109" s="73" t="s">
        <v>991</v>
      </c>
      <c r="O109" s="27" t="s">
        <v>992</v>
      </c>
    </row>
    <row r="110" spans="1:15" ht="86.45">
      <c r="A110" s="14">
        <v>3977321</v>
      </c>
      <c r="B110" s="14">
        <v>4106352</v>
      </c>
      <c r="C110" s="25" t="s">
        <v>1023</v>
      </c>
      <c r="D110" s="27" t="s">
        <v>1024</v>
      </c>
      <c r="E110" s="27" t="s">
        <v>72</v>
      </c>
      <c r="F110" s="27" t="s">
        <v>1025</v>
      </c>
      <c r="G110" s="27" t="s">
        <v>64</v>
      </c>
      <c r="H110" s="67">
        <v>7500</v>
      </c>
      <c r="I110" s="50">
        <v>45846</v>
      </c>
      <c r="J110" s="50">
        <v>45847</v>
      </c>
      <c r="K110" s="57">
        <v>11352</v>
      </c>
      <c r="L110" s="39">
        <v>1210</v>
      </c>
      <c r="M110" s="52">
        <v>242</v>
      </c>
      <c r="N110" s="75" t="s">
        <v>991</v>
      </c>
      <c r="O110" s="27" t="s">
        <v>992</v>
      </c>
    </row>
    <row r="111" spans="1:15" ht="86.45">
      <c r="A111" s="27">
        <v>3977321</v>
      </c>
      <c r="B111" s="27">
        <v>4106352</v>
      </c>
      <c r="C111" s="25" t="s">
        <v>1023</v>
      </c>
      <c r="D111" s="27" t="s">
        <v>1024</v>
      </c>
      <c r="E111" s="27" t="s">
        <v>37</v>
      </c>
      <c r="F111" s="27" t="s">
        <v>1025</v>
      </c>
      <c r="G111" s="27" t="s">
        <v>64</v>
      </c>
      <c r="H111" s="67">
        <v>7500</v>
      </c>
      <c r="I111" s="50">
        <v>45881</v>
      </c>
      <c r="J111" s="50">
        <v>45882</v>
      </c>
      <c r="K111" s="57">
        <v>11520</v>
      </c>
      <c r="L111" s="39">
        <v>1210</v>
      </c>
      <c r="M111" s="52">
        <v>242</v>
      </c>
      <c r="N111" s="75" t="s">
        <v>991</v>
      </c>
      <c r="O111" s="27" t="s">
        <v>992</v>
      </c>
    </row>
    <row r="112" spans="1:15" ht="86.45">
      <c r="A112" s="27">
        <v>3977321</v>
      </c>
      <c r="B112" s="27">
        <v>4106352</v>
      </c>
      <c r="C112" s="25" t="s">
        <v>1023</v>
      </c>
      <c r="D112" s="27" t="s">
        <v>1024</v>
      </c>
      <c r="E112" s="27" t="s">
        <v>37</v>
      </c>
      <c r="F112" s="27" t="s">
        <v>1025</v>
      </c>
      <c r="G112" s="27" t="s">
        <v>64</v>
      </c>
      <c r="H112" s="67">
        <v>7500</v>
      </c>
      <c r="I112" s="50">
        <v>45903</v>
      </c>
      <c r="J112" s="50">
        <v>45903</v>
      </c>
      <c r="K112" s="57">
        <v>11638</v>
      </c>
      <c r="L112" s="39">
        <v>1210</v>
      </c>
      <c r="M112" s="52">
        <v>242</v>
      </c>
      <c r="N112" s="75" t="s">
        <v>991</v>
      </c>
      <c r="O112" s="27" t="s">
        <v>999</v>
      </c>
    </row>
    <row r="113" spans="1:15" ht="86.45">
      <c r="A113" s="27">
        <v>3977321</v>
      </c>
      <c r="B113" s="27">
        <v>4106352</v>
      </c>
      <c r="C113" s="25" t="s">
        <v>1023</v>
      </c>
      <c r="D113" s="27" t="s">
        <v>1024</v>
      </c>
      <c r="E113" s="27" t="s">
        <v>37</v>
      </c>
      <c r="F113" s="27" t="s">
        <v>1025</v>
      </c>
      <c r="G113" s="27" t="s">
        <v>64</v>
      </c>
      <c r="H113" s="67">
        <v>7500</v>
      </c>
      <c r="I113" s="50">
        <v>45938</v>
      </c>
      <c r="J113" s="50">
        <v>45938</v>
      </c>
      <c r="K113" s="57">
        <v>11805</v>
      </c>
      <c r="L113" s="39">
        <v>1210</v>
      </c>
      <c r="M113" s="52">
        <v>242</v>
      </c>
      <c r="N113" s="73" t="s">
        <v>991</v>
      </c>
      <c r="O113" s="27" t="s">
        <v>992</v>
      </c>
    </row>
    <row r="114" spans="1:15" ht="43.15">
      <c r="A114" s="27" t="s">
        <v>1026</v>
      </c>
      <c r="B114" s="27">
        <v>3717366</v>
      </c>
      <c r="C114" s="25"/>
      <c r="D114" s="27"/>
      <c r="E114" s="27"/>
      <c r="F114" s="27" t="s">
        <v>1027</v>
      </c>
      <c r="G114" s="27"/>
      <c r="H114" s="67">
        <v>2800</v>
      </c>
      <c r="I114" s="50">
        <v>45287</v>
      </c>
      <c r="J114" s="50">
        <v>45287</v>
      </c>
      <c r="K114" s="27">
        <v>1156</v>
      </c>
      <c r="L114" s="39">
        <v>2208</v>
      </c>
      <c r="M114" s="27">
        <v>242</v>
      </c>
      <c r="N114" s="68" t="s">
        <v>991</v>
      </c>
      <c r="O114" s="27" t="s">
        <v>35</v>
      </c>
    </row>
    <row r="115" spans="1:15" ht="57.6">
      <c r="A115" s="27">
        <v>3632413</v>
      </c>
      <c r="B115" s="27">
        <v>3787373</v>
      </c>
      <c r="C115" s="60" t="s">
        <v>1028</v>
      </c>
      <c r="D115" s="27"/>
      <c r="E115" s="27" t="s">
        <v>37</v>
      </c>
      <c r="F115" s="27" t="s">
        <v>1027</v>
      </c>
      <c r="G115" s="27" t="s">
        <v>87</v>
      </c>
      <c r="H115" s="67">
        <v>2800</v>
      </c>
      <c r="I115" s="50">
        <v>45379</v>
      </c>
      <c r="J115" s="27"/>
      <c r="K115" s="27">
        <v>1220</v>
      </c>
      <c r="L115" s="39">
        <v>2208</v>
      </c>
      <c r="M115" s="27">
        <v>242</v>
      </c>
      <c r="N115" s="89" t="s">
        <v>1029</v>
      </c>
      <c r="O115" s="27" t="s">
        <v>992</v>
      </c>
    </row>
    <row r="116" spans="1:15" ht="57.6">
      <c r="A116" s="27">
        <v>3632413</v>
      </c>
      <c r="B116" s="27">
        <v>3787373</v>
      </c>
      <c r="C116" s="60" t="s">
        <v>1028</v>
      </c>
      <c r="D116" s="27"/>
      <c r="E116" s="27" t="s">
        <v>37</v>
      </c>
      <c r="F116" s="27" t="s">
        <v>1027</v>
      </c>
      <c r="G116" s="27" t="s">
        <v>87</v>
      </c>
      <c r="H116" s="67">
        <v>2800</v>
      </c>
      <c r="I116" s="50">
        <v>45383</v>
      </c>
      <c r="J116" s="50">
        <v>45384</v>
      </c>
      <c r="K116" s="27">
        <v>1221</v>
      </c>
      <c r="L116" s="39">
        <v>2208</v>
      </c>
      <c r="M116" s="27">
        <v>242</v>
      </c>
      <c r="N116" s="68" t="s">
        <v>991</v>
      </c>
      <c r="O116" s="27" t="s">
        <v>992</v>
      </c>
    </row>
    <row r="117" spans="1:15" ht="57.6">
      <c r="A117" s="27">
        <v>3632413</v>
      </c>
      <c r="B117" s="27">
        <v>3787373</v>
      </c>
      <c r="C117" s="60" t="s">
        <v>1028</v>
      </c>
      <c r="D117" s="27"/>
      <c r="E117" s="27" t="s">
        <v>72</v>
      </c>
      <c r="F117" s="27" t="s">
        <v>1027</v>
      </c>
      <c r="G117" s="27" t="s">
        <v>87</v>
      </c>
      <c r="H117" s="67">
        <v>2800</v>
      </c>
      <c r="I117" s="50">
        <v>45407</v>
      </c>
      <c r="J117" s="50">
        <v>45408</v>
      </c>
      <c r="K117" s="27">
        <v>1248</v>
      </c>
      <c r="L117" s="39">
        <v>2208</v>
      </c>
      <c r="M117" s="52">
        <v>242</v>
      </c>
      <c r="N117" s="68" t="s">
        <v>991</v>
      </c>
      <c r="O117" s="27" t="s">
        <v>992</v>
      </c>
    </row>
    <row r="118" spans="1:15" ht="57.6">
      <c r="A118" s="27">
        <v>3632413</v>
      </c>
      <c r="B118" s="27">
        <v>3787373</v>
      </c>
      <c r="C118" s="60" t="s">
        <v>1028</v>
      </c>
      <c r="D118" s="27"/>
      <c r="E118" s="27" t="s">
        <v>37</v>
      </c>
      <c r="F118" s="27" t="s">
        <v>1027</v>
      </c>
      <c r="G118" s="27" t="s">
        <v>87</v>
      </c>
      <c r="H118" s="67">
        <v>2800</v>
      </c>
      <c r="I118" s="50">
        <v>45434</v>
      </c>
      <c r="J118" s="50">
        <v>45436</v>
      </c>
      <c r="K118" s="27">
        <v>1281</v>
      </c>
      <c r="L118" s="39">
        <v>2208</v>
      </c>
      <c r="M118" s="52">
        <v>242</v>
      </c>
      <c r="N118" s="68" t="s">
        <v>991</v>
      </c>
      <c r="O118" s="27" t="s">
        <v>992</v>
      </c>
    </row>
    <row r="119" spans="1:15" ht="57.6">
      <c r="A119" s="27">
        <v>3632413</v>
      </c>
      <c r="B119" s="27">
        <v>3787373</v>
      </c>
      <c r="C119" s="25" t="s">
        <v>1030</v>
      </c>
      <c r="D119" s="27"/>
      <c r="E119" s="27" t="s">
        <v>37</v>
      </c>
      <c r="F119" s="27" t="s">
        <v>1027</v>
      </c>
      <c r="G119" s="27" t="s">
        <v>87</v>
      </c>
      <c r="H119" s="67">
        <v>2800</v>
      </c>
      <c r="I119" s="50">
        <v>45468</v>
      </c>
      <c r="J119" s="50">
        <v>45470</v>
      </c>
      <c r="K119" s="27">
        <v>1310</v>
      </c>
      <c r="L119" s="39">
        <v>2208</v>
      </c>
      <c r="M119" s="52">
        <v>242</v>
      </c>
      <c r="N119" s="68" t="s">
        <v>991</v>
      </c>
      <c r="O119" s="27" t="s">
        <v>992</v>
      </c>
    </row>
    <row r="120" spans="1:15" ht="86.45">
      <c r="A120" s="27">
        <v>3632413</v>
      </c>
      <c r="B120" s="1">
        <v>3787373</v>
      </c>
      <c r="C120" s="25" t="s">
        <v>1031</v>
      </c>
      <c r="D120" s="27"/>
      <c r="E120" s="27"/>
      <c r="F120" s="27" t="s">
        <v>1027</v>
      </c>
      <c r="G120" s="27"/>
      <c r="H120" s="67">
        <v>2800</v>
      </c>
      <c r="I120" s="50">
        <v>45503</v>
      </c>
      <c r="J120" s="27"/>
      <c r="K120" s="27">
        <v>1335</v>
      </c>
      <c r="L120" s="39"/>
      <c r="M120" s="27"/>
      <c r="N120" s="89" t="s">
        <v>1032</v>
      </c>
      <c r="O120" s="27" t="s">
        <v>992</v>
      </c>
    </row>
    <row r="121" spans="1:15" ht="57.6">
      <c r="A121" s="30">
        <v>3632413</v>
      </c>
      <c r="B121" s="27">
        <v>3787373</v>
      </c>
      <c r="C121" s="60" t="s">
        <v>1028</v>
      </c>
      <c r="D121" s="30"/>
      <c r="E121" s="30" t="s">
        <v>72</v>
      </c>
      <c r="F121" s="27" t="s">
        <v>1027</v>
      </c>
      <c r="G121" s="27" t="s">
        <v>87</v>
      </c>
      <c r="H121" s="67">
        <v>2800</v>
      </c>
      <c r="I121" s="50">
        <v>45509</v>
      </c>
      <c r="J121" s="50">
        <v>45510</v>
      </c>
      <c r="K121" s="27">
        <v>1336</v>
      </c>
      <c r="L121" s="39">
        <v>2208</v>
      </c>
      <c r="M121" s="52">
        <v>242</v>
      </c>
      <c r="N121" s="68" t="s">
        <v>991</v>
      </c>
      <c r="O121" s="27" t="s">
        <v>992</v>
      </c>
    </row>
    <row r="122" spans="1:15" ht="57.6">
      <c r="A122" s="27">
        <v>3632413</v>
      </c>
      <c r="B122" s="27">
        <v>3787373</v>
      </c>
      <c r="C122" s="25" t="s">
        <v>1030</v>
      </c>
      <c r="D122" s="65"/>
      <c r="E122" s="27" t="s">
        <v>37</v>
      </c>
      <c r="F122" s="27" t="s">
        <v>1027</v>
      </c>
      <c r="G122" s="27" t="s">
        <v>87</v>
      </c>
      <c r="H122" s="67">
        <v>2800</v>
      </c>
      <c r="I122" s="50">
        <v>45541</v>
      </c>
      <c r="J122" s="50">
        <v>45552</v>
      </c>
      <c r="K122" s="27">
        <v>1370</v>
      </c>
      <c r="L122" s="39">
        <v>2208</v>
      </c>
      <c r="M122" s="52">
        <v>242</v>
      </c>
      <c r="N122" s="74" t="s">
        <v>991</v>
      </c>
      <c r="O122" s="27" t="s">
        <v>992</v>
      </c>
    </row>
    <row r="123" spans="1:15" ht="86.45">
      <c r="A123" s="27">
        <v>3632413</v>
      </c>
      <c r="B123" s="27">
        <v>3787373</v>
      </c>
      <c r="C123" s="25" t="s">
        <v>1031</v>
      </c>
      <c r="D123" s="27"/>
      <c r="E123" s="27" t="s">
        <v>37</v>
      </c>
      <c r="F123" s="14" t="s">
        <v>1027</v>
      </c>
      <c r="G123" s="63" t="s">
        <v>87</v>
      </c>
      <c r="H123" s="67">
        <v>2800</v>
      </c>
      <c r="I123" s="80">
        <v>45558</v>
      </c>
      <c r="J123" s="50">
        <v>45561</v>
      </c>
      <c r="K123" s="59">
        <v>1382</v>
      </c>
      <c r="L123" s="39">
        <v>2208</v>
      </c>
      <c r="M123" s="52">
        <v>242</v>
      </c>
      <c r="N123" s="68" t="s">
        <v>991</v>
      </c>
      <c r="O123" s="27" t="s">
        <v>999</v>
      </c>
    </row>
    <row r="124" spans="1:15" ht="86.45">
      <c r="A124" s="27">
        <v>3632413</v>
      </c>
      <c r="B124" s="27">
        <v>3787373</v>
      </c>
      <c r="C124" s="25" t="s">
        <v>1031</v>
      </c>
      <c r="D124" s="27"/>
      <c r="E124" s="27" t="s">
        <v>37</v>
      </c>
      <c r="F124" s="27" t="s">
        <v>1027</v>
      </c>
      <c r="G124" s="27" t="s">
        <v>87</v>
      </c>
      <c r="H124" s="67">
        <v>2800</v>
      </c>
      <c r="I124" s="50">
        <v>45594</v>
      </c>
      <c r="J124" s="27"/>
      <c r="K124" s="27">
        <v>1407</v>
      </c>
      <c r="L124" s="39"/>
      <c r="M124" s="27"/>
      <c r="N124" s="89" t="s">
        <v>1033</v>
      </c>
      <c r="O124" s="27" t="s">
        <v>992</v>
      </c>
    </row>
    <row r="125" spans="1:15" ht="57.6">
      <c r="A125" s="27">
        <v>3632413</v>
      </c>
      <c r="B125" s="27">
        <v>3787373</v>
      </c>
      <c r="C125" s="25" t="s">
        <v>1030</v>
      </c>
      <c r="D125" s="27"/>
      <c r="E125" s="27" t="s">
        <v>37</v>
      </c>
      <c r="F125" s="27" t="s">
        <v>1027</v>
      </c>
      <c r="G125" s="27" t="s">
        <v>87</v>
      </c>
      <c r="H125" s="67">
        <v>2800</v>
      </c>
      <c r="I125" s="50">
        <v>45599</v>
      </c>
      <c r="J125" s="50">
        <v>45602</v>
      </c>
      <c r="K125" s="27">
        <v>1413</v>
      </c>
      <c r="L125" s="39">
        <v>2208</v>
      </c>
      <c r="M125" s="52">
        <v>242</v>
      </c>
      <c r="N125" s="73" t="s">
        <v>991</v>
      </c>
      <c r="O125" s="27" t="s">
        <v>992</v>
      </c>
    </row>
    <row r="126" spans="1:15" ht="57.6">
      <c r="A126" s="27">
        <v>3632413</v>
      </c>
      <c r="B126" s="27">
        <v>3787373</v>
      </c>
      <c r="C126" s="25" t="s">
        <v>1030</v>
      </c>
      <c r="D126" s="27"/>
      <c r="E126" s="27" t="s">
        <v>72</v>
      </c>
      <c r="F126" s="27" t="s">
        <v>1027</v>
      </c>
      <c r="G126" s="27" t="s">
        <v>87</v>
      </c>
      <c r="H126" s="67">
        <v>2800</v>
      </c>
      <c r="I126" s="50">
        <v>45630</v>
      </c>
      <c r="J126" s="50">
        <v>45631</v>
      </c>
      <c r="K126" s="27">
        <v>1460</v>
      </c>
      <c r="L126" s="39">
        <v>2208</v>
      </c>
      <c r="M126" s="52">
        <v>242</v>
      </c>
      <c r="N126" s="73" t="s">
        <v>991</v>
      </c>
      <c r="O126" s="27" t="s">
        <v>992</v>
      </c>
    </row>
    <row r="127" spans="1:15" ht="86.45">
      <c r="A127" s="27">
        <v>3632413</v>
      </c>
      <c r="B127" s="27">
        <v>3787373</v>
      </c>
      <c r="C127" s="25" t="s">
        <v>1031</v>
      </c>
      <c r="D127" s="27"/>
      <c r="E127" s="27" t="s">
        <v>37</v>
      </c>
      <c r="F127" s="27" t="s">
        <v>1027</v>
      </c>
      <c r="G127" s="27" t="s">
        <v>87</v>
      </c>
      <c r="H127" s="67">
        <v>2800</v>
      </c>
      <c r="I127" s="50">
        <v>45660</v>
      </c>
      <c r="J127" s="50">
        <v>45660</v>
      </c>
      <c r="K127" s="27">
        <v>1486</v>
      </c>
      <c r="L127" s="39">
        <v>2208</v>
      </c>
      <c r="M127" s="52">
        <v>242</v>
      </c>
      <c r="N127" s="71" t="s">
        <v>991</v>
      </c>
      <c r="O127" s="27" t="s">
        <v>1034</v>
      </c>
    </row>
    <row r="128" spans="1:15" ht="409.6">
      <c r="A128" s="27">
        <v>4002793</v>
      </c>
      <c r="B128" s="27">
        <v>4129082</v>
      </c>
      <c r="C128" s="25" t="s">
        <v>1035</v>
      </c>
      <c r="D128" s="27" t="s">
        <v>1036</v>
      </c>
      <c r="E128" s="27" t="s">
        <v>72</v>
      </c>
      <c r="F128" s="27" t="s">
        <v>1027</v>
      </c>
      <c r="G128" s="27" t="s">
        <v>87</v>
      </c>
      <c r="H128" s="67">
        <v>2750</v>
      </c>
      <c r="I128" s="50">
        <v>45735</v>
      </c>
      <c r="J128" s="50">
        <v>45736</v>
      </c>
      <c r="K128" s="58" t="s">
        <v>1037</v>
      </c>
      <c r="L128" s="39" t="s">
        <v>1038</v>
      </c>
      <c r="M128" s="52">
        <v>242</v>
      </c>
      <c r="N128" s="73" t="s">
        <v>991</v>
      </c>
      <c r="O128" s="27" t="s">
        <v>992</v>
      </c>
    </row>
    <row r="129" spans="1:15" ht="86.45">
      <c r="A129" s="27" t="s">
        <v>35</v>
      </c>
      <c r="B129" s="27"/>
      <c r="C129" s="25"/>
      <c r="D129" s="27"/>
      <c r="E129" s="27"/>
      <c r="F129" s="27" t="s">
        <v>1027</v>
      </c>
      <c r="G129" s="27"/>
      <c r="H129" s="77"/>
      <c r="I129" s="50"/>
      <c r="J129" s="27"/>
      <c r="K129" s="27">
        <v>1569</v>
      </c>
      <c r="L129" s="39"/>
      <c r="M129" s="27"/>
      <c r="N129" s="89" t="s">
        <v>1039</v>
      </c>
      <c r="O129" s="27" t="s">
        <v>992</v>
      </c>
    </row>
    <row r="130" spans="1:15" ht="409.6">
      <c r="A130" s="27">
        <v>4002793</v>
      </c>
      <c r="B130" s="27">
        <v>4129082</v>
      </c>
      <c r="C130" s="25" t="s">
        <v>1035</v>
      </c>
      <c r="D130" s="27" t="s">
        <v>1036</v>
      </c>
      <c r="E130" s="27" t="s">
        <v>37</v>
      </c>
      <c r="F130" s="27" t="s">
        <v>1027</v>
      </c>
      <c r="G130" s="27" t="s">
        <v>87</v>
      </c>
      <c r="H130" s="67">
        <v>2750</v>
      </c>
      <c r="I130" s="50">
        <v>45748</v>
      </c>
      <c r="J130" s="50">
        <v>45749</v>
      </c>
      <c r="K130" s="27">
        <v>1571</v>
      </c>
      <c r="L130" s="39" t="s">
        <v>1038</v>
      </c>
      <c r="M130" s="52">
        <v>242</v>
      </c>
      <c r="N130" s="68" t="s">
        <v>991</v>
      </c>
      <c r="O130" s="27" t="s">
        <v>992</v>
      </c>
    </row>
    <row r="131" spans="1:15" ht="288">
      <c r="A131" s="27">
        <v>4002793</v>
      </c>
      <c r="B131" s="27">
        <v>4129082</v>
      </c>
      <c r="C131" s="25" t="s">
        <v>1035</v>
      </c>
      <c r="D131" s="27" t="s">
        <v>1036</v>
      </c>
      <c r="E131" s="27" t="s">
        <v>37</v>
      </c>
      <c r="F131" s="27" t="s">
        <v>1027</v>
      </c>
      <c r="G131" s="27" t="s">
        <v>87</v>
      </c>
      <c r="H131" s="67">
        <v>2750</v>
      </c>
      <c r="I131" s="50">
        <v>45778</v>
      </c>
      <c r="J131" s="50">
        <v>45785</v>
      </c>
      <c r="K131" s="57">
        <v>1601</v>
      </c>
      <c r="L131" s="39" t="s">
        <v>1040</v>
      </c>
      <c r="M131" s="52">
        <v>242</v>
      </c>
      <c r="N131" s="68" t="s">
        <v>991</v>
      </c>
      <c r="O131" s="27" t="s">
        <v>992</v>
      </c>
    </row>
    <row r="132" spans="1:15" ht="288">
      <c r="A132" s="27">
        <v>4002793</v>
      </c>
      <c r="B132" s="27">
        <v>4129082</v>
      </c>
      <c r="C132" s="25" t="s">
        <v>1035</v>
      </c>
      <c r="D132" s="27" t="s">
        <v>1036</v>
      </c>
      <c r="E132" s="27" t="s">
        <v>37</v>
      </c>
      <c r="F132" s="27" t="s">
        <v>1027</v>
      </c>
      <c r="G132" s="27" t="s">
        <v>87</v>
      </c>
      <c r="H132" s="67">
        <v>2750</v>
      </c>
      <c r="I132" s="50">
        <v>45812</v>
      </c>
      <c r="J132" s="50">
        <v>45817</v>
      </c>
      <c r="K132" s="57">
        <v>1628</v>
      </c>
      <c r="L132" s="39" t="s">
        <v>1040</v>
      </c>
      <c r="M132" s="52">
        <v>242</v>
      </c>
      <c r="N132" s="73" t="s">
        <v>991</v>
      </c>
      <c r="O132" s="27" t="s">
        <v>992</v>
      </c>
    </row>
    <row r="133" spans="1:15" ht="288">
      <c r="A133" s="27">
        <v>4002793</v>
      </c>
      <c r="B133" s="27">
        <v>4129082</v>
      </c>
      <c r="C133" s="25" t="s">
        <v>1041</v>
      </c>
      <c r="D133" s="27" t="s">
        <v>1036</v>
      </c>
      <c r="E133" s="27" t="s">
        <v>37</v>
      </c>
      <c r="F133" s="27" t="s">
        <v>1027</v>
      </c>
      <c r="G133" s="27" t="s">
        <v>87</v>
      </c>
      <c r="H133" s="67">
        <v>2750</v>
      </c>
      <c r="I133" s="50">
        <v>45843</v>
      </c>
      <c r="J133" s="50">
        <v>45845</v>
      </c>
      <c r="K133" s="57">
        <v>1673</v>
      </c>
      <c r="L133" s="39" t="s">
        <v>1042</v>
      </c>
      <c r="M133" s="52">
        <v>242</v>
      </c>
      <c r="N133" s="68" t="s">
        <v>991</v>
      </c>
      <c r="O133" s="27" t="s">
        <v>992</v>
      </c>
    </row>
    <row r="134" spans="1:15" ht="288">
      <c r="A134" s="27">
        <v>4002793</v>
      </c>
      <c r="B134" s="27">
        <v>4129082</v>
      </c>
      <c r="C134" s="25" t="s">
        <v>1043</v>
      </c>
      <c r="D134" s="27" t="s">
        <v>1036</v>
      </c>
      <c r="E134" s="27" t="s">
        <v>37</v>
      </c>
      <c r="F134" s="27" t="s">
        <v>1027</v>
      </c>
      <c r="G134" s="27" t="s">
        <v>87</v>
      </c>
      <c r="H134" s="67">
        <v>2750</v>
      </c>
      <c r="I134" s="50">
        <v>45871</v>
      </c>
      <c r="J134" s="50">
        <v>45873</v>
      </c>
      <c r="K134" s="57">
        <v>1693</v>
      </c>
      <c r="L134" s="39" t="s">
        <v>1042</v>
      </c>
      <c r="M134" s="52">
        <v>242</v>
      </c>
      <c r="N134" s="68" t="s">
        <v>991</v>
      </c>
      <c r="O134" s="27" t="s">
        <v>992</v>
      </c>
    </row>
    <row r="135" spans="1:15" ht="288">
      <c r="A135" s="14">
        <v>4002793</v>
      </c>
      <c r="B135" s="14">
        <v>4129082</v>
      </c>
      <c r="C135" s="25" t="s">
        <v>1043</v>
      </c>
      <c r="D135" s="27">
        <v>15839</v>
      </c>
      <c r="E135" s="27" t="s">
        <v>37</v>
      </c>
      <c r="F135" s="27" t="s">
        <v>1027</v>
      </c>
      <c r="G135" s="27" t="s">
        <v>87</v>
      </c>
      <c r="H135" s="78">
        <v>2750</v>
      </c>
      <c r="I135" s="50">
        <v>45903</v>
      </c>
      <c r="J135" s="50">
        <v>45905</v>
      </c>
      <c r="K135" s="57">
        <v>1724</v>
      </c>
      <c r="L135" s="39" t="s">
        <v>1042</v>
      </c>
      <c r="M135" s="52">
        <v>242</v>
      </c>
      <c r="N135" s="68" t="s">
        <v>991</v>
      </c>
      <c r="O135" s="27" t="s">
        <v>999</v>
      </c>
    </row>
    <row r="136" spans="1:15" ht="158.44999999999999">
      <c r="A136" s="14">
        <v>4002793</v>
      </c>
      <c r="B136" s="14">
        <v>4129082</v>
      </c>
      <c r="C136" s="25" t="s">
        <v>1043</v>
      </c>
      <c r="D136" s="27">
        <v>15839</v>
      </c>
      <c r="E136" s="27" t="s">
        <v>37</v>
      </c>
      <c r="F136" s="27" t="s">
        <v>1027</v>
      </c>
      <c r="G136" s="27" t="s">
        <v>87</v>
      </c>
      <c r="H136" s="67">
        <v>2750</v>
      </c>
      <c r="I136" s="50">
        <v>45932</v>
      </c>
      <c r="J136" s="50">
        <v>45933</v>
      </c>
      <c r="K136" s="57">
        <v>1747</v>
      </c>
      <c r="L136" s="39" t="s">
        <v>1044</v>
      </c>
      <c r="M136" s="52">
        <v>242</v>
      </c>
      <c r="N136" s="73" t="s">
        <v>991</v>
      </c>
      <c r="O136" s="27" t="s">
        <v>992</v>
      </c>
    </row>
    <row r="137" spans="1:15" ht="28.9">
      <c r="A137" s="27">
        <v>4004885</v>
      </c>
      <c r="B137" s="27">
        <v>4131474</v>
      </c>
      <c r="C137" s="25" t="s">
        <v>1045</v>
      </c>
      <c r="D137" s="27" t="s">
        <v>1046</v>
      </c>
      <c r="E137" s="27" t="s">
        <v>37</v>
      </c>
      <c r="F137" s="27" t="s">
        <v>244</v>
      </c>
      <c r="G137" s="27" t="s">
        <v>64</v>
      </c>
      <c r="H137" s="67">
        <v>29471.02</v>
      </c>
      <c r="I137" s="50">
        <v>45679</v>
      </c>
      <c r="J137" s="50">
        <v>45688</v>
      </c>
      <c r="K137" s="202" t="s">
        <v>1047</v>
      </c>
      <c r="L137" s="39" t="s">
        <v>1048</v>
      </c>
      <c r="M137" s="52">
        <v>242</v>
      </c>
      <c r="N137" s="79" t="s">
        <v>991</v>
      </c>
      <c r="O137" s="27" t="s">
        <v>992</v>
      </c>
    </row>
    <row r="138" spans="1:15" ht="28.9">
      <c r="A138" s="27">
        <v>4004885</v>
      </c>
      <c r="B138" s="27">
        <v>4131474</v>
      </c>
      <c r="C138" s="25" t="s">
        <v>1049</v>
      </c>
      <c r="D138" s="27" t="s">
        <v>1046</v>
      </c>
      <c r="E138" s="27" t="s">
        <v>37</v>
      </c>
      <c r="F138" s="27" t="s">
        <v>244</v>
      </c>
      <c r="G138" s="27" t="s">
        <v>64</v>
      </c>
      <c r="H138" s="67">
        <v>29471.02</v>
      </c>
      <c r="I138" s="50">
        <v>45699</v>
      </c>
      <c r="J138" s="50">
        <v>45700</v>
      </c>
      <c r="K138" s="27">
        <v>4323</v>
      </c>
      <c r="L138" s="39" t="s">
        <v>1048</v>
      </c>
      <c r="M138" s="52">
        <v>242</v>
      </c>
      <c r="N138" s="73" t="s">
        <v>991</v>
      </c>
      <c r="O138" s="27" t="s">
        <v>992</v>
      </c>
    </row>
    <row r="139" spans="1:15" ht="28.9">
      <c r="A139" s="27">
        <v>4004885</v>
      </c>
      <c r="B139" s="27">
        <v>4131474</v>
      </c>
      <c r="C139" s="25" t="s">
        <v>1050</v>
      </c>
      <c r="D139" s="27" t="s">
        <v>1046</v>
      </c>
      <c r="E139" s="27" t="s">
        <v>37</v>
      </c>
      <c r="F139" s="27" t="s">
        <v>244</v>
      </c>
      <c r="G139" s="27" t="s">
        <v>64</v>
      </c>
      <c r="H139" s="67">
        <v>29471.02</v>
      </c>
      <c r="I139" s="50">
        <v>45726</v>
      </c>
      <c r="J139" s="50">
        <v>45733</v>
      </c>
      <c r="K139" s="27">
        <v>4417</v>
      </c>
      <c r="L139" s="39" t="s">
        <v>1048</v>
      </c>
      <c r="M139" s="52">
        <v>242</v>
      </c>
      <c r="N139" s="73" t="s">
        <v>991</v>
      </c>
      <c r="O139" s="27" t="s">
        <v>992</v>
      </c>
    </row>
    <row r="140" spans="1:15" ht="28.9">
      <c r="A140" s="27">
        <v>4004885</v>
      </c>
      <c r="B140" s="27">
        <v>4131474</v>
      </c>
      <c r="C140" s="25" t="s">
        <v>1051</v>
      </c>
      <c r="D140" s="27" t="s">
        <v>1046</v>
      </c>
      <c r="E140" s="27" t="s">
        <v>37</v>
      </c>
      <c r="F140" s="27" t="s">
        <v>244</v>
      </c>
      <c r="G140" s="27" t="s">
        <v>64</v>
      </c>
      <c r="H140" s="67">
        <v>29471.02</v>
      </c>
      <c r="I140" s="50">
        <v>45757</v>
      </c>
      <c r="J140" s="50">
        <v>45764</v>
      </c>
      <c r="K140" s="27">
        <v>4558</v>
      </c>
      <c r="L140" s="39" t="s">
        <v>1048</v>
      </c>
      <c r="M140" s="52">
        <v>242</v>
      </c>
      <c r="N140" s="73" t="s">
        <v>991</v>
      </c>
      <c r="O140" s="27" t="s">
        <v>992</v>
      </c>
    </row>
    <row r="141" spans="1:15" ht="28.9">
      <c r="A141" s="27">
        <v>4004885</v>
      </c>
      <c r="B141" s="27">
        <v>4131474</v>
      </c>
      <c r="C141" s="25" t="s">
        <v>1052</v>
      </c>
      <c r="D141" s="27" t="s">
        <v>1046</v>
      </c>
      <c r="E141" s="27" t="s">
        <v>37</v>
      </c>
      <c r="F141" s="27" t="s">
        <v>244</v>
      </c>
      <c r="G141" s="27" t="s">
        <v>64</v>
      </c>
      <c r="H141" s="67">
        <v>29471.02</v>
      </c>
      <c r="I141" s="50">
        <v>45786</v>
      </c>
      <c r="J141" s="50">
        <v>45790</v>
      </c>
      <c r="K141" s="57">
        <v>4678</v>
      </c>
      <c r="L141" s="39" t="s">
        <v>1048</v>
      </c>
      <c r="M141" s="52">
        <v>242</v>
      </c>
      <c r="N141" s="73" t="s">
        <v>991</v>
      </c>
      <c r="O141" s="55" t="s">
        <v>993</v>
      </c>
    </row>
    <row r="142" spans="1:15" ht="28.9">
      <c r="A142" s="27">
        <v>4004885</v>
      </c>
      <c r="B142" s="27">
        <v>4131474</v>
      </c>
      <c r="C142" s="25" t="s">
        <v>1053</v>
      </c>
      <c r="D142" s="27" t="s">
        <v>1046</v>
      </c>
      <c r="E142" s="27" t="s">
        <v>37</v>
      </c>
      <c r="F142" s="27" t="s">
        <v>244</v>
      </c>
      <c r="G142" s="27" t="s">
        <v>64</v>
      </c>
      <c r="H142" s="67">
        <v>29471.02</v>
      </c>
      <c r="I142" s="50">
        <v>45820</v>
      </c>
      <c r="J142" s="50">
        <v>45831</v>
      </c>
      <c r="K142" s="57">
        <v>4712</v>
      </c>
      <c r="L142" s="39" t="s">
        <v>1048</v>
      </c>
      <c r="M142" s="52">
        <v>242</v>
      </c>
      <c r="N142" s="73" t="s">
        <v>991</v>
      </c>
      <c r="O142" s="27" t="s">
        <v>992</v>
      </c>
    </row>
    <row r="143" spans="1:15" ht="28.9">
      <c r="A143" s="27">
        <v>4004885</v>
      </c>
      <c r="B143" s="27">
        <v>4131474</v>
      </c>
      <c r="C143" s="25" t="s">
        <v>1054</v>
      </c>
      <c r="D143" s="27" t="s">
        <v>1046</v>
      </c>
      <c r="E143" s="27" t="s">
        <v>37</v>
      </c>
      <c r="F143" s="27" t="s">
        <v>244</v>
      </c>
      <c r="G143" s="27" t="s">
        <v>64</v>
      </c>
      <c r="H143" s="67">
        <v>29471.02</v>
      </c>
      <c r="I143" s="50">
        <v>45841</v>
      </c>
      <c r="J143" s="50">
        <v>45845</v>
      </c>
      <c r="K143" s="57">
        <v>4885</v>
      </c>
      <c r="L143" s="39" t="s">
        <v>1048</v>
      </c>
      <c r="M143" s="52">
        <v>242</v>
      </c>
      <c r="N143" s="75" t="s">
        <v>991</v>
      </c>
      <c r="O143" s="27" t="s">
        <v>992</v>
      </c>
    </row>
    <row r="144" spans="1:15" ht="28.9">
      <c r="A144" s="27">
        <v>4004885</v>
      </c>
      <c r="B144" s="27">
        <v>4131474</v>
      </c>
      <c r="C144" s="25" t="s">
        <v>1055</v>
      </c>
      <c r="D144" s="27" t="s">
        <v>1046</v>
      </c>
      <c r="E144" s="27" t="s">
        <v>37</v>
      </c>
      <c r="F144" s="27" t="s">
        <v>244</v>
      </c>
      <c r="G144" s="27" t="s">
        <v>64</v>
      </c>
      <c r="H144" s="67">
        <v>29471.02</v>
      </c>
      <c r="I144" s="50">
        <v>45876</v>
      </c>
      <c r="J144" s="50">
        <v>45877</v>
      </c>
      <c r="K144" s="57">
        <v>5006</v>
      </c>
      <c r="L144" s="39" t="s">
        <v>1048</v>
      </c>
      <c r="M144" s="52">
        <v>242</v>
      </c>
      <c r="N144" s="75" t="s">
        <v>991</v>
      </c>
      <c r="O144" s="27" t="s">
        <v>992</v>
      </c>
    </row>
    <row r="145" spans="1:15" ht="28.9">
      <c r="A145" s="30">
        <v>4004885</v>
      </c>
      <c r="B145" s="30">
        <v>4131474</v>
      </c>
      <c r="C145" s="60" t="s">
        <v>1056</v>
      </c>
      <c r="D145" s="27" t="s">
        <v>1046</v>
      </c>
      <c r="E145" s="27" t="s">
        <v>37</v>
      </c>
      <c r="F145" s="27" t="s">
        <v>244</v>
      </c>
      <c r="G145" s="27" t="s">
        <v>64</v>
      </c>
      <c r="H145" s="67">
        <v>29471.02</v>
      </c>
      <c r="I145" s="50">
        <v>45905</v>
      </c>
      <c r="J145" s="50">
        <v>45912</v>
      </c>
      <c r="K145" s="57">
        <v>5161</v>
      </c>
      <c r="L145" s="39" t="s">
        <v>1048</v>
      </c>
      <c r="M145" s="52">
        <v>242</v>
      </c>
      <c r="N145" s="75" t="s">
        <v>991</v>
      </c>
      <c r="O145" s="27" t="s">
        <v>999</v>
      </c>
    </row>
    <row r="146" spans="1:15" ht="28.9">
      <c r="A146" s="27">
        <v>4004885</v>
      </c>
      <c r="B146" s="27">
        <v>4131474</v>
      </c>
      <c r="C146" s="25" t="s">
        <v>1057</v>
      </c>
      <c r="D146" s="27" t="s">
        <v>1046</v>
      </c>
      <c r="E146" s="27" t="s">
        <v>37</v>
      </c>
      <c r="F146" s="27" t="s">
        <v>244</v>
      </c>
      <c r="G146" s="27" t="s">
        <v>64</v>
      </c>
      <c r="H146" s="67">
        <v>29471.02</v>
      </c>
      <c r="I146" s="50">
        <v>45938</v>
      </c>
      <c r="J146" s="50">
        <v>45940</v>
      </c>
      <c r="K146" s="57">
        <v>5294</v>
      </c>
      <c r="L146" s="39" t="s">
        <v>1058</v>
      </c>
      <c r="M146" s="52">
        <v>242</v>
      </c>
      <c r="N146" s="73" t="s">
        <v>991</v>
      </c>
      <c r="O146" s="27" t="s">
        <v>992</v>
      </c>
    </row>
    <row r="147" spans="1:15" ht="28.9">
      <c r="A147" s="27">
        <v>3623588</v>
      </c>
      <c r="B147" s="27">
        <v>3769114</v>
      </c>
      <c r="C147" s="25"/>
      <c r="D147" s="27" t="s">
        <v>1059</v>
      </c>
      <c r="E147" s="27" t="s">
        <v>72</v>
      </c>
      <c r="F147" s="27" t="s">
        <v>244</v>
      </c>
      <c r="G147" s="27" t="s">
        <v>64</v>
      </c>
      <c r="H147" s="70">
        <v>24021.14</v>
      </c>
      <c r="I147" s="50">
        <v>45309</v>
      </c>
      <c r="J147" s="50">
        <v>45317</v>
      </c>
      <c r="K147" s="27">
        <v>2855</v>
      </c>
      <c r="L147" s="39">
        <v>2488</v>
      </c>
      <c r="M147" s="52">
        <v>37</v>
      </c>
      <c r="N147" s="68" t="s">
        <v>991</v>
      </c>
      <c r="O147" s="27" t="s">
        <v>992</v>
      </c>
    </row>
    <row r="148" spans="1:15" ht="28.9">
      <c r="A148" s="27">
        <v>3623588</v>
      </c>
      <c r="B148" s="27">
        <v>3769114</v>
      </c>
      <c r="C148" s="25"/>
      <c r="D148" s="27" t="s">
        <v>1059</v>
      </c>
      <c r="E148" s="27" t="s">
        <v>37</v>
      </c>
      <c r="F148" s="27" t="s">
        <v>244</v>
      </c>
      <c r="G148" s="27" t="s">
        <v>64</v>
      </c>
      <c r="H148" s="70">
        <v>23951.16</v>
      </c>
      <c r="I148" s="50">
        <v>45331</v>
      </c>
      <c r="J148" s="50">
        <v>45335</v>
      </c>
      <c r="K148" s="27">
        <v>2913</v>
      </c>
      <c r="L148" s="39">
        <v>2488</v>
      </c>
      <c r="M148" s="52">
        <v>37</v>
      </c>
      <c r="N148" s="68" t="s">
        <v>991</v>
      </c>
      <c r="O148" s="27" t="s">
        <v>993</v>
      </c>
    </row>
    <row r="149" spans="1:15" ht="28.9">
      <c r="A149" s="27">
        <v>3623588</v>
      </c>
      <c r="B149" s="27">
        <v>3769114</v>
      </c>
      <c r="C149" s="25"/>
      <c r="D149" s="27" t="s">
        <v>1059</v>
      </c>
      <c r="E149" s="27" t="s">
        <v>37</v>
      </c>
      <c r="F149" s="27" t="s">
        <v>244</v>
      </c>
      <c r="G149" s="27" t="s">
        <v>64</v>
      </c>
      <c r="H149" s="70">
        <v>12070.68</v>
      </c>
      <c r="I149" s="50">
        <v>45358</v>
      </c>
      <c r="J149" s="50"/>
      <c r="K149" s="27">
        <v>3003</v>
      </c>
      <c r="L149" s="39">
        <v>2488</v>
      </c>
      <c r="M149" s="52">
        <v>37</v>
      </c>
      <c r="N149" s="68" t="s">
        <v>991</v>
      </c>
      <c r="O149" s="27" t="s">
        <v>1060</v>
      </c>
    </row>
    <row r="150" spans="1:15" ht="28.9">
      <c r="A150" s="27">
        <v>3623588</v>
      </c>
      <c r="B150" s="27">
        <v>3769114</v>
      </c>
      <c r="C150" s="25"/>
      <c r="D150" s="27" t="s">
        <v>1059</v>
      </c>
      <c r="E150" s="27" t="s">
        <v>37</v>
      </c>
      <c r="F150" s="27" t="s">
        <v>244</v>
      </c>
      <c r="G150" s="27" t="s">
        <v>64</v>
      </c>
      <c r="H150" s="70">
        <v>24991.5</v>
      </c>
      <c r="I150" s="50">
        <v>45401</v>
      </c>
      <c r="J150" s="50">
        <v>45407</v>
      </c>
      <c r="K150" s="27">
        <v>3192</v>
      </c>
      <c r="L150" s="39">
        <v>2488</v>
      </c>
      <c r="M150" s="52">
        <v>37</v>
      </c>
      <c r="N150" s="68" t="s">
        <v>991</v>
      </c>
      <c r="O150" s="27" t="s">
        <v>992</v>
      </c>
    </row>
    <row r="151" spans="1:15" ht="28.9">
      <c r="A151" s="27">
        <v>3623588</v>
      </c>
      <c r="B151" s="27">
        <v>3769114</v>
      </c>
      <c r="C151" s="25"/>
      <c r="D151" s="27" t="s">
        <v>1059</v>
      </c>
      <c r="E151" s="27" t="s">
        <v>37</v>
      </c>
      <c r="F151" s="27" t="s">
        <v>244</v>
      </c>
      <c r="G151" s="27" t="s">
        <v>64</v>
      </c>
      <c r="H151" s="70">
        <v>12495.75</v>
      </c>
      <c r="I151" s="50">
        <v>45420</v>
      </c>
      <c r="J151" s="50"/>
      <c r="K151" s="27">
        <v>3224</v>
      </c>
      <c r="L151" s="39">
        <v>2488</v>
      </c>
      <c r="M151" s="52">
        <v>37</v>
      </c>
      <c r="N151" s="68" t="s">
        <v>991</v>
      </c>
      <c r="O151" s="27" t="s">
        <v>993</v>
      </c>
    </row>
    <row r="152" spans="1:15" ht="28.9">
      <c r="A152" s="27">
        <v>3623588</v>
      </c>
      <c r="B152" s="27">
        <v>3769114</v>
      </c>
      <c r="C152" s="25"/>
      <c r="D152" s="27" t="s">
        <v>1059</v>
      </c>
      <c r="E152" s="27" t="s">
        <v>72</v>
      </c>
      <c r="F152" s="27" t="s">
        <v>244</v>
      </c>
      <c r="G152" s="27" t="s">
        <v>64</v>
      </c>
      <c r="H152" s="70">
        <v>12495.75</v>
      </c>
      <c r="I152" s="50">
        <v>45450</v>
      </c>
      <c r="J152" s="50">
        <v>45453</v>
      </c>
      <c r="K152" s="27">
        <v>3385</v>
      </c>
      <c r="L152" s="39">
        <v>2488</v>
      </c>
      <c r="M152" s="52">
        <v>37</v>
      </c>
      <c r="N152" s="68" t="s">
        <v>991</v>
      </c>
      <c r="O152" s="27" t="s">
        <v>992</v>
      </c>
    </row>
    <row r="153" spans="1:15" ht="28.9">
      <c r="A153" s="27">
        <v>3623588</v>
      </c>
      <c r="B153" s="27">
        <v>3769114</v>
      </c>
      <c r="C153" s="25"/>
      <c r="D153" s="27" t="s">
        <v>1059</v>
      </c>
      <c r="E153" s="27" t="s">
        <v>37</v>
      </c>
      <c r="F153" s="27" t="s">
        <v>244</v>
      </c>
      <c r="G153" s="27" t="s">
        <v>64</v>
      </c>
      <c r="H153" s="70">
        <v>13300.79</v>
      </c>
      <c r="I153" s="50">
        <v>45481</v>
      </c>
      <c r="J153" s="50">
        <v>45486</v>
      </c>
      <c r="K153" s="27">
        <v>3498</v>
      </c>
      <c r="L153" s="39">
        <v>2488</v>
      </c>
      <c r="M153" s="52">
        <v>37</v>
      </c>
      <c r="N153" s="68" t="s">
        <v>991</v>
      </c>
      <c r="O153" s="27" t="s">
        <v>992</v>
      </c>
    </row>
    <row r="154" spans="1:15" ht="28.9">
      <c r="A154" s="27">
        <v>3623588</v>
      </c>
      <c r="B154" s="27">
        <v>3769114</v>
      </c>
      <c r="C154" s="25"/>
      <c r="D154" s="27" t="s">
        <v>1059</v>
      </c>
      <c r="E154" s="27" t="s">
        <v>37</v>
      </c>
      <c r="F154" s="27" t="s">
        <v>244</v>
      </c>
      <c r="G154" s="62" t="s">
        <v>64</v>
      </c>
      <c r="H154" s="67">
        <v>13751.42</v>
      </c>
      <c r="I154" s="50">
        <v>45513</v>
      </c>
      <c r="J154" s="50">
        <v>45516</v>
      </c>
      <c r="K154" s="27">
        <v>3652</v>
      </c>
      <c r="L154" s="39">
        <v>2488</v>
      </c>
      <c r="M154" s="52">
        <v>37</v>
      </c>
      <c r="N154" s="68" t="s">
        <v>991</v>
      </c>
      <c r="O154" s="27" t="s">
        <v>992</v>
      </c>
    </row>
    <row r="155" spans="1:15" ht="28.9">
      <c r="A155" s="27">
        <v>3623588</v>
      </c>
      <c r="B155" s="27">
        <v>3769114</v>
      </c>
      <c r="C155" s="25"/>
      <c r="D155" s="27" t="s">
        <v>1059</v>
      </c>
      <c r="E155" s="27" t="s">
        <v>37</v>
      </c>
      <c r="F155" s="27" t="s">
        <v>244</v>
      </c>
      <c r="G155" s="27" t="s">
        <v>64</v>
      </c>
      <c r="H155" s="67">
        <v>13774.08</v>
      </c>
      <c r="I155" s="50">
        <v>45552</v>
      </c>
      <c r="J155" s="50">
        <v>45516</v>
      </c>
      <c r="K155" s="27">
        <v>3801</v>
      </c>
      <c r="L155" s="39">
        <v>2488</v>
      </c>
      <c r="M155" s="52">
        <v>37</v>
      </c>
      <c r="N155" s="68" t="s">
        <v>991</v>
      </c>
      <c r="O155" s="27" t="s">
        <v>992</v>
      </c>
    </row>
    <row r="156" spans="1:15">
      <c r="A156" s="27">
        <v>4083066</v>
      </c>
      <c r="B156" s="27">
        <v>4206828</v>
      </c>
      <c r="C156" s="25" t="s">
        <v>1061</v>
      </c>
      <c r="D156" s="27" t="s">
        <v>1062</v>
      </c>
      <c r="E156" s="27" t="s">
        <v>72</v>
      </c>
      <c r="F156" s="27" t="s">
        <v>254</v>
      </c>
      <c r="G156" s="27" t="s">
        <v>64</v>
      </c>
      <c r="H156" s="67">
        <v>27196.67</v>
      </c>
      <c r="I156" s="50">
        <v>45800</v>
      </c>
      <c r="J156" s="50">
        <v>45800</v>
      </c>
      <c r="K156" s="1">
        <v>23214</v>
      </c>
      <c r="L156" s="39">
        <v>1210</v>
      </c>
      <c r="M156" s="52">
        <v>242</v>
      </c>
      <c r="N156" s="73" t="s">
        <v>991</v>
      </c>
      <c r="O156" s="27" t="s">
        <v>999</v>
      </c>
    </row>
    <row r="157" spans="1:15">
      <c r="A157" s="27">
        <v>4083066</v>
      </c>
      <c r="B157" s="27">
        <v>4206828</v>
      </c>
      <c r="C157" s="25" t="s">
        <v>1063</v>
      </c>
      <c r="D157" s="27" t="s">
        <v>1062</v>
      </c>
      <c r="E157" s="27" t="s">
        <v>37</v>
      </c>
      <c r="F157" s="27" t="s">
        <v>254</v>
      </c>
      <c r="G157" s="27" t="s">
        <v>64</v>
      </c>
      <c r="H157" s="67">
        <v>27196.67</v>
      </c>
      <c r="I157" s="50">
        <v>45814</v>
      </c>
      <c r="J157" s="50">
        <v>45817</v>
      </c>
      <c r="K157" s="57">
        <v>23325</v>
      </c>
      <c r="L157" s="39">
        <v>1210</v>
      </c>
      <c r="M157" s="52">
        <v>242</v>
      </c>
      <c r="N157" s="73" t="s">
        <v>991</v>
      </c>
      <c r="O157" s="27" t="s">
        <v>992</v>
      </c>
    </row>
    <row r="158" spans="1:15">
      <c r="A158" s="27">
        <v>4083066</v>
      </c>
      <c r="B158" s="27">
        <v>4206828</v>
      </c>
      <c r="C158" s="25" t="s">
        <v>1064</v>
      </c>
      <c r="D158" s="27" t="s">
        <v>1062</v>
      </c>
      <c r="E158" s="27" t="s">
        <v>37</v>
      </c>
      <c r="F158" s="27" t="s">
        <v>254</v>
      </c>
      <c r="G158" s="27" t="s">
        <v>64</v>
      </c>
      <c r="H158" s="67">
        <v>27196.67</v>
      </c>
      <c r="I158" s="50">
        <v>45855</v>
      </c>
      <c r="J158" s="50">
        <v>45856</v>
      </c>
      <c r="K158" s="57">
        <v>23648</v>
      </c>
      <c r="L158" s="39">
        <v>1210</v>
      </c>
      <c r="M158" s="52">
        <v>242</v>
      </c>
      <c r="N158" s="68" t="s">
        <v>991</v>
      </c>
      <c r="O158" s="27" t="s">
        <v>992</v>
      </c>
    </row>
    <row r="159" spans="1:15">
      <c r="A159" s="27">
        <v>4083066</v>
      </c>
      <c r="B159" s="27">
        <v>4206828</v>
      </c>
      <c r="C159" s="25" t="s">
        <v>1065</v>
      </c>
      <c r="D159" s="27" t="s">
        <v>1062</v>
      </c>
      <c r="E159" s="27" t="s">
        <v>37</v>
      </c>
      <c r="F159" s="27" t="s">
        <v>254</v>
      </c>
      <c r="G159" s="27" t="s">
        <v>64</v>
      </c>
      <c r="H159" s="67">
        <v>27196.67</v>
      </c>
      <c r="I159" s="50">
        <v>45882</v>
      </c>
      <c r="J159" s="50">
        <v>45884</v>
      </c>
      <c r="K159" s="57">
        <v>23802</v>
      </c>
      <c r="L159" s="39">
        <v>1210</v>
      </c>
      <c r="M159" s="52">
        <v>242</v>
      </c>
      <c r="N159" s="75" t="s">
        <v>991</v>
      </c>
      <c r="O159" s="27" t="s">
        <v>992</v>
      </c>
    </row>
    <row r="160" spans="1:15">
      <c r="A160" s="27">
        <v>4083066</v>
      </c>
      <c r="B160" s="27">
        <v>4206828</v>
      </c>
      <c r="C160" s="25" t="s">
        <v>1066</v>
      </c>
      <c r="D160" s="27" t="s">
        <v>1062</v>
      </c>
      <c r="E160" s="27" t="s">
        <v>37</v>
      </c>
      <c r="F160" s="27" t="s">
        <v>254</v>
      </c>
      <c r="G160" s="27" t="s">
        <v>64</v>
      </c>
      <c r="H160" s="67">
        <v>27196.67</v>
      </c>
      <c r="I160" s="50">
        <v>45911</v>
      </c>
      <c r="J160" s="50">
        <v>45918</v>
      </c>
      <c r="K160" s="57">
        <v>24070</v>
      </c>
      <c r="L160" s="39">
        <v>1210</v>
      </c>
      <c r="M160" s="52">
        <v>242</v>
      </c>
      <c r="N160" s="73" t="s">
        <v>991</v>
      </c>
      <c r="O160" s="27" t="s">
        <v>1067</v>
      </c>
    </row>
    <row r="161" spans="1:15">
      <c r="A161" s="27">
        <v>4083066</v>
      </c>
      <c r="B161" s="27">
        <v>4206828</v>
      </c>
      <c r="C161" s="25" t="s">
        <v>1068</v>
      </c>
      <c r="D161" s="27" t="s">
        <v>1062</v>
      </c>
      <c r="E161" s="27" t="s">
        <v>37</v>
      </c>
      <c r="F161" s="27" t="s">
        <v>254</v>
      </c>
      <c r="G161" s="27" t="s">
        <v>64</v>
      </c>
      <c r="H161" s="67">
        <v>27196.67</v>
      </c>
      <c r="I161" s="50">
        <v>45932</v>
      </c>
      <c r="J161" s="50">
        <v>45933</v>
      </c>
      <c r="K161" s="57">
        <v>24177</v>
      </c>
      <c r="L161" s="39">
        <v>1210</v>
      </c>
      <c r="M161" s="52">
        <v>242</v>
      </c>
      <c r="N161" s="73" t="s">
        <v>991</v>
      </c>
      <c r="O161" s="27" t="s">
        <v>992</v>
      </c>
    </row>
    <row r="162" spans="1:15">
      <c r="A162" s="28">
        <v>3623537</v>
      </c>
      <c r="B162" s="27">
        <v>3769130</v>
      </c>
      <c r="C162" s="27"/>
      <c r="D162" s="28"/>
      <c r="E162" s="27" t="s">
        <v>37</v>
      </c>
      <c r="F162" s="27" t="s">
        <v>620</v>
      </c>
      <c r="G162" s="27" t="s">
        <v>64</v>
      </c>
      <c r="H162" s="82">
        <v>8342.9</v>
      </c>
      <c r="I162" s="50">
        <v>45307</v>
      </c>
      <c r="J162" s="50">
        <v>45317</v>
      </c>
      <c r="K162" s="27">
        <v>113569</v>
      </c>
      <c r="L162" s="39"/>
      <c r="M162" s="52">
        <v>153</v>
      </c>
      <c r="N162" s="27" t="s">
        <v>991</v>
      </c>
      <c r="O162" s="27" t="s">
        <v>992</v>
      </c>
    </row>
    <row r="163" spans="1:15">
      <c r="A163" s="28">
        <v>3623537</v>
      </c>
      <c r="B163" s="27">
        <v>3769130</v>
      </c>
      <c r="C163" s="27"/>
      <c r="D163" s="81"/>
      <c r="E163" s="27" t="s">
        <v>37</v>
      </c>
      <c r="F163" s="27" t="s">
        <v>620</v>
      </c>
      <c r="G163" s="27" t="s">
        <v>64</v>
      </c>
      <c r="H163" s="43">
        <v>73810.649999999994</v>
      </c>
      <c r="I163" s="50">
        <v>45331</v>
      </c>
      <c r="J163" s="50">
        <v>45346</v>
      </c>
      <c r="K163" s="1">
        <v>115268</v>
      </c>
      <c r="L163" s="39"/>
      <c r="M163" s="52">
        <v>153</v>
      </c>
      <c r="N163" s="27" t="s">
        <v>991</v>
      </c>
      <c r="O163" s="27" t="s">
        <v>993</v>
      </c>
    </row>
    <row r="164" spans="1:15">
      <c r="A164" s="28">
        <v>3623537</v>
      </c>
      <c r="B164" s="27">
        <v>3769130</v>
      </c>
      <c r="C164" s="27"/>
      <c r="D164" s="28"/>
      <c r="E164" s="27" t="s">
        <v>37</v>
      </c>
      <c r="F164" s="27" t="s">
        <v>620</v>
      </c>
      <c r="G164" s="27" t="s">
        <v>64</v>
      </c>
      <c r="H164" s="82">
        <v>61521</v>
      </c>
      <c r="I164" s="50">
        <v>45331</v>
      </c>
      <c r="J164" s="50">
        <v>45346</v>
      </c>
      <c r="K164" s="27">
        <v>115263</v>
      </c>
      <c r="L164" s="39"/>
      <c r="M164" s="52">
        <v>153</v>
      </c>
      <c r="N164" s="27" t="s">
        <v>991</v>
      </c>
      <c r="O164" s="27" t="s">
        <v>993</v>
      </c>
    </row>
    <row r="165" spans="1:15">
      <c r="A165" s="28">
        <v>3623537</v>
      </c>
      <c r="B165" s="27">
        <v>3769130</v>
      </c>
      <c r="C165" s="27"/>
      <c r="D165" s="28"/>
      <c r="E165" s="27" t="s">
        <v>37</v>
      </c>
      <c r="F165" s="27" t="s">
        <v>620</v>
      </c>
      <c r="G165" s="27" t="s">
        <v>64</v>
      </c>
      <c r="H165" s="82">
        <v>79044.87</v>
      </c>
      <c r="I165" s="50">
        <v>45307</v>
      </c>
      <c r="J165" s="50">
        <v>45393</v>
      </c>
      <c r="K165" s="27">
        <v>113568</v>
      </c>
      <c r="L165" s="39"/>
      <c r="M165" s="52">
        <v>153</v>
      </c>
      <c r="N165" s="27" t="s">
        <v>991</v>
      </c>
      <c r="O165" s="27" t="s">
        <v>993</v>
      </c>
    </row>
    <row r="166" spans="1:15">
      <c r="A166" s="28">
        <v>3623537</v>
      </c>
      <c r="B166" s="27">
        <v>3769130</v>
      </c>
      <c r="C166" s="27"/>
      <c r="D166" s="28"/>
      <c r="E166" s="27" t="s">
        <v>37</v>
      </c>
      <c r="F166" s="27" t="s">
        <v>620</v>
      </c>
      <c r="G166" s="27" t="s">
        <v>64</v>
      </c>
      <c r="H166" s="82">
        <v>73848.17</v>
      </c>
      <c r="I166" s="50">
        <v>45363</v>
      </c>
      <c r="J166" s="50">
        <v>45378</v>
      </c>
      <c r="K166" s="27">
        <v>117864</v>
      </c>
      <c r="L166" s="39"/>
      <c r="M166" s="52">
        <v>153</v>
      </c>
      <c r="N166" s="27" t="s">
        <v>991</v>
      </c>
      <c r="O166" s="27" t="s">
        <v>993</v>
      </c>
    </row>
    <row r="167" spans="1:15">
      <c r="A167" s="28">
        <v>3623537</v>
      </c>
      <c r="B167" s="27">
        <v>3769130</v>
      </c>
      <c r="C167" s="27"/>
      <c r="D167" s="28"/>
      <c r="E167" s="27" t="s">
        <v>37</v>
      </c>
      <c r="F167" s="27" t="s">
        <v>620</v>
      </c>
      <c r="G167" s="27" t="s">
        <v>64</v>
      </c>
      <c r="H167" s="82">
        <v>64310.080000000002</v>
      </c>
      <c r="I167" s="50">
        <v>45377</v>
      </c>
      <c r="J167" s="50">
        <v>45378</v>
      </c>
      <c r="K167" s="27">
        <v>118987</v>
      </c>
      <c r="L167" s="39"/>
      <c r="M167" s="52">
        <v>153</v>
      </c>
      <c r="N167" s="27" t="s">
        <v>991</v>
      </c>
      <c r="O167" s="27" t="s">
        <v>993</v>
      </c>
    </row>
    <row r="168" spans="1:15">
      <c r="A168" s="28">
        <v>3623537</v>
      </c>
      <c r="B168" s="27">
        <v>3769130</v>
      </c>
      <c r="C168" s="27"/>
      <c r="D168" s="28"/>
      <c r="E168" s="27" t="s">
        <v>37</v>
      </c>
      <c r="F168" s="27" t="s">
        <v>620</v>
      </c>
      <c r="G168" s="27" t="s">
        <v>64</v>
      </c>
      <c r="H168" s="82">
        <v>61178.14</v>
      </c>
      <c r="I168" s="50">
        <v>45384</v>
      </c>
      <c r="J168" s="50">
        <v>45387</v>
      </c>
      <c r="K168" s="27">
        <v>119537</v>
      </c>
      <c r="L168" s="39"/>
      <c r="M168" s="52">
        <v>153</v>
      </c>
      <c r="N168" s="27" t="s">
        <v>991</v>
      </c>
      <c r="O168" s="27" t="s">
        <v>993</v>
      </c>
    </row>
    <row r="169" spans="1:15">
      <c r="A169" s="28">
        <v>3623537</v>
      </c>
      <c r="B169" s="27">
        <v>3769130</v>
      </c>
      <c r="C169" s="27"/>
      <c r="D169" s="28"/>
      <c r="E169" s="27" t="s">
        <v>37</v>
      </c>
      <c r="F169" s="27" t="s">
        <v>620</v>
      </c>
      <c r="G169" s="27" t="s">
        <v>64</v>
      </c>
      <c r="H169" s="82">
        <v>79082.39</v>
      </c>
      <c r="I169" s="50">
        <v>45384</v>
      </c>
      <c r="J169" s="50">
        <v>45387</v>
      </c>
      <c r="K169" s="27">
        <v>119538</v>
      </c>
      <c r="L169" s="39"/>
      <c r="M169" s="52">
        <v>153</v>
      </c>
      <c r="N169" s="27" t="s">
        <v>991</v>
      </c>
      <c r="O169" s="27" t="s">
        <v>993</v>
      </c>
    </row>
    <row r="170" spans="1:15">
      <c r="A170" s="28">
        <v>3623537</v>
      </c>
      <c r="B170" s="27">
        <v>3849787</v>
      </c>
      <c r="C170" s="27"/>
      <c r="D170" s="28"/>
      <c r="E170" s="27" t="s">
        <v>37</v>
      </c>
      <c r="F170" s="27" t="s">
        <v>620</v>
      </c>
      <c r="G170" s="27" t="s">
        <v>64</v>
      </c>
      <c r="H170" s="82">
        <v>61941</v>
      </c>
      <c r="I170" s="50">
        <v>45393</v>
      </c>
      <c r="J170" s="50">
        <v>45403</v>
      </c>
      <c r="K170" s="27">
        <v>110395</v>
      </c>
      <c r="L170" s="39"/>
      <c r="M170" s="52">
        <v>153</v>
      </c>
      <c r="N170" s="27" t="s">
        <v>991</v>
      </c>
      <c r="O170" s="27" t="s">
        <v>993</v>
      </c>
    </row>
    <row r="171" spans="1:15">
      <c r="A171" s="28">
        <v>3623537</v>
      </c>
      <c r="B171" s="27">
        <v>3848291</v>
      </c>
      <c r="C171" s="27"/>
      <c r="D171" s="28"/>
      <c r="E171" s="27" t="s">
        <v>37</v>
      </c>
      <c r="F171" s="27" t="s">
        <v>620</v>
      </c>
      <c r="G171" s="27" t="s">
        <v>64</v>
      </c>
      <c r="H171" s="82">
        <v>3532.81</v>
      </c>
      <c r="I171" s="50">
        <v>45393</v>
      </c>
      <c r="J171" s="50">
        <v>45394</v>
      </c>
      <c r="K171" s="27">
        <v>111566</v>
      </c>
      <c r="L171" s="39"/>
      <c r="M171" s="52">
        <v>153</v>
      </c>
      <c r="N171" s="27" t="s">
        <v>991</v>
      </c>
      <c r="O171" s="27" t="s">
        <v>993</v>
      </c>
    </row>
    <row r="172" spans="1:15">
      <c r="A172" s="28">
        <v>3623537</v>
      </c>
      <c r="B172" s="27">
        <v>3849788</v>
      </c>
      <c r="C172" s="27"/>
      <c r="D172" s="28"/>
      <c r="E172" s="27" t="s">
        <v>37</v>
      </c>
      <c r="F172" s="27" t="s">
        <v>620</v>
      </c>
      <c r="G172" s="27" t="s">
        <v>64</v>
      </c>
      <c r="H172" s="82">
        <v>80698.03</v>
      </c>
      <c r="I172" s="50">
        <v>45393</v>
      </c>
      <c r="J172" s="50">
        <v>45394</v>
      </c>
      <c r="K172" s="27">
        <v>110397</v>
      </c>
      <c r="L172" s="39"/>
      <c r="M172" s="52">
        <v>153</v>
      </c>
      <c r="N172" s="27" t="s">
        <v>991</v>
      </c>
      <c r="O172" s="27" t="s">
        <v>993</v>
      </c>
    </row>
    <row r="173" spans="1:15">
      <c r="A173" s="28">
        <v>3623537</v>
      </c>
      <c r="B173" s="27"/>
      <c r="C173" s="27"/>
      <c r="D173" s="28"/>
      <c r="E173" s="27" t="s">
        <v>37</v>
      </c>
      <c r="F173" s="27" t="s">
        <v>620</v>
      </c>
      <c r="G173" s="27" t="s">
        <v>64</v>
      </c>
      <c r="H173" s="82">
        <v>6440.14</v>
      </c>
      <c r="I173" s="50">
        <v>45351</v>
      </c>
      <c r="J173" s="50">
        <v>45400</v>
      </c>
      <c r="K173" s="27">
        <v>116960</v>
      </c>
      <c r="L173" s="39"/>
      <c r="M173" s="52">
        <v>153</v>
      </c>
      <c r="N173" s="27" t="s">
        <v>991</v>
      </c>
      <c r="O173" s="27" t="s">
        <v>993</v>
      </c>
    </row>
    <row r="174" spans="1:15">
      <c r="A174" s="28">
        <v>3623537</v>
      </c>
      <c r="B174" s="27"/>
      <c r="C174" s="27"/>
      <c r="D174" s="28"/>
      <c r="E174" s="27" t="s">
        <v>37</v>
      </c>
      <c r="F174" s="27" t="s">
        <v>620</v>
      </c>
      <c r="G174" s="27" t="s">
        <v>64</v>
      </c>
      <c r="H174" s="82">
        <v>61521</v>
      </c>
      <c r="I174" s="50">
        <v>45307</v>
      </c>
      <c r="J174" s="50">
        <v>45400</v>
      </c>
      <c r="K174" s="27">
        <v>113567</v>
      </c>
      <c r="L174" s="39"/>
      <c r="M174" s="52">
        <v>153</v>
      </c>
      <c r="N174" s="27" t="s">
        <v>991</v>
      </c>
      <c r="O174" s="27" t="s">
        <v>993</v>
      </c>
    </row>
    <row r="175" spans="1:15">
      <c r="A175" s="28">
        <v>3623537</v>
      </c>
      <c r="B175" s="27">
        <v>3769130</v>
      </c>
      <c r="C175" s="27"/>
      <c r="D175" s="28"/>
      <c r="E175" s="27" t="s">
        <v>37</v>
      </c>
      <c r="F175" s="27" t="s">
        <v>620</v>
      </c>
      <c r="G175" s="27" t="s">
        <v>64</v>
      </c>
      <c r="H175" s="82">
        <v>61178.14</v>
      </c>
      <c r="I175" s="50">
        <v>45418</v>
      </c>
      <c r="J175" s="50">
        <v>45426</v>
      </c>
      <c r="K175" s="27">
        <v>121903</v>
      </c>
      <c r="L175" s="39"/>
      <c r="M175" s="52">
        <v>153</v>
      </c>
      <c r="N175" s="27" t="s">
        <v>991</v>
      </c>
      <c r="O175" s="27" t="s">
        <v>993</v>
      </c>
    </row>
    <row r="176" spans="1:15">
      <c r="A176" s="28">
        <v>3623537</v>
      </c>
      <c r="B176" s="27">
        <v>3769130</v>
      </c>
      <c r="C176" s="27"/>
      <c r="D176" s="28"/>
      <c r="E176" s="27" t="s">
        <v>37</v>
      </c>
      <c r="F176" s="27" t="s">
        <v>620</v>
      </c>
      <c r="G176" s="27" t="s">
        <v>64</v>
      </c>
      <c r="H176" s="82">
        <v>79082.39</v>
      </c>
      <c r="I176" s="50">
        <v>45418</v>
      </c>
      <c r="J176" s="50">
        <v>45426</v>
      </c>
      <c r="K176" s="27">
        <v>121904</v>
      </c>
      <c r="L176" s="39"/>
      <c r="M176" s="52">
        <v>153</v>
      </c>
      <c r="N176" s="27" t="s">
        <v>991</v>
      </c>
      <c r="O176" s="27" t="s">
        <v>993</v>
      </c>
    </row>
    <row r="177" spans="1:15">
      <c r="A177" s="28">
        <v>3740150</v>
      </c>
      <c r="B177" s="27">
        <v>3878006</v>
      </c>
      <c r="C177" s="27"/>
      <c r="D177" s="28"/>
      <c r="E177" s="27" t="s">
        <v>37</v>
      </c>
      <c r="F177" s="27" t="s">
        <v>620</v>
      </c>
      <c r="G177" s="27" t="s">
        <v>64</v>
      </c>
      <c r="H177" s="82">
        <v>4748.54</v>
      </c>
      <c r="I177" s="50">
        <v>45426</v>
      </c>
      <c r="J177" s="50">
        <v>45429</v>
      </c>
      <c r="K177" s="27">
        <v>4541</v>
      </c>
      <c r="L177" s="39">
        <v>2348</v>
      </c>
      <c r="M177" s="52">
        <v>242</v>
      </c>
      <c r="N177" s="27" t="s">
        <v>991</v>
      </c>
      <c r="O177" s="27" t="s">
        <v>993</v>
      </c>
    </row>
    <row r="178" spans="1:15" ht="57.6">
      <c r="A178" s="28">
        <v>3623537</v>
      </c>
      <c r="B178" s="27">
        <v>3769130</v>
      </c>
      <c r="C178" s="27"/>
      <c r="D178" s="28"/>
      <c r="E178" s="27" t="s">
        <v>37</v>
      </c>
      <c r="F178" s="27" t="s">
        <v>620</v>
      </c>
      <c r="G178" s="27" t="s">
        <v>64</v>
      </c>
      <c r="H178" s="82">
        <v>61242.94</v>
      </c>
      <c r="I178" s="50">
        <v>45448</v>
      </c>
      <c r="J178" s="50"/>
      <c r="K178" s="27">
        <v>124306</v>
      </c>
      <c r="L178" s="39" t="s">
        <v>990</v>
      </c>
      <c r="M178" s="52">
        <v>153</v>
      </c>
      <c r="N178" s="92" t="s">
        <v>1069</v>
      </c>
      <c r="O178" s="27" t="s">
        <v>993</v>
      </c>
    </row>
    <row r="179" spans="1:15" ht="57.6">
      <c r="A179" s="28">
        <v>3623537</v>
      </c>
      <c r="B179" s="27">
        <v>3769130</v>
      </c>
      <c r="C179" s="27"/>
      <c r="D179" s="28"/>
      <c r="E179" s="27" t="s">
        <v>37</v>
      </c>
      <c r="F179" s="27" t="s">
        <v>620</v>
      </c>
      <c r="G179" s="27" t="s">
        <v>64</v>
      </c>
      <c r="H179" s="82">
        <v>79114.789999999994</v>
      </c>
      <c r="I179" s="50">
        <v>45448</v>
      </c>
      <c r="J179" s="50"/>
      <c r="K179" s="27">
        <v>124307</v>
      </c>
      <c r="L179" s="39" t="s">
        <v>990</v>
      </c>
      <c r="M179" s="52">
        <v>153</v>
      </c>
      <c r="N179" s="92" t="s">
        <v>1069</v>
      </c>
      <c r="O179" s="27" t="s">
        <v>993</v>
      </c>
    </row>
    <row r="180" spans="1:15">
      <c r="A180" s="28">
        <v>3623537</v>
      </c>
      <c r="B180" s="27">
        <v>3769130</v>
      </c>
      <c r="C180" s="27"/>
      <c r="D180" s="28"/>
      <c r="E180" s="27" t="s">
        <v>37</v>
      </c>
      <c r="F180" s="27" t="s">
        <v>620</v>
      </c>
      <c r="G180" s="27" t="s">
        <v>64</v>
      </c>
      <c r="H180" s="82">
        <v>61178.14</v>
      </c>
      <c r="I180" s="50">
        <v>45450</v>
      </c>
      <c r="J180" s="51">
        <v>45456</v>
      </c>
      <c r="K180" s="83">
        <v>124404</v>
      </c>
      <c r="L180" s="39" t="s">
        <v>990</v>
      </c>
      <c r="M180" s="52">
        <v>153</v>
      </c>
      <c r="N180" s="27" t="s">
        <v>991</v>
      </c>
      <c r="O180" s="27" t="s">
        <v>993</v>
      </c>
    </row>
    <row r="181" spans="1:15">
      <c r="A181" s="28">
        <v>3623537</v>
      </c>
      <c r="B181" s="27">
        <v>3769130</v>
      </c>
      <c r="C181" s="27"/>
      <c r="D181" s="28"/>
      <c r="E181" s="27" t="s">
        <v>37</v>
      </c>
      <c r="F181" s="27" t="s">
        <v>620</v>
      </c>
      <c r="G181" s="27" t="s">
        <v>64</v>
      </c>
      <c r="H181" s="82">
        <v>76362.13</v>
      </c>
      <c r="I181" s="50">
        <v>45450</v>
      </c>
      <c r="J181" s="51">
        <v>45456</v>
      </c>
      <c r="K181" s="83">
        <v>124405</v>
      </c>
      <c r="L181" s="39" t="s">
        <v>990</v>
      </c>
      <c r="M181" s="52">
        <v>153</v>
      </c>
      <c r="N181" s="27" t="s">
        <v>991</v>
      </c>
      <c r="O181" s="27" t="s">
        <v>993</v>
      </c>
    </row>
    <row r="182" spans="1:15">
      <c r="A182" s="27">
        <v>3623537</v>
      </c>
      <c r="B182" s="27">
        <v>3769130</v>
      </c>
      <c r="C182" s="53"/>
      <c r="D182" s="53"/>
      <c r="E182" s="27" t="s">
        <v>37</v>
      </c>
      <c r="F182" s="27" t="s">
        <v>620</v>
      </c>
      <c r="G182" s="27" t="s">
        <v>64</v>
      </c>
      <c r="H182" s="84">
        <v>61178.14</v>
      </c>
      <c r="I182" s="50">
        <v>45492</v>
      </c>
      <c r="J182" s="51">
        <v>45496</v>
      </c>
      <c r="K182" s="83">
        <v>127180</v>
      </c>
      <c r="L182" s="39" t="s">
        <v>990</v>
      </c>
      <c r="M182" s="52">
        <v>153</v>
      </c>
      <c r="N182" s="27" t="s">
        <v>991</v>
      </c>
      <c r="O182" s="27" t="s">
        <v>993</v>
      </c>
    </row>
    <row r="183" spans="1:15">
      <c r="A183" s="27">
        <v>3623537</v>
      </c>
      <c r="B183" s="27">
        <v>3769130</v>
      </c>
      <c r="C183" s="53"/>
      <c r="D183" s="53"/>
      <c r="E183" s="27" t="s">
        <v>37</v>
      </c>
      <c r="F183" s="27" t="s">
        <v>620</v>
      </c>
      <c r="G183" s="27" t="s">
        <v>64</v>
      </c>
      <c r="H183" s="84">
        <v>78643.03</v>
      </c>
      <c r="I183" s="50">
        <v>45492</v>
      </c>
      <c r="J183" s="51">
        <v>45496</v>
      </c>
      <c r="K183" s="83">
        <v>127181</v>
      </c>
      <c r="L183" s="39" t="s">
        <v>990</v>
      </c>
      <c r="M183" s="52">
        <v>153</v>
      </c>
      <c r="N183" s="27" t="s">
        <v>991</v>
      </c>
      <c r="O183" s="27" t="s">
        <v>993</v>
      </c>
    </row>
    <row r="184" spans="1:15" ht="115.15">
      <c r="A184" s="27">
        <v>3821521</v>
      </c>
      <c r="B184" s="27">
        <v>3954226</v>
      </c>
      <c r="C184" s="53" t="s">
        <v>1070</v>
      </c>
      <c r="D184" s="53"/>
      <c r="E184" s="27" t="s">
        <v>37</v>
      </c>
      <c r="F184" s="27" t="s">
        <v>620</v>
      </c>
      <c r="G184" s="27" t="s">
        <v>64</v>
      </c>
      <c r="H184" s="84">
        <v>105.64</v>
      </c>
      <c r="I184" s="50">
        <v>45495</v>
      </c>
      <c r="J184" s="50">
        <v>45503</v>
      </c>
      <c r="K184" s="27">
        <v>4743</v>
      </c>
      <c r="L184" s="39">
        <v>2089</v>
      </c>
      <c r="M184" s="52">
        <v>242</v>
      </c>
      <c r="N184" s="27" t="s">
        <v>991</v>
      </c>
      <c r="O184" s="27" t="s">
        <v>992</v>
      </c>
    </row>
    <row r="185" spans="1:15" ht="86.45">
      <c r="A185" s="27">
        <v>3831951</v>
      </c>
      <c r="B185" s="27">
        <v>3963985</v>
      </c>
      <c r="C185" s="53" t="s">
        <v>1071</v>
      </c>
      <c r="D185" s="53"/>
      <c r="E185" s="27" t="s">
        <v>37</v>
      </c>
      <c r="F185" s="27" t="s">
        <v>620</v>
      </c>
      <c r="G185" s="27" t="s">
        <v>64</v>
      </c>
      <c r="H185" s="56">
        <v>616</v>
      </c>
      <c r="I185" s="50">
        <v>45509</v>
      </c>
      <c r="J185" s="50">
        <v>45512</v>
      </c>
      <c r="K185" s="27">
        <v>4823</v>
      </c>
      <c r="L185" s="39">
        <v>2089</v>
      </c>
      <c r="M185" s="52">
        <v>242</v>
      </c>
      <c r="N185" s="27" t="s">
        <v>991</v>
      </c>
      <c r="O185" s="27" t="s">
        <v>992</v>
      </c>
    </row>
    <row r="186" spans="1:15">
      <c r="A186" s="27">
        <v>3623537</v>
      </c>
      <c r="B186" s="27">
        <v>3769130</v>
      </c>
      <c r="C186" s="53"/>
      <c r="D186" s="53"/>
      <c r="E186" s="27" t="s">
        <v>37</v>
      </c>
      <c r="F186" s="27" t="s">
        <v>620</v>
      </c>
      <c r="G186" s="27" t="s">
        <v>64</v>
      </c>
      <c r="H186" s="84">
        <v>439.36</v>
      </c>
      <c r="I186" s="50">
        <v>45518</v>
      </c>
      <c r="J186" s="50">
        <v>45524</v>
      </c>
      <c r="K186" s="27">
        <v>129354</v>
      </c>
      <c r="L186" s="39" t="s">
        <v>990</v>
      </c>
      <c r="M186" s="52">
        <v>153</v>
      </c>
      <c r="N186" s="27" t="s">
        <v>991</v>
      </c>
      <c r="O186" s="27" t="s">
        <v>993</v>
      </c>
    </row>
    <row r="187" spans="1:15">
      <c r="A187" s="27">
        <v>3623537</v>
      </c>
      <c r="B187" s="27">
        <v>3769130</v>
      </c>
      <c r="C187" s="53"/>
      <c r="D187" s="53"/>
      <c r="E187" s="27" t="s">
        <v>37</v>
      </c>
      <c r="F187" s="27" t="s">
        <v>620</v>
      </c>
      <c r="G187" s="27" t="s">
        <v>64</v>
      </c>
      <c r="H187" s="84">
        <v>78643.03</v>
      </c>
      <c r="I187" s="50">
        <v>45511</v>
      </c>
      <c r="J187" s="50">
        <v>45524</v>
      </c>
      <c r="K187" s="27">
        <v>128574</v>
      </c>
      <c r="L187" s="39" t="s">
        <v>990</v>
      </c>
      <c r="M187" s="52">
        <v>153</v>
      </c>
      <c r="N187" s="27" t="s">
        <v>991</v>
      </c>
      <c r="O187" s="27" t="s">
        <v>993</v>
      </c>
    </row>
    <row r="188" spans="1:15">
      <c r="A188" s="27">
        <v>3623537</v>
      </c>
      <c r="B188" s="27">
        <v>3769130</v>
      </c>
      <c r="C188" s="53"/>
      <c r="D188" s="53"/>
      <c r="E188" s="27" t="s">
        <v>37</v>
      </c>
      <c r="F188" s="27" t="s">
        <v>620</v>
      </c>
      <c r="G188" s="27" t="s">
        <v>64</v>
      </c>
      <c r="H188" s="84">
        <v>61617.5</v>
      </c>
      <c r="I188" s="50">
        <v>45517</v>
      </c>
      <c r="J188" s="50">
        <v>45524</v>
      </c>
      <c r="K188" s="27">
        <v>129130</v>
      </c>
      <c r="L188" s="39" t="s">
        <v>990</v>
      </c>
      <c r="M188" s="52">
        <v>153</v>
      </c>
      <c r="N188" s="27" t="s">
        <v>991</v>
      </c>
      <c r="O188" s="27" t="s">
        <v>993</v>
      </c>
    </row>
    <row r="189" spans="1:15">
      <c r="A189" s="27">
        <v>3623537</v>
      </c>
      <c r="B189" s="27">
        <v>3769130</v>
      </c>
      <c r="C189" s="53"/>
      <c r="D189" s="53"/>
      <c r="E189" s="27" t="s">
        <v>37</v>
      </c>
      <c r="F189" s="27" t="s">
        <v>620</v>
      </c>
      <c r="G189" s="27" t="s">
        <v>64</v>
      </c>
      <c r="H189" s="84">
        <v>61617.5</v>
      </c>
      <c r="I189" s="50">
        <v>45541</v>
      </c>
      <c r="J189" s="50">
        <v>45546</v>
      </c>
      <c r="K189" s="27">
        <v>130929</v>
      </c>
      <c r="L189" s="39" t="s">
        <v>990</v>
      </c>
      <c r="M189" s="52">
        <v>153</v>
      </c>
      <c r="N189" s="52" t="s">
        <v>991</v>
      </c>
      <c r="O189" s="27" t="s">
        <v>993</v>
      </c>
    </row>
    <row r="190" spans="1:15">
      <c r="A190" s="30">
        <v>3623537</v>
      </c>
      <c r="B190" s="30">
        <v>3769130</v>
      </c>
      <c r="C190" s="85"/>
      <c r="D190" s="85"/>
      <c r="E190" s="27" t="s">
        <v>37</v>
      </c>
      <c r="F190" s="27" t="s">
        <v>620</v>
      </c>
      <c r="G190" s="27" t="s">
        <v>64</v>
      </c>
      <c r="H190" s="86">
        <v>78643.03</v>
      </c>
      <c r="I190" s="93">
        <v>45541</v>
      </c>
      <c r="J190" s="93">
        <v>45546</v>
      </c>
      <c r="K190" s="30">
        <v>130927</v>
      </c>
      <c r="L190" s="88" t="s">
        <v>990</v>
      </c>
      <c r="M190" s="52">
        <v>153</v>
      </c>
      <c r="N190" s="94" t="s">
        <v>991</v>
      </c>
      <c r="O190" s="30" t="s">
        <v>993</v>
      </c>
    </row>
    <row r="191" spans="1:15">
      <c r="A191" s="27">
        <v>3623537</v>
      </c>
      <c r="B191" s="27">
        <v>3769130</v>
      </c>
      <c r="C191" s="53"/>
      <c r="D191" s="53"/>
      <c r="E191" s="27" t="s">
        <v>37</v>
      </c>
      <c r="F191" s="27" t="s">
        <v>620</v>
      </c>
      <c r="G191" s="27" t="s">
        <v>64</v>
      </c>
      <c r="H191" s="84">
        <v>61617.5</v>
      </c>
      <c r="I191" s="50">
        <v>45573</v>
      </c>
      <c r="J191" s="50">
        <v>45582</v>
      </c>
      <c r="K191" s="27">
        <v>133513</v>
      </c>
      <c r="L191" s="39" t="s">
        <v>990</v>
      </c>
      <c r="M191" s="52">
        <v>153</v>
      </c>
      <c r="N191" s="27" t="s">
        <v>991</v>
      </c>
      <c r="O191" s="27" t="s">
        <v>993</v>
      </c>
    </row>
    <row r="192" spans="1:15">
      <c r="A192" s="30">
        <v>3623537</v>
      </c>
      <c r="B192" s="30">
        <v>3769130</v>
      </c>
      <c r="C192" s="85"/>
      <c r="D192" s="85"/>
      <c r="E192" s="27" t="s">
        <v>37</v>
      </c>
      <c r="F192" s="27" t="s">
        <v>620</v>
      </c>
      <c r="G192" s="27" t="s">
        <v>64</v>
      </c>
      <c r="H192" s="86">
        <v>78643.03</v>
      </c>
      <c r="I192" s="50">
        <v>45573</v>
      </c>
      <c r="J192" s="50">
        <v>45582</v>
      </c>
      <c r="K192" s="27">
        <v>133514</v>
      </c>
      <c r="L192" s="39" t="s">
        <v>990</v>
      </c>
      <c r="M192" s="52">
        <v>153</v>
      </c>
      <c r="N192" s="27" t="s">
        <v>991</v>
      </c>
      <c r="O192" s="27" t="s">
        <v>993</v>
      </c>
    </row>
    <row r="193" spans="1:15">
      <c r="A193" s="27">
        <v>3623537</v>
      </c>
      <c r="B193" s="27">
        <v>3769130</v>
      </c>
      <c r="C193" s="53" t="s">
        <v>1072</v>
      </c>
      <c r="D193" s="53"/>
      <c r="E193" s="27" t="s">
        <v>37</v>
      </c>
      <c r="F193" s="27" t="s">
        <v>620</v>
      </c>
      <c r="G193" s="27" t="s">
        <v>64</v>
      </c>
      <c r="H193" s="84">
        <v>9318.27</v>
      </c>
      <c r="I193" s="50">
        <v>45615</v>
      </c>
      <c r="J193" s="50">
        <v>45623</v>
      </c>
      <c r="K193" s="27">
        <v>136706</v>
      </c>
      <c r="L193" s="39" t="s">
        <v>990</v>
      </c>
      <c r="M193" s="52">
        <v>153</v>
      </c>
      <c r="N193" s="52" t="s">
        <v>991</v>
      </c>
      <c r="O193" s="52" t="s">
        <v>993</v>
      </c>
    </row>
    <row r="194" spans="1:15">
      <c r="A194" s="27">
        <v>3623537</v>
      </c>
      <c r="B194" s="27">
        <v>3769130</v>
      </c>
      <c r="C194" s="53" t="s">
        <v>1072</v>
      </c>
      <c r="D194" s="53"/>
      <c r="E194" s="27" t="s">
        <v>37</v>
      </c>
      <c r="F194" s="27" t="s">
        <v>620</v>
      </c>
      <c r="G194" s="27" t="s">
        <v>64</v>
      </c>
      <c r="H194" s="90">
        <v>15921.9</v>
      </c>
      <c r="I194" s="50">
        <v>45615</v>
      </c>
      <c r="J194" s="50">
        <v>45623</v>
      </c>
      <c r="K194" s="27">
        <v>136707</v>
      </c>
      <c r="L194" s="39" t="s">
        <v>990</v>
      </c>
      <c r="M194" s="52">
        <v>153</v>
      </c>
      <c r="N194" s="52" t="s">
        <v>991</v>
      </c>
      <c r="O194" s="52" t="s">
        <v>993</v>
      </c>
    </row>
    <row r="195" spans="1:15">
      <c r="A195" s="27">
        <v>3623537</v>
      </c>
      <c r="B195" s="27">
        <v>3769130</v>
      </c>
      <c r="C195" s="53" t="s">
        <v>1072</v>
      </c>
      <c r="D195" s="53"/>
      <c r="E195" s="27" t="s">
        <v>37</v>
      </c>
      <c r="F195" s="27" t="s">
        <v>620</v>
      </c>
      <c r="G195" s="27" t="s">
        <v>64</v>
      </c>
      <c r="H195" s="90">
        <v>113553.33</v>
      </c>
      <c r="I195" s="50">
        <v>45622</v>
      </c>
      <c r="J195" s="50">
        <v>45623</v>
      </c>
      <c r="K195" s="27">
        <v>137510</v>
      </c>
      <c r="L195" s="39" t="s">
        <v>990</v>
      </c>
      <c r="M195" s="52">
        <v>153</v>
      </c>
      <c r="N195" s="52" t="s">
        <v>991</v>
      </c>
      <c r="O195" s="52" t="s">
        <v>993</v>
      </c>
    </row>
    <row r="196" spans="1:15">
      <c r="A196" s="27">
        <v>3623537</v>
      </c>
      <c r="B196" s="27">
        <v>3769130</v>
      </c>
      <c r="C196" s="53" t="s">
        <v>1072</v>
      </c>
      <c r="D196" s="53"/>
      <c r="E196" s="27" t="s">
        <v>37</v>
      </c>
      <c r="F196" s="27" t="s">
        <v>620</v>
      </c>
      <c r="G196" s="27" t="s">
        <v>64</v>
      </c>
      <c r="H196" s="90">
        <v>16679.78</v>
      </c>
      <c r="I196" s="50">
        <v>45656</v>
      </c>
      <c r="J196" s="50">
        <v>45671</v>
      </c>
      <c r="K196" s="27">
        <v>140338</v>
      </c>
      <c r="L196" s="39" t="s">
        <v>990</v>
      </c>
      <c r="M196" s="52">
        <v>153</v>
      </c>
      <c r="N196" s="52" t="s">
        <v>991</v>
      </c>
      <c r="O196" s="52" t="s">
        <v>993</v>
      </c>
    </row>
    <row r="197" spans="1:15">
      <c r="A197" s="27">
        <v>3623537</v>
      </c>
      <c r="B197" s="27">
        <v>3769130</v>
      </c>
      <c r="C197" s="53" t="s">
        <v>1072</v>
      </c>
      <c r="D197" s="53"/>
      <c r="E197" s="27" t="s">
        <v>37</v>
      </c>
      <c r="F197" s="27" t="s">
        <v>620</v>
      </c>
      <c r="G197" s="27" t="s">
        <v>64</v>
      </c>
      <c r="H197" s="90">
        <v>9761.81</v>
      </c>
      <c r="I197" s="50">
        <v>45656</v>
      </c>
      <c r="J197" s="50">
        <v>45671</v>
      </c>
      <c r="K197" s="27">
        <v>140341</v>
      </c>
      <c r="L197" s="39" t="s">
        <v>990</v>
      </c>
      <c r="M197" s="52">
        <v>153</v>
      </c>
      <c r="N197" s="54" t="s">
        <v>991</v>
      </c>
      <c r="O197" s="27" t="s">
        <v>992</v>
      </c>
    </row>
    <row r="198" spans="1:15">
      <c r="A198" s="27">
        <v>3623537</v>
      </c>
      <c r="B198" s="27">
        <v>3769130</v>
      </c>
      <c r="C198" s="53" t="s">
        <v>1072</v>
      </c>
      <c r="D198" s="53"/>
      <c r="E198" s="27" t="s">
        <v>37</v>
      </c>
      <c r="F198" s="27" t="s">
        <v>620</v>
      </c>
      <c r="G198" s="27" t="s">
        <v>64</v>
      </c>
      <c r="H198" s="90">
        <v>120495.29</v>
      </c>
      <c r="I198" s="50">
        <v>45656</v>
      </c>
      <c r="J198" s="50">
        <v>45671</v>
      </c>
      <c r="K198" s="27">
        <v>140343</v>
      </c>
      <c r="L198" s="39" t="s">
        <v>990</v>
      </c>
      <c r="M198" s="52">
        <v>153</v>
      </c>
      <c r="N198" s="54" t="s">
        <v>991</v>
      </c>
      <c r="O198" s="27" t="s">
        <v>992</v>
      </c>
    </row>
    <row r="199" spans="1:15">
      <c r="A199" s="27">
        <v>3623537</v>
      </c>
      <c r="B199" s="27">
        <v>3769130</v>
      </c>
      <c r="C199" s="53" t="s">
        <v>1072</v>
      </c>
      <c r="D199" s="53"/>
      <c r="E199" s="27" t="s">
        <v>37</v>
      </c>
      <c r="F199" s="27" t="s">
        <v>620</v>
      </c>
      <c r="G199" s="27" t="s">
        <v>64</v>
      </c>
      <c r="H199" s="90">
        <v>9761.81</v>
      </c>
      <c r="I199" s="50">
        <v>45663</v>
      </c>
      <c r="J199" s="50" t="s">
        <v>35</v>
      </c>
      <c r="K199" s="27">
        <v>140671</v>
      </c>
      <c r="L199" s="39" t="s">
        <v>990</v>
      </c>
      <c r="M199" s="52">
        <v>153</v>
      </c>
      <c r="N199" s="92" t="s">
        <v>1073</v>
      </c>
      <c r="O199" s="27" t="s">
        <v>993</v>
      </c>
    </row>
    <row r="200" spans="1:15">
      <c r="A200" s="27">
        <v>3623537</v>
      </c>
      <c r="B200" s="27">
        <v>3769130</v>
      </c>
      <c r="C200" s="53" t="s">
        <v>1072</v>
      </c>
      <c r="D200" s="53"/>
      <c r="E200" s="27" t="s">
        <v>37</v>
      </c>
      <c r="F200" s="27" t="s">
        <v>620</v>
      </c>
      <c r="G200" s="27" t="s">
        <v>64</v>
      </c>
      <c r="H200" s="90">
        <v>16679.78</v>
      </c>
      <c r="I200" s="50">
        <v>45663</v>
      </c>
      <c r="J200" s="50">
        <v>45672</v>
      </c>
      <c r="K200" s="27">
        <v>140672</v>
      </c>
      <c r="L200" s="39" t="s">
        <v>990</v>
      </c>
      <c r="M200" s="52">
        <v>153</v>
      </c>
      <c r="N200" s="54" t="s">
        <v>991</v>
      </c>
      <c r="O200" s="27" t="s">
        <v>992</v>
      </c>
    </row>
    <row r="201" spans="1:15">
      <c r="A201" s="27">
        <v>3623537</v>
      </c>
      <c r="B201" s="27">
        <v>3769130</v>
      </c>
      <c r="C201" s="53" t="s">
        <v>1072</v>
      </c>
      <c r="D201" s="53"/>
      <c r="E201" s="27" t="s">
        <v>37</v>
      </c>
      <c r="F201" s="27" t="s">
        <v>620</v>
      </c>
      <c r="G201" s="27" t="s">
        <v>64</v>
      </c>
      <c r="H201" s="90">
        <v>120495.29</v>
      </c>
      <c r="I201" s="50">
        <v>45671</v>
      </c>
      <c r="J201" s="50">
        <v>45672</v>
      </c>
      <c r="K201" s="27">
        <v>141453</v>
      </c>
      <c r="L201" s="39" t="s">
        <v>990</v>
      </c>
      <c r="M201" s="52">
        <v>153</v>
      </c>
      <c r="N201" s="52" t="s">
        <v>991</v>
      </c>
      <c r="O201" s="52" t="s">
        <v>993</v>
      </c>
    </row>
    <row r="202" spans="1:15">
      <c r="A202" s="27">
        <v>3623537</v>
      </c>
      <c r="B202" s="27">
        <v>3769130</v>
      </c>
      <c r="C202" s="53" t="s">
        <v>1072</v>
      </c>
      <c r="D202" s="53"/>
      <c r="E202" s="27" t="s">
        <v>37</v>
      </c>
      <c r="F202" s="27" t="s">
        <v>620</v>
      </c>
      <c r="G202" s="27" t="s">
        <v>64</v>
      </c>
      <c r="H202" s="90">
        <v>9761.82</v>
      </c>
      <c r="I202" s="50">
        <v>45673</v>
      </c>
      <c r="J202" s="50">
        <v>45673</v>
      </c>
      <c r="K202" s="27">
        <v>141733</v>
      </c>
      <c r="L202" s="39" t="s">
        <v>990</v>
      </c>
      <c r="M202" s="52">
        <v>153</v>
      </c>
      <c r="N202" s="52" t="s">
        <v>991</v>
      </c>
      <c r="O202" s="52" t="s">
        <v>993</v>
      </c>
    </row>
    <row r="203" spans="1:15">
      <c r="A203" s="27">
        <v>3623537</v>
      </c>
      <c r="B203" s="27">
        <v>3769130</v>
      </c>
      <c r="C203" s="53" t="s">
        <v>1072</v>
      </c>
      <c r="D203" s="53"/>
      <c r="E203" s="27" t="s">
        <v>37</v>
      </c>
      <c r="F203" s="27" t="s">
        <v>620</v>
      </c>
      <c r="G203" s="27" t="s">
        <v>64</v>
      </c>
      <c r="H203" s="90">
        <v>114706.31</v>
      </c>
      <c r="I203" s="50">
        <v>45621</v>
      </c>
      <c r="J203" s="27"/>
      <c r="K203" s="27">
        <v>137299</v>
      </c>
      <c r="L203" s="39" t="s">
        <v>990</v>
      </c>
      <c r="M203" s="52">
        <v>153</v>
      </c>
      <c r="N203" s="92" t="s">
        <v>1073</v>
      </c>
      <c r="O203" s="27" t="s">
        <v>993</v>
      </c>
    </row>
    <row r="204" spans="1:15">
      <c r="A204" s="27">
        <v>3623537</v>
      </c>
      <c r="B204" s="27">
        <v>3769130</v>
      </c>
      <c r="C204" s="53" t="s">
        <v>1072</v>
      </c>
      <c r="D204" s="53"/>
      <c r="E204" s="27" t="s">
        <v>37</v>
      </c>
      <c r="F204" s="27" t="s">
        <v>620</v>
      </c>
      <c r="G204" s="27" t="s">
        <v>64</v>
      </c>
      <c r="H204" s="90">
        <v>16679.78</v>
      </c>
      <c r="I204" s="50">
        <v>45694</v>
      </c>
      <c r="J204" s="50">
        <v>45698</v>
      </c>
      <c r="K204" s="27">
        <v>143200</v>
      </c>
      <c r="L204" s="39" t="s">
        <v>1074</v>
      </c>
      <c r="M204" s="52">
        <v>153</v>
      </c>
      <c r="N204" s="55" t="s">
        <v>991</v>
      </c>
      <c r="O204" s="55" t="s">
        <v>993</v>
      </c>
    </row>
    <row r="205" spans="1:15">
      <c r="A205" s="27">
        <v>3623537</v>
      </c>
      <c r="B205" s="27">
        <v>3769130</v>
      </c>
      <c r="C205" s="53" t="s">
        <v>1072</v>
      </c>
      <c r="D205" s="53"/>
      <c r="E205" s="27" t="s">
        <v>37</v>
      </c>
      <c r="F205" s="27" t="s">
        <v>620</v>
      </c>
      <c r="G205" s="27" t="s">
        <v>64</v>
      </c>
      <c r="H205" s="90">
        <v>9761.82</v>
      </c>
      <c r="I205" s="50">
        <v>45694</v>
      </c>
      <c r="J205" s="50">
        <v>45698</v>
      </c>
      <c r="K205" s="27">
        <v>143201</v>
      </c>
      <c r="L205" s="39" t="s">
        <v>1074</v>
      </c>
      <c r="M205" s="52">
        <v>153</v>
      </c>
      <c r="N205" s="55" t="s">
        <v>991</v>
      </c>
      <c r="O205" s="55" t="s">
        <v>993</v>
      </c>
    </row>
    <row r="206" spans="1:15">
      <c r="A206" s="27">
        <v>3623537</v>
      </c>
      <c r="B206" s="27">
        <v>3769130</v>
      </c>
      <c r="C206" s="53" t="s">
        <v>1072</v>
      </c>
      <c r="D206" s="53"/>
      <c r="E206" s="27" t="s">
        <v>37</v>
      </c>
      <c r="F206" s="27" t="s">
        <v>620</v>
      </c>
      <c r="G206" s="27" t="s">
        <v>64</v>
      </c>
      <c r="H206" s="90">
        <v>120495.29</v>
      </c>
      <c r="I206" s="50">
        <v>45699</v>
      </c>
      <c r="J206" s="50">
        <v>45700</v>
      </c>
      <c r="K206" s="27">
        <v>143566</v>
      </c>
      <c r="L206" s="39" t="s">
        <v>990</v>
      </c>
      <c r="M206" s="52">
        <v>153</v>
      </c>
      <c r="N206" s="55" t="s">
        <v>991</v>
      </c>
      <c r="O206" s="55" t="s">
        <v>993</v>
      </c>
    </row>
    <row r="207" spans="1:15">
      <c r="A207" s="27">
        <v>3623537</v>
      </c>
      <c r="B207" s="27">
        <v>3769130</v>
      </c>
      <c r="C207" s="53" t="s">
        <v>1072</v>
      </c>
      <c r="D207" s="53"/>
      <c r="E207" s="27" t="s">
        <v>37</v>
      </c>
      <c r="F207" s="27" t="s">
        <v>620</v>
      </c>
      <c r="G207" s="27" t="s">
        <v>64</v>
      </c>
      <c r="H207" s="90">
        <v>9761.82</v>
      </c>
      <c r="I207" s="50">
        <v>45722</v>
      </c>
      <c r="J207" s="50">
        <v>45723</v>
      </c>
      <c r="K207" s="27">
        <v>145447</v>
      </c>
      <c r="L207" s="39" t="s">
        <v>990</v>
      </c>
      <c r="M207" s="52">
        <v>153</v>
      </c>
      <c r="N207" s="55" t="s">
        <v>991</v>
      </c>
      <c r="O207" s="55" t="s">
        <v>993</v>
      </c>
    </row>
    <row r="208" spans="1:15">
      <c r="A208" s="27">
        <v>3623537</v>
      </c>
      <c r="B208" s="27">
        <v>3769130</v>
      </c>
      <c r="C208" s="53" t="s">
        <v>1072</v>
      </c>
      <c r="D208" s="53"/>
      <c r="E208" s="27" t="s">
        <v>37</v>
      </c>
      <c r="F208" s="27" t="s">
        <v>620</v>
      </c>
      <c r="G208" s="27" t="s">
        <v>64</v>
      </c>
      <c r="H208" s="90">
        <v>16679.78</v>
      </c>
      <c r="I208" s="50">
        <v>45722</v>
      </c>
      <c r="J208" s="50">
        <v>45723</v>
      </c>
      <c r="K208" s="27">
        <v>145446</v>
      </c>
      <c r="L208" s="39" t="s">
        <v>990</v>
      </c>
      <c r="M208" s="52">
        <v>153</v>
      </c>
      <c r="N208" s="55" t="s">
        <v>991</v>
      </c>
      <c r="O208" s="55" t="s">
        <v>993</v>
      </c>
    </row>
    <row r="209" spans="1:15">
      <c r="A209" s="27">
        <v>3623537</v>
      </c>
      <c r="B209" s="27">
        <v>3769130</v>
      </c>
      <c r="C209" s="53" t="s">
        <v>1072</v>
      </c>
      <c r="D209" s="53"/>
      <c r="E209" s="27" t="s">
        <v>37</v>
      </c>
      <c r="F209" s="27" t="s">
        <v>620</v>
      </c>
      <c r="G209" s="27" t="s">
        <v>64</v>
      </c>
      <c r="H209" s="90">
        <v>120495.29</v>
      </c>
      <c r="I209" s="50">
        <v>45729</v>
      </c>
      <c r="J209" s="50">
        <v>45730</v>
      </c>
      <c r="K209" s="27">
        <v>145997</v>
      </c>
      <c r="L209" s="39" t="s">
        <v>990</v>
      </c>
      <c r="M209" s="52">
        <v>153</v>
      </c>
      <c r="N209" s="55" t="s">
        <v>991</v>
      </c>
      <c r="O209" s="55" t="s">
        <v>993</v>
      </c>
    </row>
    <row r="210" spans="1:15">
      <c r="A210" s="27">
        <v>3623537</v>
      </c>
      <c r="B210" s="27">
        <v>3769130</v>
      </c>
      <c r="C210" s="53" t="s">
        <v>1072</v>
      </c>
      <c r="D210" s="53"/>
      <c r="E210" s="27" t="s">
        <v>37</v>
      </c>
      <c r="F210" s="27" t="s">
        <v>620</v>
      </c>
      <c r="G210" s="27" t="s">
        <v>64</v>
      </c>
      <c r="H210" s="90">
        <v>64550.48</v>
      </c>
      <c r="I210" s="50">
        <v>45763</v>
      </c>
      <c r="J210" s="50">
        <v>45775</v>
      </c>
      <c r="K210" s="57">
        <v>149309</v>
      </c>
      <c r="L210" s="39" t="s">
        <v>990</v>
      </c>
      <c r="M210" s="52">
        <v>153</v>
      </c>
      <c r="N210" s="55" t="s">
        <v>991</v>
      </c>
      <c r="O210" s="55" t="s">
        <v>993</v>
      </c>
    </row>
    <row r="211" spans="1:15">
      <c r="A211" s="27">
        <v>3623537</v>
      </c>
      <c r="B211" s="27">
        <v>3769130</v>
      </c>
      <c r="C211" s="53" t="s">
        <v>1072</v>
      </c>
      <c r="D211" s="53"/>
      <c r="E211" s="27" t="s">
        <v>37</v>
      </c>
      <c r="F211" s="27" t="s">
        <v>620</v>
      </c>
      <c r="G211" s="27" t="s">
        <v>64</v>
      </c>
      <c r="H211" s="90">
        <v>82386.41</v>
      </c>
      <c r="I211" s="50">
        <v>45763</v>
      </c>
      <c r="J211" s="50">
        <v>45775</v>
      </c>
      <c r="K211" s="57">
        <v>149310</v>
      </c>
      <c r="L211" s="39" t="s">
        <v>990</v>
      </c>
      <c r="M211" s="52">
        <v>153</v>
      </c>
      <c r="N211" s="55" t="s">
        <v>991</v>
      </c>
      <c r="O211" s="55" t="s">
        <v>993</v>
      </c>
    </row>
    <row r="212" spans="1:15" ht="43.15">
      <c r="A212" s="27">
        <v>3623537</v>
      </c>
      <c r="B212" s="27">
        <v>3769130</v>
      </c>
      <c r="C212" s="68" t="s">
        <v>1072</v>
      </c>
      <c r="D212" s="53"/>
      <c r="E212" s="27" t="s">
        <v>37</v>
      </c>
      <c r="F212" s="27" t="s">
        <v>620</v>
      </c>
      <c r="G212" s="27" t="s">
        <v>64</v>
      </c>
      <c r="H212" s="91" t="s">
        <v>1075</v>
      </c>
      <c r="I212" s="50">
        <v>45805</v>
      </c>
      <c r="J212" s="50">
        <v>45805</v>
      </c>
      <c r="K212" s="57">
        <v>152658</v>
      </c>
      <c r="L212" s="39" t="s">
        <v>990</v>
      </c>
      <c r="M212" s="52">
        <v>153</v>
      </c>
      <c r="N212" s="92" t="s">
        <v>1076</v>
      </c>
      <c r="O212" s="55" t="s">
        <v>993</v>
      </c>
    </row>
    <row r="213" spans="1:15" ht="43.15">
      <c r="A213" s="27">
        <v>3623537</v>
      </c>
      <c r="B213" s="27">
        <v>3769130</v>
      </c>
      <c r="C213" s="68" t="s">
        <v>1072</v>
      </c>
      <c r="D213" s="53"/>
      <c r="E213" s="27" t="s">
        <v>37</v>
      </c>
      <c r="F213" s="27" t="s">
        <v>620</v>
      </c>
      <c r="G213" s="27" t="s">
        <v>64</v>
      </c>
      <c r="H213" s="91" t="s">
        <v>1075</v>
      </c>
      <c r="I213" s="50">
        <v>45805</v>
      </c>
      <c r="J213" s="50">
        <v>45805</v>
      </c>
      <c r="K213" s="57">
        <v>152659</v>
      </c>
      <c r="L213" s="39" t="s">
        <v>990</v>
      </c>
      <c r="M213" s="52">
        <v>153</v>
      </c>
      <c r="N213" s="92" t="s">
        <v>1076</v>
      </c>
      <c r="O213" s="55" t="s">
        <v>993</v>
      </c>
    </row>
    <row r="214" spans="1:15">
      <c r="A214" s="27">
        <v>3623537</v>
      </c>
      <c r="B214" s="27">
        <v>3769130</v>
      </c>
      <c r="C214" s="68" t="s">
        <v>1072</v>
      </c>
      <c r="D214" s="53"/>
      <c r="E214" s="27" t="s">
        <v>37</v>
      </c>
      <c r="F214" s="27" t="s">
        <v>620</v>
      </c>
      <c r="G214" s="27" t="s">
        <v>64</v>
      </c>
      <c r="H214" s="91">
        <v>64550.48</v>
      </c>
      <c r="I214" s="50">
        <v>45805</v>
      </c>
      <c r="J214" s="50">
        <v>45806</v>
      </c>
      <c r="K214" s="57">
        <v>152687</v>
      </c>
      <c r="L214" s="39" t="s">
        <v>990</v>
      </c>
      <c r="M214" s="52">
        <v>153</v>
      </c>
      <c r="N214" s="55" t="s">
        <v>991</v>
      </c>
      <c r="O214" s="27" t="s">
        <v>992</v>
      </c>
    </row>
    <row r="215" spans="1:15">
      <c r="A215" s="27">
        <v>3623537</v>
      </c>
      <c r="B215" s="27">
        <v>3769130</v>
      </c>
      <c r="C215" s="68" t="s">
        <v>1072</v>
      </c>
      <c r="D215" s="53"/>
      <c r="E215" s="27" t="s">
        <v>37</v>
      </c>
      <c r="F215" s="27" t="s">
        <v>620</v>
      </c>
      <c r="G215" s="27" t="s">
        <v>64</v>
      </c>
      <c r="H215" s="91">
        <v>79762.39</v>
      </c>
      <c r="I215" s="50">
        <v>45805</v>
      </c>
      <c r="J215" s="50">
        <v>45806</v>
      </c>
      <c r="K215" s="57">
        <v>152689</v>
      </c>
      <c r="L215" s="39" t="s">
        <v>990</v>
      </c>
      <c r="M215" s="52">
        <v>153</v>
      </c>
      <c r="N215" s="55" t="s">
        <v>991</v>
      </c>
      <c r="O215" s="27" t="s">
        <v>992</v>
      </c>
    </row>
    <row r="216" spans="1:15" ht="43.15">
      <c r="A216" s="27">
        <v>3623537</v>
      </c>
      <c r="B216" s="27">
        <v>3769130</v>
      </c>
      <c r="C216" s="68" t="s">
        <v>1072</v>
      </c>
      <c r="D216" s="53"/>
      <c r="E216" s="27" t="s">
        <v>37</v>
      </c>
      <c r="F216" s="27" t="s">
        <v>620</v>
      </c>
      <c r="G216" s="27" t="s">
        <v>64</v>
      </c>
      <c r="H216" s="91" t="s">
        <v>1075</v>
      </c>
      <c r="I216" s="50">
        <v>45821</v>
      </c>
      <c r="J216" s="27"/>
      <c r="K216" s="57">
        <v>154152</v>
      </c>
      <c r="L216" s="39" t="s">
        <v>990</v>
      </c>
      <c r="M216" s="52">
        <v>153</v>
      </c>
      <c r="N216" s="92" t="s">
        <v>1076</v>
      </c>
      <c r="O216" s="27" t="s">
        <v>992</v>
      </c>
    </row>
    <row r="217" spans="1:15" ht="43.15">
      <c r="A217" s="27">
        <v>3623537</v>
      </c>
      <c r="B217" s="27">
        <v>3769130</v>
      </c>
      <c r="C217" s="68" t="s">
        <v>1072</v>
      </c>
      <c r="D217" s="53"/>
      <c r="E217" s="27" t="s">
        <v>37</v>
      </c>
      <c r="F217" s="27" t="s">
        <v>620</v>
      </c>
      <c r="G217" s="27" t="s">
        <v>64</v>
      </c>
      <c r="H217" s="91" t="s">
        <v>1075</v>
      </c>
      <c r="I217" s="50">
        <v>45821</v>
      </c>
      <c r="J217" s="27"/>
      <c r="K217" s="57">
        <v>154153</v>
      </c>
      <c r="L217" s="39" t="s">
        <v>990</v>
      </c>
      <c r="M217" s="52">
        <v>153</v>
      </c>
      <c r="N217" s="92" t="s">
        <v>1076</v>
      </c>
      <c r="O217" s="27" t="s">
        <v>992</v>
      </c>
    </row>
    <row r="218" spans="1:15">
      <c r="A218" s="27">
        <v>3623537</v>
      </c>
      <c r="B218" s="27">
        <v>3769130</v>
      </c>
      <c r="C218" s="68" t="s">
        <v>1072</v>
      </c>
      <c r="D218" s="53"/>
      <c r="E218" s="27" t="s">
        <v>37</v>
      </c>
      <c r="F218" s="27" t="s">
        <v>620</v>
      </c>
      <c r="G218" s="27" t="s">
        <v>64</v>
      </c>
      <c r="H218" s="91">
        <v>85203.19</v>
      </c>
      <c r="I218" s="50">
        <v>45833</v>
      </c>
      <c r="J218" s="50">
        <v>45834</v>
      </c>
      <c r="K218" s="57">
        <v>155024</v>
      </c>
      <c r="L218" s="39" t="s">
        <v>990</v>
      </c>
      <c r="M218" s="52">
        <v>153</v>
      </c>
      <c r="N218" s="55" t="s">
        <v>991</v>
      </c>
      <c r="O218" s="55" t="s">
        <v>993</v>
      </c>
    </row>
    <row r="219" spans="1:15">
      <c r="A219" s="27">
        <v>3623537</v>
      </c>
      <c r="B219" s="27">
        <v>3769130</v>
      </c>
      <c r="C219" s="68" t="s">
        <v>1072</v>
      </c>
      <c r="D219" s="53"/>
      <c r="E219" s="27" t="s">
        <v>37</v>
      </c>
      <c r="F219" s="27" t="s">
        <v>620</v>
      </c>
      <c r="G219" s="27" t="s">
        <v>64</v>
      </c>
      <c r="H219" s="91">
        <v>64413.42</v>
      </c>
      <c r="I219" s="50">
        <v>45833</v>
      </c>
      <c r="J219" s="50">
        <v>45834</v>
      </c>
      <c r="K219" s="57">
        <v>155037</v>
      </c>
      <c r="L219" s="39" t="s">
        <v>990</v>
      </c>
      <c r="M219" s="52">
        <v>153</v>
      </c>
      <c r="N219" s="55" t="s">
        <v>991</v>
      </c>
      <c r="O219" s="55" t="s">
        <v>993</v>
      </c>
    </row>
    <row r="220" spans="1:15">
      <c r="A220" s="27">
        <v>3623537</v>
      </c>
      <c r="B220" s="27">
        <v>3769130</v>
      </c>
      <c r="C220" s="66" t="s">
        <v>1072</v>
      </c>
      <c r="D220" s="53"/>
      <c r="E220" s="27" t="s">
        <v>37</v>
      </c>
      <c r="F220" s="27" t="s">
        <v>620</v>
      </c>
      <c r="G220" s="27" t="s">
        <v>64</v>
      </c>
      <c r="H220" s="91">
        <v>66580.179999999993</v>
      </c>
      <c r="I220" s="50">
        <v>45852</v>
      </c>
      <c r="J220" s="27"/>
      <c r="K220" s="57">
        <v>156511</v>
      </c>
      <c r="L220" s="39" t="s">
        <v>990</v>
      </c>
      <c r="M220" s="52">
        <v>153</v>
      </c>
      <c r="N220" s="92" t="s">
        <v>1077</v>
      </c>
      <c r="O220" s="27" t="s">
        <v>993</v>
      </c>
    </row>
    <row r="221" spans="1:15">
      <c r="A221" s="27">
        <v>3623537</v>
      </c>
      <c r="B221" s="27">
        <v>3769130</v>
      </c>
      <c r="C221" s="66" t="s">
        <v>1072</v>
      </c>
      <c r="D221" s="53"/>
      <c r="E221" s="27" t="s">
        <v>37</v>
      </c>
      <c r="F221" s="27" t="s">
        <v>620</v>
      </c>
      <c r="G221" s="27" t="s">
        <v>64</v>
      </c>
      <c r="H221" s="91">
        <v>85663.46</v>
      </c>
      <c r="I221" s="50">
        <v>45852</v>
      </c>
      <c r="J221" s="27"/>
      <c r="K221" s="57">
        <v>156513</v>
      </c>
      <c r="L221" s="39" t="s">
        <v>990</v>
      </c>
      <c r="M221" s="52">
        <v>153</v>
      </c>
      <c r="N221" s="92" t="s">
        <v>1077</v>
      </c>
      <c r="O221" s="27" t="s">
        <v>993</v>
      </c>
    </row>
    <row r="222" spans="1:15">
      <c r="A222" s="27">
        <v>3623537</v>
      </c>
      <c r="B222" s="27">
        <v>3769130</v>
      </c>
      <c r="C222" s="66" t="s">
        <v>1072</v>
      </c>
      <c r="D222" s="53"/>
      <c r="E222" s="27" t="s">
        <v>37</v>
      </c>
      <c r="F222" s="27" t="s">
        <v>620</v>
      </c>
      <c r="G222" s="27" t="s">
        <v>64</v>
      </c>
      <c r="H222" s="87">
        <v>325.68</v>
      </c>
      <c r="I222" s="50">
        <v>45853</v>
      </c>
      <c r="J222" s="50">
        <v>45856</v>
      </c>
      <c r="K222" s="57">
        <v>156527</v>
      </c>
      <c r="L222" s="39" t="s">
        <v>1078</v>
      </c>
      <c r="M222" s="52">
        <v>153</v>
      </c>
      <c r="N222" s="55" t="s">
        <v>991</v>
      </c>
      <c r="O222" s="55" t="s">
        <v>993</v>
      </c>
    </row>
    <row r="223" spans="1:15">
      <c r="A223" s="27">
        <v>3623537</v>
      </c>
      <c r="B223" s="27">
        <v>3769130</v>
      </c>
      <c r="C223" s="66" t="s">
        <v>1072</v>
      </c>
      <c r="D223" s="53"/>
      <c r="E223" s="27" t="s">
        <v>37</v>
      </c>
      <c r="F223" s="27" t="s">
        <v>620</v>
      </c>
      <c r="G223" s="27" t="s">
        <v>64</v>
      </c>
      <c r="H223" s="87">
        <v>64739.1</v>
      </c>
      <c r="I223" s="50">
        <v>45855</v>
      </c>
      <c r="J223" s="50">
        <v>45856</v>
      </c>
      <c r="K223" s="57">
        <v>157037</v>
      </c>
      <c r="L223" s="39" t="s">
        <v>990</v>
      </c>
      <c r="M223" s="52">
        <v>153</v>
      </c>
      <c r="N223" s="55" t="s">
        <v>991</v>
      </c>
      <c r="O223" s="55" t="s">
        <v>993</v>
      </c>
    </row>
    <row r="224" spans="1:15">
      <c r="A224" s="27">
        <v>3623537</v>
      </c>
      <c r="B224" s="27">
        <v>3769130</v>
      </c>
      <c r="C224" s="66" t="s">
        <v>1072</v>
      </c>
      <c r="D224" s="53"/>
      <c r="E224" s="27" t="s">
        <v>37</v>
      </c>
      <c r="F224" s="27" t="s">
        <v>620</v>
      </c>
      <c r="G224" s="27" t="s">
        <v>64</v>
      </c>
      <c r="H224" s="87">
        <v>85203.19</v>
      </c>
      <c r="I224" s="50">
        <v>45856</v>
      </c>
      <c r="J224" s="50">
        <v>45856</v>
      </c>
      <c r="K224" s="57">
        <v>157158</v>
      </c>
      <c r="L224" s="39" t="s">
        <v>990</v>
      </c>
      <c r="M224" s="52">
        <v>153</v>
      </c>
      <c r="N224" s="55" t="s">
        <v>991</v>
      </c>
      <c r="O224" s="55" t="s">
        <v>993</v>
      </c>
    </row>
    <row r="225" spans="1:15">
      <c r="A225" s="27">
        <v>3623537</v>
      </c>
      <c r="B225" s="27">
        <v>3769130</v>
      </c>
      <c r="C225" s="66" t="s">
        <v>1072</v>
      </c>
      <c r="D225" s="53"/>
      <c r="E225" s="27" t="s">
        <v>37</v>
      </c>
      <c r="F225" s="27" t="s">
        <v>620</v>
      </c>
      <c r="G225" s="27" t="s">
        <v>64</v>
      </c>
      <c r="H225" s="87">
        <v>64739.1</v>
      </c>
      <c r="I225" s="50">
        <v>45881</v>
      </c>
      <c r="J225" s="50">
        <v>45882</v>
      </c>
      <c r="K225" s="57">
        <v>158983</v>
      </c>
      <c r="L225" s="39" t="s">
        <v>990</v>
      </c>
      <c r="M225" s="52">
        <v>153</v>
      </c>
      <c r="N225" s="55" t="s">
        <v>991</v>
      </c>
      <c r="O225" s="55" t="s">
        <v>993</v>
      </c>
    </row>
    <row r="226" spans="1:15">
      <c r="A226" s="27">
        <v>3623537</v>
      </c>
      <c r="B226" s="27">
        <v>3769130</v>
      </c>
      <c r="C226" s="66" t="s">
        <v>1072</v>
      </c>
      <c r="D226" s="53"/>
      <c r="E226" s="27" t="s">
        <v>37</v>
      </c>
      <c r="F226" s="27" t="s">
        <v>620</v>
      </c>
      <c r="G226" s="27" t="s">
        <v>64</v>
      </c>
      <c r="H226" s="87">
        <v>85203.19</v>
      </c>
      <c r="I226" s="50">
        <v>45881</v>
      </c>
      <c r="J226" s="50">
        <v>45882</v>
      </c>
      <c r="K226" s="57">
        <v>158987</v>
      </c>
      <c r="L226" s="39" t="s">
        <v>990</v>
      </c>
      <c r="M226" s="52">
        <v>153</v>
      </c>
      <c r="N226" s="55" t="s">
        <v>991</v>
      </c>
      <c r="O226" s="55" t="s">
        <v>993</v>
      </c>
    </row>
    <row r="227" spans="1:15">
      <c r="A227" s="27">
        <v>3623537</v>
      </c>
      <c r="B227" s="27">
        <v>3769130</v>
      </c>
      <c r="C227" s="66" t="s">
        <v>1072</v>
      </c>
      <c r="D227" s="53"/>
      <c r="E227" s="27" t="s">
        <v>37</v>
      </c>
      <c r="F227" s="27" t="s">
        <v>620</v>
      </c>
      <c r="G227" s="27" t="s">
        <v>64</v>
      </c>
      <c r="H227" s="87">
        <v>64115.55</v>
      </c>
      <c r="I227" s="50">
        <v>45915</v>
      </c>
      <c r="J227" s="50">
        <v>45917</v>
      </c>
      <c r="K227" s="57">
        <v>161682</v>
      </c>
      <c r="L227" s="39" t="s">
        <v>990</v>
      </c>
      <c r="M227" s="52">
        <v>153</v>
      </c>
      <c r="N227" s="55" t="s">
        <v>991</v>
      </c>
      <c r="O227" s="55" t="s">
        <v>993</v>
      </c>
    </row>
    <row r="228" spans="1:15">
      <c r="A228" s="27">
        <v>3623537</v>
      </c>
      <c r="B228" s="27">
        <v>3769130</v>
      </c>
      <c r="C228" s="66" t="s">
        <v>1072</v>
      </c>
      <c r="D228" s="53"/>
      <c r="E228" s="27" t="s">
        <v>37</v>
      </c>
      <c r="F228" s="27" t="s">
        <v>620</v>
      </c>
      <c r="G228" s="27" t="s">
        <v>64</v>
      </c>
      <c r="H228" s="87">
        <v>90143.42</v>
      </c>
      <c r="I228" s="50">
        <v>45917</v>
      </c>
      <c r="J228" s="50">
        <v>45917</v>
      </c>
      <c r="K228" s="57">
        <v>162081</v>
      </c>
      <c r="L228" s="39" t="s">
        <v>990</v>
      </c>
      <c r="M228" s="52">
        <v>153</v>
      </c>
      <c r="N228" s="55" t="s">
        <v>991</v>
      </c>
      <c r="O228" s="55" t="s">
        <v>993</v>
      </c>
    </row>
    <row r="229" spans="1:15">
      <c r="A229" s="27">
        <v>3623537</v>
      </c>
      <c r="B229" s="27">
        <v>3769130</v>
      </c>
      <c r="C229" s="66" t="s">
        <v>1072</v>
      </c>
      <c r="D229" s="53"/>
      <c r="E229" s="27" t="s">
        <v>37</v>
      </c>
      <c r="F229" s="27" t="s">
        <v>620</v>
      </c>
      <c r="G229" s="27" t="s">
        <v>64</v>
      </c>
      <c r="H229" s="87">
        <v>90599.22</v>
      </c>
      <c r="I229" s="50">
        <v>45941</v>
      </c>
      <c r="J229" s="50">
        <v>45947</v>
      </c>
      <c r="K229" s="57">
        <v>164180</v>
      </c>
      <c r="L229" s="39" t="s">
        <v>990</v>
      </c>
      <c r="M229" s="52">
        <v>153</v>
      </c>
      <c r="N229" s="55" t="s">
        <v>994</v>
      </c>
      <c r="O229" s="55" t="s">
        <v>993</v>
      </c>
    </row>
    <row r="230" spans="1:15">
      <c r="A230" s="30">
        <v>3623537</v>
      </c>
      <c r="B230" s="30">
        <v>3769130</v>
      </c>
      <c r="C230" s="95" t="s">
        <v>1072</v>
      </c>
      <c r="D230" s="85"/>
      <c r="E230" s="30" t="s">
        <v>37</v>
      </c>
      <c r="F230" s="30" t="s">
        <v>620</v>
      </c>
      <c r="G230" s="30" t="s">
        <v>64</v>
      </c>
      <c r="H230" s="96">
        <v>64739.1</v>
      </c>
      <c r="I230" s="93">
        <v>45941</v>
      </c>
      <c r="J230" s="93">
        <v>45947</v>
      </c>
      <c r="K230" s="97">
        <v>164183</v>
      </c>
      <c r="L230" s="88" t="s">
        <v>990</v>
      </c>
      <c r="M230" s="94">
        <v>153</v>
      </c>
      <c r="N230" s="98" t="s">
        <v>991</v>
      </c>
      <c r="O230" s="98" t="s">
        <v>993</v>
      </c>
    </row>
    <row r="231" spans="1:15" ht="28.9">
      <c r="A231" s="27">
        <v>3631801</v>
      </c>
      <c r="B231" s="27">
        <v>3776543</v>
      </c>
      <c r="C231" s="25" t="s">
        <v>1000</v>
      </c>
      <c r="D231" s="27" t="s">
        <v>996</v>
      </c>
      <c r="E231" s="27" t="s">
        <v>37</v>
      </c>
      <c r="F231" s="27" t="s">
        <v>997</v>
      </c>
      <c r="G231" s="27" t="s">
        <v>64</v>
      </c>
      <c r="H231" s="67">
        <v>521.95000000000005</v>
      </c>
      <c r="I231" s="50">
        <v>45962</v>
      </c>
      <c r="J231" s="50">
        <v>45964</v>
      </c>
      <c r="K231" s="57">
        <v>6500</v>
      </c>
      <c r="L231" s="39">
        <v>2488</v>
      </c>
      <c r="M231" s="27">
        <v>242</v>
      </c>
      <c r="N231" s="68" t="s">
        <v>991</v>
      </c>
      <c r="O231" s="27" t="s">
        <v>1079</v>
      </c>
    </row>
    <row r="232" spans="1:15">
      <c r="A232" s="27">
        <v>4039904</v>
      </c>
      <c r="B232" s="27">
        <v>4165989</v>
      </c>
      <c r="C232" s="66" t="s">
        <v>1080</v>
      </c>
      <c r="D232" s="53">
        <v>120411</v>
      </c>
      <c r="E232" s="27" t="s">
        <v>37</v>
      </c>
      <c r="F232" s="27" t="s">
        <v>54</v>
      </c>
      <c r="G232" s="27" t="s">
        <v>64</v>
      </c>
      <c r="H232" s="91">
        <v>840</v>
      </c>
      <c r="I232" s="50">
        <v>45964</v>
      </c>
      <c r="J232" s="50">
        <v>45965</v>
      </c>
      <c r="K232" s="57">
        <v>2051</v>
      </c>
      <c r="L232" s="39">
        <v>1228</v>
      </c>
      <c r="M232" s="27">
        <v>242</v>
      </c>
      <c r="N232" s="99" t="s">
        <v>991</v>
      </c>
      <c r="O232" s="27" t="s">
        <v>993</v>
      </c>
    </row>
    <row r="233" spans="1:15" ht="28.9">
      <c r="A233" s="27">
        <v>4039778</v>
      </c>
      <c r="B233" s="27">
        <v>4165984</v>
      </c>
      <c r="C233" s="66" t="s">
        <v>1081</v>
      </c>
      <c r="D233" s="53">
        <v>120411</v>
      </c>
      <c r="E233" s="27" t="s">
        <v>37</v>
      </c>
      <c r="F233" s="27" t="s">
        <v>54</v>
      </c>
      <c r="G233" s="27" t="s">
        <v>64</v>
      </c>
      <c r="H233" s="91">
        <v>3600</v>
      </c>
      <c r="I233" s="50">
        <v>45964</v>
      </c>
      <c r="J233" s="50">
        <v>45965</v>
      </c>
      <c r="K233" s="57">
        <v>2050</v>
      </c>
      <c r="L233" s="39" t="s">
        <v>1082</v>
      </c>
      <c r="M233" s="27">
        <v>242</v>
      </c>
      <c r="N233" s="99" t="s">
        <v>991</v>
      </c>
      <c r="O233" s="27" t="s">
        <v>993</v>
      </c>
    </row>
    <row r="234" spans="1:15" ht="158.44999999999999">
      <c r="A234" s="14">
        <v>4002793</v>
      </c>
      <c r="B234" s="14">
        <v>4129082</v>
      </c>
      <c r="C234" s="25" t="s">
        <v>1043</v>
      </c>
      <c r="D234" s="27">
        <v>15839</v>
      </c>
      <c r="E234" s="27" t="s">
        <v>37</v>
      </c>
      <c r="F234" s="27" t="s">
        <v>1027</v>
      </c>
      <c r="G234" s="27" t="s">
        <v>87</v>
      </c>
      <c r="H234" s="67">
        <v>2750</v>
      </c>
      <c r="I234" s="50">
        <v>45965</v>
      </c>
      <c r="J234" s="50">
        <v>45967</v>
      </c>
      <c r="K234" s="57">
        <v>1781</v>
      </c>
      <c r="L234" s="39" t="s">
        <v>1044</v>
      </c>
      <c r="M234" s="27">
        <v>242</v>
      </c>
      <c r="N234" s="73" t="s">
        <v>991</v>
      </c>
      <c r="O234" s="27" t="s">
        <v>1079</v>
      </c>
    </row>
    <row r="235" spans="1:15">
      <c r="A235" s="27">
        <v>4083066</v>
      </c>
      <c r="B235" s="27">
        <v>4206828</v>
      </c>
      <c r="C235" s="25" t="s">
        <v>1083</v>
      </c>
      <c r="D235" s="27" t="s">
        <v>1062</v>
      </c>
      <c r="E235" s="27" t="s">
        <v>37</v>
      </c>
      <c r="F235" s="27" t="s">
        <v>254</v>
      </c>
      <c r="G235" s="27" t="s">
        <v>64</v>
      </c>
      <c r="H235" s="67">
        <v>27196.67</v>
      </c>
      <c r="I235" s="50">
        <v>45965</v>
      </c>
      <c r="J235" s="50">
        <v>45967</v>
      </c>
      <c r="K235" s="57">
        <v>24439</v>
      </c>
      <c r="L235" s="39">
        <v>1210</v>
      </c>
      <c r="M235" s="52">
        <v>242</v>
      </c>
      <c r="N235" s="73" t="s">
        <v>991</v>
      </c>
      <c r="O235" s="27" t="s">
        <v>999</v>
      </c>
    </row>
    <row r="236" spans="1:15">
      <c r="A236" s="27">
        <v>3623537</v>
      </c>
      <c r="B236" s="27">
        <v>3769130</v>
      </c>
      <c r="C236" s="66" t="s">
        <v>1072</v>
      </c>
      <c r="D236" s="53"/>
      <c r="E236" s="27" t="s">
        <v>37</v>
      </c>
      <c r="F236" s="27" t="s">
        <v>620</v>
      </c>
      <c r="G236" s="27" t="s">
        <v>64</v>
      </c>
      <c r="H236" s="91">
        <v>90599.22</v>
      </c>
      <c r="I236" s="50">
        <v>45969</v>
      </c>
      <c r="J236" s="50">
        <v>45971</v>
      </c>
      <c r="K236" s="57">
        <v>166376</v>
      </c>
      <c r="L236" s="39" t="s">
        <v>990</v>
      </c>
      <c r="M236" s="52">
        <v>153</v>
      </c>
      <c r="N236" s="99" t="s">
        <v>991</v>
      </c>
      <c r="O236" s="27" t="s">
        <v>993</v>
      </c>
    </row>
    <row r="237" spans="1:15">
      <c r="A237" s="27">
        <v>3623537</v>
      </c>
      <c r="B237" s="27">
        <v>3769130</v>
      </c>
      <c r="C237" s="66" t="s">
        <v>1072</v>
      </c>
      <c r="D237" s="53"/>
      <c r="E237" s="27" t="s">
        <v>37</v>
      </c>
      <c r="F237" s="27" t="s">
        <v>620</v>
      </c>
      <c r="G237" s="27" t="s">
        <v>64</v>
      </c>
      <c r="H237" s="91">
        <v>64739.1</v>
      </c>
      <c r="I237" s="50">
        <v>45969</v>
      </c>
      <c r="J237" s="50">
        <v>45971</v>
      </c>
      <c r="K237" s="57">
        <v>166374</v>
      </c>
      <c r="L237" s="39" t="s">
        <v>990</v>
      </c>
      <c r="M237" s="52">
        <v>153</v>
      </c>
      <c r="N237" s="99" t="s">
        <v>991</v>
      </c>
      <c r="O237" s="27" t="s">
        <v>993</v>
      </c>
    </row>
    <row r="238" spans="1:15" ht="43.15">
      <c r="A238" s="27">
        <v>3619858</v>
      </c>
      <c r="B238" s="27">
        <v>3766711</v>
      </c>
      <c r="C238" s="66" t="s">
        <v>987</v>
      </c>
      <c r="D238" s="53" t="s">
        <v>988</v>
      </c>
      <c r="E238" s="27" t="s">
        <v>37</v>
      </c>
      <c r="F238" s="27" t="s">
        <v>989</v>
      </c>
      <c r="G238" s="27" t="s">
        <v>64</v>
      </c>
      <c r="H238" s="91">
        <v>4208.75</v>
      </c>
      <c r="I238" s="50">
        <v>45971</v>
      </c>
      <c r="J238" s="50">
        <v>45972</v>
      </c>
      <c r="K238" s="57">
        <v>600333</v>
      </c>
      <c r="L238" s="39" t="s">
        <v>990</v>
      </c>
      <c r="M238" s="27">
        <v>153</v>
      </c>
      <c r="N238" s="99" t="s">
        <v>991</v>
      </c>
      <c r="O238" s="27" t="s">
        <v>993</v>
      </c>
    </row>
    <row r="239" spans="1:15" ht="86.45">
      <c r="A239" s="27">
        <v>3977321</v>
      </c>
      <c r="B239" s="27">
        <v>4106352</v>
      </c>
      <c r="C239" s="25" t="s">
        <v>1023</v>
      </c>
      <c r="D239" s="27" t="s">
        <v>1024</v>
      </c>
      <c r="E239" s="27" t="s">
        <v>37</v>
      </c>
      <c r="F239" s="27" t="s">
        <v>1025</v>
      </c>
      <c r="G239" s="27" t="s">
        <v>64</v>
      </c>
      <c r="H239" s="67">
        <v>7500</v>
      </c>
      <c r="I239" s="50">
        <v>45972</v>
      </c>
      <c r="J239" s="100">
        <v>45974</v>
      </c>
      <c r="K239" s="57">
        <v>11988</v>
      </c>
      <c r="L239" s="39">
        <v>1210</v>
      </c>
      <c r="M239" s="52">
        <v>242</v>
      </c>
      <c r="N239" s="99" t="s">
        <v>991</v>
      </c>
      <c r="O239" s="27" t="s">
        <v>900</v>
      </c>
    </row>
    <row r="240" spans="1:15" ht="72">
      <c r="A240" s="27">
        <v>3796471</v>
      </c>
      <c r="B240" s="27">
        <v>3934127</v>
      </c>
      <c r="C240" s="25" t="s">
        <v>1008</v>
      </c>
      <c r="D240" s="27" t="s">
        <v>1009</v>
      </c>
      <c r="E240" s="27" t="s">
        <v>37</v>
      </c>
      <c r="F240" s="27" t="s">
        <v>1010</v>
      </c>
      <c r="G240" s="27" t="s">
        <v>64</v>
      </c>
      <c r="H240" s="67">
        <v>6250.23</v>
      </c>
      <c r="I240" s="50">
        <v>45985</v>
      </c>
      <c r="J240" s="50">
        <v>45986</v>
      </c>
      <c r="K240" s="58" t="s">
        <v>1084</v>
      </c>
      <c r="L240" s="39" t="s">
        <v>1085</v>
      </c>
      <c r="M240" s="52" t="s">
        <v>1014</v>
      </c>
      <c r="N240" s="99" t="s">
        <v>991</v>
      </c>
      <c r="O240" s="27" t="s">
        <v>1086</v>
      </c>
    </row>
    <row r="241" spans="1:15" ht="28.9">
      <c r="A241" s="27">
        <v>3796459</v>
      </c>
      <c r="B241" s="27">
        <v>3934135</v>
      </c>
      <c r="C241" s="25" t="s">
        <v>1001</v>
      </c>
      <c r="D241" s="27" t="s">
        <v>1002</v>
      </c>
      <c r="E241" s="27" t="s">
        <v>37</v>
      </c>
      <c r="F241" s="27" t="s">
        <v>1003</v>
      </c>
      <c r="G241" s="27" t="s">
        <v>64</v>
      </c>
      <c r="H241" s="67">
        <v>415</v>
      </c>
      <c r="I241" s="50">
        <v>45985</v>
      </c>
      <c r="J241" s="50">
        <v>45986</v>
      </c>
      <c r="K241" s="58" t="s">
        <v>1087</v>
      </c>
      <c r="L241" s="39">
        <v>2054</v>
      </c>
      <c r="M241" s="27">
        <v>71</v>
      </c>
      <c r="N241" s="99" t="s">
        <v>991</v>
      </c>
      <c r="O241" s="27" t="s">
        <v>1086</v>
      </c>
    </row>
    <row r="242" spans="1:15" ht="28.9">
      <c r="A242" s="27">
        <v>4004885</v>
      </c>
      <c r="B242" s="27">
        <v>4131474</v>
      </c>
      <c r="C242" s="25" t="s">
        <v>1088</v>
      </c>
      <c r="D242" s="27" t="s">
        <v>1046</v>
      </c>
      <c r="E242" s="27" t="s">
        <v>37</v>
      </c>
      <c r="F242" s="27" t="s">
        <v>244</v>
      </c>
      <c r="G242" s="27" t="s">
        <v>64</v>
      </c>
      <c r="H242" s="67">
        <v>29471.02</v>
      </c>
      <c r="I242" s="50">
        <v>45974</v>
      </c>
      <c r="J242" s="50">
        <v>45979</v>
      </c>
      <c r="K242" s="57">
        <v>5388</v>
      </c>
      <c r="L242" s="39" t="s">
        <v>1058</v>
      </c>
      <c r="M242" s="52">
        <v>242</v>
      </c>
      <c r="N242" s="73" t="s">
        <v>991</v>
      </c>
      <c r="O242" s="27" t="s">
        <v>992</v>
      </c>
    </row>
    <row r="243" spans="1:15">
      <c r="A243" s="27" t="s">
        <v>35</v>
      </c>
      <c r="B243" s="27" t="s">
        <v>35</v>
      </c>
      <c r="C243" s="25" t="s">
        <v>1020</v>
      </c>
      <c r="D243" s="53"/>
      <c r="E243" s="27" t="s">
        <v>37</v>
      </c>
      <c r="F243" s="27" t="s">
        <v>1021</v>
      </c>
      <c r="G243" s="27" t="s">
        <v>64</v>
      </c>
      <c r="H243" s="67">
        <v>1321.15</v>
      </c>
      <c r="I243" s="50">
        <v>45978</v>
      </c>
      <c r="J243" s="50">
        <v>45979</v>
      </c>
      <c r="K243" s="57">
        <v>14685</v>
      </c>
      <c r="L243" s="39">
        <v>1295</v>
      </c>
      <c r="M243" s="52">
        <v>30</v>
      </c>
      <c r="N243" s="73" t="s">
        <v>991</v>
      </c>
      <c r="O243" s="64" t="s">
        <v>992</v>
      </c>
    </row>
    <row r="244" spans="1:15" ht="28.9">
      <c r="A244" s="27">
        <v>4039778</v>
      </c>
      <c r="B244" s="29">
        <v>4165984</v>
      </c>
      <c r="C244" s="95" t="s">
        <v>1089</v>
      </c>
      <c r="D244" s="85">
        <v>120411</v>
      </c>
      <c r="E244" s="27" t="s">
        <v>72</v>
      </c>
      <c r="F244" s="27" t="s">
        <v>54</v>
      </c>
      <c r="G244" s="27" t="s">
        <v>64</v>
      </c>
      <c r="H244" s="91">
        <v>1600</v>
      </c>
      <c r="I244" s="50">
        <v>45980</v>
      </c>
      <c r="J244" s="50">
        <v>45981</v>
      </c>
      <c r="K244" s="57">
        <v>2063</v>
      </c>
      <c r="L244" s="39">
        <v>1244</v>
      </c>
      <c r="M244" s="27">
        <v>242</v>
      </c>
      <c r="N244" s="99" t="s">
        <v>991</v>
      </c>
      <c r="O244" s="27" t="s">
        <v>993</v>
      </c>
    </row>
    <row r="245" spans="1:15" ht="57.6">
      <c r="A245" s="183">
        <v>4039778</v>
      </c>
      <c r="B245" s="14">
        <v>4165984</v>
      </c>
      <c r="C245" s="53" t="s">
        <v>1090</v>
      </c>
      <c r="D245" s="53">
        <v>120411</v>
      </c>
      <c r="E245" s="65" t="s">
        <v>72</v>
      </c>
      <c r="F245" s="27" t="s">
        <v>54</v>
      </c>
      <c r="G245" s="27" t="s">
        <v>64</v>
      </c>
      <c r="H245" s="91">
        <v>2400</v>
      </c>
      <c r="I245" s="50">
        <v>45980</v>
      </c>
      <c r="J245" s="50">
        <v>45981</v>
      </c>
      <c r="K245" s="57">
        <v>2064</v>
      </c>
      <c r="L245" s="39" t="s">
        <v>1091</v>
      </c>
      <c r="M245" s="27">
        <v>242</v>
      </c>
      <c r="N245" s="99" t="s">
        <v>991</v>
      </c>
      <c r="O245" s="27" t="s">
        <v>999</v>
      </c>
    </row>
    <row r="246" spans="1:15">
      <c r="A246" s="27">
        <v>4168151</v>
      </c>
      <c r="B246" s="184">
        <v>4324442</v>
      </c>
      <c r="C246" s="185" t="s">
        <v>1092</v>
      </c>
      <c r="D246" s="186">
        <v>16445</v>
      </c>
      <c r="E246" s="27" t="s">
        <v>37</v>
      </c>
      <c r="F246" s="27" t="s">
        <v>1093</v>
      </c>
      <c r="G246" s="27" t="s">
        <v>314</v>
      </c>
      <c r="H246" s="91">
        <v>5754.17</v>
      </c>
      <c r="I246" s="50">
        <v>45985</v>
      </c>
      <c r="J246" s="100">
        <v>45986</v>
      </c>
      <c r="K246" s="57">
        <v>6388</v>
      </c>
      <c r="L246" s="39">
        <v>2488</v>
      </c>
      <c r="M246" s="27">
        <v>9</v>
      </c>
      <c r="N246" s="99" t="s">
        <v>991</v>
      </c>
      <c r="O246" s="27" t="s">
        <v>999</v>
      </c>
    </row>
    <row r="247" spans="1:15">
      <c r="A247" s="27">
        <v>4168151</v>
      </c>
      <c r="B247" s="33">
        <v>4324442</v>
      </c>
      <c r="C247" s="66" t="s">
        <v>1094</v>
      </c>
      <c r="D247" s="14">
        <v>16445</v>
      </c>
      <c r="E247" s="27" t="s">
        <v>37</v>
      </c>
      <c r="F247" s="27" t="s">
        <v>1093</v>
      </c>
      <c r="G247" s="27" t="s">
        <v>314</v>
      </c>
      <c r="H247" s="91">
        <v>5018.75</v>
      </c>
      <c r="I247" s="50">
        <v>45985</v>
      </c>
      <c r="J247" s="100">
        <v>45986</v>
      </c>
      <c r="K247" s="57">
        <v>6389</v>
      </c>
      <c r="L247" s="39">
        <v>2224</v>
      </c>
      <c r="M247" s="27">
        <v>9</v>
      </c>
      <c r="N247" s="99" t="s">
        <v>991</v>
      </c>
      <c r="O247" s="27" t="s">
        <v>999</v>
      </c>
    </row>
    <row r="248" spans="1:15" ht="28.9">
      <c r="A248" s="30">
        <v>3627916</v>
      </c>
      <c r="B248" s="30">
        <v>3773474</v>
      </c>
      <c r="C248" s="25" t="s">
        <v>995</v>
      </c>
      <c r="D248" s="27" t="s">
        <v>996</v>
      </c>
      <c r="E248" s="27" t="s">
        <v>37</v>
      </c>
      <c r="F248" s="27" t="s">
        <v>997</v>
      </c>
      <c r="G248" s="27" t="s">
        <v>64</v>
      </c>
      <c r="H248" s="67">
        <v>1595.88</v>
      </c>
      <c r="I248" s="50">
        <v>45988</v>
      </c>
      <c r="J248" s="50">
        <v>45989</v>
      </c>
      <c r="K248" s="57">
        <v>87741833</v>
      </c>
      <c r="L248" s="39">
        <v>2488</v>
      </c>
      <c r="M248" s="52">
        <v>153</v>
      </c>
      <c r="N248" s="68" t="s">
        <v>991</v>
      </c>
      <c r="O248" s="27" t="s">
        <v>992</v>
      </c>
    </row>
    <row r="249" spans="1:15" ht="86.45">
      <c r="A249" s="27">
        <v>4285976</v>
      </c>
      <c r="B249" s="27">
        <v>4412650</v>
      </c>
      <c r="C249" s="66" t="s">
        <v>1023</v>
      </c>
      <c r="D249" s="53" t="s">
        <v>1095</v>
      </c>
      <c r="E249" s="27" t="s">
        <v>37</v>
      </c>
      <c r="F249" s="27" t="s">
        <v>1096</v>
      </c>
      <c r="G249" s="27" t="s">
        <v>87</v>
      </c>
      <c r="H249" s="67">
        <v>8730</v>
      </c>
      <c r="I249" s="50">
        <v>45993</v>
      </c>
      <c r="J249" s="50">
        <v>45994</v>
      </c>
      <c r="K249" s="57" t="s">
        <v>1097</v>
      </c>
      <c r="L249" s="39">
        <v>1210</v>
      </c>
      <c r="M249" s="52">
        <v>242</v>
      </c>
      <c r="N249" s="68" t="s">
        <v>991</v>
      </c>
      <c r="O249" s="27" t="s">
        <v>992</v>
      </c>
    </row>
    <row r="250" spans="1:15" ht="28.9">
      <c r="A250" s="27">
        <v>4004885</v>
      </c>
      <c r="B250" s="27">
        <v>4131474</v>
      </c>
      <c r="C250" s="25" t="s">
        <v>1098</v>
      </c>
      <c r="D250" s="27" t="s">
        <v>1046</v>
      </c>
      <c r="E250" s="27" t="s">
        <v>37</v>
      </c>
      <c r="F250" s="27" t="s">
        <v>244</v>
      </c>
      <c r="G250" s="27" t="s">
        <v>64</v>
      </c>
      <c r="H250" s="67">
        <v>29471.02</v>
      </c>
      <c r="I250" s="50">
        <v>45994</v>
      </c>
      <c r="J250" s="50">
        <v>45995</v>
      </c>
      <c r="K250" s="57">
        <v>5494</v>
      </c>
      <c r="L250" s="39" t="s">
        <v>1058</v>
      </c>
      <c r="M250" s="52">
        <v>242</v>
      </c>
      <c r="N250" s="73" t="s">
        <v>991</v>
      </c>
      <c r="O250" s="27" t="s">
        <v>992</v>
      </c>
    </row>
    <row r="251" spans="1:15" ht="167.25">
      <c r="A251" s="14">
        <v>4002793</v>
      </c>
      <c r="B251" s="14">
        <v>4129082</v>
      </c>
      <c r="C251" s="25" t="s">
        <v>1043</v>
      </c>
      <c r="D251" s="27">
        <v>15839</v>
      </c>
      <c r="E251" s="27" t="s">
        <v>37</v>
      </c>
      <c r="F251" s="27" t="s">
        <v>1027</v>
      </c>
      <c r="G251" s="27" t="s">
        <v>87</v>
      </c>
      <c r="H251" s="67">
        <v>2750</v>
      </c>
      <c r="I251" s="50">
        <v>45994</v>
      </c>
      <c r="J251" s="50">
        <v>45996</v>
      </c>
      <c r="K251" s="57">
        <v>1829</v>
      </c>
      <c r="L251" s="39" t="s">
        <v>1099</v>
      </c>
      <c r="M251" s="52">
        <v>242</v>
      </c>
      <c r="N251" s="73" t="s">
        <v>991</v>
      </c>
      <c r="O251" s="27" t="s">
        <v>992</v>
      </c>
    </row>
    <row r="252" spans="1:15" ht="15">
      <c r="A252" s="27">
        <v>3623537</v>
      </c>
      <c r="B252" s="27">
        <v>3769130</v>
      </c>
      <c r="C252" s="66" t="s">
        <v>1072</v>
      </c>
      <c r="D252" s="53"/>
      <c r="E252" s="27" t="s">
        <v>37</v>
      </c>
      <c r="F252" s="27" t="s">
        <v>620</v>
      </c>
      <c r="G252" s="27" t="s">
        <v>64</v>
      </c>
      <c r="H252" s="91">
        <v>64739.1</v>
      </c>
      <c r="I252" s="50">
        <v>46000</v>
      </c>
      <c r="J252" s="50">
        <v>46001</v>
      </c>
      <c r="K252" s="57">
        <v>169466</v>
      </c>
      <c r="L252" s="39" t="s">
        <v>990</v>
      </c>
      <c r="M252" s="52">
        <v>153</v>
      </c>
      <c r="N252" s="99" t="s">
        <v>991</v>
      </c>
      <c r="O252" s="27" t="s">
        <v>999</v>
      </c>
    </row>
    <row r="253" spans="1:15" ht="15">
      <c r="A253" s="27">
        <v>3623537</v>
      </c>
      <c r="B253" s="30">
        <v>3769130</v>
      </c>
      <c r="C253" s="95" t="s">
        <v>1072</v>
      </c>
      <c r="D253" s="85"/>
      <c r="E253" s="27" t="s">
        <v>37</v>
      </c>
      <c r="F253" s="27" t="s">
        <v>620</v>
      </c>
      <c r="G253" s="27" t="s">
        <v>64</v>
      </c>
      <c r="H253" s="91">
        <v>90599.22</v>
      </c>
      <c r="I253" s="50">
        <v>46000</v>
      </c>
      <c r="J253" s="50">
        <v>46001</v>
      </c>
      <c r="K253" s="57">
        <v>169467</v>
      </c>
      <c r="L253" s="39" t="s">
        <v>990</v>
      </c>
      <c r="M253" s="52">
        <v>153</v>
      </c>
      <c r="N253" s="99" t="s">
        <v>991</v>
      </c>
      <c r="O253" s="27" t="s">
        <v>999</v>
      </c>
    </row>
    <row r="254" spans="1:15" ht="15">
      <c r="A254" s="183">
        <v>4039904</v>
      </c>
      <c r="B254" s="27">
        <v>4165989</v>
      </c>
      <c r="C254" s="182" t="s">
        <v>1100</v>
      </c>
      <c r="D254" s="53">
        <v>120411</v>
      </c>
      <c r="E254" s="65" t="s">
        <v>37</v>
      </c>
      <c r="F254" s="27" t="s">
        <v>54</v>
      </c>
      <c r="G254" s="27" t="s">
        <v>64</v>
      </c>
      <c r="H254" s="91">
        <v>1260</v>
      </c>
      <c r="I254" s="50">
        <v>46000</v>
      </c>
      <c r="J254" s="50">
        <v>46000</v>
      </c>
      <c r="K254" s="57">
        <v>2072</v>
      </c>
      <c r="L254" s="39">
        <v>1210</v>
      </c>
      <c r="M254" s="27">
        <v>242</v>
      </c>
      <c r="N254" s="99" t="s">
        <v>991</v>
      </c>
      <c r="O254" s="27" t="s">
        <v>999</v>
      </c>
    </row>
    <row r="255" spans="1:15" ht="366">
      <c r="A255" s="183">
        <v>4039778</v>
      </c>
      <c r="B255" s="14">
        <v>4165984</v>
      </c>
      <c r="C255" s="66" t="s">
        <v>1101</v>
      </c>
      <c r="D255" s="53">
        <v>120411</v>
      </c>
      <c r="E255" s="65" t="s">
        <v>72</v>
      </c>
      <c r="F255" s="27" t="s">
        <v>54</v>
      </c>
      <c r="G255" s="27" t="s">
        <v>64</v>
      </c>
      <c r="H255" s="91">
        <v>6200</v>
      </c>
      <c r="I255" s="50">
        <v>46000</v>
      </c>
      <c r="J255" s="50">
        <v>46000</v>
      </c>
      <c r="K255" s="57">
        <v>2071</v>
      </c>
      <c r="L255" s="39" t="s">
        <v>1102</v>
      </c>
      <c r="M255" s="27">
        <v>242</v>
      </c>
      <c r="N255" s="99" t="s">
        <v>991</v>
      </c>
      <c r="O255" s="27" t="s">
        <v>999</v>
      </c>
    </row>
    <row r="256" spans="1:15" ht="15">
      <c r="A256" s="27">
        <v>4083066</v>
      </c>
      <c r="B256" s="27">
        <v>4206828</v>
      </c>
      <c r="C256" s="25" t="s">
        <v>1103</v>
      </c>
      <c r="D256" s="27" t="s">
        <v>1062</v>
      </c>
      <c r="E256" s="27" t="s">
        <v>37</v>
      </c>
      <c r="F256" s="27" t="s">
        <v>254</v>
      </c>
      <c r="G256" s="27" t="s">
        <v>64</v>
      </c>
      <c r="H256" s="67">
        <v>27196.67</v>
      </c>
      <c r="I256" s="50">
        <v>46000</v>
      </c>
      <c r="J256" s="50">
        <v>46000</v>
      </c>
      <c r="K256" s="57">
        <v>24758</v>
      </c>
      <c r="L256" s="39">
        <v>1210</v>
      </c>
      <c r="M256" s="52">
        <v>242</v>
      </c>
      <c r="N256" s="73" t="s">
        <v>991</v>
      </c>
      <c r="O256" s="27" t="s">
        <v>992</v>
      </c>
    </row>
    <row r="257" spans="1:15" ht="45.75">
      <c r="A257" s="27">
        <v>3619858</v>
      </c>
      <c r="B257" s="27">
        <v>3766711</v>
      </c>
      <c r="C257" s="66" t="s">
        <v>987</v>
      </c>
      <c r="D257" s="53" t="s">
        <v>988</v>
      </c>
      <c r="E257" s="27" t="s">
        <v>37</v>
      </c>
      <c r="F257" s="27" t="s">
        <v>989</v>
      </c>
      <c r="G257" s="27" t="s">
        <v>64</v>
      </c>
      <c r="H257" s="91">
        <v>3897.91</v>
      </c>
      <c r="I257" s="50">
        <v>46002</v>
      </c>
      <c r="J257" s="50">
        <v>46003</v>
      </c>
      <c r="K257" s="57">
        <v>609732</v>
      </c>
      <c r="L257" s="39" t="s">
        <v>990</v>
      </c>
      <c r="M257" s="27">
        <v>153</v>
      </c>
      <c r="N257" s="99" t="s">
        <v>991</v>
      </c>
      <c r="O257" s="27" t="s">
        <v>999</v>
      </c>
    </row>
    <row r="258" spans="1:15" ht="30.75">
      <c r="A258" s="27">
        <v>3631801</v>
      </c>
      <c r="B258" s="27">
        <v>3776543</v>
      </c>
      <c r="C258" s="25" t="s">
        <v>1000</v>
      </c>
      <c r="D258" s="27" t="s">
        <v>996</v>
      </c>
      <c r="E258" s="27" t="s">
        <v>37</v>
      </c>
      <c r="F258" s="27" t="s">
        <v>997</v>
      </c>
      <c r="G258" s="27" t="s">
        <v>64</v>
      </c>
      <c r="H258" s="67">
        <v>521.95000000000005</v>
      </c>
      <c r="I258" s="50">
        <v>45992</v>
      </c>
      <c r="J258" s="50">
        <v>46003</v>
      </c>
      <c r="K258" s="57">
        <v>6543</v>
      </c>
      <c r="L258" s="39">
        <v>2488</v>
      </c>
      <c r="M258" s="52">
        <v>242</v>
      </c>
      <c r="N258" s="73" t="s">
        <v>991</v>
      </c>
      <c r="O258" s="27" t="s">
        <v>992</v>
      </c>
    </row>
    <row r="259" spans="1:15" ht="15">
      <c r="A259" s="27"/>
      <c r="B259" s="27"/>
      <c r="C259" s="66"/>
      <c r="D259" s="53"/>
      <c r="E259" s="27"/>
      <c r="F259" s="27"/>
      <c r="G259" s="27"/>
      <c r="H259" s="91"/>
      <c r="I259" s="50"/>
      <c r="J259" s="27"/>
      <c r="K259" s="57"/>
      <c r="L259" s="39"/>
      <c r="M259" s="27"/>
      <c r="N259" s="99"/>
      <c r="O259" s="27"/>
    </row>
    <row r="260" spans="1:15">
      <c r="A260" s="27"/>
      <c r="B260" s="27"/>
      <c r="C260" s="66"/>
      <c r="D260" s="53"/>
      <c r="E260" s="27"/>
      <c r="F260" s="27"/>
      <c r="G260" s="27"/>
      <c r="H260" s="91"/>
      <c r="I260" s="50"/>
      <c r="J260" s="27"/>
      <c r="K260" s="57"/>
      <c r="L260" s="39"/>
      <c r="M260" s="27"/>
      <c r="N260" s="99"/>
      <c r="O260" s="27"/>
    </row>
    <row r="261" spans="1:15">
      <c r="A261" s="27"/>
      <c r="B261" s="27"/>
      <c r="C261" s="66"/>
      <c r="D261" s="53"/>
      <c r="E261" s="27"/>
      <c r="F261" s="27"/>
      <c r="G261" s="27"/>
      <c r="H261" s="91"/>
      <c r="I261" s="50"/>
      <c r="J261" s="27"/>
      <c r="K261" s="57"/>
      <c r="L261" s="39"/>
      <c r="M261" s="27"/>
      <c r="N261" s="99"/>
      <c r="O261" s="27"/>
    </row>
    <row r="262" spans="1:15" ht="15">
      <c r="A262" s="27"/>
      <c r="B262" s="27"/>
      <c r="C262" s="66"/>
      <c r="D262" s="53"/>
      <c r="E262" s="27"/>
      <c r="F262" s="27"/>
      <c r="G262" s="27"/>
      <c r="H262" s="91"/>
      <c r="I262" s="50"/>
      <c r="J262" s="27"/>
      <c r="K262" s="57"/>
      <c r="L262" s="39"/>
      <c r="M262" s="27"/>
      <c r="N262" s="99"/>
      <c r="O262" s="27"/>
    </row>
    <row r="263" spans="1:15">
      <c r="A263" s="27"/>
      <c r="B263" s="27"/>
      <c r="C263" s="66"/>
      <c r="D263" s="53"/>
      <c r="E263" s="27"/>
      <c r="F263" s="27"/>
      <c r="G263" s="27"/>
      <c r="H263" s="91"/>
      <c r="I263" s="50"/>
      <c r="J263" s="27"/>
      <c r="K263" s="57"/>
      <c r="L263" s="39"/>
      <c r="M263" s="27"/>
      <c r="N263" s="99"/>
      <c r="O263" s="27"/>
    </row>
    <row r="264" spans="1:15">
      <c r="A264" s="27"/>
      <c r="B264" s="27"/>
      <c r="C264" s="66"/>
      <c r="D264" s="53"/>
      <c r="E264" s="27"/>
      <c r="F264" s="27"/>
      <c r="G264" s="27"/>
      <c r="H264" s="91"/>
      <c r="I264" s="50"/>
      <c r="J264" s="27"/>
      <c r="K264" s="57"/>
      <c r="L264" s="39"/>
      <c r="M264" s="27"/>
      <c r="N264" s="99"/>
      <c r="O264" s="27"/>
    </row>
    <row r="265" spans="1:15">
      <c r="A265" s="27"/>
      <c r="B265" s="27"/>
      <c r="C265" s="66"/>
      <c r="D265" s="53"/>
      <c r="E265" s="27"/>
      <c r="F265" s="27"/>
      <c r="G265" s="27"/>
      <c r="H265" s="91"/>
      <c r="I265" s="50"/>
      <c r="J265" s="27"/>
      <c r="K265" s="57"/>
      <c r="L265" s="39"/>
      <c r="M265" s="27"/>
      <c r="N265" s="99"/>
      <c r="O265" s="27"/>
    </row>
    <row r="266" spans="1:15">
      <c r="A266" s="27"/>
      <c r="B266" s="27"/>
      <c r="C266" s="66"/>
      <c r="D266" s="53"/>
      <c r="E266" s="27"/>
      <c r="F266" s="27"/>
      <c r="G266" s="27"/>
      <c r="H266" s="91"/>
      <c r="I266" s="50"/>
      <c r="J266" s="27"/>
      <c r="K266" s="57"/>
      <c r="L266" s="39"/>
      <c r="M266" s="27"/>
      <c r="N266" s="99"/>
      <c r="O266" s="27"/>
    </row>
    <row r="267" spans="1:15">
      <c r="A267" s="27"/>
      <c r="B267" s="27"/>
      <c r="C267" s="66"/>
      <c r="D267" s="53"/>
      <c r="E267" s="27"/>
      <c r="F267" s="27"/>
      <c r="G267" s="27"/>
      <c r="H267" s="91"/>
      <c r="I267" s="50"/>
      <c r="J267" s="27"/>
      <c r="K267" s="57"/>
      <c r="L267" s="39"/>
      <c r="M267" s="27"/>
      <c r="N267" s="99"/>
      <c r="O267" s="27"/>
    </row>
    <row r="268" spans="1:15">
      <c r="A268" s="27"/>
      <c r="B268" s="27"/>
      <c r="C268" s="66"/>
      <c r="D268" s="53"/>
      <c r="E268" s="27"/>
      <c r="F268" s="27"/>
      <c r="G268" s="27"/>
      <c r="H268" s="91"/>
      <c r="I268" s="50"/>
      <c r="J268" s="27"/>
      <c r="K268" s="57"/>
      <c r="L268" s="39"/>
      <c r="M268" s="27"/>
      <c r="N268" s="99"/>
      <c r="O268" s="27"/>
    </row>
    <row r="269" spans="1:15">
      <c r="A269" s="27"/>
      <c r="B269" s="27"/>
      <c r="C269" s="66"/>
      <c r="D269" s="53"/>
      <c r="E269" s="27"/>
      <c r="F269" s="27"/>
      <c r="G269" s="27"/>
      <c r="H269" s="91"/>
      <c r="I269" s="50"/>
      <c r="J269" s="27"/>
      <c r="K269" s="57"/>
      <c r="L269" s="39"/>
      <c r="M269" s="27"/>
      <c r="N269" s="99"/>
      <c r="O269" s="27"/>
    </row>
    <row r="270" spans="1:15">
      <c r="A270" s="27"/>
      <c r="B270" s="27"/>
      <c r="C270" s="66"/>
      <c r="D270" s="53"/>
      <c r="E270" s="27"/>
      <c r="F270" s="27"/>
      <c r="G270" s="27"/>
      <c r="H270" s="91"/>
      <c r="I270" s="50"/>
      <c r="J270" s="27"/>
      <c r="K270" s="57"/>
      <c r="L270" s="39"/>
      <c r="M270" s="27"/>
      <c r="N270" s="99"/>
      <c r="O270" s="27"/>
    </row>
    <row r="271" spans="1:15">
      <c r="A271" s="27"/>
      <c r="B271" s="27"/>
      <c r="C271" s="66"/>
      <c r="D271" s="53"/>
      <c r="E271" s="27"/>
      <c r="F271" s="27"/>
      <c r="G271" s="27"/>
      <c r="H271" s="91"/>
      <c r="I271" s="50"/>
      <c r="J271" s="27"/>
      <c r="K271" s="57"/>
      <c r="L271" s="39"/>
      <c r="M271" s="27"/>
      <c r="N271" s="99"/>
      <c r="O271" s="27"/>
    </row>
    <row r="272" spans="1:15">
      <c r="A272" s="27"/>
      <c r="B272" s="27"/>
      <c r="C272" s="66"/>
      <c r="D272" s="53"/>
      <c r="E272" s="27"/>
      <c r="F272" s="27"/>
      <c r="G272" s="27"/>
      <c r="H272" s="91"/>
      <c r="I272" s="50"/>
      <c r="J272" s="27"/>
      <c r="K272" s="57"/>
      <c r="L272" s="39"/>
      <c r="M272" s="27"/>
      <c r="N272" s="99"/>
      <c r="O272" s="27"/>
    </row>
    <row r="273" spans="1:15">
      <c r="A273" s="27"/>
      <c r="B273" s="27"/>
      <c r="C273" s="66"/>
      <c r="D273" s="53"/>
      <c r="E273" s="27"/>
      <c r="F273" s="27"/>
      <c r="G273" s="27"/>
      <c r="H273" s="91"/>
      <c r="I273" s="50"/>
      <c r="J273" s="27"/>
      <c r="K273" s="57"/>
      <c r="L273" s="39"/>
      <c r="M273" s="27"/>
      <c r="N273" s="99"/>
      <c r="O273" s="27"/>
    </row>
  </sheetData>
  <autoFilter ref="A1:P258" xr:uid="{00000000-0009-0000-0000-000002000000}"/>
  <conditionalFormatting sqref="I1:I9 N1:O9 N10:N25 N104:N113">
    <cfRule type="containsText" dxfId="303" priority="313" operator="containsText" text="Aguardar NF">
      <formula>NOT(ISERROR(SEARCH("Aguardar NF",I1)))</formula>
    </cfRule>
    <cfRule type="containsText" dxfId="302" priority="314" operator="containsText" text="Aguardando pedido">
      <formula>NOT(ISERROR(SEARCH("Aguardando pedido",I1)))</formula>
    </cfRule>
  </conditionalFormatting>
  <conditionalFormatting sqref="N1:O9 N10:N25 N104:N113">
    <cfRule type="containsText" dxfId="301" priority="312" operator="containsText" text="NF LANÇADA">
      <formula>NOT(ISERROR(SEARCH("NF LANÇADA",N1)))</formula>
    </cfRule>
  </conditionalFormatting>
  <conditionalFormatting sqref="L1:L25 L104:L113">
    <cfRule type="cellIs" dxfId="300" priority="311" operator="equal">
      <formula>4502</formula>
    </cfRule>
  </conditionalFormatting>
  <conditionalFormatting sqref="P1">
    <cfRule type="containsText" dxfId="299" priority="309" operator="containsText" text="Aguardar NF">
      <formula>NOT(ISERROR(SEARCH("Aguardar NF",P1)))</formula>
    </cfRule>
    <cfRule type="containsText" dxfId="298" priority="310" operator="containsText" text="Aguardando pedido">
      <formula>NOT(ISERROR(SEARCH("Aguardando pedido",P1)))</formula>
    </cfRule>
  </conditionalFormatting>
  <conditionalFormatting sqref="P1">
    <cfRule type="containsText" dxfId="297" priority="308" operator="containsText" text="NF LANÇADA">
      <formula>NOT(ISERROR(SEARCH("NF LANÇADA",P1)))</formula>
    </cfRule>
  </conditionalFormatting>
  <conditionalFormatting sqref="B1:B25">
    <cfRule type="duplicateValues" dxfId="296" priority="307"/>
  </conditionalFormatting>
  <conditionalFormatting sqref="B2:B12">
    <cfRule type="duplicateValues" dxfId="295" priority="306"/>
  </conditionalFormatting>
  <conditionalFormatting sqref="G2:G25 G104:G113">
    <cfRule type="containsText" dxfId="294" priority="305" operator="containsText" text="SIM">
      <formula>NOT(ISERROR(SEARCH("SIM",G2)))</formula>
    </cfRule>
  </conditionalFormatting>
  <conditionalFormatting sqref="N7:O7">
    <cfRule type="containsText" dxfId="293" priority="304" operator="containsText" text="NF LANÇADA">
      <formula>NOT(ISERROR(SEARCH("NF LANÇADA",N7)))</formula>
    </cfRule>
  </conditionalFormatting>
  <conditionalFormatting sqref="B13:B24">
    <cfRule type="duplicateValues" dxfId="292" priority="303"/>
  </conditionalFormatting>
  <conditionalFormatting sqref="B25">
    <cfRule type="duplicateValues" dxfId="291" priority="302"/>
  </conditionalFormatting>
  <conditionalFormatting sqref="A13:A25">
    <cfRule type="duplicateValues" dxfId="290" priority="301"/>
  </conditionalFormatting>
  <conditionalFormatting sqref="B26">
    <cfRule type="duplicateValues" dxfId="289" priority="300"/>
  </conditionalFormatting>
  <conditionalFormatting sqref="I26">
    <cfRule type="containsText" dxfId="288" priority="298" operator="containsText" text="Aguardar NF">
      <formula>NOT(ISERROR(SEARCH("Aguardar NF",I26)))</formula>
    </cfRule>
    <cfRule type="containsText" dxfId="287" priority="299" operator="containsText" text="Aguardando pedido">
      <formula>NOT(ISERROR(SEARCH("Aguardando pedido",I26)))</formula>
    </cfRule>
  </conditionalFormatting>
  <conditionalFormatting sqref="B26:B54">
    <cfRule type="duplicateValues" dxfId="286" priority="297"/>
  </conditionalFormatting>
  <conditionalFormatting sqref="G26:G54">
    <cfRule type="containsText" dxfId="285" priority="296" operator="containsText" text="SIM">
      <formula>NOT(ISERROR(SEARCH("SIM",G26)))</formula>
    </cfRule>
  </conditionalFormatting>
  <conditionalFormatting sqref="N26:O26 N27:N54">
    <cfRule type="containsText" dxfId="284" priority="294" operator="containsText" text="Aguardar NF">
      <formula>NOT(ISERROR(SEARCH("Aguardar NF",N26)))</formula>
    </cfRule>
    <cfRule type="containsText" dxfId="283" priority="295" operator="containsText" text="Aguardando pedido">
      <formula>NOT(ISERROR(SEARCH("Aguardando pedido",N26)))</formula>
    </cfRule>
  </conditionalFormatting>
  <conditionalFormatting sqref="N26:O26 N27:N54">
    <cfRule type="containsText" dxfId="282" priority="293" operator="containsText" text="NF LANÇADA">
      <formula>NOT(ISERROR(SEARCH("NF LANÇADA",N26)))</formula>
    </cfRule>
  </conditionalFormatting>
  <conditionalFormatting sqref="L26:L54">
    <cfRule type="cellIs" dxfId="281" priority="292" operator="equal">
      <formula>4502</formula>
    </cfRule>
  </conditionalFormatting>
  <conditionalFormatting sqref="N26">
    <cfRule type="containsText" dxfId="280" priority="290" operator="containsText" text="Aguardar NF">
      <formula>NOT(ISERROR(SEARCH("Aguardar NF",N26)))</formula>
    </cfRule>
    <cfRule type="containsText" dxfId="279" priority="291" operator="containsText" text="Aguardando pedido">
      <formula>NOT(ISERROR(SEARCH("Aguardando pedido",N26)))</formula>
    </cfRule>
  </conditionalFormatting>
  <conditionalFormatting sqref="N26">
    <cfRule type="containsText" dxfId="278" priority="289" operator="containsText" text="NF LANÇADA">
      <formula>NOT(ISERROR(SEARCH("NF LANÇADA",N26)))</formula>
    </cfRule>
  </conditionalFormatting>
  <conditionalFormatting sqref="N26">
    <cfRule type="containsText" dxfId="277" priority="288" operator="containsText" text="NF LANÇADA">
      <formula>NOT(ISERROR(SEARCH("NF LANÇADA",N26)))</formula>
    </cfRule>
  </conditionalFormatting>
  <conditionalFormatting sqref="N26">
    <cfRule type="containsText" dxfId="276" priority="287" operator="containsText" text="NF LANÇADA">
      <formula>NOT(ISERROR(SEARCH("NF LANÇADA",N26)))</formula>
    </cfRule>
  </conditionalFormatting>
  <conditionalFormatting sqref="B27">
    <cfRule type="duplicateValues" dxfId="275" priority="286"/>
  </conditionalFormatting>
  <conditionalFormatting sqref="B28">
    <cfRule type="duplicateValues" dxfId="274" priority="285"/>
  </conditionalFormatting>
  <conditionalFormatting sqref="O28">
    <cfRule type="containsText" dxfId="273" priority="283" operator="containsText" text="Aguardar NF">
      <formula>NOT(ISERROR(SEARCH("Aguardar NF",O28)))</formula>
    </cfRule>
    <cfRule type="containsText" dxfId="272" priority="284" operator="containsText" text="Aguardando pedido">
      <formula>NOT(ISERROR(SEARCH("Aguardando pedido",O28)))</formula>
    </cfRule>
  </conditionalFormatting>
  <conditionalFormatting sqref="O28">
    <cfRule type="containsText" dxfId="271" priority="282" operator="containsText" text="NF LANÇADA">
      <formula>NOT(ISERROR(SEARCH("NF LANÇADA",O28)))</formula>
    </cfRule>
  </conditionalFormatting>
  <conditionalFormatting sqref="B29">
    <cfRule type="duplicateValues" dxfId="270" priority="281"/>
  </conditionalFormatting>
  <conditionalFormatting sqref="O29">
    <cfRule type="containsText" dxfId="269" priority="279" operator="containsText" text="Aguardar NF">
      <formula>NOT(ISERROR(SEARCH("Aguardar NF",O29)))</formula>
    </cfRule>
    <cfRule type="containsText" dxfId="268" priority="280" operator="containsText" text="Aguardando pedido">
      <formula>NOT(ISERROR(SEARCH("Aguardando pedido",O29)))</formula>
    </cfRule>
  </conditionalFormatting>
  <conditionalFormatting sqref="O29">
    <cfRule type="containsText" dxfId="267" priority="278" operator="containsText" text="NF LANÇADA">
      <formula>NOT(ISERROR(SEARCH("NF LANÇADA",O29)))</formula>
    </cfRule>
  </conditionalFormatting>
  <conditionalFormatting sqref="B30">
    <cfRule type="duplicateValues" dxfId="266" priority="277"/>
  </conditionalFormatting>
  <conditionalFormatting sqref="O30">
    <cfRule type="containsText" dxfId="265" priority="275" operator="containsText" text="Aguardar NF">
      <formula>NOT(ISERROR(SEARCH("Aguardar NF",O30)))</formula>
    </cfRule>
    <cfRule type="containsText" dxfId="264" priority="276" operator="containsText" text="Aguardando pedido">
      <formula>NOT(ISERROR(SEARCH("Aguardando pedido",O30)))</formula>
    </cfRule>
  </conditionalFormatting>
  <conditionalFormatting sqref="O30">
    <cfRule type="containsText" dxfId="263" priority="274" operator="containsText" text="NF LANÇADA">
      <formula>NOT(ISERROR(SEARCH("NF LANÇADA",O30)))</formula>
    </cfRule>
  </conditionalFormatting>
  <conditionalFormatting sqref="B51 B49 B47 B45 B43 B41 B39 B37 B35 B33 B31">
    <cfRule type="duplicateValues" dxfId="262" priority="272"/>
  </conditionalFormatting>
  <conditionalFormatting sqref="A53 A51 A49 A47 A45 A43 A41 A39 A37 A35 A33 A31">
    <cfRule type="duplicateValues" dxfId="261" priority="273"/>
  </conditionalFormatting>
  <conditionalFormatting sqref="B32">
    <cfRule type="duplicateValues" dxfId="260" priority="271"/>
  </conditionalFormatting>
  <conditionalFormatting sqref="B34">
    <cfRule type="duplicateValues" dxfId="259" priority="270"/>
  </conditionalFormatting>
  <conditionalFormatting sqref="B36">
    <cfRule type="duplicateValues" dxfId="258" priority="269"/>
  </conditionalFormatting>
  <conditionalFormatting sqref="B38">
    <cfRule type="duplicateValues" dxfId="257" priority="268"/>
  </conditionalFormatting>
  <conditionalFormatting sqref="B40">
    <cfRule type="duplicateValues" dxfId="256" priority="267"/>
  </conditionalFormatting>
  <conditionalFormatting sqref="B42">
    <cfRule type="duplicateValues" dxfId="255" priority="266"/>
  </conditionalFormatting>
  <conditionalFormatting sqref="B44">
    <cfRule type="duplicateValues" dxfId="254" priority="265"/>
  </conditionalFormatting>
  <conditionalFormatting sqref="B46">
    <cfRule type="duplicateValues" dxfId="253" priority="264"/>
  </conditionalFormatting>
  <conditionalFormatting sqref="B48">
    <cfRule type="duplicateValues" dxfId="252" priority="263"/>
  </conditionalFormatting>
  <conditionalFormatting sqref="B50">
    <cfRule type="duplicateValues" dxfId="251" priority="262"/>
  </conditionalFormatting>
  <conditionalFormatting sqref="B52">
    <cfRule type="duplicateValues" dxfId="250" priority="261"/>
  </conditionalFormatting>
  <conditionalFormatting sqref="B53">
    <cfRule type="duplicateValues" dxfId="249" priority="260"/>
  </conditionalFormatting>
  <conditionalFormatting sqref="N58:N70 O57 N56 N55:O55 I55">
    <cfRule type="containsText" dxfId="248" priority="257" operator="containsText" text="Aguardar NF">
      <formula>NOT(ISERROR(SEARCH("Aguardar NF",I55)))</formula>
    </cfRule>
    <cfRule type="containsText" dxfId="247" priority="258" operator="containsText" text="Aguardando pedido">
      <formula>NOT(ISERROR(SEARCH("Aguardando pedido",I55)))</formula>
    </cfRule>
  </conditionalFormatting>
  <conditionalFormatting sqref="B55:B57">
    <cfRule type="duplicateValues" dxfId="246" priority="259"/>
  </conditionalFormatting>
  <conditionalFormatting sqref="B55:B70">
    <cfRule type="duplicateValues" dxfId="245" priority="256"/>
  </conditionalFormatting>
  <conditionalFormatting sqref="G55:G70">
    <cfRule type="containsText" dxfId="244" priority="255" operator="containsText" text="SIM">
      <formula>NOT(ISERROR(SEARCH("SIM",G55)))</formula>
    </cfRule>
  </conditionalFormatting>
  <conditionalFormatting sqref="N58:N70 O57 N56 N55:O55">
    <cfRule type="containsText" dxfId="243" priority="254" operator="containsText" text="NF LANÇADA">
      <formula>NOT(ISERROR(SEARCH("NF LANÇADA",N55)))</formula>
    </cfRule>
  </conditionalFormatting>
  <conditionalFormatting sqref="L55:L70">
    <cfRule type="cellIs" dxfId="242" priority="253" operator="equal">
      <formula>4502</formula>
    </cfRule>
  </conditionalFormatting>
  <conditionalFormatting sqref="N57">
    <cfRule type="containsText" dxfId="241" priority="251" operator="containsText" text="Aguardar NF">
      <formula>NOT(ISERROR(SEARCH("Aguardar NF",N57)))</formula>
    </cfRule>
    <cfRule type="containsText" dxfId="240" priority="252" operator="containsText" text="Aguardando pedido">
      <formula>NOT(ISERROR(SEARCH("Aguardando pedido",N57)))</formula>
    </cfRule>
  </conditionalFormatting>
  <conditionalFormatting sqref="N57">
    <cfRule type="containsText" dxfId="239" priority="250" operator="containsText" text="NF LANÇADA">
      <formula>NOT(ISERROR(SEARCH("NF LANÇADA",N57)))</formula>
    </cfRule>
  </conditionalFormatting>
  <conditionalFormatting sqref="B58">
    <cfRule type="duplicateValues" dxfId="238" priority="249"/>
  </conditionalFormatting>
  <conditionalFormatting sqref="O58">
    <cfRule type="containsText" dxfId="237" priority="247" operator="containsText" text="Aguardar NF">
      <formula>NOT(ISERROR(SEARCH("Aguardar NF",O58)))</formula>
    </cfRule>
    <cfRule type="containsText" dxfId="236" priority="248" operator="containsText" text="Aguardando pedido">
      <formula>NOT(ISERROR(SEARCH("Aguardando pedido",O58)))</formula>
    </cfRule>
  </conditionalFormatting>
  <conditionalFormatting sqref="O58">
    <cfRule type="containsText" dxfId="235" priority="246" operator="containsText" text="NF LANÇADA">
      <formula>NOT(ISERROR(SEARCH("NF LANÇADA",O58)))</formula>
    </cfRule>
  </conditionalFormatting>
  <conditionalFormatting sqref="B59">
    <cfRule type="duplicateValues" dxfId="234" priority="245"/>
  </conditionalFormatting>
  <conditionalFormatting sqref="B60">
    <cfRule type="duplicateValues" dxfId="233" priority="244"/>
  </conditionalFormatting>
  <conditionalFormatting sqref="B61">
    <cfRule type="duplicateValues" dxfId="232" priority="243"/>
  </conditionalFormatting>
  <conditionalFormatting sqref="B62">
    <cfRule type="duplicateValues" dxfId="231" priority="242"/>
  </conditionalFormatting>
  <conditionalFormatting sqref="B63">
    <cfRule type="duplicateValues" dxfId="230" priority="241"/>
  </conditionalFormatting>
  <conditionalFormatting sqref="B64">
    <cfRule type="duplicateValues" dxfId="229" priority="240"/>
  </conditionalFormatting>
  <conditionalFormatting sqref="B65:B69">
    <cfRule type="duplicateValues" dxfId="228" priority="238"/>
  </conditionalFormatting>
  <conditionalFormatting sqref="A65:A70">
    <cfRule type="duplicateValues" dxfId="227" priority="239"/>
  </conditionalFormatting>
  <conditionalFormatting sqref="B70">
    <cfRule type="duplicateValues" dxfId="226" priority="237"/>
  </conditionalFormatting>
  <conditionalFormatting sqref="N74:N86 O73 N72 N71:O71 I71">
    <cfRule type="containsText" dxfId="225" priority="234" operator="containsText" text="Aguardar NF">
      <formula>NOT(ISERROR(SEARCH("Aguardar NF",I71)))</formula>
    </cfRule>
    <cfRule type="containsText" dxfId="224" priority="235" operator="containsText" text="Aguardando pedido">
      <formula>NOT(ISERROR(SEARCH("Aguardando pedido",I71)))</formula>
    </cfRule>
  </conditionalFormatting>
  <conditionalFormatting sqref="B71:B73">
    <cfRule type="duplicateValues" dxfId="223" priority="236"/>
  </conditionalFormatting>
  <conditionalFormatting sqref="B71:B86">
    <cfRule type="duplicateValues" dxfId="222" priority="233"/>
  </conditionalFormatting>
  <conditionalFormatting sqref="G71:G86">
    <cfRule type="containsText" dxfId="221" priority="232" operator="containsText" text="SIM">
      <formula>NOT(ISERROR(SEARCH("SIM",G71)))</formula>
    </cfRule>
  </conditionalFormatting>
  <conditionalFormatting sqref="N74:N86 O73 N72 N71:O71">
    <cfRule type="containsText" dxfId="220" priority="231" operator="containsText" text="NF LANÇADA">
      <formula>NOT(ISERROR(SEARCH("NF LANÇADA",N71)))</formula>
    </cfRule>
  </conditionalFormatting>
  <conditionalFormatting sqref="L71:L86">
    <cfRule type="cellIs" dxfId="219" priority="230" operator="equal">
      <formula>4502</formula>
    </cfRule>
  </conditionalFormatting>
  <conditionalFormatting sqref="N73">
    <cfRule type="containsText" dxfId="218" priority="228" operator="containsText" text="Aguardar NF">
      <formula>NOT(ISERROR(SEARCH("Aguardar NF",N73)))</formula>
    </cfRule>
    <cfRule type="containsText" dxfId="217" priority="229" operator="containsText" text="Aguardando pedido">
      <formula>NOT(ISERROR(SEARCH("Aguardando pedido",N73)))</formula>
    </cfRule>
  </conditionalFormatting>
  <conditionalFormatting sqref="N73">
    <cfRule type="containsText" dxfId="216" priority="227" operator="containsText" text="NF LANÇADA">
      <formula>NOT(ISERROR(SEARCH("NF LANÇADA",N73)))</formula>
    </cfRule>
  </conditionalFormatting>
  <conditionalFormatting sqref="B74">
    <cfRule type="duplicateValues" dxfId="215" priority="226"/>
  </conditionalFormatting>
  <conditionalFormatting sqref="O74">
    <cfRule type="containsText" dxfId="214" priority="224" operator="containsText" text="Aguardar NF">
      <formula>NOT(ISERROR(SEARCH("Aguardar NF",O74)))</formula>
    </cfRule>
    <cfRule type="containsText" dxfId="213" priority="225" operator="containsText" text="Aguardando pedido">
      <formula>NOT(ISERROR(SEARCH("Aguardando pedido",O74)))</formula>
    </cfRule>
  </conditionalFormatting>
  <conditionalFormatting sqref="O74">
    <cfRule type="containsText" dxfId="212" priority="223" operator="containsText" text="NF LANÇADA">
      <formula>NOT(ISERROR(SEARCH("NF LANÇADA",O74)))</formula>
    </cfRule>
  </conditionalFormatting>
  <conditionalFormatting sqref="B75">
    <cfRule type="duplicateValues" dxfId="211" priority="222"/>
  </conditionalFormatting>
  <conditionalFormatting sqref="B76">
    <cfRule type="duplicateValues" dxfId="210" priority="221"/>
  </conditionalFormatting>
  <conditionalFormatting sqref="B77">
    <cfRule type="duplicateValues" dxfId="209" priority="220"/>
  </conditionalFormatting>
  <conditionalFormatting sqref="B78">
    <cfRule type="duplicateValues" dxfId="208" priority="219"/>
  </conditionalFormatting>
  <conditionalFormatting sqref="B79">
    <cfRule type="duplicateValues" dxfId="207" priority="218"/>
  </conditionalFormatting>
  <conditionalFormatting sqref="B80">
    <cfRule type="duplicateValues" dxfId="206" priority="217"/>
  </conditionalFormatting>
  <conditionalFormatting sqref="B81:B85">
    <cfRule type="duplicateValues" dxfId="205" priority="215"/>
  </conditionalFormatting>
  <conditionalFormatting sqref="A81:A86">
    <cfRule type="duplicateValues" dxfId="204" priority="216"/>
  </conditionalFormatting>
  <conditionalFormatting sqref="B86">
    <cfRule type="duplicateValues" dxfId="203" priority="214"/>
  </conditionalFormatting>
  <conditionalFormatting sqref="N93:N103 N88 N87:O87 I87">
    <cfRule type="containsText" dxfId="202" priority="211" operator="containsText" text="Aguardar NF">
      <formula>NOT(ISERROR(SEARCH("Aguardar NF",I87)))</formula>
    </cfRule>
    <cfRule type="containsText" dxfId="201" priority="212" operator="containsText" text="Aguardando pedido">
      <formula>NOT(ISERROR(SEARCH("Aguardando pedido",I87)))</formula>
    </cfRule>
  </conditionalFormatting>
  <conditionalFormatting sqref="B87:B88">
    <cfRule type="duplicateValues" dxfId="200" priority="213"/>
  </conditionalFormatting>
  <conditionalFormatting sqref="B87:B103">
    <cfRule type="duplicateValues" dxfId="199" priority="210"/>
  </conditionalFormatting>
  <conditionalFormatting sqref="G87:G103">
    <cfRule type="containsText" dxfId="198" priority="209" operator="containsText" text="SIM">
      <formula>NOT(ISERROR(SEARCH("SIM",G87)))</formula>
    </cfRule>
  </conditionalFormatting>
  <conditionalFormatting sqref="N93:N103 N88 N87:O87">
    <cfRule type="containsText" dxfId="197" priority="208" operator="containsText" text="NF LANÇADA">
      <formula>NOT(ISERROR(SEARCH("NF LANÇADA",N87)))</formula>
    </cfRule>
  </conditionalFormatting>
  <conditionalFormatting sqref="L87:L103">
    <cfRule type="cellIs" dxfId="196" priority="207" operator="equal">
      <formula>4502</formula>
    </cfRule>
  </conditionalFormatting>
  <conditionalFormatting sqref="O89">
    <cfRule type="containsText" dxfId="195" priority="205" operator="containsText" text="Aguardar NF">
      <formula>NOT(ISERROR(SEARCH("Aguardar NF",O89)))</formula>
    </cfRule>
    <cfRule type="containsText" dxfId="194" priority="206" operator="containsText" text="Aguardando pedido">
      <formula>NOT(ISERROR(SEARCH("Aguardando pedido",O89)))</formula>
    </cfRule>
  </conditionalFormatting>
  <conditionalFormatting sqref="O89">
    <cfRule type="containsText" dxfId="193" priority="204" operator="containsText" text="NF LANÇADA">
      <formula>NOT(ISERROR(SEARCH("NF LANÇADA",O89)))</formula>
    </cfRule>
  </conditionalFormatting>
  <conditionalFormatting sqref="N89">
    <cfRule type="containsText" dxfId="192" priority="202" operator="containsText" text="Aguardar NF">
      <formula>NOT(ISERROR(SEARCH("Aguardar NF",N89)))</formula>
    </cfRule>
    <cfRule type="containsText" dxfId="191" priority="203" operator="containsText" text="Aguardando pedido">
      <formula>NOT(ISERROR(SEARCH("Aguardando pedido",N89)))</formula>
    </cfRule>
  </conditionalFormatting>
  <conditionalFormatting sqref="N89">
    <cfRule type="containsText" dxfId="190" priority="201" operator="containsText" text="NF LANÇADA">
      <formula>NOT(ISERROR(SEARCH("NF LANÇADA",N89)))</formula>
    </cfRule>
  </conditionalFormatting>
  <conditionalFormatting sqref="N90">
    <cfRule type="containsText" dxfId="189" priority="199" operator="containsText" text="Aguardar NF">
      <formula>NOT(ISERROR(SEARCH("Aguardar NF",N90)))</formula>
    </cfRule>
    <cfRule type="containsText" dxfId="188" priority="200" operator="containsText" text="Aguardando pedido">
      <formula>NOT(ISERROR(SEARCH("Aguardando pedido",N90)))</formula>
    </cfRule>
  </conditionalFormatting>
  <conditionalFormatting sqref="N90">
    <cfRule type="containsText" dxfId="187" priority="198" operator="containsText" text="NF LANÇADA">
      <formula>NOT(ISERROR(SEARCH("NF LANÇADA",N90)))</formula>
    </cfRule>
  </conditionalFormatting>
  <conditionalFormatting sqref="N91">
    <cfRule type="containsText" dxfId="186" priority="196" operator="containsText" text="Aguardar NF">
      <formula>NOT(ISERROR(SEARCH("Aguardar NF",N91)))</formula>
    </cfRule>
    <cfRule type="containsText" dxfId="185" priority="197" operator="containsText" text="Aguardando pedido">
      <formula>NOT(ISERROR(SEARCH("Aguardando pedido",N91)))</formula>
    </cfRule>
  </conditionalFormatting>
  <conditionalFormatting sqref="N91">
    <cfRule type="containsText" dxfId="184" priority="195" operator="containsText" text="NF LANÇADA">
      <formula>NOT(ISERROR(SEARCH("NF LANÇADA",N91)))</formula>
    </cfRule>
  </conditionalFormatting>
  <conditionalFormatting sqref="N92">
    <cfRule type="containsText" dxfId="183" priority="193" operator="containsText" text="Aguardar NF">
      <formula>NOT(ISERROR(SEARCH("Aguardar NF",N92)))</formula>
    </cfRule>
    <cfRule type="containsText" dxfId="182" priority="194" operator="containsText" text="Aguardando pedido">
      <formula>NOT(ISERROR(SEARCH("Aguardando pedido",N92)))</formula>
    </cfRule>
  </conditionalFormatting>
  <conditionalFormatting sqref="N92">
    <cfRule type="containsText" dxfId="181" priority="192" operator="containsText" text="NF LANÇADA">
      <formula>NOT(ISERROR(SEARCH("NF LANÇADA",N92)))</formula>
    </cfRule>
  </conditionalFormatting>
  <conditionalFormatting sqref="B113">
    <cfRule type="duplicateValues" dxfId="180" priority="182"/>
  </conditionalFormatting>
  <conditionalFormatting sqref="N123:N136 N122:O122 O121 N120:N121 N114:O119 I114:I119">
    <cfRule type="containsText" dxfId="179" priority="178" operator="containsText" text="Aguardar NF">
      <formula>NOT(ISERROR(SEARCH("Aguardar NF",I114)))</formula>
    </cfRule>
    <cfRule type="containsText" dxfId="178" priority="179" operator="containsText" text="Aguardando pedido">
      <formula>NOT(ISERROR(SEARCH("Aguardando pedido",I114)))</formula>
    </cfRule>
  </conditionalFormatting>
  <conditionalFormatting sqref="B114:B119 B121">
    <cfRule type="duplicateValues" dxfId="177" priority="180"/>
  </conditionalFormatting>
  <conditionalFormatting sqref="B114:B136">
    <cfRule type="duplicateValues" dxfId="176" priority="177"/>
  </conditionalFormatting>
  <conditionalFormatting sqref="G114:G136">
    <cfRule type="containsText" dxfId="175" priority="176" operator="containsText" text="SIM">
      <formula>NOT(ISERROR(SEARCH("SIM",G114)))</formula>
    </cfRule>
  </conditionalFormatting>
  <conditionalFormatting sqref="N123:N136 N122:O122 O121 N119:N121 N114:O118">
    <cfRule type="containsText" dxfId="174" priority="175" operator="containsText" text="NF LANÇADA">
      <formula>NOT(ISERROR(SEARCH("NF LANÇADA",N114)))</formula>
    </cfRule>
  </conditionalFormatting>
  <conditionalFormatting sqref="L114:L136">
    <cfRule type="cellIs" dxfId="173" priority="174" operator="equal">
      <formula>4502</formula>
    </cfRule>
  </conditionalFormatting>
  <conditionalFormatting sqref="N119:O119">
    <cfRule type="containsText" dxfId="172" priority="173" operator="containsText" text="NF LANÇADA">
      <formula>NOT(ISERROR(SEARCH("NF LANÇADA",N119)))</formula>
    </cfRule>
  </conditionalFormatting>
  <conditionalFormatting sqref="N121">
    <cfRule type="containsText" dxfId="171" priority="171" operator="containsText" text="Aguardar NF">
      <formula>NOT(ISERROR(SEARCH("Aguardar NF",N121)))</formula>
    </cfRule>
    <cfRule type="containsText" dxfId="170" priority="172" operator="containsText" text="Aguardando pedido">
      <formula>NOT(ISERROR(SEARCH("Aguardando pedido",N121)))</formula>
    </cfRule>
  </conditionalFormatting>
  <conditionalFormatting sqref="N121">
    <cfRule type="containsText" dxfId="169" priority="170" operator="containsText" text="NF LANÇADA">
      <formula>NOT(ISERROR(SEARCH("NF LANÇADA",N121)))</formula>
    </cfRule>
  </conditionalFormatting>
  <conditionalFormatting sqref="A123:A136">
    <cfRule type="duplicateValues" dxfId="168" priority="169"/>
  </conditionalFormatting>
  <conditionalFormatting sqref="B125:B135">
    <cfRule type="duplicateValues" dxfId="167" priority="168"/>
  </conditionalFormatting>
  <conditionalFormatting sqref="O127">
    <cfRule type="containsText" dxfId="166" priority="166" operator="containsText" text="Aguardar NF">
      <formula>NOT(ISERROR(SEARCH("Aguardar NF",O127)))</formula>
    </cfRule>
    <cfRule type="containsText" dxfId="165" priority="167" operator="containsText" text="Aguardando pedido">
      <formula>NOT(ISERROR(SEARCH("Aguardando pedido",O127)))</formula>
    </cfRule>
  </conditionalFormatting>
  <conditionalFormatting sqref="O127">
    <cfRule type="containsText" dxfId="164" priority="165" operator="containsText" text="NF LANÇADA">
      <formula>NOT(ISERROR(SEARCH("NF LANÇADA",O127)))</formula>
    </cfRule>
  </conditionalFormatting>
  <conditionalFormatting sqref="B136">
    <cfRule type="duplicateValues" dxfId="163" priority="164"/>
  </conditionalFormatting>
  <conditionalFormatting sqref="B137:B146">
    <cfRule type="duplicateValues" dxfId="162" priority="161"/>
  </conditionalFormatting>
  <conditionalFormatting sqref="G137:G146">
    <cfRule type="containsText" dxfId="161" priority="160" operator="containsText" text="SIM">
      <formula>NOT(ISERROR(SEARCH("SIM",G137)))</formula>
    </cfRule>
  </conditionalFormatting>
  <conditionalFormatting sqref="B137:B145">
    <cfRule type="duplicateValues" dxfId="160" priority="162"/>
  </conditionalFormatting>
  <conditionalFormatting sqref="A137:A146">
    <cfRule type="duplicateValues" dxfId="159" priority="163"/>
  </conditionalFormatting>
  <conditionalFormatting sqref="N137:N146">
    <cfRule type="containsText" dxfId="158" priority="158" operator="containsText" text="Aguardar NF">
      <formula>NOT(ISERROR(SEARCH("Aguardar NF",N137)))</formula>
    </cfRule>
    <cfRule type="containsText" dxfId="157" priority="159" operator="containsText" text="Aguardando pedido">
      <formula>NOT(ISERROR(SEARCH("Aguardando pedido",N137)))</formula>
    </cfRule>
  </conditionalFormatting>
  <conditionalFormatting sqref="N137:N146">
    <cfRule type="containsText" dxfId="156" priority="157" operator="containsText" text="NF LANÇADA">
      <formula>NOT(ISERROR(SEARCH("NF LANÇADA",N137)))</formula>
    </cfRule>
  </conditionalFormatting>
  <conditionalFormatting sqref="L137:L146">
    <cfRule type="cellIs" dxfId="155" priority="156" operator="equal">
      <formula>4502</formula>
    </cfRule>
  </conditionalFormatting>
  <conditionalFormatting sqref="B146">
    <cfRule type="duplicateValues" dxfId="154" priority="155"/>
  </conditionalFormatting>
  <conditionalFormatting sqref="N153:N154 N147:O152 I147:I152">
    <cfRule type="containsText" dxfId="153" priority="152" operator="containsText" text="Aguardar NF">
      <formula>NOT(ISERROR(SEARCH("Aguardar NF",I147)))</formula>
    </cfRule>
    <cfRule type="containsText" dxfId="152" priority="153" operator="containsText" text="Aguardando pedido">
      <formula>NOT(ISERROR(SEARCH("Aguardando pedido",I147)))</formula>
    </cfRule>
  </conditionalFormatting>
  <conditionalFormatting sqref="B147:B154">
    <cfRule type="duplicateValues" dxfId="151" priority="154"/>
  </conditionalFormatting>
  <conditionalFormatting sqref="B147:B155">
    <cfRule type="duplicateValues" dxfId="150" priority="151"/>
  </conditionalFormatting>
  <conditionalFormatting sqref="G147:G155">
    <cfRule type="containsText" dxfId="149" priority="150" operator="containsText" text="SIM">
      <formula>NOT(ISERROR(SEARCH("SIM",G147)))</formula>
    </cfRule>
  </conditionalFormatting>
  <conditionalFormatting sqref="N153:N154 N147:O152">
    <cfRule type="containsText" dxfId="148" priority="149" operator="containsText" text="NF LANÇADA">
      <formula>NOT(ISERROR(SEARCH("NF LANÇADA",N147)))</formula>
    </cfRule>
  </conditionalFormatting>
  <conditionalFormatting sqref="L147:L155">
    <cfRule type="cellIs" dxfId="147" priority="148" operator="equal">
      <formula>4502</formula>
    </cfRule>
  </conditionalFormatting>
  <conditionalFormatting sqref="O149">
    <cfRule type="containsText" dxfId="146" priority="147" operator="containsText" text="NF LANÇADA">
      <formula>NOT(ISERROR(SEARCH("NF LANÇADA",O149)))</formula>
    </cfRule>
  </conditionalFormatting>
  <conditionalFormatting sqref="N152">
    <cfRule type="containsText" dxfId="145" priority="146" operator="containsText" text="NF LANÇADA">
      <formula>NOT(ISERROR(SEARCH("NF LANÇADA",N152)))</formula>
    </cfRule>
  </conditionalFormatting>
  <conditionalFormatting sqref="N152">
    <cfRule type="containsText" dxfId="144" priority="145" operator="containsText" text="NF LANÇADA">
      <formula>NOT(ISERROR(SEARCH("NF LANÇADA",N152)))</formula>
    </cfRule>
  </conditionalFormatting>
  <conditionalFormatting sqref="N152">
    <cfRule type="containsText" dxfId="143" priority="144" operator="containsText" text="NF LANÇADA">
      <formula>NOT(ISERROR(SEARCH("NF LANÇADA",N152)))</formula>
    </cfRule>
  </conditionalFormatting>
  <conditionalFormatting sqref="N152">
    <cfRule type="containsText" dxfId="142" priority="143" operator="containsText" text="NF LANÇADA">
      <formula>NOT(ISERROR(SEARCH("NF LANÇADA",N152)))</formula>
    </cfRule>
  </conditionalFormatting>
  <conditionalFormatting sqref="O153">
    <cfRule type="containsText" dxfId="141" priority="141" operator="containsText" text="Aguardar NF">
      <formula>NOT(ISERROR(SEARCH("Aguardar NF",O153)))</formula>
    </cfRule>
    <cfRule type="containsText" dxfId="140" priority="142" operator="containsText" text="Aguardando pedido">
      <formula>NOT(ISERROR(SEARCH("Aguardando pedido",O153)))</formula>
    </cfRule>
  </conditionalFormatting>
  <conditionalFormatting sqref="O153">
    <cfRule type="containsText" dxfId="139" priority="140" operator="containsText" text="NF LANÇADA">
      <formula>NOT(ISERROR(SEARCH("NF LANÇADA",O153)))</formula>
    </cfRule>
  </conditionalFormatting>
  <conditionalFormatting sqref="N153">
    <cfRule type="containsText" dxfId="138" priority="138" operator="containsText" text="Aguardar NF">
      <formula>NOT(ISERROR(SEARCH("Aguardar NF",N153)))</formula>
    </cfRule>
    <cfRule type="containsText" dxfId="137" priority="139" operator="containsText" text="Aguardando pedido">
      <formula>NOT(ISERROR(SEARCH("Aguardando pedido",N153)))</formula>
    </cfRule>
  </conditionalFormatting>
  <conditionalFormatting sqref="N153">
    <cfRule type="containsText" dxfId="136" priority="137" operator="containsText" text="NF LANÇADA">
      <formula>NOT(ISERROR(SEARCH("NF LANÇADA",N153)))</formula>
    </cfRule>
  </conditionalFormatting>
  <conditionalFormatting sqref="N153">
    <cfRule type="containsText" dxfId="135" priority="136" operator="containsText" text="NF LANÇADA">
      <formula>NOT(ISERROR(SEARCH("NF LANÇADA",N153)))</formula>
    </cfRule>
  </conditionalFormatting>
  <conditionalFormatting sqref="N153">
    <cfRule type="containsText" dxfId="134" priority="135" operator="containsText" text="NF LANÇADA">
      <formula>NOT(ISERROR(SEARCH("NF LANÇADA",N153)))</formula>
    </cfRule>
  </conditionalFormatting>
  <conditionalFormatting sqref="N153">
    <cfRule type="containsText" dxfId="133" priority="134" operator="containsText" text="NF LANÇADA">
      <formula>NOT(ISERROR(SEARCH("NF LANÇADA",N153)))</formula>
    </cfRule>
  </conditionalFormatting>
  <conditionalFormatting sqref="N153">
    <cfRule type="containsText" dxfId="132" priority="133" operator="containsText" text="NF LANÇADA">
      <formula>NOT(ISERROR(SEARCH("NF LANÇADA",N153)))</formula>
    </cfRule>
  </conditionalFormatting>
  <conditionalFormatting sqref="B155">
    <cfRule type="duplicateValues" dxfId="131" priority="132"/>
  </conditionalFormatting>
  <conditionalFormatting sqref="N155">
    <cfRule type="containsText" dxfId="130" priority="130" operator="containsText" text="Aguardar NF">
      <formula>NOT(ISERROR(SEARCH("Aguardar NF",N155)))</formula>
    </cfRule>
    <cfRule type="containsText" dxfId="129" priority="131" operator="containsText" text="Aguardando pedido">
      <formula>NOT(ISERROR(SEARCH("Aguardando pedido",N155)))</formula>
    </cfRule>
  </conditionalFormatting>
  <conditionalFormatting sqref="N155">
    <cfRule type="containsText" dxfId="128" priority="129" operator="containsText" text="NF LANÇADA">
      <formula>NOT(ISERROR(SEARCH("NF LANÇADA",N155)))</formula>
    </cfRule>
  </conditionalFormatting>
  <conditionalFormatting sqref="B156:B161">
    <cfRule type="duplicateValues" dxfId="127" priority="126"/>
  </conditionalFormatting>
  <conditionalFormatting sqref="G156:G161">
    <cfRule type="containsText" dxfId="126" priority="125" operator="containsText" text="SIM">
      <formula>NOT(ISERROR(SEARCH("SIM",G156)))</formula>
    </cfRule>
  </conditionalFormatting>
  <conditionalFormatting sqref="B156:B160">
    <cfRule type="duplicateValues" dxfId="125" priority="127"/>
  </conditionalFormatting>
  <conditionalFormatting sqref="A156:A161">
    <cfRule type="duplicateValues" dxfId="124" priority="128"/>
  </conditionalFormatting>
  <conditionalFormatting sqref="N156:N161">
    <cfRule type="containsText" dxfId="123" priority="123" operator="containsText" text="Aguardar NF">
      <formula>NOT(ISERROR(SEARCH("Aguardar NF",N156)))</formula>
    </cfRule>
    <cfRule type="containsText" dxfId="122" priority="124" operator="containsText" text="Aguardando pedido">
      <formula>NOT(ISERROR(SEARCH("Aguardando pedido",N156)))</formula>
    </cfRule>
  </conditionalFormatting>
  <conditionalFormatting sqref="N156:N161">
    <cfRule type="containsText" dxfId="121" priority="122" operator="containsText" text="NF LANÇADA">
      <formula>NOT(ISERROR(SEARCH("NF LANÇADA",N156)))</formula>
    </cfRule>
  </conditionalFormatting>
  <conditionalFormatting sqref="L156:L161">
    <cfRule type="cellIs" dxfId="120" priority="121" operator="equal">
      <formula>4502</formula>
    </cfRule>
  </conditionalFormatting>
  <conditionalFormatting sqref="B161">
    <cfRule type="duplicateValues" dxfId="119" priority="120"/>
  </conditionalFormatting>
  <conditionalFormatting sqref="A120">
    <cfRule type="duplicateValues" dxfId="118" priority="119"/>
  </conditionalFormatting>
  <conditionalFormatting sqref="B104:B112">
    <cfRule type="duplicateValues" dxfId="117" priority="367"/>
  </conditionalFormatting>
  <conditionalFormatting sqref="B104:B113">
    <cfRule type="duplicateValues" dxfId="116" priority="371"/>
  </conditionalFormatting>
  <conditionalFormatting sqref="A104:A113">
    <cfRule type="duplicateValues" dxfId="115" priority="372"/>
  </conditionalFormatting>
  <conditionalFormatting sqref="B54">
    <cfRule type="duplicateValues" dxfId="114" priority="118"/>
  </conditionalFormatting>
  <conditionalFormatting sqref="O186:O188 N184:N188 N162:O183 I162:I181 N191:N230 N232:N233 N236:N241 N244:N247 N252:N255 N259:N273 N257">
    <cfRule type="containsText" dxfId="113" priority="115" operator="containsText" text="Aguardar NF">
      <formula>NOT(ISERROR(SEARCH("Aguardar NF",I162)))</formula>
    </cfRule>
    <cfRule type="containsText" dxfId="112" priority="116" operator="containsText" text="Aguardando pedido">
      <formula>NOT(ISERROR(SEARCH("Aguardando pedido",I162)))</formula>
    </cfRule>
  </conditionalFormatting>
  <conditionalFormatting sqref="B162:B190">
    <cfRule type="duplicateValues" dxfId="111" priority="117"/>
  </conditionalFormatting>
  <conditionalFormatting sqref="B162:B230 B232:B233 B236:B238 B244:B245 B249 B252:B255 B257 B259:B273">
    <cfRule type="duplicateValues" dxfId="110" priority="114"/>
  </conditionalFormatting>
  <conditionalFormatting sqref="G162:G230 G232:G233 G236:G238 G244:G247 G249:G250 G252:G255 G257 G259:G273">
    <cfRule type="containsText" dxfId="109" priority="113" operator="containsText" text="SIM">
      <formula>NOT(ISERROR(SEARCH("SIM",G162)))</formula>
    </cfRule>
  </conditionalFormatting>
  <conditionalFormatting sqref="O186:O188 O182:O183 N180:O181 N178:N179 N182:N188 N162:O177 N191:N230 N232:N233 N236:N241 N244:N247 N252:N255 N259:N273 N257">
    <cfRule type="containsText" dxfId="108" priority="112" operator="containsText" text="NF LANÇADA">
      <formula>NOT(ISERROR(SEARCH("NF LANÇADA",N162)))</formula>
    </cfRule>
  </conditionalFormatting>
  <conditionalFormatting sqref="L162:L233 L236:L240 L244:L247 L249 L252:L255 L257 L259:L273">
    <cfRule type="cellIs" dxfId="107" priority="111" operator="equal">
      <formula>4502</formula>
    </cfRule>
  </conditionalFormatting>
  <conditionalFormatting sqref="N173:O174">
    <cfRule type="containsText" dxfId="106" priority="110" operator="containsText" text="NF LANÇADA">
      <formula>NOT(ISERROR(SEARCH("NF LANÇADA",N173)))</formula>
    </cfRule>
  </conditionalFormatting>
  <conditionalFormatting sqref="N178:O179">
    <cfRule type="containsText" dxfId="105" priority="109" operator="containsText" text="NF LANÇADA">
      <formula>NOT(ISERROR(SEARCH("NF LANÇADA",N178)))</formula>
    </cfRule>
  </conditionalFormatting>
  <conditionalFormatting sqref="N184">
    <cfRule type="containsText" dxfId="104" priority="107" operator="containsText" text="Aguardar NF">
      <formula>NOT(ISERROR(SEARCH("Aguardar NF",N184)))</formula>
    </cfRule>
    <cfRule type="containsText" dxfId="103" priority="108" operator="containsText" text="Aguardando pedido">
      <formula>NOT(ISERROR(SEARCH("Aguardando pedido",N184)))</formula>
    </cfRule>
  </conditionalFormatting>
  <conditionalFormatting sqref="N184">
    <cfRule type="containsText" dxfId="102" priority="106" operator="containsText" text="NF LANÇADA">
      <formula>NOT(ISERROR(SEARCH("NF LANÇADA",N184)))</formula>
    </cfRule>
  </conditionalFormatting>
  <conditionalFormatting sqref="N184">
    <cfRule type="containsText" dxfId="101" priority="105" operator="containsText" text="NF LANÇADA">
      <formula>NOT(ISERROR(SEARCH("NF LANÇADA",N184)))</formula>
    </cfRule>
  </conditionalFormatting>
  <conditionalFormatting sqref="N184">
    <cfRule type="containsText" dxfId="100" priority="104" operator="containsText" text="NF LANÇADA">
      <formula>NOT(ISERROR(SEARCH("NF LANÇADA",N184)))</formula>
    </cfRule>
  </conditionalFormatting>
  <conditionalFormatting sqref="O185">
    <cfRule type="containsText" dxfId="99" priority="102" operator="containsText" text="Aguardar NF">
      <formula>NOT(ISERROR(SEARCH("Aguardar NF",O185)))</formula>
    </cfRule>
    <cfRule type="containsText" dxfId="98" priority="103" operator="containsText" text="Aguardando pedido">
      <formula>NOT(ISERROR(SEARCH("Aguardando pedido",O185)))</formula>
    </cfRule>
  </conditionalFormatting>
  <conditionalFormatting sqref="O185">
    <cfRule type="containsText" dxfId="97" priority="101" operator="containsText" text="NF LANÇADA">
      <formula>NOT(ISERROR(SEARCH("NF LANÇADA",O185)))</formula>
    </cfRule>
  </conditionalFormatting>
  <conditionalFormatting sqref="B191:B192">
    <cfRule type="duplicateValues" dxfId="96" priority="100"/>
  </conditionalFormatting>
  <conditionalFormatting sqref="B193:B228">
    <cfRule type="duplicateValues" dxfId="95" priority="98"/>
  </conditionalFormatting>
  <conditionalFormatting sqref="A193:A230 A232:A233 A236:A238 A244:A245 A249 A252:A255 A257 A259:A273">
    <cfRule type="duplicateValues" dxfId="94" priority="99"/>
  </conditionalFormatting>
  <conditionalFormatting sqref="B229:B230">
    <cfRule type="duplicateValues" dxfId="93" priority="97"/>
  </conditionalFormatting>
  <conditionalFormatting sqref="B232:B233 B236:B238 B244:B245 B249 B252:B255 B257 B259:B273">
    <cfRule type="duplicateValues" dxfId="92" priority="96"/>
  </conditionalFormatting>
  <conditionalFormatting sqref="B231">
    <cfRule type="duplicateValues" dxfId="91" priority="95"/>
  </conditionalFormatting>
  <conditionalFormatting sqref="G231">
    <cfRule type="containsText" dxfId="90" priority="94" operator="containsText" text="SIM">
      <formula>NOT(ISERROR(SEARCH("SIM",G231)))</formula>
    </cfRule>
  </conditionalFormatting>
  <conditionalFormatting sqref="A231">
    <cfRule type="duplicateValues" dxfId="89" priority="93"/>
  </conditionalFormatting>
  <conditionalFormatting sqref="B231">
    <cfRule type="duplicateValues" dxfId="88" priority="92"/>
  </conditionalFormatting>
  <conditionalFormatting sqref="N231">
    <cfRule type="containsText" dxfId="87" priority="90" operator="containsText" text="Aguardar NF">
      <formula>NOT(ISERROR(SEARCH("Aguardar NF",N231)))</formula>
    </cfRule>
    <cfRule type="containsText" dxfId="86" priority="91" operator="containsText" text="Aguardando pedido">
      <formula>NOT(ISERROR(SEARCH("Aguardando pedido",N231)))</formula>
    </cfRule>
  </conditionalFormatting>
  <conditionalFormatting sqref="N231">
    <cfRule type="containsText" dxfId="85" priority="89" operator="containsText" text="NF LANÇADA">
      <formula>NOT(ISERROR(SEARCH("NF LANÇADA",N231)))</formula>
    </cfRule>
  </conditionalFormatting>
  <conditionalFormatting sqref="B234">
    <cfRule type="duplicateValues" dxfId="84" priority="88"/>
  </conditionalFormatting>
  <conditionalFormatting sqref="G234">
    <cfRule type="containsText" dxfId="83" priority="87" operator="containsText" text="SIM">
      <formula>NOT(ISERROR(SEARCH("SIM",G234)))</formula>
    </cfRule>
  </conditionalFormatting>
  <conditionalFormatting sqref="A234">
    <cfRule type="duplicateValues" dxfId="82" priority="86"/>
  </conditionalFormatting>
  <conditionalFormatting sqref="B234">
    <cfRule type="duplicateValues" dxfId="81" priority="85"/>
  </conditionalFormatting>
  <conditionalFormatting sqref="L234">
    <cfRule type="cellIs" dxfId="80" priority="84" operator="equal">
      <formula>4502</formula>
    </cfRule>
  </conditionalFormatting>
  <conditionalFormatting sqref="N234">
    <cfRule type="containsText" dxfId="79" priority="82" operator="containsText" text="Aguardar NF">
      <formula>NOT(ISERROR(SEARCH("Aguardar NF",N234)))</formula>
    </cfRule>
    <cfRule type="containsText" dxfId="78" priority="83" operator="containsText" text="Aguardando pedido">
      <formula>NOT(ISERROR(SEARCH("Aguardando pedido",N234)))</formula>
    </cfRule>
  </conditionalFormatting>
  <conditionalFormatting sqref="N234">
    <cfRule type="containsText" dxfId="77" priority="81" operator="containsText" text="NF LANÇADA">
      <formula>NOT(ISERROR(SEARCH("NF LANÇADA",N234)))</formula>
    </cfRule>
  </conditionalFormatting>
  <conditionalFormatting sqref="B235">
    <cfRule type="duplicateValues" dxfId="76" priority="79"/>
  </conditionalFormatting>
  <conditionalFormatting sqref="G235">
    <cfRule type="containsText" dxfId="75" priority="78" operator="containsText" text="SIM">
      <formula>NOT(ISERROR(SEARCH("SIM",G235)))</formula>
    </cfRule>
  </conditionalFormatting>
  <conditionalFormatting sqref="A235">
    <cfRule type="duplicateValues" dxfId="74" priority="80"/>
  </conditionalFormatting>
  <conditionalFormatting sqref="B235">
    <cfRule type="duplicateValues" dxfId="73" priority="77"/>
  </conditionalFormatting>
  <conditionalFormatting sqref="N235">
    <cfRule type="containsText" dxfId="72" priority="75" operator="containsText" text="Aguardar NF">
      <formula>NOT(ISERROR(SEARCH("Aguardar NF",N235)))</formula>
    </cfRule>
    <cfRule type="containsText" dxfId="71" priority="76" operator="containsText" text="Aguardando pedido">
      <formula>NOT(ISERROR(SEARCH("Aguardando pedido",N235)))</formula>
    </cfRule>
  </conditionalFormatting>
  <conditionalFormatting sqref="N235">
    <cfRule type="containsText" dxfId="70" priority="74" operator="containsText" text="NF LANÇADA">
      <formula>NOT(ISERROR(SEARCH("NF LANÇADA",N235)))</formula>
    </cfRule>
  </conditionalFormatting>
  <conditionalFormatting sqref="G239">
    <cfRule type="containsText" dxfId="69" priority="70" operator="containsText" text="SIM">
      <formula>NOT(ISERROR(SEARCH("SIM",G239)))</formula>
    </cfRule>
  </conditionalFormatting>
  <conditionalFormatting sqref="B239">
    <cfRule type="duplicateValues" dxfId="68" priority="71"/>
  </conditionalFormatting>
  <conditionalFormatting sqref="B239">
    <cfRule type="duplicateValues" dxfId="67" priority="72"/>
  </conditionalFormatting>
  <conditionalFormatting sqref="A239">
    <cfRule type="duplicateValues" dxfId="66" priority="73"/>
  </conditionalFormatting>
  <conditionalFormatting sqref="B240">
    <cfRule type="duplicateValues" dxfId="65" priority="69"/>
  </conditionalFormatting>
  <conditionalFormatting sqref="G240">
    <cfRule type="containsText" dxfId="64" priority="68" operator="containsText" text="SIM">
      <formula>NOT(ISERROR(SEARCH("SIM",G240)))</formula>
    </cfRule>
  </conditionalFormatting>
  <conditionalFormatting sqref="A240">
    <cfRule type="duplicateValues" dxfId="63" priority="67"/>
  </conditionalFormatting>
  <conditionalFormatting sqref="B240">
    <cfRule type="duplicateValues" dxfId="62" priority="66"/>
  </conditionalFormatting>
  <conditionalFormatting sqref="B241">
    <cfRule type="duplicateValues" dxfId="61" priority="65"/>
  </conditionalFormatting>
  <conditionalFormatting sqref="G241">
    <cfRule type="containsText" dxfId="60" priority="64" operator="containsText" text="SIM">
      <formula>NOT(ISERROR(SEARCH("SIM",G241)))</formula>
    </cfRule>
  </conditionalFormatting>
  <conditionalFormatting sqref="A241">
    <cfRule type="duplicateValues" dxfId="59" priority="63"/>
  </conditionalFormatting>
  <conditionalFormatting sqref="B241">
    <cfRule type="duplicateValues" dxfId="58" priority="62"/>
  </conditionalFormatting>
  <conditionalFormatting sqref="L241">
    <cfRule type="cellIs" dxfId="57" priority="61" operator="equal">
      <formula>4502</formula>
    </cfRule>
  </conditionalFormatting>
  <conditionalFormatting sqref="G242">
    <cfRule type="containsText" dxfId="56" priority="58" operator="containsText" text="SIM">
      <formula>NOT(ISERROR(SEARCH("SIM",G242)))</formula>
    </cfRule>
  </conditionalFormatting>
  <conditionalFormatting sqref="B242">
    <cfRule type="duplicateValues" dxfId="55" priority="55"/>
  </conditionalFormatting>
  <conditionalFormatting sqref="A242">
    <cfRule type="duplicateValues" dxfId="54" priority="56"/>
  </conditionalFormatting>
  <conditionalFormatting sqref="B242">
    <cfRule type="duplicateValues" dxfId="53" priority="54"/>
  </conditionalFormatting>
  <conditionalFormatting sqref="L242">
    <cfRule type="cellIs" dxfId="52" priority="53" operator="equal">
      <formula>4502</formula>
    </cfRule>
  </conditionalFormatting>
  <conditionalFormatting sqref="N242">
    <cfRule type="containsText" dxfId="51" priority="51" operator="containsText" text="Aguardar NF">
      <formula>NOT(ISERROR(SEARCH("Aguardar NF",N242)))</formula>
    </cfRule>
    <cfRule type="containsText" dxfId="50" priority="52" operator="containsText" text="Aguardando pedido">
      <formula>NOT(ISERROR(SEARCH("Aguardando pedido",N242)))</formula>
    </cfRule>
  </conditionalFormatting>
  <conditionalFormatting sqref="N242">
    <cfRule type="containsText" dxfId="49" priority="50" operator="containsText" text="NF LANÇADA">
      <formula>NOT(ISERROR(SEARCH("NF LANÇADA",N242)))</formula>
    </cfRule>
  </conditionalFormatting>
  <conditionalFormatting sqref="B243">
    <cfRule type="duplicateValues" dxfId="48" priority="49"/>
  </conditionalFormatting>
  <conditionalFormatting sqref="G243">
    <cfRule type="containsText" dxfId="47" priority="48" operator="containsText" text="SIM">
      <formula>NOT(ISERROR(SEARCH("SIM",G243)))</formula>
    </cfRule>
  </conditionalFormatting>
  <conditionalFormatting sqref="L243">
    <cfRule type="cellIs" dxfId="46" priority="47" operator="equal">
      <formula>4502</formula>
    </cfRule>
  </conditionalFormatting>
  <conditionalFormatting sqref="N243">
    <cfRule type="containsText" dxfId="45" priority="45" operator="containsText" text="Aguardar NF">
      <formula>NOT(ISERROR(SEARCH("Aguardar NF",N243)))</formula>
    </cfRule>
    <cfRule type="containsText" dxfId="44" priority="46" operator="containsText" text="Aguardando pedido">
      <formula>NOT(ISERROR(SEARCH("Aguardando pedido",N243)))</formula>
    </cfRule>
  </conditionalFormatting>
  <conditionalFormatting sqref="N243">
    <cfRule type="containsText" dxfId="43" priority="44" operator="containsText" text="NF LANÇADA">
      <formula>NOT(ISERROR(SEARCH("NF LANÇADA",N243)))</formula>
    </cfRule>
  </conditionalFormatting>
  <conditionalFormatting sqref="A246:A247">
    <cfRule type="duplicateValues" dxfId="42" priority="43"/>
  </conditionalFormatting>
  <conditionalFormatting sqref="G248">
    <cfRule type="containsText" dxfId="41" priority="42" operator="containsText" text="SIM">
      <formula>NOT(ISERROR(SEARCH("SIM",G248)))</formula>
    </cfRule>
  </conditionalFormatting>
  <conditionalFormatting sqref="B248">
    <cfRule type="duplicateValues" dxfId="40" priority="41"/>
  </conditionalFormatting>
  <conditionalFormatting sqref="B248">
    <cfRule type="duplicateValues" dxfId="39" priority="40"/>
  </conditionalFormatting>
  <conditionalFormatting sqref="L248">
    <cfRule type="cellIs" dxfId="38" priority="39" operator="equal">
      <formula>4502</formula>
    </cfRule>
  </conditionalFormatting>
  <conditionalFormatting sqref="N248:N249">
    <cfRule type="containsText" dxfId="37" priority="37" operator="containsText" text="Aguardar NF">
      <formula>NOT(ISERROR(SEARCH("Aguardar NF",N248)))</formula>
    </cfRule>
    <cfRule type="containsText" dxfId="36" priority="38" operator="containsText" text="Aguardando pedido">
      <formula>NOT(ISERROR(SEARCH("Aguardando pedido",N248)))</formula>
    </cfRule>
  </conditionalFormatting>
  <conditionalFormatting sqref="N248:N249">
    <cfRule type="containsText" dxfId="35" priority="36" operator="containsText" text="NF LANÇADA">
      <formula>NOT(ISERROR(SEARCH("NF LANÇADA",N248)))</formula>
    </cfRule>
  </conditionalFormatting>
  <conditionalFormatting sqref="B250">
    <cfRule type="duplicateValues" dxfId="34" priority="34"/>
  </conditionalFormatting>
  <conditionalFormatting sqref="A250">
    <cfRule type="duplicateValues" dxfId="33" priority="35"/>
  </conditionalFormatting>
  <conditionalFormatting sqref="B250">
    <cfRule type="duplicateValues" dxfId="32" priority="33"/>
  </conditionalFormatting>
  <conditionalFormatting sqref="L250">
    <cfRule type="cellIs" dxfId="31" priority="32" operator="equal">
      <formula>4502</formula>
    </cfRule>
  </conditionalFormatting>
  <conditionalFormatting sqref="N250">
    <cfRule type="containsText" dxfId="30" priority="27" operator="containsText" text="Aguardar NF">
      <formula>NOT(ISERROR(SEARCH("Aguardar NF",N250)))</formula>
    </cfRule>
    <cfRule type="containsText" dxfId="29" priority="28" operator="containsText" text="Aguardando pedido">
      <formula>NOT(ISERROR(SEARCH("Aguardando pedido",N250)))</formula>
    </cfRule>
  </conditionalFormatting>
  <conditionalFormatting sqref="N250">
    <cfRule type="containsText" dxfId="28" priority="26" operator="containsText" text="NF LANÇADA">
      <formula>NOT(ISERROR(SEARCH("NF LANÇADA",N250)))</formula>
    </cfRule>
  </conditionalFormatting>
  <conditionalFormatting sqref="B251">
    <cfRule type="duplicateValues" dxfId="27" priority="25"/>
  </conditionalFormatting>
  <conditionalFormatting sqref="A251">
    <cfRule type="duplicateValues" dxfId="26" priority="24"/>
  </conditionalFormatting>
  <conditionalFormatting sqref="B251">
    <cfRule type="duplicateValues" dxfId="25" priority="23"/>
  </conditionalFormatting>
  <conditionalFormatting sqref="G251">
    <cfRule type="containsText" dxfId="24" priority="22" operator="containsText" text="SIM">
      <formula>NOT(ISERROR(SEARCH("SIM",G251)))</formula>
    </cfRule>
  </conditionalFormatting>
  <conditionalFormatting sqref="L251">
    <cfRule type="cellIs" dxfId="23" priority="21" operator="equal">
      <formula>4502</formula>
    </cfRule>
  </conditionalFormatting>
  <conditionalFormatting sqref="N251">
    <cfRule type="containsText" dxfId="22" priority="19" operator="containsText" text="Aguardar NF">
      <formula>NOT(ISERROR(SEARCH("Aguardar NF",N251)))</formula>
    </cfRule>
    <cfRule type="containsText" dxfId="21" priority="20" operator="containsText" text="Aguardando pedido">
      <formula>NOT(ISERROR(SEARCH("Aguardando pedido",N251)))</formula>
    </cfRule>
  </conditionalFormatting>
  <conditionalFormatting sqref="N251">
    <cfRule type="containsText" dxfId="20" priority="18" operator="containsText" text="NF LANÇADA">
      <formula>NOT(ISERROR(SEARCH("NF LANÇADA",N251)))</formula>
    </cfRule>
  </conditionalFormatting>
  <conditionalFormatting sqref="B256">
    <cfRule type="duplicateValues" dxfId="19" priority="16"/>
  </conditionalFormatting>
  <conditionalFormatting sqref="A256">
    <cfRule type="duplicateValues" dxfId="18" priority="17"/>
  </conditionalFormatting>
  <conditionalFormatting sqref="B256">
    <cfRule type="duplicateValues" dxfId="17" priority="15"/>
  </conditionalFormatting>
  <conditionalFormatting sqref="G256">
    <cfRule type="containsText" dxfId="16" priority="14" operator="containsText" text="SIM">
      <formula>NOT(ISERROR(SEARCH("SIM",G256)))</formula>
    </cfRule>
  </conditionalFormatting>
  <conditionalFormatting sqref="L235">
    <cfRule type="cellIs" dxfId="15" priority="13" operator="equal">
      <formula>4502</formula>
    </cfRule>
  </conditionalFormatting>
  <conditionalFormatting sqref="L256">
    <cfRule type="cellIs" dxfId="14" priority="12" operator="equal">
      <formula>4502</formula>
    </cfRule>
  </conditionalFormatting>
  <conditionalFormatting sqref="N256">
    <cfRule type="containsText" dxfId="13" priority="10" operator="containsText" text="Aguardar NF">
      <formula>NOT(ISERROR(SEARCH("Aguardar NF",N256)))</formula>
    </cfRule>
    <cfRule type="containsText" dxfId="12" priority="11" operator="containsText" text="Aguardando pedido">
      <formula>NOT(ISERROR(SEARCH("Aguardando pedido",N256)))</formula>
    </cfRule>
  </conditionalFormatting>
  <conditionalFormatting sqref="N256">
    <cfRule type="containsText" dxfId="11" priority="9" operator="containsText" text="NF LANÇADA">
      <formula>NOT(ISERROR(SEARCH("NF LANÇADA",N256)))</formula>
    </cfRule>
  </conditionalFormatting>
  <conditionalFormatting sqref="B258">
    <cfRule type="duplicateValues" dxfId="10" priority="8"/>
  </conditionalFormatting>
  <conditionalFormatting sqref="A258">
    <cfRule type="duplicateValues" dxfId="9" priority="7"/>
  </conditionalFormatting>
  <conditionalFormatting sqref="B258">
    <cfRule type="duplicateValues" dxfId="8" priority="6"/>
  </conditionalFormatting>
  <conditionalFormatting sqref="G258">
    <cfRule type="containsText" dxfId="7" priority="5" operator="containsText" text="SIM">
      <formula>NOT(ISERROR(SEARCH("SIM",G258)))</formula>
    </cfRule>
  </conditionalFormatting>
  <conditionalFormatting sqref="N258">
    <cfRule type="containsText" dxfId="6" priority="3" operator="containsText" text="Aguardar NF">
      <formula>NOT(ISERROR(SEARCH("Aguardar NF",N258)))</formula>
    </cfRule>
    <cfRule type="containsText" dxfId="5" priority="4" operator="containsText" text="Aguardando pedido">
      <formula>NOT(ISERROR(SEARCH("Aguardando pedido",N258)))</formula>
    </cfRule>
  </conditionalFormatting>
  <conditionalFormatting sqref="N258">
    <cfRule type="containsText" dxfId="4" priority="2" operator="containsText" text="NF LANÇADA">
      <formula>NOT(ISERROR(SEARCH("NF LANÇADA",N258)))</formula>
    </cfRule>
  </conditionalFormatting>
  <conditionalFormatting sqref="L258">
    <cfRule type="cellIs" dxfId="3" priority="1" operator="equal">
      <formula>4502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I24"/>
  <sheetViews>
    <sheetView showGridLines="0" workbookViewId="0">
      <pane ySplit="1" topLeftCell="A5" activePane="bottomLeft" state="frozen"/>
      <selection pane="bottomLeft" activeCell="A11" activeCellId="2" sqref="A9:A10 A7 A11"/>
    </sheetView>
  </sheetViews>
  <sheetFormatPr defaultColWidth="9.28515625" defaultRowHeight="14.45"/>
  <cols>
    <col min="1" max="1" width="30.140625" customWidth="1"/>
    <col min="2" max="2" width="23.28515625" bestFit="1" customWidth="1"/>
    <col min="3" max="3" width="10.140625" bestFit="1" customWidth="1"/>
    <col min="4" max="4" width="11.5703125" hidden="1" customWidth="1"/>
    <col min="5" max="5" width="15" bestFit="1" customWidth="1"/>
    <col min="6" max="6" width="10.7109375" hidden="1" customWidth="1"/>
    <col min="7" max="7" width="8.7109375" bestFit="1" customWidth="1"/>
    <col min="8" max="8" width="25.28515625" hidden="1" customWidth="1"/>
    <col min="9" max="9" width="16.28515625" bestFit="1" customWidth="1"/>
    <col min="10" max="10" width="11.42578125" hidden="1" customWidth="1"/>
    <col min="11" max="11" width="17.7109375" bestFit="1" customWidth="1"/>
    <col min="12" max="12" width="21.5703125" hidden="1" customWidth="1"/>
    <col min="13" max="13" width="93.85546875" customWidth="1"/>
    <col min="14" max="30" width="11.5703125" hidden="1" customWidth="1"/>
    <col min="31" max="33" width="11.5703125" customWidth="1"/>
    <col min="35" max="35" width="9.5703125" bestFit="1" customWidth="1"/>
  </cols>
  <sheetData>
    <row r="1" spans="1:35">
      <c r="A1" s="7" t="s">
        <v>1104</v>
      </c>
      <c r="B1" s="7" t="s">
        <v>1105</v>
      </c>
      <c r="C1" s="7" t="s">
        <v>1106</v>
      </c>
      <c r="D1" s="7" t="s">
        <v>1107</v>
      </c>
      <c r="E1" s="8" t="s">
        <v>1108</v>
      </c>
      <c r="F1" s="7" t="s">
        <v>1109</v>
      </c>
      <c r="G1" s="7" t="s">
        <v>1110</v>
      </c>
      <c r="H1" s="7" t="s">
        <v>983</v>
      </c>
      <c r="I1" s="7" t="s">
        <v>1111</v>
      </c>
      <c r="J1" s="9" t="s">
        <v>1112</v>
      </c>
      <c r="K1" s="9" t="s">
        <v>1113</v>
      </c>
      <c r="L1" s="7" t="s">
        <v>1114</v>
      </c>
      <c r="M1" s="10" t="s">
        <v>1115</v>
      </c>
      <c r="N1" s="11">
        <v>45352</v>
      </c>
      <c r="O1" s="11">
        <v>45383</v>
      </c>
      <c r="P1" s="11">
        <v>45413</v>
      </c>
      <c r="Q1" s="11">
        <v>45444</v>
      </c>
      <c r="R1" s="11">
        <v>45474</v>
      </c>
      <c r="S1" s="11">
        <v>45505</v>
      </c>
      <c r="T1" s="11">
        <v>45536</v>
      </c>
      <c r="U1" s="11">
        <v>45566</v>
      </c>
      <c r="V1" s="11">
        <v>45597</v>
      </c>
      <c r="W1" s="11">
        <v>45627</v>
      </c>
      <c r="X1" s="11">
        <v>45658</v>
      </c>
      <c r="Y1" s="11">
        <v>45689</v>
      </c>
      <c r="Z1" s="11">
        <v>45717</v>
      </c>
      <c r="AA1" s="11">
        <v>45748</v>
      </c>
      <c r="AB1" s="11">
        <v>45778</v>
      </c>
      <c r="AC1" s="11">
        <v>45809</v>
      </c>
      <c r="AD1" s="11">
        <v>45839</v>
      </c>
      <c r="AE1" s="11">
        <v>45870</v>
      </c>
      <c r="AF1" s="11">
        <v>45901</v>
      </c>
      <c r="AG1" s="11">
        <v>45931</v>
      </c>
      <c r="AH1" s="11">
        <v>45962</v>
      </c>
      <c r="AI1" s="11">
        <v>45992</v>
      </c>
    </row>
    <row r="2" spans="1:35" hidden="1">
      <c r="A2" s="12" t="s">
        <v>1116</v>
      </c>
      <c r="B2" s="13" t="s">
        <v>1117</v>
      </c>
      <c r="C2" s="14">
        <v>112589</v>
      </c>
      <c r="D2" s="14">
        <v>14445</v>
      </c>
      <c r="E2" s="15">
        <v>146936.89000000001</v>
      </c>
      <c r="F2" s="14">
        <v>3623537</v>
      </c>
      <c r="G2" s="14">
        <v>3769130</v>
      </c>
      <c r="H2" s="14" t="s">
        <v>1118</v>
      </c>
      <c r="I2" s="14" t="s">
        <v>1119</v>
      </c>
      <c r="J2" s="16">
        <v>45313</v>
      </c>
      <c r="K2" s="16">
        <v>46043</v>
      </c>
      <c r="L2" s="14" t="s">
        <v>1120</v>
      </c>
      <c r="M2" s="17" t="s">
        <v>1121</v>
      </c>
      <c r="N2" s="14" t="s">
        <v>37</v>
      </c>
      <c r="O2" s="14" t="s">
        <v>37</v>
      </c>
      <c r="P2" s="14" t="s">
        <v>37</v>
      </c>
      <c r="Q2" s="14" t="s">
        <v>37</v>
      </c>
      <c r="R2" s="14" t="s">
        <v>37</v>
      </c>
      <c r="S2" s="14" t="s">
        <v>37</v>
      </c>
      <c r="T2" s="14" t="s">
        <v>37</v>
      </c>
      <c r="U2" s="14" t="s">
        <v>37</v>
      </c>
      <c r="V2" s="14" t="s">
        <v>37</v>
      </c>
      <c r="W2" s="14" t="s">
        <v>37</v>
      </c>
      <c r="X2" s="14" t="s">
        <v>37</v>
      </c>
      <c r="Y2" s="14" t="s">
        <v>37</v>
      </c>
      <c r="Z2" s="14" t="s">
        <v>37</v>
      </c>
      <c r="AA2" s="14" t="s">
        <v>37</v>
      </c>
      <c r="AB2" s="14" t="s">
        <v>37</v>
      </c>
      <c r="AC2" s="14" t="s">
        <v>37</v>
      </c>
      <c r="AD2" s="14" t="s">
        <v>37</v>
      </c>
      <c r="AE2" s="14" t="s">
        <v>37</v>
      </c>
      <c r="AF2" s="14" t="s">
        <v>37</v>
      </c>
      <c r="AG2" s="14" t="s">
        <v>37</v>
      </c>
      <c r="AH2" s="14" t="s">
        <v>37</v>
      </c>
      <c r="AI2" s="14" t="s">
        <v>37</v>
      </c>
    </row>
    <row r="3" spans="1:35" hidden="1">
      <c r="A3" s="18" t="s">
        <v>1122</v>
      </c>
      <c r="B3" s="18" t="s">
        <v>1123</v>
      </c>
      <c r="C3" s="19">
        <v>112325</v>
      </c>
      <c r="D3" s="19">
        <v>14277</v>
      </c>
      <c r="E3" s="20" t="s">
        <v>1124</v>
      </c>
      <c r="F3" s="19">
        <v>3623588</v>
      </c>
      <c r="G3" s="19">
        <v>3769114</v>
      </c>
      <c r="H3" s="19"/>
      <c r="I3" s="19" t="s">
        <v>1125</v>
      </c>
      <c r="J3" s="21">
        <v>45215</v>
      </c>
      <c r="K3" s="21">
        <v>45580</v>
      </c>
      <c r="L3" s="19" t="s">
        <v>1120</v>
      </c>
      <c r="M3" s="22" t="s">
        <v>1126</v>
      </c>
      <c r="N3" s="19" t="s">
        <v>37</v>
      </c>
      <c r="O3" s="19" t="s">
        <v>37</v>
      </c>
      <c r="P3" s="19" t="s">
        <v>37</v>
      </c>
      <c r="Q3" s="19" t="s">
        <v>37</v>
      </c>
      <c r="R3" s="19" t="s">
        <v>37</v>
      </c>
      <c r="S3" s="19" t="s">
        <v>37</v>
      </c>
      <c r="T3" s="19" t="s">
        <v>37</v>
      </c>
      <c r="U3" s="19" t="s">
        <v>64</v>
      </c>
      <c r="V3" s="19" t="s">
        <v>64</v>
      </c>
      <c r="W3" s="19" t="s">
        <v>64</v>
      </c>
      <c r="X3" s="19" t="s">
        <v>64</v>
      </c>
      <c r="Y3" s="19" t="s">
        <v>64</v>
      </c>
      <c r="Z3" s="19" t="s">
        <v>64</v>
      </c>
      <c r="AA3" s="19" t="s">
        <v>64</v>
      </c>
      <c r="AB3" s="19" t="s">
        <v>64</v>
      </c>
      <c r="AC3" s="19" t="s">
        <v>64</v>
      </c>
      <c r="AD3" s="19" t="s">
        <v>64</v>
      </c>
      <c r="AE3" s="19" t="s">
        <v>64</v>
      </c>
      <c r="AF3" s="19" t="s">
        <v>64</v>
      </c>
      <c r="AG3" s="19" t="s">
        <v>64</v>
      </c>
      <c r="AH3" s="19" t="s">
        <v>64</v>
      </c>
      <c r="AI3" s="19" t="s">
        <v>64</v>
      </c>
    </row>
    <row r="4" spans="1:35" hidden="1">
      <c r="A4" s="18" t="s">
        <v>1127</v>
      </c>
      <c r="B4" s="18" t="s">
        <v>1123</v>
      </c>
      <c r="C4" s="19">
        <v>111420</v>
      </c>
      <c r="D4" s="19">
        <v>13958</v>
      </c>
      <c r="E4" s="23">
        <v>31664.98</v>
      </c>
      <c r="F4" s="19"/>
      <c r="G4" s="19">
        <v>3763776</v>
      </c>
      <c r="H4" s="19" t="s">
        <v>1118</v>
      </c>
      <c r="I4" s="19" t="s">
        <v>1128</v>
      </c>
      <c r="J4" s="21">
        <v>45215</v>
      </c>
      <c r="K4" s="21">
        <v>45580</v>
      </c>
      <c r="L4" s="19" t="s">
        <v>1120</v>
      </c>
      <c r="M4" s="22" t="s">
        <v>1129</v>
      </c>
      <c r="N4" s="19" t="s">
        <v>37</v>
      </c>
      <c r="O4" s="19" t="s">
        <v>37</v>
      </c>
      <c r="P4" s="19" t="s">
        <v>37</v>
      </c>
      <c r="Q4" s="19" t="s">
        <v>37</v>
      </c>
      <c r="R4" s="19" t="s">
        <v>37</v>
      </c>
      <c r="S4" s="19" t="s">
        <v>37</v>
      </c>
      <c r="T4" s="19" t="s">
        <v>37</v>
      </c>
      <c r="U4" s="19" t="s">
        <v>37</v>
      </c>
      <c r="V4" s="19" t="s">
        <v>64</v>
      </c>
      <c r="W4" s="19" t="s">
        <v>64</v>
      </c>
      <c r="X4" s="19" t="s">
        <v>64</v>
      </c>
      <c r="Y4" s="19" t="s">
        <v>64</v>
      </c>
      <c r="Z4" s="19" t="s">
        <v>64</v>
      </c>
      <c r="AA4" s="19" t="s">
        <v>64</v>
      </c>
      <c r="AB4" s="19" t="s">
        <v>64</v>
      </c>
      <c r="AC4" s="19" t="s">
        <v>64</v>
      </c>
      <c r="AD4" s="19" t="s">
        <v>64</v>
      </c>
      <c r="AE4" s="19" t="s">
        <v>64</v>
      </c>
      <c r="AF4" s="19" t="s">
        <v>64</v>
      </c>
      <c r="AG4" s="19" t="s">
        <v>64</v>
      </c>
      <c r="AH4" s="19" t="s">
        <v>64</v>
      </c>
      <c r="AI4" s="19" t="s">
        <v>64</v>
      </c>
    </row>
    <row r="5" spans="1:35">
      <c r="A5" s="12" t="s">
        <v>1130</v>
      </c>
      <c r="B5" s="13" t="s">
        <v>1117</v>
      </c>
      <c r="C5" s="14">
        <v>111657</v>
      </c>
      <c r="D5" s="14">
        <v>3624</v>
      </c>
      <c r="E5" s="15">
        <v>4074.44</v>
      </c>
      <c r="F5" s="14">
        <v>3619858</v>
      </c>
      <c r="G5" s="14">
        <v>3766711</v>
      </c>
      <c r="H5" s="14" t="s">
        <v>1118</v>
      </c>
      <c r="I5" s="14" t="s">
        <v>1128</v>
      </c>
      <c r="J5" s="16">
        <v>41792</v>
      </c>
      <c r="K5" s="16">
        <v>72686</v>
      </c>
      <c r="L5" s="14" t="s">
        <v>1131</v>
      </c>
      <c r="M5" s="17" t="s">
        <v>1132</v>
      </c>
      <c r="N5" s="14" t="s">
        <v>37</v>
      </c>
      <c r="O5" s="14" t="s">
        <v>37</v>
      </c>
      <c r="P5" s="14" t="s">
        <v>37</v>
      </c>
      <c r="Q5" s="14" t="s">
        <v>37</v>
      </c>
      <c r="R5" s="14" t="s">
        <v>37</v>
      </c>
      <c r="S5" s="14" t="s">
        <v>37</v>
      </c>
      <c r="T5" s="14" t="s">
        <v>37</v>
      </c>
      <c r="U5" s="14" t="s">
        <v>37</v>
      </c>
      <c r="V5" s="14" t="s">
        <v>37</v>
      </c>
      <c r="W5" s="14" t="s">
        <v>37</v>
      </c>
      <c r="X5" s="14" t="s">
        <v>37</v>
      </c>
      <c r="Y5" s="14" t="s">
        <v>37</v>
      </c>
      <c r="Z5" s="14" t="s">
        <v>37</v>
      </c>
      <c r="AA5" s="14" t="s">
        <v>37</v>
      </c>
      <c r="AB5" s="14" t="s">
        <v>37</v>
      </c>
      <c r="AC5" s="14" t="s">
        <v>37</v>
      </c>
      <c r="AD5" s="14" t="s">
        <v>37</v>
      </c>
      <c r="AE5" s="14" t="s">
        <v>37</v>
      </c>
      <c r="AF5" s="14" t="s">
        <v>37</v>
      </c>
      <c r="AG5" s="14" t="s">
        <v>37</v>
      </c>
      <c r="AH5" s="14" t="s">
        <v>37</v>
      </c>
      <c r="AI5" s="14"/>
    </row>
    <row r="6" spans="1:35" ht="158.44999999999999" hidden="1">
      <c r="A6" s="12" t="s">
        <v>1133</v>
      </c>
      <c r="B6" s="13" t="s">
        <v>1134</v>
      </c>
      <c r="C6" s="14">
        <v>112382</v>
      </c>
      <c r="D6" s="14">
        <v>834</v>
      </c>
      <c r="E6" s="15">
        <v>13133.68</v>
      </c>
      <c r="F6" s="24">
        <v>3494194</v>
      </c>
      <c r="G6" s="24">
        <v>3741081</v>
      </c>
      <c r="H6" s="14">
        <v>2208</v>
      </c>
      <c r="I6" s="14" t="s">
        <v>1135</v>
      </c>
      <c r="J6" s="16">
        <v>40134</v>
      </c>
      <c r="K6" s="16">
        <v>73049</v>
      </c>
      <c r="L6" s="14" t="s">
        <v>1136</v>
      </c>
      <c r="M6" s="17" t="s">
        <v>1137</v>
      </c>
      <c r="N6" s="14" t="s">
        <v>37</v>
      </c>
      <c r="O6" s="14" t="s">
        <v>37</v>
      </c>
      <c r="P6" s="14" t="s">
        <v>37</v>
      </c>
      <c r="Q6" s="14" t="s">
        <v>37</v>
      </c>
      <c r="R6" s="14" t="s">
        <v>37</v>
      </c>
      <c r="S6" s="14" t="s">
        <v>37</v>
      </c>
      <c r="T6" s="14" t="s">
        <v>72</v>
      </c>
      <c r="U6" s="14" t="s">
        <v>37</v>
      </c>
      <c r="V6" s="14" t="s">
        <v>37</v>
      </c>
      <c r="W6" s="14" t="s">
        <v>37</v>
      </c>
      <c r="X6" s="25" t="s">
        <v>1138</v>
      </c>
      <c r="Y6" s="25" t="s">
        <v>1138</v>
      </c>
      <c r="Z6" s="25" t="s">
        <v>1138</v>
      </c>
      <c r="AA6" s="25" t="s">
        <v>1138</v>
      </c>
      <c r="AB6" s="25" t="s">
        <v>1138</v>
      </c>
      <c r="AC6" s="25" t="s">
        <v>1138</v>
      </c>
      <c r="AD6" s="25" t="s">
        <v>1138</v>
      </c>
      <c r="AE6" s="25" t="s">
        <v>1138</v>
      </c>
      <c r="AF6" s="25" t="s">
        <v>1138</v>
      </c>
      <c r="AG6" s="25" t="s">
        <v>1138</v>
      </c>
      <c r="AH6" s="25" t="s">
        <v>1138</v>
      </c>
      <c r="AI6" s="25" t="s">
        <v>1138</v>
      </c>
    </row>
    <row r="7" spans="1:35">
      <c r="A7" s="12" t="s">
        <v>1139</v>
      </c>
      <c r="B7" s="13" t="s">
        <v>1117</v>
      </c>
      <c r="C7" s="14">
        <v>112582</v>
      </c>
      <c r="D7" s="14">
        <v>14441</v>
      </c>
      <c r="E7" s="26">
        <v>1595.88</v>
      </c>
      <c r="F7" s="14">
        <v>3627916</v>
      </c>
      <c r="G7" s="14">
        <v>3773474</v>
      </c>
      <c r="H7" s="14" t="s">
        <v>1140</v>
      </c>
      <c r="I7" s="14" t="s">
        <v>1141</v>
      </c>
      <c r="J7" s="16">
        <v>45215</v>
      </c>
      <c r="K7" s="16">
        <v>45782</v>
      </c>
      <c r="L7" s="14" t="s">
        <v>1120</v>
      </c>
      <c r="M7" s="17" t="s">
        <v>1142</v>
      </c>
      <c r="N7" s="14" t="s">
        <v>37</v>
      </c>
      <c r="O7" s="14" t="s">
        <v>37</v>
      </c>
      <c r="P7" s="14" t="s">
        <v>37</v>
      </c>
      <c r="Q7" s="14" t="s">
        <v>37</v>
      </c>
      <c r="R7" s="14" t="s">
        <v>72</v>
      </c>
      <c r="S7" s="14" t="s">
        <v>37</v>
      </c>
      <c r="T7" s="14" t="s">
        <v>37</v>
      </c>
      <c r="U7" s="14" t="s">
        <v>37</v>
      </c>
      <c r="V7" s="14" t="s">
        <v>37</v>
      </c>
      <c r="W7" s="14" t="s">
        <v>37</v>
      </c>
      <c r="X7" s="14" t="s">
        <v>37</v>
      </c>
      <c r="Y7" s="14" t="s">
        <v>37</v>
      </c>
      <c r="Z7" s="14" t="s">
        <v>37</v>
      </c>
      <c r="AA7" s="14" t="s">
        <v>72</v>
      </c>
      <c r="AB7" s="14" t="s">
        <v>37</v>
      </c>
      <c r="AC7" s="14" t="s">
        <v>37</v>
      </c>
      <c r="AD7" s="14" t="s">
        <v>37</v>
      </c>
      <c r="AE7" s="14" t="s">
        <v>37</v>
      </c>
      <c r="AF7" s="14" t="s">
        <v>37</v>
      </c>
      <c r="AG7" s="14" t="s">
        <v>37</v>
      </c>
      <c r="AH7" s="14" t="s">
        <v>37</v>
      </c>
      <c r="AI7" s="14"/>
    </row>
    <row r="8" spans="1:35">
      <c r="A8" s="12" t="s">
        <v>1139</v>
      </c>
      <c r="B8" s="13" t="s">
        <v>1117</v>
      </c>
      <c r="C8" s="14">
        <v>112582</v>
      </c>
      <c r="D8" s="14">
        <v>14441</v>
      </c>
      <c r="E8" s="15">
        <v>521.95000000000005</v>
      </c>
      <c r="F8" s="14">
        <v>3631801</v>
      </c>
      <c r="G8" s="14">
        <v>3776543</v>
      </c>
      <c r="H8" s="14" t="s">
        <v>1140</v>
      </c>
      <c r="I8" s="14" t="s">
        <v>1141</v>
      </c>
      <c r="J8" s="16">
        <v>45215</v>
      </c>
      <c r="K8" s="16">
        <v>45782</v>
      </c>
      <c r="L8" s="14" t="s">
        <v>1120</v>
      </c>
      <c r="M8" s="17" t="s">
        <v>1143</v>
      </c>
      <c r="N8" s="14" t="s">
        <v>37</v>
      </c>
      <c r="O8" s="14" t="s">
        <v>37</v>
      </c>
      <c r="P8" s="14" t="s">
        <v>37</v>
      </c>
      <c r="Q8" s="14" t="s">
        <v>37</v>
      </c>
      <c r="R8" s="14" t="s">
        <v>37</v>
      </c>
      <c r="S8" s="14" t="s">
        <v>72</v>
      </c>
      <c r="T8" s="14" t="s">
        <v>37</v>
      </c>
      <c r="U8" s="14" t="s">
        <v>37</v>
      </c>
      <c r="V8" s="14" t="s">
        <v>37</v>
      </c>
      <c r="W8" s="14" t="s">
        <v>37</v>
      </c>
      <c r="X8" s="14" t="s">
        <v>37</v>
      </c>
      <c r="Y8" s="14" t="s">
        <v>37</v>
      </c>
      <c r="Z8" s="14" t="s">
        <v>37</v>
      </c>
      <c r="AA8" s="14" t="s">
        <v>37</v>
      </c>
      <c r="AB8" s="14" t="s">
        <v>72</v>
      </c>
      <c r="AC8" s="14" t="s">
        <v>37</v>
      </c>
      <c r="AD8" s="14" t="s">
        <v>37</v>
      </c>
      <c r="AE8" s="14" t="s">
        <v>37</v>
      </c>
      <c r="AF8" s="14" t="s">
        <v>37</v>
      </c>
      <c r="AG8" s="14" t="s">
        <v>37</v>
      </c>
      <c r="AH8" s="14" t="s">
        <v>37</v>
      </c>
      <c r="AI8" s="14" t="s">
        <v>37</v>
      </c>
    </row>
    <row r="9" spans="1:35">
      <c r="A9" s="12" t="s">
        <v>1144</v>
      </c>
      <c r="B9" s="13" t="s">
        <v>1117</v>
      </c>
      <c r="C9" s="14">
        <v>114403</v>
      </c>
      <c r="D9" s="14">
        <v>9655</v>
      </c>
      <c r="E9" s="15">
        <v>415</v>
      </c>
      <c r="F9" s="14">
        <v>3796459</v>
      </c>
      <c r="G9" s="14">
        <v>3934135</v>
      </c>
      <c r="H9" s="27">
        <v>2054</v>
      </c>
      <c r="I9" s="14" t="s">
        <v>1128</v>
      </c>
      <c r="J9" s="16">
        <v>43983</v>
      </c>
      <c r="K9" s="16" t="s">
        <v>1145</v>
      </c>
      <c r="L9" s="14" t="s">
        <v>1120</v>
      </c>
      <c r="M9" s="28" t="s">
        <v>1001</v>
      </c>
      <c r="N9" s="14" t="s">
        <v>35</v>
      </c>
      <c r="O9" s="14" t="s">
        <v>35</v>
      </c>
      <c r="P9" s="14" t="s">
        <v>35</v>
      </c>
      <c r="Q9" s="14" t="s">
        <v>35</v>
      </c>
      <c r="R9" s="14" t="s">
        <v>37</v>
      </c>
      <c r="S9" s="14" t="s">
        <v>37</v>
      </c>
      <c r="T9" s="14" t="s">
        <v>37</v>
      </c>
      <c r="U9" s="14" t="s">
        <v>37</v>
      </c>
      <c r="V9" s="14" t="s">
        <v>37</v>
      </c>
      <c r="W9" s="14" t="s">
        <v>37</v>
      </c>
      <c r="X9" s="14" t="s">
        <v>37</v>
      </c>
      <c r="Y9" s="14" t="s">
        <v>37</v>
      </c>
      <c r="Z9" s="14" t="s">
        <v>37</v>
      </c>
      <c r="AA9" s="14" t="s">
        <v>37</v>
      </c>
      <c r="AB9" s="14" t="s">
        <v>37</v>
      </c>
      <c r="AC9" s="14" t="s">
        <v>37</v>
      </c>
      <c r="AD9" s="14" t="s">
        <v>37</v>
      </c>
      <c r="AE9" s="14" t="s">
        <v>37</v>
      </c>
      <c r="AF9" s="14" t="s">
        <v>37</v>
      </c>
      <c r="AG9" s="14" t="s">
        <v>37</v>
      </c>
      <c r="AH9" s="14" t="s">
        <v>37</v>
      </c>
      <c r="AI9" s="14"/>
    </row>
    <row r="10" spans="1:35" ht="129.6">
      <c r="A10" s="12" t="s">
        <v>1146</v>
      </c>
      <c r="B10" s="13" t="s">
        <v>1117</v>
      </c>
      <c r="C10" s="14">
        <v>114402</v>
      </c>
      <c r="D10" s="14">
        <v>9654</v>
      </c>
      <c r="E10" s="15">
        <v>6250.23</v>
      </c>
      <c r="F10" s="14">
        <v>3796471</v>
      </c>
      <c r="G10" s="14">
        <v>3934127</v>
      </c>
      <c r="H10" s="27" t="s">
        <v>1013</v>
      </c>
      <c r="I10" s="14" t="s">
        <v>1128</v>
      </c>
      <c r="J10" s="16">
        <v>43983</v>
      </c>
      <c r="K10" s="16" t="s">
        <v>1145</v>
      </c>
      <c r="L10" s="14" t="s">
        <v>1120</v>
      </c>
      <c r="M10" s="28" t="s">
        <v>1147</v>
      </c>
      <c r="N10" s="14" t="s">
        <v>35</v>
      </c>
      <c r="O10" s="14" t="s">
        <v>35</v>
      </c>
      <c r="P10" s="14" t="s">
        <v>35</v>
      </c>
      <c r="Q10" s="14" t="s">
        <v>35</v>
      </c>
      <c r="R10" s="14" t="s">
        <v>72</v>
      </c>
      <c r="S10" s="14" t="s">
        <v>72</v>
      </c>
      <c r="T10" s="14" t="s">
        <v>72</v>
      </c>
      <c r="U10" s="14" t="s">
        <v>72</v>
      </c>
      <c r="V10" s="14" t="s">
        <v>37</v>
      </c>
      <c r="W10" s="14" t="s">
        <v>37</v>
      </c>
      <c r="X10" s="14" t="s">
        <v>37</v>
      </c>
      <c r="Y10" s="14" t="s">
        <v>37</v>
      </c>
      <c r="Z10" s="14" t="s">
        <v>37</v>
      </c>
      <c r="AA10" s="14" t="s">
        <v>37</v>
      </c>
      <c r="AB10" s="14" t="s">
        <v>37</v>
      </c>
      <c r="AC10" s="14" t="s">
        <v>37</v>
      </c>
      <c r="AD10" s="14" t="s">
        <v>37</v>
      </c>
      <c r="AE10" s="14" t="s">
        <v>37</v>
      </c>
      <c r="AF10" s="14" t="s">
        <v>37</v>
      </c>
      <c r="AG10" s="14" t="s">
        <v>37</v>
      </c>
      <c r="AH10" s="14" t="s">
        <v>37</v>
      </c>
      <c r="AI10" s="14"/>
    </row>
    <row r="11" spans="1:35">
      <c r="A11" s="12" t="s">
        <v>1148</v>
      </c>
      <c r="B11" s="13" t="s">
        <v>1117</v>
      </c>
      <c r="C11" s="14">
        <v>113132</v>
      </c>
      <c r="D11" s="14">
        <v>5835</v>
      </c>
      <c r="E11" s="15">
        <v>1321.16</v>
      </c>
      <c r="F11" s="14" t="s">
        <v>35</v>
      </c>
      <c r="G11" s="14" t="s">
        <v>35</v>
      </c>
      <c r="H11" s="14">
        <v>1295</v>
      </c>
      <c r="I11" s="14" t="s">
        <v>1149</v>
      </c>
      <c r="J11" s="16">
        <v>42555</v>
      </c>
      <c r="K11" s="16">
        <v>46387</v>
      </c>
      <c r="L11" s="14" t="s">
        <v>35</v>
      </c>
      <c r="M11" s="17" t="s">
        <v>1020</v>
      </c>
      <c r="N11" s="14" t="s">
        <v>37</v>
      </c>
      <c r="O11" s="14" t="s">
        <v>35</v>
      </c>
      <c r="P11" s="14" t="s">
        <v>35</v>
      </c>
      <c r="Q11" s="14" t="s">
        <v>35</v>
      </c>
      <c r="R11" s="14" t="s">
        <v>37</v>
      </c>
      <c r="S11" s="14" t="s">
        <v>37</v>
      </c>
      <c r="T11" s="14" t="s">
        <v>37</v>
      </c>
      <c r="U11" s="14" t="s">
        <v>72</v>
      </c>
      <c r="V11" s="14" t="s">
        <v>37</v>
      </c>
      <c r="W11" s="14" t="s">
        <v>37</v>
      </c>
      <c r="X11" s="14" t="s">
        <v>37</v>
      </c>
      <c r="Y11" s="14" t="s">
        <v>37</v>
      </c>
      <c r="Z11" s="14" t="s">
        <v>37</v>
      </c>
      <c r="AA11" s="14" t="s">
        <v>37</v>
      </c>
      <c r="AB11" s="14" t="s">
        <v>37</v>
      </c>
      <c r="AC11" s="14" t="s">
        <v>37</v>
      </c>
      <c r="AD11" s="14" t="s">
        <v>37</v>
      </c>
      <c r="AE11" s="14" t="s">
        <v>37</v>
      </c>
      <c r="AF11" s="14" t="s">
        <v>37</v>
      </c>
      <c r="AG11" s="14" t="s">
        <v>37</v>
      </c>
      <c r="AH11" s="14" t="s">
        <v>37</v>
      </c>
      <c r="AI11" s="14"/>
    </row>
    <row r="12" spans="1:35" hidden="1">
      <c r="A12" s="18" t="s">
        <v>1025</v>
      </c>
      <c r="B12" s="19" t="s">
        <v>1150</v>
      </c>
      <c r="C12" s="19">
        <v>119738</v>
      </c>
      <c r="D12" s="19">
        <v>15713</v>
      </c>
      <c r="E12" s="23">
        <v>7500</v>
      </c>
      <c r="F12" s="19">
        <v>3977321</v>
      </c>
      <c r="G12" s="19">
        <v>4106352</v>
      </c>
      <c r="H12" s="19">
        <v>1210</v>
      </c>
      <c r="I12" s="19" t="s">
        <v>1149</v>
      </c>
      <c r="J12" s="21">
        <v>45645</v>
      </c>
      <c r="K12" s="21">
        <v>45991</v>
      </c>
      <c r="L12" s="19" t="s">
        <v>1131</v>
      </c>
      <c r="M12" s="22" t="s">
        <v>1023</v>
      </c>
      <c r="N12" s="19" t="s">
        <v>35</v>
      </c>
      <c r="O12" s="19" t="s">
        <v>35</v>
      </c>
      <c r="P12" s="19" t="s">
        <v>35</v>
      </c>
      <c r="Q12" s="19" t="s">
        <v>35</v>
      </c>
      <c r="R12" s="19" t="s">
        <v>35</v>
      </c>
      <c r="S12" s="19" t="s">
        <v>35</v>
      </c>
      <c r="T12" s="19" t="s">
        <v>35</v>
      </c>
      <c r="U12" s="19" t="s">
        <v>35</v>
      </c>
      <c r="V12" s="19" t="s">
        <v>35</v>
      </c>
      <c r="W12" s="19" t="s">
        <v>35</v>
      </c>
      <c r="X12" s="19" t="s">
        <v>37</v>
      </c>
      <c r="Y12" s="19" t="s">
        <v>37</v>
      </c>
      <c r="Z12" s="19" t="s">
        <v>37</v>
      </c>
      <c r="AA12" s="19" t="s">
        <v>37</v>
      </c>
      <c r="AB12" s="19" t="s">
        <v>37</v>
      </c>
      <c r="AC12" s="19" t="s">
        <v>37</v>
      </c>
      <c r="AD12" s="19" t="s">
        <v>37</v>
      </c>
      <c r="AE12" s="19" t="s">
        <v>37</v>
      </c>
      <c r="AF12" s="19" t="s">
        <v>37</v>
      </c>
      <c r="AG12" s="19" t="s">
        <v>37</v>
      </c>
      <c r="AH12" s="19" t="s">
        <v>37</v>
      </c>
      <c r="AI12" s="19" t="s">
        <v>64</v>
      </c>
    </row>
    <row r="13" spans="1:35" hidden="1">
      <c r="A13" s="12" t="s">
        <v>1151</v>
      </c>
      <c r="B13" s="13" t="s">
        <v>1117</v>
      </c>
      <c r="C13" s="14">
        <v>128247</v>
      </c>
      <c r="D13" s="14">
        <v>18060</v>
      </c>
      <c r="E13" s="15">
        <v>8730</v>
      </c>
      <c r="F13" s="14">
        <v>4285976</v>
      </c>
      <c r="G13" s="14">
        <v>4412650</v>
      </c>
      <c r="H13" s="14">
        <v>1210</v>
      </c>
      <c r="I13" s="14" t="s">
        <v>1152</v>
      </c>
      <c r="J13" s="16">
        <v>45992</v>
      </c>
      <c r="K13" s="16" t="s">
        <v>1145</v>
      </c>
      <c r="L13" s="14" t="s">
        <v>1120</v>
      </c>
      <c r="M13" s="17" t="s">
        <v>1023</v>
      </c>
      <c r="N13" s="14"/>
      <c r="O13" s="14"/>
      <c r="P13" s="14"/>
      <c r="Q13" s="14"/>
      <c r="R13" s="14"/>
      <c r="S13" s="14"/>
      <c r="T13" s="14"/>
      <c r="U13" s="14"/>
      <c r="V13" s="14"/>
      <c r="W13" s="14"/>
      <c r="X13" s="14"/>
      <c r="Y13" s="14"/>
      <c r="Z13" s="14"/>
      <c r="AA13" s="14"/>
      <c r="AB13" s="14"/>
      <c r="AC13" s="14"/>
      <c r="AD13" s="14"/>
      <c r="AE13" s="14" t="s">
        <v>35</v>
      </c>
      <c r="AF13" s="14" t="s">
        <v>35</v>
      </c>
      <c r="AG13" s="14" t="s">
        <v>35</v>
      </c>
      <c r="AH13" s="14" t="s">
        <v>35</v>
      </c>
      <c r="AI13" s="14" t="s">
        <v>37</v>
      </c>
    </row>
    <row r="14" spans="1:35" ht="302.45" hidden="1">
      <c r="A14" s="12" t="s">
        <v>1027</v>
      </c>
      <c r="B14" s="13" t="s">
        <v>1117</v>
      </c>
      <c r="C14" s="14">
        <v>119950</v>
      </c>
      <c r="D14" s="14">
        <v>15839</v>
      </c>
      <c r="E14" s="15">
        <v>2750</v>
      </c>
      <c r="F14" s="14">
        <v>4002793</v>
      </c>
      <c r="G14" s="14">
        <v>4129082</v>
      </c>
      <c r="H14" s="27" t="s">
        <v>1153</v>
      </c>
      <c r="I14" s="14" t="s">
        <v>1141</v>
      </c>
      <c r="J14" s="16">
        <v>45689</v>
      </c>
      <c r="K14" s="16" t="s">
        <v>1145</v>
      </c>
      <c r="L14" s="14" t="s">
        <v>1131</v>
      </c>
      <c r="M14" s="28" t="s">
        <v>1154</v>
      </c>
      <c r="N14" s="14" t="s">
        <v>35</v>
      </c>
      <c r="O14" s="14" t="s">
        <v>35</v>
      </c>
      <c r="P14" s="14" t="s">
        <v>35</v>
      </c>
      <c r="Q14" s="14" t="s">
        <v>35</v>
      </c>
      <c r="R14" s="14" t="s">
        <v>35</v>
      </c>
      <c r="S14" s="14" t="s">
        <v>35</v>
      </c>
      <c r="T14" s="14" t="s">
        <v>35</v>
      </c>
      <c r="U14" s="14" t="s">
        <v>35</v>
      </c>
      <c r="V14" s="14" t="s">
        <v>35</v>
      </c>
      <c r="W14" s="14" t="s">
        <v>35</v>
      </c>
      <c r="X14" s="14" t="s">
        <v>35</v>
      </c>
      <c r="Y14" s="14" t="s">
        <v>35</v>
      </c>
      <c r="Z14" s="14" t="s">
        <v>37</v>
      </c>
      <c r="AA14" s="14" t="s">
        <v>37</v>
      </c>
      <c r="AB14" s="14" t="s">
        <v>37</v>
      </c>
      <c r="AC14" s="14" t="s">
        <v>37</v>
      </c>
      <c r="AD14" s="14" t="s">
        <v>37</v>
      </c>
      <c r="AE14" s="14" t="s">
        <v>37</v>
      </c>
      <c r="AF14" s="14" t="s">
        <v>37</v>
      </c>
      <c r="AG14" s="14" t="s">
        <v>37</v>
      </c>
      <c r="AH14" s="14" t="s">
        <v>37</v>
      </c>
      <c r="AI14" s="14" t="s">
        <v>37</v>
      </c>
    </row>
    <row r="15" spans="1:35" ht="28.9" hidden="1">
      <c r="A15" s="12" t="s">
        <v>244</v>
      </c>
      <c r="B15" s="13" t="s">
        <v>1117</v>
      </c>
      <c r="C15" s="14">
        <v>112762</v>
      </c>
      <c r="D15" s="14">
        <v>14442</v>
      </c>
      <c r="E15" s="15">
        <v>29471.02</v>
      </c>
      <c r="F15" s="29">
        <v>4004885</v>
      </c>
      <c r="G15" s="29">
        <v>4131474</v>
      </c>
      <c r="H15" s="30" t="s">
        <v>1048</v>
      </c>
      <c r="I15" s="29" t="s">
        <v>1155</v>
      </c>
      <c r="J15" s="16">
        <v>45292</v>
      </c>
      <c r="K15" s="16">
        <v>46022</v>
      </c>
      <c r="L15" s="14" t="s">
        <v>1156</v>
      </c>
      <c r="M15" s="28" t="s">
        <v>1157</v>
      </c>
      <c r="N15" s="14" t="s">
        <v>35</v>
      </c>
      <c r="O15" s="14" t="s">
        <v>35</v>
      </c>
      <c r="P15" s="14" t="s">
        <v>35</v>
      </c>
      <c r="Q15" s="14" t="s">
        <v>35</v>
      </c>
      <c r="R15" s="14" t="s">
        <v>35</v>
      </c>
      <c r="S15" s="14" t="s">
        <v>35</v>
      </c>
      <c r="T15" s="14" t="s">
        <v>35</v>
      </c>
      <c r="U15" s="14" t="s">
        <v>35</v>
      </c>
      <c r="V15" s="14" t="s">
        <v>35</v>
      </c>
      <c r="W15" s="14" t="s">
        <v>35</v>
      </c>
      <c r="X15" s="14" t="s">
        <v>37</v>
      </c>
      <c r="Y15" s="14" t="s">
        <v>37</v>
      </c>
      <c r="Z15" s="14" t="s">
        <v>37</v>
      </c>
      <c r="AA15" s="14" t="s">
        <v>37</v>
      </c>
      <c r="AB15" s="14" t="s">
        <v>37</v>
      </c>
      <c r="AC15" s="14" t="s">
        <v>37</v>
      </c>
      <c r="AD15" s="14" t="s">
        <v>37</v>
      </c>
      <c r="AE15" s="14" t="s">
        <v>37</v>
      </c>
      <c r="AF15" s="14" t="s">
        <v>37</v>
      </c>
      <c r="AG15" s="14" t="s">
        <v>37</v>
      </c>
      <c r="AH15" s="14" t="s">
        <v>37</v>
      </c>
      <c r="AI15" s="14" t="s">
        <v>37</v>
      </c>
    </row>
    <row r="16" spans="1:35" ht="28.9" hidden="1">
      <c r="A16" s="12" t="s">
        <v>54</v>
      </c>
      <c r="B16" s="13" t="s">
        <v>1117</v>
      </c>
      <c r="C16" s="14">
        <v>120411</v>
      </c>
      <c r="D16" s="14">
        <v>16000</v>
      </c>
      <c r="E16" s="31">
        <v>200</v>
      </c>
      <c r="F16" s="14">
        <v>4039778</v>
      </c>
      <c r="G16" s="14">
        <v>4165984</v>
      </c>
      <c r="H16" s="19" t="s">
        <v>1158</v>
      </c>
      <c r="I16" s="14" t="s">
        <v>1119</v>
      </c>
      <c r="J16" s="32">
        <v>45717</v>
      </c>
      <c r="K16" s="16" t="s">
        <v>1145</v>
      </c>
      <c r="L16" s="14" t="s">
        <v>1120</v>
      </c>
      <c r="M16" s="28" t="s">
        <v>1159</v>
      </c>
      <c r="N16" s="14" t="s">
        <v>35</v>
      </c>
      <c r="O16" s="14" t="s">
        <v>35</v>
      </c>
      <c r="P16" s="14" t="s">
        <v>35</v>
      </c>
      <c r="Q16" s="14" t="s">
        <v>35</v>
      </c>
      <c r="R16" s="14" t="s">
        <v>35</v>
      </c>
      <c r="S16" s="14" t="s">
        <v>35</v>
      </c>
      <c r="T16" s="14" t="s">
        <v>35</v>
      </c>
      <c r="U16" s="14" t="s">
        <v>35</v>
      </c>
      <c r="V16" s="14" t="s">
        <v>35</v>
      </c>
      <c r="W16" s="14" t="s">
        <v>35</v>
      </c>
      <c r="X16" s="14" t="s">
        <v>35</v>
      </c>
      <c r="Y16" s="14" t="s">
        <v>35</v>
      </c>
      <c r="Z16" s="14" t="s">
        <v>35</v>
      </c>
      <c r="AA16" s="14" t="s">
        <v>35</v>
      </c>
      <c r="AB16" s="14" t="s">
        <v>35</v>
      </c>
      <c r="AC16" s="14" t="s">
        <v>35</v>
      </c>
      <c r="AD16" s="14" t="s">
        <v>35</v>
      </c>
      <c r="AE16" s="14" t="s">
        <v>35</v>
      </c>
      <c r="AF16" s="14" t="s">
        <v>35</v>
      </c>
      <c r="AG16" s="14" t="s">
        <v>35</v>
      </c>
      <c r="AH16" s="14" t="s">
        <v>35</v>
      </c>
      <c r="AI16" s="14" t="s">
        <v>35</v>
      </c>
    </row>
    <row r="17" spans="1:35" ht="28.9" hidden="1">
      <c r="A17" s="12" t="s">
        <v>54</v>
      </c>
      <c r="B17" s="13" t="s">
        <v>1117</v>
      </c>
      <c r="C17" s="14">
        <v>120411</v>
      </c>
      <c r="D17" s="14">
        <v>16000</v>
      </c>
      <c r="E17" s="31">
        <v>210</v>
      </c>
      <c r="F17" s="14">
        <v>4039904</v>
      </c>
      <c r="G17" s="14">
        <v>4165989</v>
      </c>
      <c r="H17" s="19" t="s">
        <v>1158</v>
      </c>
      <c r="I17" s="14" t="s">
        <v>1119</v>
      </c>
      <c r="J17" s="32">
        <v>45717</v>
      </c>
      <c r="K17" s="16" t="s">
        <v>1145</v>
      </c>
      <c r="L17" s="14" t="s">
        <v>1120</v>
      </c>
      <c r="M17" s="28" t="s">
        <v>1160</v>
      </c>
      <c r="N17" s="14" t="s">
        <v>35</v>
      </c>
      <c r="O17" s="14" t="s">
        <v>35</v>
      </c>
      <c r="P17" s="14" t="s">
        <v>35</v>
      </c>
      <c r="Q17" s="14" t="s">
        <v>35</v>
      </c>
      <c r="R17" s="14" t="s">
        <v>35</v>
      </c>
      <c r="S17" s="14" t="s">
        <v>35</v>
      </c>
      <c r="T17" s="14" t="s">
        <v>35</v>
      </c>
      <c r="U17" s="14" t="s">
        <v>35</v>
      </c>
      <c r="V17" s="14" t="s">
        <v>35</v>
      </c>
      <c r="W17" s="14" t="s">
        <v>35</v>
      </c>
      <c r="X17" s="14" t="s">
        <v>35</v>
      </c>
      <c r="Y17" s="14" t="s">
        <v>35</v>
      </c>
      <c r="Z17" s="14" t="s">
        <v>35</v>
      </c>
      <c r="AA17" s="14" t="s">
        <v>35</v>
      </c>
      <c r="AB17" s="14" t="s">
        <v>35</v>
      </c>
      <c r="AC17" s="14" t="s">
        <v>35</v>
      </c>
      <c r="AD17" s="14" t="s">
        <v>35</v>
      </c>
      <c r="AE17" s="14" t="s">
        <v>35</v>
      </c>
      <c r="AF17" s="14" t="s">
        <v>35</v>
      </c>
      <c r="AG17" s="14" t="s">
        <v>35</v>
      </c>
      <c r="AH17" s="14" t="s">
        <v>35</v>
      </c>
      <c r="AI17" s="14" t="s">
        <v>35</v>
      </c>
    </row>
    <row r="18" spans="1:35" ht="28.9" hidden="1">
      <c r="A18" s="12" t="s">
        <v>54</v>
      </c>
      <c r="B18" s="13" t="s">
        <v>1117</v>
      </c>
      <c r="C18" s="14">
        <v>120411</v>
      </c>
      <c r="D18" s="14">
        <v>16000</v>
      </c>
      <c r="E18" s="31">
        <v>290</v>
      </c>
      <c r="F18" s="14">
        <v>4039909</v>
      </c>
      <c r="G18" s="19"/>
      <c r="H18" s="19" t="s">
        <v>1158</v>
      </c>
      <c r="I18" s="14" t="s">
        <v>1119</v>
      </c>
      <c r="J18" s="32">
        <v>45717</v>
      </c>
      <c r="K18" s="16" t="s">
        <v>1145</v>
      </c>
      <c r="L18" s="14" t="s">
        <v>1120</v>
      </c>
      <c r="M18" s="28" t="s">
        <v>1161</v>
      </c>
      <c r="N18" s="14" t="s">
        <v>35</v>
      </c>
      <c r="O18" s="14" t="s">
        <v>35</v>
      </c>
      <c r="P18" s="14" t="s">
        <v>35</v>
      </c>
      <c r="Q18" s="14" t="s">
        <v>35</v>
      </c>
      <c r="R18" s="14" t="s">
        <v>35</v>
      </c>
      <c r="S18" s="14" t="s">
        <v>35</v>
      </c>
      <c r="T18" s="14" t="s">
        <v>35</v>
      </c>
      <c r="U18" s="14" t="s">
        <v>35</v>
      </c>
      <c r="V18" s="14" t="s">
        <v>35</v>
      </c>
      <c r="W18" s="14" t="s">
        <v>35</v>
      </c>
      <c r="X18" s="14" t="s">
        <v>35</v>
      </c>
      <c r="Y18" s="14" t="s">
        <v>35</v>
      </c>
      <c r="Z18" s="14" t="s">
        <v>35</v>
      </c>
      <c r="AA18" s="14" t="s">
        <v>35</v>
      </c>
      <c r="AB18" s="14" t="s">
        <v>35</v>
      </c>
      <c r="AC18" s="14" t="s">
        <v>35</v>
      </c>
      <c r="AD18" s="14" t="s">
        <v>35</v>
      </c>
      <c r="AE18" s="14" t="s">
        <v>35</v>
      </c>
      <c r="AF18" s="14" t="s">
        <v>35</v>
      </c>
      <c r="AG18" s="14" t="s">
        <v>35</v>
      </c>
      <c r="AH18" s="14" t="s">
        <v>35</v>
      </c>
      <c r="AI18" s="14" t="s">
        <v>35</v>
      </c>
    </row>
    <row r="19" spans="1:35" ht="69" hidden="1" customHeight="1">
      <c r="A19" s="12" t="s">
        <v>254</v>
      </c>
      <c r="B19" s="13" t="s">
        <v>1117</v>
      </c>
      <c r="C19" s="14">
        <v>121666</v>
      </c>
      <c r="D19" s="14">
        <v>16242</v>
      </c>
      <c r="E19" s="15">
        <v>27196.67</v>
      </c>
      <c r="F19" s="14">
        <v>4083066</v>
      </c>
      <c r="G19" s="33">
        <v>4206828</v>
      </c>
      <c r="H19" s="27">
        <v>1210</v>
      </c>
      <c r="I19" s="14" t="s">
        <v>1152</v>
      </c>
      <c r="J19" s="16">
        <v>45717</v>
      </c>
      <c r="K19" s="16">
        <v>46813</v>
      </c>
      <c r="L19" s="14" t="s">
        <v>1162</v>
      </c>
      <c r="M19" s="28" t="s">
        <v>1163</v>
      </c>
      <c r="N19" s="14" t="s">
        <v>35</v>
      </c>
      <c r="O19" s="14" t="s">
        <v>35</v>
      </c>
      <c r="P19" s="14" t="s">
        <v>35</v>
      </c>
      <c r="Q19" s="14" t="s">
        <v>35</v>
      </c>
      <c r="R19" s="14" t="s">
        <v>35</v>
      </c>
      <c r="S19" s="14" t="s">
        <v>35</v>
      </c>
      <c r="T19" s="14" t="s">
        <v>35</v>
      </c>
      <c r="U19" s="14" t="s">
        <v>35</v>
      </c>
      <c r="V19" s="14" t="s">
        <v>35</v>
      </c>
      <c r="W19" s="14" t="s">
        <v>35</v>
      </c>
      <c r="X19" s="14" t="s">
        <v>35</v>
      </c>
      <c r="Y19" s="14" t="s">
        <v>35</v>
      </c>
      <c r="Z19" s="14" t="s">
        <v>35</v>
      </c>
      <c r="AA19" s="14" t="s">
        <v>35</v>
      </c>
      <c r="AB19" s="14" t="s">
        <v>37</v>
      </c>
      <c r="AC19" s="14" t="s">
        <v>37</v>
      </c>
      <c r="AD19" s="14" t="s">
        <v>37</v>
      </c>
      <c r="AE19" s="14" t="s">
        <v>37</v>
      </c>
      <c r="AF19" s="14" t="s">
        <v>37</v>
      </c>
      <c r="AG19" s="14" t="s">
        <v>37</v>
      </c>
      <c r="AH19" s="14" t="s">
        <v>37</v>
      </c>
      <c r="AI19" s="14" t="s">
        <v>37</v>
      </c>
    </row>
    <row r="20" spans="1:35" ht="28.9" hidden="1">
      <c r="A20" s="12" t="s">
        <v>1093</v>
      </c>
      <c r="B20" s="13" t="s">
        <v>1117</v>
      </c>
      <c r="C20" s="14">
        <v>122708</v>
      </c>
      <c r="D20" s="14">
        <v>16445</v>
      </c>
      <c r="E20" s="15">
        <v>4550</v>
      </c>
      <c r="F20" s="14">
        <v>4125154</v>
      </c>
      <c r="G20" s="33">
        <v>4245451</v>
      </c>
      <c r="H20" s="19" t="s">
        <v>1158</v>
      </c>
      <c r="I20" s="14" t="s">
        <v>1164</v>
      </c>
      <c r="J20" s="16">
        <v>45805</v>
      </c>
      <c r="K20" s="16" t="s">
        <v>1145</v>
      </c>
      <c r="L20" s="14"/>
      <c r="M20" s="28" t="s">
        <v>1165</v>
      </c>
      <c r="N20" s="14" t="s">
        <v>35</v>
      </c>
      <c r="O20" s="14" t="s">
        <v>35</v>
      </c>
      <c r="P20" s="14" t="s">
        <v>35</v>
      </c>
      <c r="Q20" s="14" t="s">
        <v>35</v>
      </c>
      <c r="R20" s="14" t="s">
        <v>35</v>
      </c>
      <c r="S20" s="14" t="s">
        <v>35</v>
      </c>
      <c r="T20" s="14" t="s">
        <v>35</v>
      </c>
      <c r="U20" s="14" t="s">
        <v>35</v>
      </c>
      <c r="V20" s="14" t="s">
        <v>35</v>
      </c>
      <c r="W20" s="14" t="s">
        <v>35</v>
      </c>
      <c r="X20" s="14" t="s">
        <v>35</v>
      </c>
      <c r="Y20" s="14" t="s">
        <v>35</v>
      </c>
      <c r="Z20" s="14" t="s">
        <v>35</v>
      </c>
      <c r="AA20" s="14" t="s">
        <v>35</v>
      </c>
      <c r="AB20" s="14" t="s">
        <v>35</v>
      </c>
      <c r="AC20" s="14" t="s">
        <v>35</v>
      </c>
      <c r="AD20" s="14" t="s">
        <v>35</v>
      </c>
      <c r="AE20" s="14" t="s">
        <v>35</v>
      </c>
      <c r="AF20" s="14" t="s">
        <v>35</v>
      </c>
      <c r="AG20" s="14" t="s">
        <v>35</v>
      </c>
      <c r="AH20" s="14" t="s">
        <v>35</v>
      </c>
      <c r="AI20" s="14" t="s">
        <v>35</v>
      </c>
    </row>
    <row r="21" spans="1:35" ht="28.9" hidden="1">
      <c r="A21" s="12" t="s">
        <v>1093</v>
      </c>
      <c r="B21" s="13" t="s">
        <v>1117</v>
      </c>
      <c r="C21" s="14">
        <v>122708</v>
      </c>
      <c r="D21" s="14">
        <v>16445</v>
      </c>
      <c r="E21" s="15">
        <v>6150</v>
      </c>
      <c r="F21" s="14">
        <v>4125189</v>
      </c>
      <c r="G21" s="33">
        <v>4245547</v>
      </c>
      <c r="H21" s="19" t="s">
        <v>1158</v>
      </c>
      <c r="I21" s="14" t="s">
        <v>1164</v>
      </c>
      <c r="J21" s="16">
        <v>45805</v>
      </c>
      <c r="K21" s="16" t="s">
        <v>1145</v>
      </c>
      <c r="L21" s="14"/>
      <c r="M21" s="28" t="s">
        <v>1166</v>
      </c>
      <c r="N21" s="14" t="s">
        <v>35</v>
      </c>
      <c r="O21" s="14" t="s">
        <v>35</v>
      </c>
      <c r="P21" s="14" t="s">
        <v>35</v>
      </c>
      <c r="Q21" s="14" t="s">
        <v>35</v>
      </c>
      <c r="R21" s="14" t="s">
        <v>35</v>
      </c>
      <c r="S21" s="14" t="s">
        <v>35</v>
      </c>
      <c r="T21" s="14" t="s">
        <v>35</v>
      </c>
      <c r="U21" s="14" t="s">
        <v>35</v>
      </c>
      <c r="V21" s="14" t="s">
        <v>35</v>
      </c>
      <c r="W21" s="14" t="s">
        <v>35</v>
      </c>
      <c r="X21" s="14" t="s">
        <v>35</v>
      </c>
      <c r="Y21" s="14" t="s">
        <v>35</v>
      </c>
      <c r="Z21" s="14" t="s">
        <v>35</v>
      </c>
      <c r="AA21" s="14" t="s">
        <v>35</v>
      </c>
      <c r="AB21" s="14" t="s">
        <v>35</v>
      </c>
      <c r="AC21" s="14" t="s">
        <v>35</v>
      </c>
      <c r="AD21" s="14" t="s">
        <v>35</v>
      </c>
      <c r="AE21" s="14" t="s">
        <v>35</v>
      </c>
      <c r="AF21" s="14" t="s">
        <v>35</v>
      </c>
      <c r="AG21" s="14" t="s">
        <v>35</v>
      </c>
      <c r="AH21" s="14" t="s">
        <v>35</v>
      </c>
      <c r="AI21" s="14" t="s">
        <v>35</v>
      </c>
    </row>
    <row r="22" spans="1:35" ht="129.6" hidden="1">
      <c r="A22" s="12" t="s">
        <v>1093</v>
      </c>
      <c r="B22" s="13" t="s">
        <v>1117</v>
      </c>
      <c r="C22" s="14">
        <v>122708</v>
      </c>
      <c r="D22" s="14">
        <v>16445</v>
      </c>
      <c r="E22" s="34" t="s">
        <v>1167</v>
      </c>
      <c r="F22" s="14">
        <v>4125235</v>
      </c>
      <c r="G22" s="33">
        <v>4245557</v>
      </c>
      <c r="H22" s="19" t="s">
        <v>1158</v>
      </c>
      <c r="I22" s="14" t="s">
        <v>1164</v>
      </c>
      <c r="J22" s="16">
        <v>45805</v>
      </c>
      <c r="K22" s="16" t="s">
        <v>1145</v>
      </c>
      <c r="L22" s="14"/>
      <c r="M22" s="28" t="s">
        <v>1168</v>
      </c>
      <c r="N22" s="14" t="s">
        <v>35</v>
      </c>
      <c r="O22" s="14" t="s">
        <v>35</v>
      </c>
      <c r="P22" s="14" t="s">
        <v>35</v>
      </c>
      <c r="Q22" s="14" t="s">
        <v>35</v>
      </c>
      <c r="R22" s="14" t="s">
        <v>35</v>
      </c>
      <c r="S22" s="14" t="s">
        <v>35</v>
      </c>
      <c r="T22" s="14" t="s">
        <v>35</v>
      </c>
      <c r="U22" s="14" t="s">
        <v>35</v>
      </c>
      <c r="V22" s="14" t="s">
        <v>35</v>
      </c>
      <c r="W22" s="14" t="s">
        <v>35</v>
      </c>
      <c r="X22" s="14" t="s">
        <v>35</v>
      </c>
      <c r="Y22" s="14" t="s">
        <v>35</v>
      </c>
      <c r="Z22" s="14" t="s">
        <v>35</v>
      </c>
      <c r="AA22" s="14" t="s">
        <v>35</v>
      </c>
      <c r="AB22" s="14" t="s">
        <v>35</v>
      </c>
      <c r="AC22" s="14" t="s">
        <v>35</v>
      </c>
      <c r="AD22" s="14" t="s">
        <v>35</v>
      </c>
      <c r="AE22" s="14" t="s">
        <v>35</v>
      </c>
      <c r="AF22" s="14" t="s">
        <v>35</v>
      </c>
      <c r="AG22" s="14" t="s">
        <v>35</v>
      </c>
      <c r="AH22" s="14" t="s">
        <v>35</v>
      </c>
      <c r="AI22" s="14" t="s">
        <v>35</v>
      </c>
    </row>
    <row r="23" spans="1:35" hidden="1">
      <c r="A23" s="12" t="s">
        <v>1093</v>
      </c>
      <c r="B23" s="13" t="s">
        <v>1117</v>
      </c>
      <c r="C23" s="14">
        <v>122708</v>
      </c>
      <c r="D23" s="14">
        <v>16445</v>
      </c>
      <c r="E23" s="34"/>
      <c r="F23" s="27">
        <v>4168151</v>
      </c>
      <c r="G23" s="33">
        <v>4324442</v>
      </c>
      <c r="H23" s="19" t="s">
        <v>1158</v>
      </c>
      <c r="I23" s="14" t="s">
        <v>1164</v>
      </c>
      <c r="J23" s="16">
        <v>45875</v>
      </c>
      <c r="K23" s="16" t="s">
        <v>1145</v>
      </c>
      <c r="L23" s="14"/>
      <c r="M23" s="203" t="s">
        <v>1169</v>
      </c>
      <c r="N23" s="14" t="s">
        <v>35</v>
      </c>
      <c r="O23" s="14" t="s">
        <v>35</v>
      </c>
      <c r="P23" s="14" t="s">
        <v>35</v>
      </c>
      <c r="Q23" s="14" t="s">
        <v>35</v>
      </c>
      <c r="R23" s="14" t="s">
        <v>35</v>
      </c>
      <c r="S23" s="14" t="s">
        <v>35</v>
      </c>
      <c r="T23" s="14" t="s">
        <v>35</v>
      </c>
      <c r="U23" s="14" t="s">
        <v>35</v>
      </c>
      <c r="V23" s="14" t="s">
        <v>35</v>
      </c>
      <c r="W23" s="14" t="s">
        <v>35</v>
      </c>
      <c r="X23" s="14" t="s">
        <v>35</v>
      </c>
      <c r="Y23" s="14" t="s">
        <v>35</v>
      </c>
      <c r="Z23" s="14" t="s">
        <v>35</v>
      </c>
      <c r="AA23" s="14" t="s">
        <v>35</v>
      </c>
      <c r="AB23" s="14" t="s">
        <v>35</v>
      </c>
      <c r="AC23" s="14" t="s">
        <v>35</v>
      </c>
      <c r="AD23" s="14" t="s">
        <v>35</v>
      </c>
      <c r="AE23" s="14" t="s">
        <v>35</v>
      </c>
      <c r="AF23" s="14" t="s">
        <v>35</v>
      </c>
      <c r="AG23" s="14" t="s">
        <v>35</v>
      </c>
      <c r="AH23" s="14" t="s">
        <v>35</v>
      </c>
      <c r="AI23" s="14" t="s">
        <v>35</v>
      </c>
    </row>
    <row r="24" spans="1:35" ht="72" hidden="1">
      <c r="A24" s="12" t="s">
        <v>1170</v>
      </c>
      <c r="B24" s="13" t="s">
        <v>1117</v>
      </c>
      <c r="C24" s="14">
        <v>128212</v>
      </c>
      <c r="D24" s="14">
        <v>18036</v>
      </c>
      <c r="E24" s="34" t="s">
        <v>1171</v>
      </c>
      <c r="F24" s="14">
        <v>4264873</v>
      </c>
      <c r="G24" s="33">
        <v>4412622</v>
      </c>
      <c r="H24" s="19" t="s">
        <v>1158</v>
      </c>
      <c r="I24" s="14" t="s">
        <v>1119</v>
      </c>
      <c r="J24" s="16">
        <v>45946</v>
      </c>
      <c r="K24" s="16" t="s">
        <v>1145</v>
      </c>
      <c r="L24" s="14" t="s">
        <v>1162</v>
      </c>
      <c r="M24" s="28" t="s">
        <v>1172</v>
      </c>
      <c r="N24" s="14"/>
      <c r="O24" s="14"/>
      <c r="P24" s="14"/>
      <c r="Q24" s="14"/>
      <c r="R24" s="14"/>
      <c r="S24" s="14"/>
      <c r="T24" s="14"/>
      <c r="U24" s="14"/>
      <c r="V24" s="14"/>
      <c r="W24" s="14"/>
      <c r="X24" s="14"/>
      <c r="Y24" s="14"/>
      <c r="Z24" s="14"/>
      <c r="AA24" s="14"/>
      <c r="AB24" s="14"/>
      <c r="AC24" s="14"/>
      <c r="AD24" s="14"/>
      <c r="AE24" s="14" t="s">
        <v>35</v>
      </c>
      <c r="AF24" s="14" t="s">
        <v>35</v>
      </c>
      <c r="AG24" s="14" t="s">
        <v>35</v>
      </c>
      <c r="AH24" s="14" t="s">
        <v>35</v>
      </c>
      <c r="AI24" s="14" t="s">
        <v>35</v>
      </c>
    </row>
  </sheetData>
  <autoFilter ref="A1:AI24" xr:uid="{00000000-0009-0000-0000-000003000000}">
    <filterColumn colId="34">
      <filters blank="1"/>
    </filterColumn>
  </autoFilter>
  <conditionalFormatting sqref="F23">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31"/>
  <sheetViews>
    <sheetView showGridLines="0" workbookViewId="0">
      <selection activeCell="B5" sqref="B5"/>
    </sheetView>
  </sheetViews>
  <sheetFormatPr defaultRowHeight="14.45"/>
  <cols>
    <col min="2" max="2" width="47.5703125" customWidth="1"/>
    <col min="5" max="6" width="18.42578125" customWidth="1"/>
    <col min="9" max="9" width="16.7109375" customWidth="1"/>
  </cols>
  <sheetData>
    <row r="1" spans="2:11">
      <c r="D1" s="35"/>
      <c r="F1" s="36"/>
    </row>
    <row r="2" spans="2:11">
      <c r="B2" s="37" t="s">
        <v>1173</v>
      </c>
      <c r="C2" s="35"/>
      <c r="D2" s="35"/>
      <c r="F2" s="36"/>
    </row>
    <row r="3" spans="2:11">
      <c r="B3" s="38" t="s">
        <v>1174</v>
      </c>
      <c r="C3" s="35"/>
      <c r="D3" s="35"/>
      <c r="F3" s="36"/>
    </row>
    <row r="4" spans="2:11">
      <c r="F4" s="36"/>
    </row>
    <row r="5" spans="2:11" ht="120.75" customHeight="1">
      <c r="B5" s="39" t="s">
        <v>1085</v>
      </c>
      <c r="F5" s="36"/>
    </row>
    <row r="6" spans="2:11">
      <c r="D6" s="35" t="s">
        <v>1175</v>
      </c>
      <c r="E6" t="s">
        <v>983</v>
      </c>
      <c r="F6" s="36"/>
    </row>
    <row r="7" spans="2:11">
      <c r="B7" t="s">
        <v>1176</v>
      </c>
      <c r="D7" s="40">
        <v>6.9999835723555601E-2</v>
      </c>
      <c r="E7" s="41">
        <v>2054</v>
      </c>
      <c r="F7" s="42">
        <f>D7*$B$8</f>
        <v>437.51507323443889</v>
      </c>
      <c r="G7" s="36"/>
      <c r="I7">
        <v>426.11</v>
      </c>
      <c r="J7" s="43">
        <f>I7/$I$15</f>
        <v>6.9999835723555601E-2</v>
      </c>
      <c r="K7">
        <v>2054</v>
      </c>
    </row>
    <row r="8" spans="2:11">
      <c r="B8" s="44">
        <v>6250.23</v>
      </c>
      <c r="D8" s="40">
        <v>0.46000032855288875</v>
      </c>
      <c r="E8" s="41">
        <v>2208</v>
      </c>
      <c r="F8" s="42">
        <f>D8*$B$8</f>
        <v>2875.1078535311217</v>
      </c>
      <c r="G8" s="36"/>
      <c r="I8">
        <v>2800.16</v>
      </c>
      <c r="J8" s="43">
        <f>I8/$I$15</f>
        <v>0.46000032855288875</v>
      </c>
      <c r="K8">
        <v>2208</v>
      </c>
    </row>
    <row r="9" spans="2:11">
      <c r="D9" s="40">
        <v>0.46999983572355564</v>
      </c>
      <c r="E9" s="41">
        <v>1163</v>
      </c>
      <c r="F9" s="42">
        <f>D9*$B$8</f>
        <v>2937.6070732344388</v>
      </c>
      <c r="G9" s="36"/>
      <c r="I9">
        <v>2861.03</v>
      </c>
      <c r="J9" s="43">
        <f>I9/$I$15</f>
        <v>0.46999983572355564</v>
      </c>
      <c r="K9">
        <v>1163</v>
      </c>
    </row>
    <row r="10" spans="2:11">
      <c r="D10" s="40"/>
      <c r="E10" s="41"/>
      <c r="F10" s="42">
        <f>D10*$B$8</f>
        <v>0</v>
      </c>
      <c r="G10" s="36"/>
      <c r="J10" s="43"/>
    </row>
    <row r="11" spans="2:11">
      <c r="D11" s="40"/>
      <c r="E11" s="41"/>
      <c r="F11" s="42">
        <f t="shared" ref="F11:F25" si="0">D11*$B$8</f>
        <v>0</v>
      </c>
      <c r="G11" s="36"/>
      <c r="J11" s="43"/>
    </row>
    <row r="12" spans="2:11">
      <c r="B12" s="46" t="s">
        <v>8</v>
      </c>
      <c r="D12" s="40"/>
      <c r="E12" s="41"/>
      <c r="F12" s="42">
        <f t="shared" si="0"/>
        <v>0</v>
      </c>
      <c r="G12" s="36"/>
      <c r="J12" s="43"/>
    </row>
    <row r="13" spans="2:11" ht="33.75" customHeight="1">
      <c r="B13" s="200">
        <v>262</v>
      </c>
      <c r="D13" s="40"/>
      <c r="E13" s="41"/>
      <c r="F13" s="42">
        <f t="shared" si="0"/>
        <v>0</v>
      </c>
      <c r="G13" s="36"/>
      <c r="J13" s="43"/>
    </row>
    <row r="14" spans="2:11">
      <c r="B14" s="200"/>
      <c r="D14" s="40"/>
      <c r="E14" s="41"/>
      <c r="F14" s="42">
        <f t="shared" si="0"/>
        <v>0</v>
      </c>
      <c r="J14" s="43"/>
    </row>
    <row r="15" spans="2:11">
      <c r="D15" s="40"/>
      <c r="E15" s="41"/>
      <c r="F15" s="42">
        <f t="shared" si="0"/>
        <v>0</v>
      </c>
      <c r="I15">
        <f>SUM(I7:I14)</f>
        <v>6087.3</v>
      </c>
    </row>
    <row r="16" spans="2:11">
      <c r="D16" s="40"/>
      <c r="E16" s="41"/>
      <c r="F16" s="42">
        <f t="shared" si="0"/>
        <v>0</v>
      </c>
      <c r="I16" s="43">
        <f>B8-I15</f>
        <v>162.92999999999938</v>
      </c>
    </row>
    <row r="17" spans="4:9">
      <c r="D17" s="45"/>
      <c r="E17" s="41"/>
      <c r="F17" s="42">
        <f t="shared" si="0"/>
        <v>0</v>
      </c>
    </row>
    <row r="18" spans="4:9">
      <c r="D18" s="45"/>
      <c r="E18" s="41"/>
      <c r="F18" s="42">
        <f t="shared" si="0"/>
        <v>0</v>
      </c>
    </row>
    <row r="19" spans="4:9">
      <c r="D19" s="45"/>
      <c r="E19" s="41"/>
      <c r="F19" s="42">
        <f t="shared" si="0"/>
        <v>0</v>
      </c>
    </row>
    <row r="20" spans="4:9">
      <c r="D20" s="45"/>
      <c r="E20" s="41"/>
      <c r="F20" s="42">
        <f t="shared" si="0"/>
        <v>0</v>
      </c>
    </row>
    <row r="21" spans="4:9">
      <c r="D21" s="45"/>
      <c r="E21" s="41"/>
      <c r="F21" s="42">
        <f t="shared" si="0"/>
        <v>0</v>
      </c>
    </row>
    <row r="22" spans="4:9">
      <c r="D22" s="45"/>
      <c r="E22" s="41"/>
      <c r="F22" s="42">
        <f t="shared" si="0"/>
        <v>0</v>
      </c>
    </row>
    <row r="23" spans="4:9">
      <c r="D23" s="45"/>
      <c r="E23" s="41"/>
      <c r="F23" s="42">
        <f t="shared" si="0"/>
        <v>0</v>
      </c>
      <c r="I23" s="43"/>
    </row>
    <row r="24" spans="4:9">
      <c r="D24" s="45"/>
      <c r="E24" s="41"/>
      <c r="F24" s="42">
        <f t="shared" si="0"/>
        <v>0</v>
      </c>
      <c r="I24" s="43"/>
    </row>
    <row r="25" spans="4:9">
      <c r="D25" s="45"/>
      <c r="E25" s="41"/>
      <c r="F25" s="42">
        <f t="shared" si="0"/>
        <v>0</v>
      </c>
    </row>
    <row r="26" spans="4:9">
      <c r="D26" s="35"/>
      <c r="F26" s="36"/>
    </row>
    <row r="27" spans="4:9">
      <c r="D27" s="35"/>
      <c r="F27" s="42">
        <f>SUM(F7:F25)</f>
        <v>6250.23</v>
      </c>
    </row>
    <row r="28" spans="4:9">
      <c r="D28" s="35"/>
      <c r="F28" s="36"/>
    </row>
    <row r="29" spans="4:9">
      <c r="D29" s="35"/>
      <c r="F29" s="36"/>
    </row>
    <row r="30" spans="4:9">
      <c r="D30" s="35"/>
      <c r="F30" s="36"/>
    </row>
    <row r="31" spans="4:9">
      <c r="D31" s="35"/>
      <c r="F31" s="36"/>
    </row>
  </sheetData>
  <mergeCells count="1">
    <mergeCell ref="B13:B14"/>
  </mergeCells>
  <conditionalFormatting sqref="B5">
    <cfRule type="cellIs" dxfId="1" priority="2" operator="equal">
      <formula>4502</formula>
    </cfRule>
  </conditionalFormatting>
  <conditionalFormatting sqref="B13">
    <cfRule type="cellIs" dxfId="0" priority="1" operator="equal">
      <formula>4502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220A11FEA46C4886D3604CC483AD6B" ma:contentTypeVersion="15" ma:contentTypeDescription="Crie um novo documento." ma:contentTypeScope="" ma:versionID="64fe2f5dd673a50750c529cc83895310">
  <xsd:schema xmlns:xsd="http://www.w3.org/2001/XMLSchema" xmlns:xs="http://www.w3.org/2001/XMLSchema" xmlns:p="http://schemas.microsoft.com/office/2006/metadata/properties" xmlns:ns2="6dbcbc56-3d12-411a-a735-f36ec8e8bfd2" xmlns:ns3="8de5c96d-c68a-4bc1-8ca7-a6766c74fd4d" targetNamespace="http://schemas.microsoft.com/office/2006/metadata/properties" ma:root="true" ma:fieldsID="5ab44bf015fb2d7684238f412ef4dcca" ns2:_="" ns3:_="">
    <xsd:import namespace="6dbcbc56-3d12-411a-a735-f36ec8e8bfd2"/>
    <xsd:import namespace="8de5c96d-c68a-4bc1-8ca7-a6766c74fd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bcbc56-3d12-411a-a735-f36ec8e8bf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69df8bfc-69f5-472b-bcc3-14f5ad47a7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5c96d-c68a-4bc1-8ca7-a6766c74fd4d"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bcbc56-3d12-411a-a735-f36ec8e8bf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8F634E-80D1-4F87-AE8C-6A8ED979C671}"/>
</file>

<file path=customXml/itemProps2.xml><?xml version="1.0" encoding="utf-8"?>
<ds:datastoreItem xmlns:ds="http://schemas.openxmlformats.org/officeDocument/2006/customXml" ds:itemID="{E6789367-A5F1-4388-8120-DDEDA2FE2BF0}"/>
</file>

<file path=customXml/itemProps3.xml><?xml version="1.0" encoding="utf-8"?>
<ds:datastoreItem xmlns:ds="http://schemas.openxmlformats.org/officeDocument/2006/customXml" ds:itemID="{54650467-4C7D-42B4-91BA-A0E0F8FB5E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Camila Ramos</dc:creator>
  <cp:keywords/>
  <dc:description/>
  <cp:lastModifiedBy>Camila Ramos</cp:lastModifiedBy>
  <cp:revision/>
  <dcterms:created xsi:type="dcterms:W3CDTF">2025-10-21T18:33:23Z</dcterms:created>
  <dcterms:modified xsi:type="dcterms:W3CDTF">2025-12-15T15:02:37Z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0x01010071220A11FEA46C4886D3604CC483AD6B</vt:lpwstr>
  </property>
  <property fmtid="{D5CDD505-2E9C-101B-9397-08002B2CF9AE}" pid="3" name="MediaServiceImageTags">
    <vt:lpwstr/>
  </property>
</Properties>
</file>