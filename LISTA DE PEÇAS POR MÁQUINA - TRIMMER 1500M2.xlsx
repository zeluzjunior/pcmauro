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"/>
    </mc:Choice>
  </mc:AlternateContent>
  <xr:revisionPtr revIDLastSave="0" documentId="13_ncr:1_{787E4E7F-9BC6-4963-B793-3878A2425401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DADOS" sheetId="2" r:id="rId1"/>
    <sheet name="BASE" sheetId="3" r:id="rId2"/>
    <sheet name="MANUT. PREVENTIVA" sheetId="5" r:id="rId3"/>
    <sheet name="1. MANOPLA" sheetId="6" r:id="rId4"/>
    <sheet name="LISTA COMPLETA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7" l="1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4" i="7"/>
  <c r="L4" i="7"/>
  <c r="M3" i="7"/>
  <c r="L3" i="7"/>
  <c r="M2" i="7"/>
  <c r="L2" i="7"/>
  <c r="L3" i="6"/>
  <c r="M3" i="6"/>
  <c r="L4" i="6"/>
  <c r="M4" i="6"/>
  <c r="L5" i="6"/>
  <c r="M5" i="6"/>
  <c r="L6" i="6"/>
  <c r="M6" i="6"/>
  <c r="L7" i="6"/>
  <c r="M7" i="6"/>
  <c r="L8" i="6"/>
  <c r="M8" i="6"/>
  <c r="L9" i="6"/>
  <c r="M9" i="6"/>
  <c r="L10" i="6"/>
  <c r="M10" i="6"/>
  <c r="L11" i="6"/>
  <c r="M11" i="6"/>
  <c r="L12" i="6"/>
  <c r="M12" i="6"/>
  <c r="L13" i="6"/>
  <c r="M13" i="6"/>
  <c r="L14" i="6"/>
  <c r="M14" i="6"/>
  <c r="L15" i="6"/>
  <c r="M15" i="6"/>
  <c r="L16" i="6"/>
  <c r="M16" i="6"/>
  <c r="L17" i="6"/>
  <c r="M17" i="6"/>
  <c r="L18" i="6"/>
  <c r="M18" i="6"/>
  <c r="L19" i="6"/>
  <c r="M19" i="6"/>
  <c r="L20" i="6"/>
  <c r="M20" i="6"/>
  <c r="L21" i="6"/>
  <c r="M21" i="6"/>
  <c r="L22" i="6"/>
  <c r="M22" i="6"/>
  <c r="L23" i="6"/>
  <c r="M23" i="6"/>
  <c r="L24" i="6"/>
  <c r="M24" i="6"/>
  <c r="L25" i="6"/>
  <c r="M25" i="6"/>
  <c r="L26" i="6"/>
  <c r="M26" i="6"/>
  <c r="L27" i="6"/>
  <c r="M27" i="6"/>
  <c r="M2" i="6"/>
  <c r="L2" i="6"/>
  <c r="F23" i="5"/>
  <c r="G23" i="5"/>
</calcChain>
</file>

<file path=xl/sharedStrings.xml><?xml version="1.0" encoding="utf-8"?>
<sst xmlns="http://schemas.openxmlformats.org/spreadsheetml/2006/main" count="449" uniqueCount="84">
  <si>
    <t>TROCA CONFORME</t>
  </si>
  <si>
    <t>CLASSIFICAÇÃO DE INLCUSÃO NO ALMOXARIFADO</t>
  </si>
  <si>
    <t>STATUS DO ITEM</t>
  </si>
  <si>
    <t xml:space="preserve">SOLICITAÇÃO PÓS INSPEÇÃO </t>
  </si>
  <si>
    <t xml:space="preserve">DESTINADO </t>
  </si>
  <si>
    <t xml:space="preserve">ATIVO </t>
  </si>
  <si>
    <t>MANUTENÇÃO PREVENTIVA</t>
  </si>
  <si>
    <t>EST. MÍNIMO E MÁXIMO</t>
  </si>
  <si>
    <t>INATIVO</t>
  </si>
  <si>
    <t>CONFIRMAR COM RESPONSÁVEL</t>
  </si>
  <si>
    <t xml:space="preserve">ITEM ESTRATÉGICO </t>
  </si>
  <si>
    <t>SUSPENSA COMPRA</t>
  </si>
  <si>
    <t>INDEFINIDO</t>
  </si>
  <si>
    <t>OBSOLETO</t>
  </si>
  <si>
    <t xml:space="preserve">EM CADASTRAMENTO </t>
  </si>
  <si>
    <t>EM DESCONTINUIDADE</t>
  </si>
  <si>
    <t>MÁQUINA (CÓDIGO DA PRINCIPAL)</t>
  </si>
  <si>
    <t>ITEM
(MANUAL)</t>
  </si>
  <si>
    <t xml:space="preserve">CÓD. DO FABRICANTE </t>
  </si>
  <si>
    <t>DESCRIÇÃO DO FABRICANTE</t>
  </si>
  <si>
    <t>QTDE</t>
  </si>
  <si>
    <t>CÓD. AURORA</t>
  </si>
  <si>
    <t>DESCRIÇÃO AURORA</t>
  </si>
  <si>
    <t>VALOR UNITÁRIO</t>
  </si>
  <si>
    <t xml:space="preserve">ESTOQUE MÍNIMO </t>
  </si>
  <si>
    <t>ESTOQUE MÁXIMO</t>
  </si>
  <si>
    <t>VALOR 
EST. MÍNIMO</t>
  </si>
  <si>
    <t>VALOR 
EST. MÁXIMO</t>
  </si>
  <si>
    <t>VIDA ÚTIL (HORAS)</t>
  </si>
  <si>
    <t xml:space="preserve">QTDE ATUAL EM ESTOQUE </t>
  </si>
  <si>
    <t>TROCA CONFORME:</t>
  </si>
  <si>
    <t>FABRICANTE</t>
  </si>
  <si>
    <t>COMPONENTE, PARTE OU SISTEMA DA MÁQUINA ONDE É USADO</t>
  </si>
  <si>
    <t>OBSERVAÇÃO</t>
  </si>
  <si>
    <t>VALOR UNIT</t>
  </si>
  <si>
    <t>VALOR PARA MANUT. PREVENTIVA</t>
  </si>
  <si>
    <t>PERIODICIDADE 
(DIAS)</t>
  </si>
  <si>
    <t>POSIÇÃO
(MANUAL)</t>
  </si>
  <si>
    <t xml:space="preserve">STATUS DO ITEM </t>
  </si>
  <si>
    <t>BETTCHER</t>
  </si>
  <si>
    <t>Botão de retenção da manopla</t>
  </si>
  <si>
    <t>BOTAO DE RETENCAO DA MANOPLA POS.1 COD.183086,BETTCHER</t>
  </si>
  <si>
    <t>MANOPLA</t>
  </si>
  <si>
    <t>LCC METALURGICA</t>
  </si>
  <si>
    <t>BOTAO DE RETENCAO PARA TRIMMER MODELO M1400 COD.183086 ,LCC</t>
  </si>
  <si>
    <t>-</t>
  </si>
  <si>
    <t xml:space="preserve">Pulseira para as mãos - principal </t>
  </si>
  <si>
    <t>BETTCHER,PULSEIRA P/MAO PRINCIPAL REF.183065</t>
  </si>
  <si>
    <t>PULSEIRA COD.183065,BETTCHER</t>
  </si>
  <si>
    <t xml:space="preserve">Pulseira para as mãos - secundária (não mostrada) </t>
  </si>
  <si>
    <t>BETTCHER,PULSEIRA P/MAO SECUNDARIA REF.183121</t>
  </si>
  <si>
    <t>Cuba de graxa</t>
  </si>
  <si>
    <t>NÃO CADASTRADO</t>
  </si>
  <si>
    <t>Somente com anel de retenção</t>
  </si>
  <si>
    <t>Bulbo e arruela</t>
  </si>
  <si>
    <t>BETTCHER,BOTAO BORRACHA 173208</t>
  </si>
  <si>
    <t>Base e acoplamento</t>
  </si>
  <si>
    <t>Montagem da moldura</t>
  </si>
  <si>
    <t>BETTCHER,MONTAGEM DA MOLDURA POS.4 COD.184362</t>
  </si>
  <si>
    <t>MOLDURA P/TRIMMER MODELO M1400 REF.184362 COD.2747,LCC</t>
  </si>
  <si>
    <t>Mancal</t>
  </si>
  <si>
    <t>MANCAL POS.5 COD.183060,BETTCHER</t>
  </si>
  <si>
    <t>BUCHA P/TRIMMER MODELO M1400 REF.183060 COD.2753,LCC</t>
  </si>
  <si>
    <t>Pinhão</t>
  </si>
  <si>
    <t>PINHAO 1000M2 COD.183154B,BETTCHER</t>
  </si>
  <si>
    <t>LAMINA P/TRIMMER MODELO M1400REF.183154 COD.2743,LCC</t>
  </si>
  <si>
    <t>Tampa com dispositivo especial de afiação</t>
  </si>
  <si>
    <t>CAPA PINHAO 1000/1500M2 COD.183163,BETTCHER</t>
  </si>
  <si>
    <t>Kit de reparo (não mostrado)</t>
  </si>
  <si>
    <t>Conjunto do calibre de profundidade</t>
  </si>
  <si>
    <t>BETTCHER,CJTO CALIBRE PROFUNDIDADE COD.183160</t>
  </si>
  <si>
    <t>Carcaça da lâmina</t>
  </si>
  <si>
    <t>CARCACA LAMINA POS.09 COD.183143,BETTCHER</t>
  </si>
  <si>
    <t>ALOJAMENTO P/TRIMMER MODELO M1400 REF.183143 COD.3374,LCC</t>
  </si>
  <si>
    <t>Lâmina</t>
  </si>
  <si>
    <t>LAMINA 1000/1500M2 POS.10 COD.183141,BETTCHER</t>
  </si>
  <si>
    <t>Parafuso de retenção da tampa (qtd. necessária: 2)</t>
  </si>
  <si>
    <t>PARAFUSO RETENCAO DA TAMPA POS.11 COD.183654,BETTCHER</t>
  </si>
  <si>
    <t>PARAFUSO P/TRIMMER MODELO M1400 REF.183654 COD.2750,LCC</t>
  </si>
  <si>
    <t>Anel espaçador da manopla</t>
  </si>
  <si>
    <t>ANEL ESPACADOR COD.183120B,BETTCHER</t>
  </si>
  <si>
    <t>Anel espaçador da manopla para XX (Extrapequena)</t>
  </si>
  <si>
    <t xml:space="preserve">Apoio para o polegar (Cinzento) </t>
  </si>
  <si>
    <t>APOIO POLEGAR BRANCO COD.163207,BETTCHER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</si>
</sst>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/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0" fillId="0" borderId="2" xfId="0" applyNumberFormat="1" applyBorder="1"/>
    <xf numFmtId="164" fontId="0" fillId="0" borderId="0" xfId="0" applyNumberFormat="1"/>
    <xf numFmtId="0" fontId="0" fillId="0" borderId="9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0" fillId="0" borderId="7" xfId="0" applyBorder="1"/>
    <xf numFmtId="0" fontId="0" fillId="0" borderId="6" xfId="0" applyBorder="1" applyAlignment="1">
      <alignment horizontal="center" vertical="center" wrapText="1"/>
    </xf>
    <xf numFmtId="164" fontId="0" fillId="0" borderId="6" xfId="0" applyNumberFormat="1" applyBorder="1"/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0" borderId="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9" sqref="C9"/>
    </sheetView>
  </sheetViews>
  <sheetFormatPr defaultRowHeight="15" x14ac:dyDescent="0.25"/>
  <cols>
    <col min="1" max="1" width="31.42578125" customWidth="1"/>
    <col min="2" max="2" width="47.5703125" customWidth="1"/>
    <col min="3" max="3" width="4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12</v>
      </c>
      <c r="C5" t="s">
        <v>13</v>
      </c>
    </row>
    <row r="6" spans="1:3" x14ac:dyDescent="0.25">
      <c r="C6" t="s">
        <v>14</v>
      </c>
    </row>
    <row r="7" spans="1:3" x14ac:dyDescent="0.25">
      <c r="C7" t="s">
        <v>15</v>
      </c>
    </row>
    <row r="8" spans="1:3" x14ac:dyDescent="0.25">
      <c r="C8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workbookViewId="0">
      <selection activeCell="H20" sqref="H20"/>
    </sheetView>
  </sheetViews>
  <sheetFormatPr defaultRowHeight="15" customHeight="1" x14ac:dyDescent="0.25"/>
  <cols>
    <col min="1" max="1" width="22.140625" style="6" customWidth="1"/>
    <col min="2" max="2" width="10.140625" style="6" customWidth="1"/>
    <col min="3" max="3" width="14.42578125" style="7" customWidth="1"/>
    <col min="4" max="4" width="36.42578125" customWidth="1"/>
    <col min="5" max="5" width="9.140625" style="6"/>
    <col min="6" max="6" width="14.5703125" style="6" customWidth="1"/>
    <col min="7" max="7" width="54.28515625" customWidth="1"/>
    <col min="8" max="8" width="18.5703125" style="13" customWidth="1"/>
    <col min="9" max="9" width="11.7109375" style="6" customWidth="1"/>
    <col min="10" max="10" width="14.85546875" style="6" customWidth="1"/>
    <col min="11" max="11" width="17.28515625" style="13" customWidth="1"/>
    <col min="12" max="12" width="15.85546875" style="13" customWidth="1"/>
    <col min="13" max="13" width="13.140625" customWidth="1"/>
    <col min="14" max="14" width="18.7109375" customWidth="1"/>
    <col min="15" max="15" width="22.7109375" customWidth="1"/>
    <col min="16" max="16" width="29.42578125" customWidth="1"/>
    <col min="17" max="17" width="24" customWidth="1"/>
    <col min="18" max="18" width="38.85546875" customWidth="1"/>
    <col min="19" max="19" width="66" customWidth="1"/>
  </cols>
  <sheetData>
    <row r="1" spans="1:19" s="2" customFormat="1" ht="30" x14ac:dyDescent="0.25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4" t="s">
        <v>24</v>
      </c>
      <c r="J1" s="10" t="s">
        <v>25</v>
      </c>
      <c r="K1" s="9" t="s">
        <v>26</v>
      </c>
      <c r="L1" s="22" t="s">
        <v>27</v>
      </c>
      <c r="M1" s="9" t="s">
        <v>28</v>
      </c>
      <c r="N1" s="9" t="s">
        <v>29</v>
      </c>
      <c r="O1" s="9" t="s">
        <v>30</v>
      </c>
      <c r="P1" s="24" t="s">
        <v>1</v>
      </c>
      <c r="Q1" s="9" t="s">
        <v>31</v>
      </c>
      <c r="R1" s="9" t="s">
        <v>32</v>
      </c>
      <c r="S1" s="9" t="s">
        <v>33</v>
      </c>
    </row>
    <row r="2" spans="1:19" x14ac:dyDescent="0.25">
      <c r="A2" s="5"/>
      <c r="B2" s="5"/>
      <c r="C2" s="5"/>
      <c r="D2" s="1"/>
      <c r="E2" s="5"/>
      <c r="F2" s="5"/>
      <c r="G2" s="1"/>
      <c r="H2" s="12"/>
      <c r="I2" s="8"/>
      <c r="J2" s="11"/>
      <c r="K2" s="12"/>
      <c r="L2" s="23"/>
      <c r="M2" s="3"/>
      <c r="N2" s="3"/>
      <c r="O2" s="3"/>
      <c r="P2" s="24"/>
      <c r="Q2" s="3"/>
      <c r="R2" s="3"/>
      <c r="S2" s="3"/>
    </row>
    <row r="3" spans="1:19" x14ac:dyDescent="0.25">
      <c r="A3" s="5"/>
      <c r="B3" s="5"/>
      <c r="C3" s="5"/>
      <c r="D3" s="1"/>
      <c r="E3" s="5"/>
      <c r="F3" s="5"/>
      <c r="G3" s="1"/>
      <c r="H3" s="12"/>
      <c r="I3" s="8"/>
      <c r="J3" s="11"/>
      <c r="K3" s="12"/>
      <c r="L3" s="23"/>
      <c r="M3" s="3"/>
      <c r="N3" s="3"/>
      <c r="O3" s="3"/>
      <c r="P3" s="24"/>
      <c r="Q3" s="3"/>
      <c r="R3" s="3"/>
      <c r="S3" s="3"/>
    </row>
    <row r="4" spans="1:19" x14ac:dyDescent="0.25">
      <c r="A4" s="5"/>
      <c r="B4" s="5"/>
      <c r="C4" s="5"/>
      <c r="D4" s="1"/>
      <c r="E4" s="5"/>
      <c r="F4" s="5"/>
      <c r="G4" s="1"/>
      <c r="H4" s="12"/>
      <c r="I4" s="8"/>
      <c r="J4" s="11"/>
      <c r="K4" s="12"/>
      <c r="L4" s="23"/>
      <c r="M4" s="3"/>
      <c r="N4" s="3"/>
      <c r="O4" s="3"/>
      <c r="P4" s="24"/>
      <c r="Q4" s="3"/>
      <c r="R4" s="3"/>
      <c r="S4" s="3"/>
    </row>
    <row r="5" spans="1:19" x14ac:dyDescent="0.25">
      <c r="A5" s="5"/>
      <c r="B5" s="5"/>
      <c r="C5" s="5"/>
      <c r="D5" s="1"/>
      <c r="E5" s="5"/>
      <c r="F5" s="5"/>
      <c r="G5" s="1"/>
      <c r="H5" s="12"/>
      <c r="I5" s="8"/>
      <c r="J5" s="11"/>
      <c r="K5" s="12"/>
      <c r="L5" s="23"/>
      <c r="M5" s="3"/>
      <c r="N5" s="3"/>
      <c r="O5" s="3"/>
      <c r="P5" s="24"/>
      <c r="Q5" s="3"/>
      <c r="R5" s="3"/>
      <c r="S5" s="3"/>
    </row>
    <row r="6" spans="1:19" x14ac:dyDescent="0.25">
      <c r="A6" s="5"/>
      <c r="B6" s="5"/>
      <c r="C6" s="5"/>
      <c r="D6" s="1"/>
      <c r="E6" s="5"/>
      <c r="F6" s="5"/>
      <c r="G6" s="1"/>
      <c r="H6" s="12"/>
      <c r="I6" s="8"/>
      <c r="J6" s="11"/>
      <c r="K6" s="12"/>
      <c r="L6" s="23"/>
      <c r="M6" s="3"/>
      <c r="N6" s="3"/>
      <c r="O6" s="3"/>
      <c r="P6" s="24"/>
      <c r="Q6" s="3"/>
      <c r="R6" s="3"/>
      <c r="S6" s="3"/>
    </row>
    <row r="7" spans="1:19" x14ac:dyDescent="0.25">
      <c r="A7" s="5"/>
      <c r="B7" s="5"/>
      <c r="C7" s="5"/>
      <c r="D7" s="1"/>
      <c r="E7" s="5"/>
      <c r="F7" s="5"/>
      <c r="G7" s="1"/>
      <c r="H7" s="12"/>
      <c r="I7" s="8"/>
      <c r="J7" s="11"/>
      <c r="K7" s="12"/>
      <c r="L7" s="23"/>
      <c r="M7" s="3"/>
      <c r="N7" s="3"/>
      <c r="O7" s="3"/>
      <c r="P7" s="24"/>
      <c r="Q7" s="3"/>
      <c r="R7" s="3"/>
      <c r="S7" s="3"/>
    </row>
    <row r="8" spans="1:19" x14ac:dyDescent="0.25">
      <c r="A8" s="5"/>
      <c r="B8" s="5"/>
      <c r="C8" s="5"/>
      <c r="D8" s="1"/>
      <c r="E8" s="5"/>
      <c r="F8" s="5"/>
      <c r="G8" s="1"/>
      <c r="H8" s="12"/>
      <c r="I8" s="8"/>
      <c r="J8" s="11"/>
      <c r="K8" s="12"/>
      <c r="L8" s="23"/>
      <c r="M8" s="3"/>
      <c r="N8" s="3"/>
      <c r="O8" s="3"/>
      <c r="P8" s="24"/>
      <c r="Q8" s="3"/>
      <c r="R8" s="3"/>
      <c r="S8" s="3"/>
    </row>
    <row r="9" spans="1:19" x14ac:dyDescent="0.25">
      <c r="A9" s="5"/>
      <c r="B9" s="5"/>
      <c r="C9" s="5"/>
      <c r="D9" s="1"/>
      <c r="E9" s="5"/>
      <c r="F9" s="5"/>
      <c r="G9" s="1"/>
      <c r="H9" s="12"/>
      <c r="I9" s="8"/>
      <c r="J9" s="11"/>
      <c r="K9" s="12"/>
      <c r="L9" s="23"/>
      <c r="M9" s="3"/>
      <c r="N9" s="3"/>
      <c r="O9" s="3"/>
      <c r="P9" s="24"/>
      <c r="Q9" s="3"/>
      <c r="R9" s="3"/>
      <c r="S9" s="3"/>
    </row>
    <row r="10" spans="1:19" x14ac:dyDescent="0.25">
      <c r="A10" s="5"/>
      <c r="B10" s="5"/>
      <c r="C10" s="5"/>
      <c r="D10" s="1"/>
      <c r="E10" s="5"/>
      <c r="F10" s="5"/>
      <c r="G10" s="1"/>
      <c r="H10" s="12"/>
      <c r="I10" s="8"/>
      <c r="J10" s="11"/>
      <c r="K10" s="12"/>
      <c r="L10" s="23"/>
      <c r="M10" s="3"/>
      <c r="N10" s="3"/>
      <c r="O10" s="3"/>
      <c r="P10" s="24"/>
      <c r="Q10" s="3"/>
      <c r="R10" s="3"/>
      <c r="S10" s="3"/>
    </row>
    <row r="11" spans="1:19" x14ac:dyDescent="0.25">
      <c r="A11" s="5"/>
      <c r="B11" s="5"/>
      <c r="C11" s="5"/>
      <c r="D11" s="1"/>
      <c r="E11" s="5"/>
      <c r="F11" s="5"/>
      <c r="G11" s="1"/>
      <c r="H11" s="12"/>
      <c r="I11" s="8"/>
      <c r="J11" s="11"/>
      <c r="K11" s="12"/>
      <c r="L11" s="23"/>
      <c r="M11" s="3"/>
      <c r="N11" s="3"/>
      <c r="O11" s="3"/>
      <c r="P11" s="24"/>
      <c r="Q11" s="3"/>
      <c r="R11" s="3"/>
      <c r="S11" s="3"/>
    </row>
    <row r="12" spans="1:19" x14ac:dyDescent="0.25">
      <c r="A12" s="5"/>
      <c r="B12" s="5"/>
      <c r="C12" s="5"/>
      <c r="D12" s="1"/>
      <c r="E12" s="5"/>
      <c r="F12" s="5"/>
      <c r="G12" s="1"/>
      <c r="H12" s="12"/>
      <c r="I12" s="8"/>
      <c r="J12" s="11"/>
      <c r="K12" s="12"/>
      <c r="L12" s="23"/>
      <c r="M12" s="3"/>
      <c r="N12" s="3"/>
      <c r="O12" s="3"/>
      <c r="P12" s="24"/>
      <c r="Q12" s="3"/>
      <c r="R12" s="3"/>
      <c r="S12" s="3"/>
    </row>
    <row r="13" spans="1:19" x14ac:dyDescent="0.25">
      <c r="A13" s="5"/>
      <c r="B13" s="5"/>
      <c r="C13" s="5"/>
      <c r="D13" s="1"/>
      <c r="E13" s="5"/>
      <c r="F13" s="5"/>
      <c r="G13" s="1"/>
      <c r="H13" s="12"/>
      <c r="I13" s="8"/>
      <c r="J13" s="11"/>
      <c r="K13" s="12"/>
      <c r="L13" s="23"/>
      <c r="M13" s="3"/>
      <c r="N13" s="3"/>
      <c r="O13" s="3"/>
      <c r="P13" s="24"/>
      <c r="Q13" s="3"/>
      <c r="R13" s="3"/>
      <c r="S13" s="3"/>
    </row>
    <row r="14" spans="1:19" x14ac:dyDescent="0.25">
      <c r="A14" s="5"/>
      <c r="B14" s="5"/>
      <c r="C14" s="5"/>
      <c r="D14" s="1"/>
      <c r="E14" s="5"/>
      <c r="F14" s="5"/>
      <c r="G14" s="1"/>
      <c r="H14" s="12"/>
      <c r="I14" s="8"/>
      <c r="J14" s="11"/>
      <c r="K14" s="12"/>
      <c r="L14" s="23"/>
      <c r="M14" s="3"/>
      <c r="N14" s="3"/>
      <c r="O14" s="3"/>
      <c r="P14" s="24"/>
      <c r="Q14" s="3"/>
      <c r="R14" s="3"/>
      <c r="S14" s="3"/>
    </row>
    <row r="15" spans="1:19" x14ac:dyDescent="0.25">
      <c r="A15" s="5"/>
      <c r="B15" s="5"/>
      <c r="C15" s="5"/>
      <c r="D15" s="1"/>
      <c r="E15" s="5"/>
      <c r="F15" s="5"/>
      <c r="G15" s="1"/>
      <c r="H15" s="12"/>
      <c r="I15" s="8"/>
      <c r="J15" s="11"/>
      <c r="K15" s="12"/>
      <c r="L15" s="23"/>
      <c r="M15" s="3"/>
      <c r="N15" s="3"/>
      <c r="O15" s="3"/>
      <c r="P15" s="24"/>
      <c r="Q15" s="3"/>
      <c r="R15" s="3"/>
      <c r="S15" s="3"/>
    </row>
    <row r="16" spans="1:19" x14ac:dyDescent="0.25">
      <c r="A16" s="5"/>
      <c r="B16" s="5"/>
      <c r="C16" s="5"/>
      <c r="D16" s="1"/>
      <c r="E16" s="5"/>
      <c r="F16" s="5"/>
      <c r="G16" s="1"/>
      <c r="H16" s="12"/>
      <c r="I16" s="8"/>
      <c r="J16" s="11"/>
      <c r="K16" s="12"/>
      <c r="L16" s="23"/>
      <c r="M16" s="3"/>
      <c r="N16" s="3"/>
      <c r="O16" s="3"/>
      <c r="P16" s="24"/>
      <c r="Q16" s="3"/>
      <c r="R16" s="3"/>
      <c r="S16" s="3"/>
    </row>
    <row r="17" spans="1:19" x14ac:dyDescent="0.25">
      <c r="A17" s="5"/>
      <c r="B17" s="5"/>
      <c r="C17" s="5"/>
      <c r="D17" s="1"/>
      <c r="E17" s="5"/>
      <c r="F17" s="5"/>
      <c r="G17" s="1"/>
      <c r="H17" s="12"/>
      <c r="I17" s="8"/>
      <c r="J17" s="11"/>
      <c r="K17" s="12"/>
      <c r="L17" s="23"/>
      <c r="M17" s="3"/>
      <c r="N17" s="3"/>
      <c r="O17" s="3"/>
      <c r="P17" s="24"/>
      <c r="Q17" s="3"/>
      <c r="R17" s="3"/>
      <c r="S17" s="3"/>
    </row>
    <row r="18" spans="1:19" x14ac:dyDescent="0.25">
      <c r="A18" s="5"/>
      <c r="B18" s="5"/>
      <c r="C18" s="5"/>
      <c r="D18" s="1"/>
      <c r="E18" s="5"/>
      <c r="F18" s="5"/>
      <c r="G18" s="1"/>
      <c r="H18" s="12"/>
      <c r="I18" s="8"/>
      <c r="J18" s="11"/>
      <c r="K18" s="12"/>
      <c r="L18" s="23"/>
      <c r="M18" s="3"/>
      <c r="N18" s="3"/>
      <c r="O18" s="3"/>
      <c r="P18" s="24"/>
      <c r="Q18" s="3"/>
      <c r="R18" s="3"/>
      <c r="S18" s="3"/>
    </row>
    <row r="19" spans="1:19" x14ac:dyDescent="0.25">
      <c r="A19" s="5"/>
      <c r="B19" s="5"/>
      <c r="C19" s="5"/>
      <c r="D19" s="1"/>
      <c r="E19" s="5"/>
      <c r="F19" s="5"/>
      <c r="G19" s="1"/>
      <c r="H19" s="12"/>
      <c r="I19" s="8"/>
      <c r="J19" s="11"/>
      <c r="K19" s="12"/>
      <c r="L19" s="23"/>
      <c r="M19" s="3"/>
      <c r="N19" s="3"/>
      <c r="O19" s="3"/>
      <c r="P19" s="24"/>
      <c r="Q19" s="3"/>
      <c r="R19" s="3"/>
      <c r="S19" s="3"/>
    </row>
    <row r="20" spans="1:19" x14ac:dyDescent="0.25">
      <c r="A20" s="5"/>
      <c r="B20" s="5"/>
      <c r="C20" s="5"/>
      <c r="D20" s="1"/>
      <c r="E20" s="5"/>
      <c r="F20" s="5"/>
      <c r="G20" s="1"/>
      <c r="H20" s="12"/>
      <c r="I20" s="8"/>
      <c r="J20" s="11"/>
      <c r="K20" s="12"/>
      <c r="L20" s="23"/>
      <c r="M20" s="3"/>
      <c r="N20" s="3"/>
      <c r="O20" s="3"/>
      <c r="P20" s="24"/>
      <c r="Q20" s="3"/>
      <c r="R20" s="3"/>
      <c r="S20" s="3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DADOS!$B$2:$B$5</xm:f>
          </x14:formula1>
          <xm:sqref>P2:P1048576</xm:sqref>
        </x14:dataValidation>
        <x14:dataValidation type="list" allowBlank="1" showInputMessage="1" showErrorMessage="1" xr:uid="{00000000-0002-0000-0100-000001000000}">
          <x14:formula1>
            <xm:f>DADOS!$A$2:$A$5</xm:f>
          </x14:formula1>
          <xm:sqref>O2:O1048576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>
      <selection activeCell="I1" sqref="I1"/>
    </sheetView>
  </sheetViews>
  <sheetFormatPr defaultRowHeight="15" x14ac:dyDescent="0.25"/>
  <cols>
    <col min="1" max="1" width="25.42578125" customWidth="1"/>
    <col min="2" max="2" width="24.5703125" customWidth="1"/>
    <col min="3" max="3" width="8" customWidth="1"/>
    <col min="4" max="4" width="15.28515625" customWidth="1"/>
    <col min="5" max="5" width="56.85546875" customWidth="1"/>
    <col min="6" max="6" width="19.28515625" customWidth="1"/>
    <col min="7" max="7" width="20.42578125" customWidth="1"/>
    <col min="8" max="8" width="18" style="6" customWidth="1"/>
    <col min="9" max="9" width="42.85546875" style="6" customWidth="1"/>
    <col min="10" max="10" width="12" customWidth="1"/>
  </cols>
  <sheetData>
    <row r="1" spans="1:10" ht="45.75" customHeight="1" x14ac:dyDescent="0.25">
      <c r="A1" s="9" t="s">
        <v>16</v>
      </c>
      <c r="B1" s="9" t="s">
        <v>32</v>
      </c>
      <c r="C1" s="9" t="s">
        <v>20</v>
      </c>
      <c r="D1" s="9" t="s">
        <v>21</v>
      </c>
      <c r="E1" s="9" t="s">
        <v>22</v>
      </c>
      <c r="F1" s="9" t="s">
        <v>34</v>
      </c>
      <c r="G1" s="9" t="s">
        <v>35</v>
      </c>
      <c r="H1" s="9" t="s">
        <v>36</v>
      </c>
      <c r="I1" s="14" t="s">
        <v>30</v>
      </c>
      <c r="J1" s="9" t="s">
        <v>28</v>
      </c>
    </row>
    <row r="2" spans="1:10" x14ac:dyDescent="0.25">
      <c r="A2" s="8"/>
      <c r="B2" s="3"/>
      <c r="C2" s="8"/>
      <c r="D2" s="8"/>
      <c r="E2" s="3"/>
      <c r="F2" s="15"/>
      <c r="G2" s="12"/>
      <c r="H2" s="11"/>
      <c r="I2" s="8" t="s">
        <v>6</v>
      </c>
      <c r="J2" s="21"/>
    </row>
    <row r="3" spans="1:10" x14ac:dyDescent="0.25">
      <c r="A3" s="8"/>
      <c r="B3" s="3"/>
      <c r="C3" s="8"/>
      <c r="D3" s="8"/>
      <c r="E3" s="3"/>
      <c r="F3" s="15"/>
      <c r="G3" s="12"/>
      <c r="H3" s="11"/>
      <c r="I3" s="8" t="s">
        <v>6</v>
      </c>
      <c r="J3" s="21"/>
    </row>
    <row r="4" spans="1:10" x14ac:dyDescent="0.25">
      <c r="A4" s="8"/>
      <c r="B4" s="3"/>
      <c r="C4" s="8"/>
      <c r="D4" s="8"/>
      <c r="E4" s="3"/>
      <c r="F4" s="15"/>
      <c r="G4" s="12"/>
      <c r="H4" s="11"/>
      <c r="I4" s="8" t="s">
        <v>6</v>
      </c>
      <c r="J4" s="21"/>
    </row>
    <row r="5" spans="1:10" x14ac:dyDescent="0.25">
      <c r="A5" s="8"/>
      <c r="B5" s="3"/>
      <c r="C5" s="8"/>
      <c r="D5" s="8"/>
      <c r="E5" s="3"/>
      <c r="F5" s="12"/>
      <c r="G5" s="12"/>
      <c r="H5" s="11"/>
      <c r="I5" s="8" t="s">
        <v>6</v>
      </c>
      <c r="J5" s="21"/>
    </row>
    <row r="6" spans="1:10" x14ac:dyDescent="0.25">
      <c r="A6" s="8"/>
      <c r="B6" s="3"/>
      <c r="C6" s="8"/>
      <c r="D6" s="8"/>
      <c r="E6" s="3"/>
      <c r="F6" s="12"/>
      <c r="G6" s="12"/>
      <c r="H6" s="11"/>
      <c r="I6" s="8" t="s">
        <v>6</v>
      </c>
      <c r="J6" s="21"/>
    </row>
    <row r="7" spans="1:10" x14ac:dyDescent="0.25">
      <c r="A7" s="8"/>
      <c r="B7" s="3"/>
      <c r="C7" s="8"/>
      <c r="D7" s="8"/>
      <c r="E7" s="3"/>
      <c r="F7" s="12"/>
      <c r="G7" s="12"/>
      <c r="H7" s="11"/>
      <c r="I7" s="8" t="s">
        <v>6</v>
      </c>
      <c r="J7" s="21"/>
    </row>
    <row r="8" spans="1:10" x14ac:dyDescent="0.25">
      <c r="A8" s="8"/>
      <c r="B8" s="3"/>
      <c r="C8" s="8"/>
      <c r="D8" s="8"/>
      <c r="E8" s="3"/>
      <c r="F8" s="12"/>
      <c r="G8" s="12"/>
      <c r="H8" s="11"/>
      <c r="I8" s="8" t="s">
        <v>6</v>
      </c>
      <c r="J8" s="21"/>
    </row>
    <row r="9" spans="1:10" x14ac:dyDescent="0.25">
      <c r="A9" s="8"/>
      <c r="B9" s="3"/>
      <c r="C9" s="8"/>
      <c r="D9" s="8"/>
      <c r="E9" s="3"/>
      <c r="F9" s="12"/>
      <c r="G9" s="12"/>
      <c r="H9" s="11"/>
      <c r="I9" s="8" t="s">
        <v>6</v>
      </c>
      <c r="J9" s="21"/>
    </row>
    <row r="10" spans="1:10" x14ac:dyDescent="0.25">
      <c r="A10" s="8"/>
      <c r="B10" s="3"/>
      <c r="C10" s="8"/>
      <c r="D10" s="8"/>
      <c r="E10" s="3"/>
      <c r="F10" s="12"/>
      <c r="G10" s="12"/>
      <c r="H10" s="11"/>
      <c r="I10" s="8" t="s">
        <v>6</v>
      </c>
      <c r="J10" s="21"/>
    </row>
    <row r="11" spans="1:10" x14ac:dyDescent="0.25">
      <c r="A11" s="8"/>
      <c r="B11" s="3"/>
      <c r="C11" s="8"/>
      <c r="D11" s="16"/>
      <c r="E11" s="3"/>
      <c r="F11" s="12"/>
      <c r="G11" s="12"/>
      <c r="H11" s="11"/>
      <c r="I11" s="8" t="s">
        <v>6</v>
      </c>
      <c r="J11" s="21"/>
    </row>
    <row r="12" spans="1:10" x14ac:dyDescent="0.25">
      <c r="A12" s="8"/>
      <c r="B12" s="3"/>
      <c r="C12" s="5"/>
      <c r="D12" s="5"/>
      <c r="E12" s="1"/>
      <c r="F12" s="12"/>
      <c r="G12" s="12"/>
      <c r="H12" s="11"/>
      <c r="I12" s="8" t="s">
        <v>6</v>
      </c>
      <c r="J12" s="21"/>
    </row>
    <row r="13" spans="1:10" x14ac:dyDescent="0.25">
      <c r="A13" s="8"/>
      <c r="B13" s="3"/>
      <c r="C13" s="5"/>
      <c r="D13" s="5"/>
      <c r="E13" s="1"/>
      <c r="F13" s="12"/>
      <c r="G13" s="12"/>
      <c r="H13" s="11"/>
      <c r="I13" s="8" t="s">
        <v>6</v>
      </c>
      <c r="J13" s="21"/>
    </row>
    <row r="14" spans="1:10" x14ac:dyDescent="0.25">
      <c r="A14" s="8"/>
      <c r="B14" s="3"/>
      <c r="C14" s="5"/>
      <c r="D14" s="5"/>
      <c r="E14" s="1"/>
      <c r="F14" s="12"/>
      <c r="G14" s="12"/>
      <c r="H14" s="11"/>
      <c r="I14" s="8" t="s">
        <v>6</v>
      </c>
      <c r="J14" s="21"/>
    </row>
    <row r="15" spans="1:10" x14ac:dyDescent="0.25">
      <c r="A15" s="8"/>
      <c r="B15" s="3"/>
      <c r="C15" s="5"/>
      <c r="D15" s="5"/>
      <c r="E15" s="1"/>
      <c r="F15" s="12"/>
      <c r="G15" s="12"/>
      <c r="H15" s="11"/>
      <c r="I15" s="8" t="s">
        <v>6</v>
      </c>
      <c r="J15" s="21"/>
    </row>
    <row r="16" spans="1:10" x14ac:dyDescent="0.25">
      <c r="A16" s="8"/>
      <c r="B16" s="3"/>
      <c r="C16" s="5"/>
      <c r="D16" s="5"/>
      <c r="E16" s="1"/>
      <c r="F16" s="12"/>
      <c r="G16" s="12"/>
      <c r="H16" s="11"/>
      <c r="I16" s="8" t="s">
        <v>6</v>
      </c>
      <c r="J16" s="21"/>
    </row>
    <row r="17" spans="1:10" x14ac:dyDescent="0.25">
      <c r="A17" s="8"/>
      <c r="B17" s="3"/>
      <c r="C17" s="5"/>
      <c r="D17" s="5"/>
      <c r="E17" s="1"/>
      <c r="F17" s="12"/>
      <c r="G17" s="12"/>
      <c r="H17" s="11"/>
      <c r="I17" s="8" t="s">
        <v>6</v>
      </c>
      <c r="J17" s="21"/>
    </row>
    <row r="18" spans="1:10" x14ac:dyDescent="0.25">
      <c r="A18" s="8"/>
      <c r="B18" s="3"/>
      <c r="C18" s="5"/>
      <c r="D18" s="5"/>
      <c r="E18" s="1"/>
      <c r="F18" s="12"/>
      <c r="G18" s="12"/>
      <c r="H18" s="11"/>
      <c r="I18" s="8" t="s">
        <v>6</v>
      </c>
      <c r="J18" s="21"/>
    </row>
    <row r="19" spans="1:10" x14ac:dyDescent="0.25">
      <c r="A19" s="8"/>
      <c r="B19" s="3"/>
      <c r="C19" s="8"/>
      <c r="D19" s="17"/>
      <c r="E19" s="1"/>
      <c r="F19" s="12"/>
      <c r="G19" s="3"/>
      <c r="H19" s="11"/>
      <c r="I19" s="8" t="s">
        <v>6</v>
      </c>
      <c r="J19" s="21"/>
    </row>
    <row r="20" spans="1:10" x14ac:dyDescent="0.25">
      <c r="A20" s="8"/>
      <c r="B20" s="3"/>
      <c r="C20" s="8"/>
      <c r="D20" s="18"/>
      <c r="E20" s="3"/>
      <c r="F20" s="12"/>
      <c r="G20" s="3"/>
      <c r="H20" s="11"/>
      <c r="I20" s="8" t="s">
        <v>6</v>
      </c>
      <c r="J20" s="21"/>
    </row>
    <row r="21" spans="1:10" x14ac:dyDescent="0.25">
      <c r="A21" s="8"/>
      <c r="B21" s="3"/>
      <c r="C21" s="8"/>
      <c r="D21" s="18"/>
      <c r="E21" s="3"/>
      <c r="F21" s="12"/>
      <c r="G21" s="3"/>
      <c r="H21" s="11"/>
      <c r="I21" s="8" t="s">
        <v>6</v>
      </c>
      <c r="J21" s="21"/>
    </row>
    <row r="23" spans="1:10" ht="18.75" x14ac:dyDescent="0.3">
      <c r="E23" s="19"/>
      <c r="F23" s="20">
        <f>SUM(F2:F21)</f>
        <v>0</v>
      </c>
      <c r="G23" s="20">
        <f>SUM(G2:G21)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DADOS!$A$2:$A$5</xm:f>
          </x14:formula1>
          <xm:sqref>I2:I1048576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topLeftCell="H1" workbookViewId="0">
      <selection activeCell="P42" sqref="P42"/>
    </sheetView>
  </sheetViews>
  <sheetFormatPr defaultRowHeight="15" customHeight="1" x14ac:dyDescent="0.25"/>
  <cols>
    <col min="1" max="1" width="19.85546875" style="6" customWidth="1"/>
    <col min="2" max="2" width="10.140625" style="6" customWidth="1"/>
    <col min="3" max="3" width="24" style="29" customWidth="1"/>
    <col min="4" max="4" width="14.42578125" style="7" customWidth="1"/>
    <col min="5" max="5" width="46.140625" customWidth="1"/>
    <col min="6" max="6" width="9" style="6"/>
    <col min="7" max="7" width="14.5703125" style="6" customWidth="1"/>
    <col min="8" max="8" width="66.5703125" customWidth="1"/>
    <col min="9" max="9" width="18.5703125" style="13" customWidth="1"/>
    <col min="10" max="10" width="11.7109375" style="6" customWidth="1"/>
    <col min="11" max="11" width="14.85546875" style="6" customWidth="1"/>
    <col min="12" max="12" width="17.28515625" style="13" customWidth="1"/>
    <col min="13" max="13" width="15.85546875" style="13" customWidth="1"/>
    <col min="14" max="14" width="20.5703125" style="27" customWidth="1"/>
    <col min="15" max="15" width="13.140625" customWidth="1"/>
    <col min="16" max="16" width="18.7109375" customWidth="1"/>
    <col min="17" max="17" width="22.7109375" customWidth="1"/>
    <col min="18" max="18" width="29.42578125" customWidth="1"/>
    <col min="19" max="19" width="38.85546875" style="29" customWidth="1"/>
    <col min="20" max="20" width="66" customWidth="1"/>
  </cols>
  <sheetData>
    <row r="1" spans="1:20" s="2" customFormat="1" ht="30" x14ac:dyDescent="0.25">
      <c r="A1" s="9" t="s">
        <v>16</v>
      </c>
      <c r="B1" s="9" t="s">
        <v>37</v>
      </c>
      <c r="C1" s="9" t="s">
        <v>31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4" t="s">
        <v>24</v>
      </c>
      <c r="K1" s="10" t="s">
        <v>25</v>
      </c>
      <c r="L1" s="9" t="s">
        <v>26</v>
      </c>
      <c r="M1" s="22" t="s">
        <v>27</v>
      </c>
      <c r="N1" s="22" t="s">
        <v>38</v>
      </c>
      <c r="O1" s="9" t="s">
        <v>28</v>
      </c>
      <c r="P1" s="9" t="s">
        <v>29</v>
      </c>
      <c r="Q1" s="9" t="s">
        <v>30</v>
      </c>
      <c r="R1" s="24" t="s">
        <v>1</v>
      </c>
      <c r="S1" s="9" t="s">
        <v>32</v>
      </c>
      <c r="T1" s="9" t="s">
        <v>33</v>
      </c>
    </row>
    <row r="2" spans="1:20" x14ac:dyDescent="0.25">
      <c r="A2" s="5">
        <v>8195</v>
      </c>
      <c r="B2" s="5">
        <v>1</v>
      </c>
      <c r="C2" s="28" t="s">
        <v>39</v>
      </c>
      <c r="D2" s="5">
        <v>183086</v>
      </c>
      <c r="E2" s="1" t="s">
        <v>40</v>
      </c>
      <c r="F2" s="5">
        <v>1</v>
      </c>
      <c r="G2" s="5">
        <v>96933</v>
      </c>
      <c r="H2" s="1" t="s">
        <v>41</v>
      </c>
      <c r="I2" s="12">
        <v>582.54</v>
      </c>
      <c r="J2" s="8">
        <v>2</v>
      </c>
      <c r="K2" s="11">
        <v>4</v>
      </c>
      <c r="L2" s="12">
        <f>I2*J2</f>
        <v>1165.08</v>
      </c>
      <c r="M2" s="23">
        <f>K2*I2</f>
        <v>2330.16</v>
      </c>
      <c r="N2" s="26" t="s">
        <v>11</v>
      </c>
      <c r="O2" s="3"/>
      <c r="P2" s="3"/>
      <c r="Q2" s="3"/>
      <c r="R2" s="24"/>
      <c r="S2" s="28" t="s">
        <v>42</v>
      </c>
      <c r="T2" s="3"/>
    </row>
    <row r="3" spans="1:20" x14ac:dyDescent="0.25">
      <c r="A3" s="5">
        <v>8195</v>
      </c>
      <c r="B3" s="5">
        <v>1</v>
      </c>
      <c r="C3" s="28" t="s">
        <v>43</v>
      </c>
      <c r="D3" s="5">
        <v>183086</v>
      </c>
      <c r="E3" s="1" t="s">
        <v>40</v>
      </c>
      <c r="F3" s="5">
        <v>1</v>
      </c>
      <c r="G3" s="5">
        <v>193601</v>
      </c>
      <c r="H3" s="1" t="s">
        <v>44</v>
      </c>
      <c r="I3" s="12">
        <v>528.42999999999995</v>
      </c>
      <c r="J3" s="8" t="s">
        <v>45</v>
      </c>
      <c r="K3" s="11" t="s">
        <v>45</v>
      </c>
      <c r="L3" s="12" t="e">
        <f t="shared" ref="L3:L27" si="0">I3*J3</f>
        <v>#VALUE!</v>
      </c>
      <c r="M3" s="23" t="e">
        <f t="shared" ref="M3:M27" si="1">K3*I3</f>
        <v>#VALUE!</v>
      </c>
      <c r="N3" s="26" t="s">
        <v>5</v>
      </c>
      <c r="O3" s="3"/>
      <c r="P3" s="3"/>
      <c r="Q3" s="3"/>
      <c r="R3" s="24"/>
      <c r="S3" s="28" t="s">
        <v>42</v>
      </c>
      <c r="T3" s="3"/>
    </row>
    <row r="4" spans="1:20" x14ac:dyDescent="0.25">
      <c r="A4" s="5">
        <v>8195</v>
      </c>
      <c r="B4" s="5">
        <v>2</v>
      </c>
      <c r="C4" s="28" t="s">
        <v>39</v>
      </c>
      <c r="D4" s="5">
        <v>183065</v>
      </c>
      <c r="E4" s="1" t="s">
        <v>46</v>
      </c>
      <c r="F4" s="5">
        <v>1</v>
      </c>
      <c r="G4" s="5">
        <v>54944</v>
      </c>
      <c r="H4" s="1" t="s">
        <v>47</v>
      </c>
      <c r="I4" s="12">
        <v>281.57</v>
      </c>
      <c r="J4" s="8" t="s">
        <v>45</v>
      </c>
      <c r="K4" s="11" t="s">
        <v>45</v>
      </c>
      <c r="L4" s="12" t="e">
        <f t="shared" si="0"/>
        <v>#VALUE!</v>
      </c>
      <c r="M4" s="23" t="e">
        <f t="shared" si="1"/>
        <v>#VALUE!</v>
      </c>
      <c r="N4" s="26" t="s">
        <v>5</v>
      </c>
      <c r="O4" s="3"/>
      <c r="P4" s="3"/>
      <c r="Q4" s="3"/>
      <c r="R4" s="24"/>
      <c r="S4" s="28" t="s">
        <v>42</v>
      </c>
      <c r="T4" s="3"/>
    </row>
    <row r="5" spans="1:20" x14ac:dyDescent="0.25">
      <c r="A5" s="5">
        <v>8195</v>
      </c>
      <c r="B5" s="5">
        <v>2</v>
      </c>
      <c r="C5" s="28" t="s">
        <v>39</v>
      </c>
      <c r="D5" s="5">
        <v>183065</v>
      </c>
      <c r="E5" s="1" t="s">
        <v>46</v>
      </c>
      <c r="F5" s="5">
        <v>1</v>
      </c>
      <c r="G5" s="5">
        <v>187627</v>
      </c>
      <c r="H5" s="1" t="s">
        <v>48</v>
      </c>
      <c r="I5" s="12">
        <v>145.38</v>
      </c>
      <c r="J5" s="8">
        <v>1</v>
      </c>
      <c r="K5" s="11">
        <v>1</v>
      </c>
      <c r="L5" s="12">
        <f t="shared" si="0"/>
        <v>145.38</v>
      </c>
      <c r="M5" s="23">
        <f t="shared" si="1"/>
        <v>145.38</v>
      </c>
      <c r="N5" s="26" t="s">
        <v>5</v>
      </c>
      <c r="O5" s="3"/>
      <c r="P5" s="3"/>
      <c r="Q5" s="3"/>
      <c r="R5" s="24"/>
      <c r="S5" s="28" t="s">
        <v>42</v>
      </c>
      <c r="T5" s="3"/>
    </row>
    <row r="6" spans="1:20" x14ac:dyDescent="0.25">
      <c r="A6" s="5">
        <v>8195</v>
      </c>
      <c r="B6" s="5" t="s">
        <v>45</v>
      </c>
      <c r="C6" s="28" t="s">
        <v>39</v>
      </c>
      <c r="D6" s="5">
        <v>183121</v>
      </c>
      <c r="E6" s="1" t="s">
        <v>49</v>
      </c>
      <c r="F6" s="5">
        <v>1</v>
      </c>
      <c r="G6" s="5">
        <v>54945</v>
      </c>
      <c r="H6" s="1" t="s">
        <v>50</v>
      </c>
      <c r="I6" s="12">
        <v>151.08000000000001</v>
      </c>
      <c r="J6" s="8" t="s">
        <v>45</v>
      </c>
      <c r="K6" s="11" t="s">
        <v>45</v>
      </c>
      <c r="L6" s="12" t="e">
        <f t="shared" si="0"/>
        <v>#VALUE!</v>
      </c>
      <c r="M6" s="23" t="e">
        <f t="shared" si="1"/>
        <v>#VALUE!</v>
      </c>
      <c r="N6" s="26" t="s">
        <v>5</v>
      </c>
      <c r="O6" s="3"/>
      <c r="P6" s="3"/>
      <c r="Q6" s="3"/>
      <c r="R6" s="24"/>
      <c r="S6" s="28" t="s">
        <v>42</v>
      </c>
      <c r="T6" s="3"/>
    </row>
    <row r="7" spans="1:20" x14ac:dyDescent="0.25">
      <c r="A7" s="5">
        <v>8195</v>
      </c>
      <c r="B7" s="5">
        <v>3</v>
      </c>
      <c r="C7" s="28" t="s">
        <v>39</v>
      </c>
      <c r="D7" s="5">
        <v>173191</v>
      </c>
      <c r="E7" s="1" t="s">
        <v>51</v>
      </c>
      <c r="F7" s="5">
        <v>1</v>
      </c>
      <c r="G7" s="5" t="s">
        <v>45</v>
      </c>
      <c r="H7" s="1" t="s">
        <v>52</v>
      </c>
      <c r="I7" s="12">
        <v>0</v>
      </c>
      <c r="J7" s="8" t="s">
        <v>45</v>
      </c>
      <c r="K7" s="11" t="s">
        <v>45</v>
      </c>
      <c r="L7" s="12" t="e">
        <f t="shared" si="0"/>
        <v>#VALUE!</v>
      </c>
      <c r="M7" s="23" t="e">
        <f t="shared" si="1"/>
        <v>#VALUE!</v>
      </c>
      <c r="N7" s="26" t="s">
        <v>12</v>
      </c>
      <c r="O7" s="3"/>
      <c r="P7" s="3"/>
      <c r="Q7" s="3"/>
      <c r="R7" s="24"/>
      <c r="S7" s="28" t="s">
        <v>42</v>
      </c>
      <c r="T7" s="3"/>
    </row>
    <row r="8" spans="1:20" x14ac:dyDescent="0.25">
      <c r="A8" s="5">
        <v>8195</v>
      </c>
      <c r="B8" s="5" t="s">
        <v>45</v>
      </c>
      <c r="C8" s="28" t="s">
        <v>39</v>
      </c>
      <c r="D8" s="5">
        <v>173190</v>
      </c>
      <c r="E8" s="1" t="s">
        <v>53</v>
      </c>
      <c r="F8" s="5">
        <v>1</v>
      </c>
      <c r="G8" s="5" t="s">
        <v>45</v>
      </c>
      <c r="H8" s="1" t="s">
        <v>52</v>
      </c>
      <c r="I8" s="12">
        <v>0</v>
      </c>
      <c r="J8" s="8" t="s">
        <v>45</v>
      </c>
      <c r="K8" s="11" t="s">
        <v>45</v>
      </c>
      <c r="L8" s="12" t="e">
        <f t="shared" si="0"/>
        <v>#VALUE!</v>
      </c>
      <c r="M8" s="23" t="e">
        <f t="shared" si="1"/>
        <v>#VALUE!</v>
      </c>
      <c r="N8" s="26" t="s">
        <v>12</v>
      </c>
      <c r="O8" s="3"/>
      <c r="P8" s="3"/>
      <c r="Q8" s="3"/>
      <c r="R8" s="24"/>
      <c r="S8" s="28" t="s">
        <v>42</v>
      </c>
      <c r="T8" s="3"/>
    </row>
    <row r="9" spans="1:20" x14ac:dyDescent="0.25">
      <c r="A9" s="5">
        <v>8195</v>
      </c>
      <c r="B9" s="5" t="s">
        <v>45</v>
      </c>
      <c r="C9" s="28" t="s">
        <v>39</v>
      </c>
      <c r="D9" s="5">
        <v>173208</v>
      </c>
      <c r="E9" s="1" t="s">
        <v>54</v>
      </c>
      <c r="F9" s="5">
        <v>1</v>
      </c>
      <c r="G9" s="5">
        <v>93402</v>
      </c>
      <c r="H9" s="1" t="s">
        <v>55</v>
      </c>
      <c r="I9" s="12">
        <v>197.33</v>
      </c>
      <c r="J9" s="8" t="s">
        <v>45</v>
      </c>
      <c r="K9" s="11" t="s">
        <v>45</v>
      </c>
      <c r="L9" s="12" t="e">
        <f t="shared" si="0"/>
        <v>#VALUE!</v>
      </c>
      <c r="M9" s="23" t="e">
        <f t="shared" si="1"/>
        <v>#VALUE!</v>
      </c>
      <c r="N9" s="26" t="s">
        <v>12</v>
      </c>
      <c r="O9" s="3"/>
      <c r="P9" s="3"/>
      <c r="Q9" s="3"/>
      <c r="R9" s="24"/>
      <c r="S9" s="28" t="s">
        <v>42</v>
      </c>
      <c r="T9" s="3"/>
    </row>
    <row r="10" spans="1:20" x14ac:dyDescent="0.25">
      <c r="A10" s="5">
        <v>8195</v>
      </c>
      <c r="B10" s="5" t="s">
        <v>45</v>
      </c>
      <c r="C10" s="28" t="s">
        <v>39</v>
      </c>
      <c r="D10" s="5">
        <v>173187</v>
      </c>
      <c r="E10" s="1" t="s">
        <v>56</v>
      </c>
      <c r="F10" s="5">
        <v>1</v>
      </c>
      <c r="G10" s="5" t="s">
        <v>45</v>
      </c>
      <c r="H10" s="1" t="s">
        <v>52</v>
      </c>
      <c r="I10" s="12">
        <v>0</v>
      </c>
      <c r="J10" s="8" t="s">
        <v>45</v>
      </c>
      <c r="K10" s="11" t="s">
        <v>45</v>
      </c>
      <c r="L10" s="12" t="e">
        <f t="shared" si="0"/>
        <v>#VALUE!</v>
      </c>
      <c r="M10" s="23" t="e">
        <f t="shared" si="1"/>
        <v>#VALUE!</v>
      </c>
      <c r="N10" s="26" t="s">
        <v>12</v>
      </c>
      <c r="O10" s="3"/>
      <c r="P10" s="3"/>
      <c r="Q10" s="3"/>
      <c r="R10" s="24"/>
      <c r="S10" s="28" t="s">
        <v>42</v>
      </c>
      <c r="T10" s="3"/>
    </row>
    <row r="11" spans="1:20" x14ac:dyDescent="0.25">
      <c r="A11" s="5">
        <v>8195</v>
      </c>
      <c r="B11" s="5">
        <v>4</v>
      </c>
      <c r="C11" s="28" t="s">
        <v>39</v>
      </c>
      <c r="D11" s="5">
        <v>184362</v>
      </c>
      <c r="E11" s="1" t="s">
        <v>57</v>
      </c>
      <c r="F11" s="5">
        <v>1</v>
      </c>
      <c r="G11" s="5">
        <v>96925</v>
      </c>
      <c r="H11" s="1" t="s">
        <v>58</v>
      </c>
      <c r="I11" s="12">
        <v>3306.91</v>
      </c>
      <c r="J11" s="8" t="s">
        <v>45</v>
      </c>
      <c r="K11" s="11" t="s">
        <v>45</v>
      </c>
      <c r="L11" s="12" t="e">
        <f t="shared" si="0"/>
        <v>#VALUE!</v>
      </c>
      <c r="M11" s="23" t="e">
        <f t="shared" si="1"/>
        <v>#VALUE!</v>
      </c>
      <c r="N11" s="26" t="s">
        <v>5</v>
      </c>
      <c r="O11" s="3"/>
      <c r="P11" s="3"/>
      <c r="Q11" s="3"/>
      <c r="R11" s="24"/>
      <c r="S11" s="28" t="s">
        <v>42</v>
      </c>
      <c r="T11" s="3"/>
    </row>
    <row r="12" spans="1:20" x14ac:dyDescent="0.25">
      <c r="A12" s="5">
        <v>8195</v>
      </c>
      <c r="B12" s="5">
        <v>4</v>
      </c>
      <c r="C12" s="28" t="s">
        <v>43</v>
      </c>
      <c r="D12" s="5">
        <v>184362</v>
      </c>
      <c r="E12" s="1" t="s">
        <v>57</v>
      </c>
      <c r="F12" s="5">
        <v>1</v>
      </c>
      <c r="G12" s="5">
        <v>193631</v>
      </c>
      <c r="H12" s="1" t="s">
        <v>59</v>
      </c>
      <c r="I12" s="12">
        <v>4454.92</v>
      </c>
      <c r="J12" s="8" t="s">
        <v>45</v>
      </c>
      <c r="K12" s="11" t="s">
        <v>45</v>
      </c>
      <c r="L12" s="12" t="e">
        <f t="shared" si="0"/>
        <v>#VALUE!</v>
      </c>
      <c r="M12" s="23" t="e">
        <f t="shared" si="1"/>
        <v>#VALUE!</v>
      </c>
      <c r="N12" s="26" t="s">
        <v>5</v>
      </c>
      <c r="O12" s="3"/>
      <c r="P12" s="3"/>
      <c r="Q12" s="3"/>
      <c r="R12" s="24"/>
      <c r="S12" s="28" t="s">
        <v>42</v>
      </c>
      <c r="T12" s="3"/>
    </row>
    <row r="13" spans="1:20" x14ac:dyDescent="0.25">
      <c r="A13" s="5">
        <v>8195</v>
      </c>
      <c r="B13" s="5">
        <v>5</v>
      </c>
      <c r="C13" s="28" t="s">
        <v>39</v>
      </c>
      <c r="D13" s="5">
        <v>183060</v>
      </c>
      <c r="E13" s="1" t="s">
        <v>60</v>
      </c>
      <c r="F13" s="5">
        <v>1</v>
      </c>
      <c r="G13" s="5">
        <v>96926</v>
      </c>
      <c r="H13" s="1" t="s">
        <v>61</v>
      </c>
      <c r="I13" s="12">
        <v>458.4</v>
      </c>
      <c r="J13" s="8">
        <v>1</v>
      </c>
      <c r="K13" s="11">
        <v>2</v>
      </c>
      <c r="L13" s="12">
        <f t="shared" si="0"/>
        <v>458.4</v>
      </c>
      <c r="M13" s="23">
        <f t="shared" si="1"/>
        <v>916.8</v>
      </c>
      <c r="N13" s="26" t="s">
        <v>5</v>
      </c>
      <c r="O13" s="3"/>
      <c r="P13" s="3"/>
      <c r="Q13" s="3"/>
      <c r="R13" s="24"/>
      <c r="S13" s="28" t="s">
        <v>42</v>
      </c>
      <c r="T13" s="3"/>
    </row>
    <row r="14" spans="1:20" x14ac:dyDescent="0.25">
      <c r="A14" s="5">
        <v>8195</v>
      </c>
      <c r="B14" s="5">
        <v>5</v>
      </c>
      <c r="C14" s="28" t="s">
        <v>43</v>
      </c>
      <c r="D14" s="5">
        <v>183060</v>
      </c>
      <c r="E14" s="1" t="s">
        <v>60</v>
      </c>
      <c r="F14" s="5">
        <v>1</v>
      </c>
      <c r="G14" s="5">
        <v>193628</v>
      </c>
      <c r="H14" s="1" t="s">
        <v>62</v>
      </c>
      <c r="I14" s="12">
        <v>204.84</v>
      </c>
      <c r="J14" s="8" t="s">
        <v>45</v>
      </c>
      <c r="K14" s="11" t="s">
        <v>45</v>
      </c>
      <c r="L14" s="12" t="e">
        <f t="shared" si="0"/>
        <v>#VALUE!</v>
      </c>
      <c r="M14" s="23" t="e">
        <f t="shared" si="1"/>
        <v>#VALUE!</v>
      </c>
      <c r="N14" s="26" t="s">
        <v>5</v>
      </c>
      <c r="O14" s="3"/>
      <c r="P14" s="3"/>
      <c r="Q14" s="3"/>
      <c r="R14" s="24"/>
      <c r="S14" s="28" t="s">
        <v>42</v>
      </c>
      <c r="T14" s="3"/>
    </row>
    <row r="15" spans="1:20" x14ac:dyDescent="0.25">
      <c r="A15" s="5">
        <v>8195</v>
      </c>
      <c r="B15" s="5">
        <v>6</v>
      </c>
      <c r="C15" s="28" t="s">
        <v>39</v>
      </c>
      <c r="D15" s="5">
        <v>183154</v>
      </c>
      <c r="E15" s="1" t="s">
        <v>63</v>
      </c>
      <c r="F15" s="5">
        <v>1</v>
      </c>
      <c r="G15" s="5">
        <v>96927</v>
      </c>
      <c r="H15" s="1" t="s">
        <v>64</v>
      </c>
      <c r="I15" s="12">
        <v>1285.58</v>
      </c>
      <c r="J15" s="8">
        <v>1</v>
      </c>
      <c r="K15" s="11">
        <v>2</v>
      </c>
      <c r="L15" s="12">
        <f t="shared" si="0"/>
        <v>1285.58</v>
      </c>
      <c r="M15" s="23">
        <f t="shared" si="1"/>
        <v>2571.16</v>
      </c>
      <c r="N15" s="26" t="s">
        <v>5</v>
      </c>
      <c r="O15" s="3"/>
      <c r="P15" s="3"/>
      <c r="Q15" s="3"/>
      <c r="R15" s="24"/>
      <c r="S15" s="28" t="s">
        <v>42</v>
      </c>
      <c r="T15" s="3"/>
    </row>
    <row r="16" spans="1:20" x14ac:dyDescent="0.25">
      <c r="A16" s="5">
        <v>8195</v>
      </c>
      <c r="B16" s="5">
        <v>6</v>
      </c>
      <c r="C16" s="28" t="s">
        <v>43</v>
      </c>
      <c r="D16" s="5">
        <v>183154</v>
      </c>
      <c r="E16" s="1" t="s">
        <v>63</v>
      </c>
      <c r="F16" s="5">
        <v>1</v>
      </c>
      <c r="G16" s="5">
        <v>193627</v>
      </c>
      <c r="H16" s="1" t="s">
        <v>65</v>
      </c>
      <c r="I16" s="12">
        <v>1</v>
      </c>
      <c r="J16" s="8" t="s">
        <v>45</v>
      </c>
      <c r="K16" s="11" t="s">
        <v>45</v>
      </c>
      <c r="L16" s="12" t="e">
        <f t="shared" si="0"/>
        <v>#VALUE!</v>
      </c>
      <c r="M16" s="23" t="e">
        <f t="shared" si="1"/>
        <v>#VALUE!</v>
      </c>
      <c r="N16" s="26" t="s">
        <v>5</v>
      </c>
      <c r="O16" s="3"/>
      <c r="P16" s="3"/>
      <c r="Q16" s="3"/>
      <c r="R16" s="24"/>
      <c r="S16" s="28" t="s">
        <v>42</v>
      </c>
      <c r="T16" s="3"/>
    </row>
    <row r="17" spans="1:20" x14ac:dyDescent="0.25">
      <c r="A17" s="5">
        <v>8195</v>
      </c>
      <c r="B17" s="5">
        <v>7</v>
      </c>
      <c r="C17" s="28" t="s">
        <v>39</v>
      </c>
      <c r="D17" s="5">
        <v>183163</v>
      </c>
      <c r="E17" s="1" t="s">
        <v>66</v>
      </c>
      <c r="F17" s="5">
        <v>1</v>
      </c>
      <c r="G17" s="5">
        <v>51174</v>
      </c>
      <c r="H17" s="1" t="s">
        <v>67</v>
      </c>
      <c r="I17" s="12">
        <v>3529.15</v>
      </c>
      <c r="J17" s="8">
        <v>0</v>
      </c>
      <c r="K17" s="11">
        <v>0</v>
      </c>
      <c r="L17" s="12">
        <f t="shared" si="0"/>
        <v>0</v>
      </c>
      <c r="M17" s="23">
        <f t="shared" si="1"/>
        <v>0</v>
      </c>
      <c r="N17" s="26" t="s">
        <v>5</v>
      </c>
      <c r="O17" s="3"/>
      <c r="P17" s="3"/>
      <c r="Q17" s="3"/>
      <c r="R17" s="24"/>
      <c r="S17" s="28" t="s">
        <v>42</v>
      </c>
      <c r="T17" s="3"/>
    </row>
    <row r="18" spans="1:20" x14ac:dyDescent="0.25">
      <c r="A18" s="5">
        <v>8195</v>
      </c>
      <c r="B18" s="5" t="s">
        <v>45</v>
      </c>
      <c r="C18" s="28" t="s">
        <v>39</v>
      </c>
      <c r="D18" s="5">
        <v>183477</v>
      </c>
      <c r="E18" s="1" t="s">
        <v>68</v>
      </c>
      <c r="F18" s="5">
        <v>1</v>
      </c>
      <c r="G18" s="5" t="s">
        <v>45</v>
      </c>
      <c r="H18" s="1" t="s">
        <v>52</v>
      </c>
      <c r="I18" s="12">
        <v>0</v>
      </c>
      <c r="J18" s="8" t="s">
        <v>45</v>
      </c>
      <c r="K18" s="11" t="s">
        <v>45</v>
      </c>
      <c r="L18" s="12" t="e">
        <f t="shared" si="0"/>
        <v>#VALUE!</v>
      </c>
      <c r="M18" s="23" t="e">
        <f t="shared" si="1"/>
        <v>#VALUE!</v>
      </c>
      <c r="N18" s="26" t="s">
        <v>12</v>
      </c>
      <c r="O18" s="3"/>
      <c r="P18" s="3"/>
      <c r="Q18" s="3"/>
      <c r="R18" s="24"/>
      <c r="S18" s="28" t="s">
        <v>42</v>
      </c>
      <c r="T18" s="3"/>
    </row>
    <row r="19" spans="1:20" x14ac:dyDescent="0.25">
      <c r="A19" s="5">
        <v>8195</v>
      </c>
      <c r="B19" s="5">
        <v>8</v>
      </c>
      <c r="C19" s="28" t="s">
        <v>39</v>
      </c>
      <c r="D19" s="5">
        <v>183160</v>
      </c>
      <c r="E19" s="1" t="s">
        <v>69</v>
      </c>
      <c r="F19" s="5">
        <v>1</v>
      </c>
      <c r="G19" s="5">
        <v>32917</v>
      </c>
      <c r="H19" s="1" t="s">
        <v>70</v>
      </c>
      <c r="I19" s="12">
        <v>6479.23</v>
      </c>
      <c r="J19" s="8">
        <v>0</v>
      </c>
      <c r="K19" s="11">
        <v>0</v>
      </c>
      <c r="L19" s="12">
        <f t="shared" si="0"/>
        <v>0</v>
      </c>
      <c r="M19" s="23">
        <f t="shared" si="1"/>
        <v>0</v>
      </c>
      <c r="N19" s="26" t="s">
        <v>5</v>
      </c>
      <c r="O19" s="3"/>
      <c r="P19" s="3"/>
      <c r="Q19" s="3"/>
      <c r="R19" s="24"/>
      <c r="S19" s="28" t="s">
        <v>42</v>
      </c>
      <c r="T19" s="3"/>
    </row>
    <row r="20" spans="1:20" x14ac:dyDescent="0.25">
      <c r="A20" s="5">
        <v>8195</v>
      </c>
      <c r="B20" s="5">
        <v>9</v>
      </c>
      <c r="C20" s="28" t="s">
        <v>39</v>
      </c>
      <c r="D20" s="5">
        <v>183143</v>
      </c>
      <c r="E20" s="1" t="s">
        <v>71</v>
      </c>
      <c r="F20" s="5">
        <v>1</v>
      </c>
      <c r="G20" s="5">
        <v>96930</v>
      </c>
      <c r="H20" s="25" t="s">
        <v>72</v>
      </c>
      <c r="I20" s="12">
        <v>4150.6099999999997</v>
      </c>
      <c r="J20" s="8">
        <v>1</v>
      </c>
      <c r="K20" s="11">
        <v>2</v>
      </c>
      <c r="L20" s="12">
        <f t="shared" si="0"/>
        <v>4150.6099999999997</v>
      </c>
      <c r="M20" s="23">
        <f t="shared" si="1"/>
        <v>8301.2199999999993</v>
      </c>
      <c r="N20" s="26" t="s">
        <v>5</v>
      </c>
      <c r="O20" s="3"/>
      <c r="P20" s="3"/>
      <c r="Q20" s="3"/>
      <c r="R20" s="24"/>
      <c r="S20" s="28" t="s">
        <v>42</v>
      </c>
      <c r="T20" s="3"/>
    </row>
    <row r="21" spans="1:20" x14ac:dyDescent="0.25">
      <c r="A21" s="5">
        <v>8195</v>
      </c>
      <c r="B21" s="5">
        <v>9</v>
      </c>
      <c r="C21" s="28" t="s">
        <v>43</v>
      </c>
      <c r="D21" s="5">
        <v>183143</v>
      </c>
      <c r="E21" s="1" t="s">
        <v>71</v>
      </c>
      <c r="F21" s="5">
        <v>1</v>
      </c>
      <c r="G21" s="5">
        <v>193624</v>
      </c>
      <c r="H21" s="25" t="s">
        <v>73</v>
      </c>
      <c r="I21" s="12">
        <v>1440.51</v>
      </c>
      <c r="J21" s="8" t="s">
        <v>45</v>
      </c>
      <c r="K21" s="11" t="s">
        <v>45</v>
      </c>
      <c r="L21" s="12" t="e">
        <f t="shared" si="0"/>
        <v>#VALUE!</v>
      </c>
      <c r="M21" s="23" t="e">
        <f t="shared" si="1"/>
        <v>#VALUE!</v>
      </c>
      <c r="N21" s="26" t="s">
        <v>5</v>
      </c>
      <c r="O21" s="3"/>
      <c r="P21" s="3"/>
      <c r="Q21" s="3"/>
      <c r="R21" s="24"/>
      <c r="S21" s="28" t="s">
        <v>42</v>
      </c>
      <c r="T21" s="3"/>
    </row>
    <row r="22" spans="1:20" x14ac:dyDescent="0.25">
      <c r="A22" s="5">
        <v>8195</v>
      </c>
      <c r="B22" s="5">
        <v>10</v>
      </c>
      <c r="C22" s="28" t="s">
        <v>39</v>
      </c>
      <c r="D22" s="5">
        <v>183141</v>
      </c>
      <c r="E22" s="1" t="s">
        <v>74</v>
      </c>
      <c r="F22" s="5">
        <v>1</v>
      </c>
      <c r="G22" s="5">
        <v>96931</v>
      </c>
      <c r="H22" s="1" t="s">
        <v>75</v>
      </c>
      <c r="I22" s="12">
        <v>2319.06</v>
      </c>
      <c r="J22" s="8">
        <v>6</v>
      </c>
      <c r="K22" s="11">
        <v>12</v>
      </c>
      <c r="L22" s="12">
        <f t="shared" si="0"/>
        <v>13914.36</v>
      </c>
      <c r="M22" s="23">
        <f t="shared" si="1"/>
        <v>27828.720000000001</v>
      </c>
      <c r="N22" s="26" t="s">
        <v>5</v>
      </c>
      <c r="O22" s="3"/>
      <c r="P22" s="3"/>
      <c r="Q22" s="3"/>
      <c r="R22" s="24"/>
      <c r="S22" s="28" t="s">
        <v>42</v>
      </c>
      <c r="T22" s="3"/>
    </row>
    <row r="23" spans="1:20" x14ac:dyDescent="0.25">
      <c r="A23" s="5">
        <v>8195</v>
      </c>
      <c r="B23" s="5">
        <v>11</v>
      </c>
      <c r="C23" s="28" t="s">
        <v>39</v>
      </c>
      <c r="D23" s="5">
        <v>183654</v>
      </c>
      <c r="E23" s="1" t="s">
        <v>76</v>
      </c>
      <c r="F23" s="5">
        <v>2</v>
      </c>
      <c r="G23" s="5">
        <v>96932</v>
      </c>
      <c r="H23" s="1" t="s">
        <v>77</v>
      </c>
      <c r="I23" s="12">
        <v>339.09</v>
      </c>
      <c r="J23" s="8">
        <v>1</v>
      </c>
      <c r="K23" s="11">
        <v>2</v>
      </c>
      <c r="L23" s="12">
        <f t="shared" si="0"/>
        <v>339.09</v>
      </c>
      <c r="M23" s="23">
        <f t="shared" si="1"/>
        <v>678.18</v>
      </c>
      <c r="N23" s="26" t="s">
        <v>5</v>
      </c>
      <c r="O23" s="3"/>
      <c r="P23" s="3"/>
      <c r="Q23" s="3"/>
      <c r="R23" s="24"/>
      <c r="S23" s="28" t="s">
        <v>42</v>
      </c>
      <c r="T23" s="3"/>
    </row>
    <row r="24" spans="1:20" x14ac:dyDescent="0.25">
      <c r="A24" s="5">
        <v>8195</v>
      </c>
      <c r="B24" s="5">
        <v>11</v>
      </c>
      <c r="C24" s="28" t="s">
        <v>43</v>
      </c>
      <c r="D24" s="5">
        <v>183654</v>
      </c>
      <c r="E24" s="1" t="s">
        <v>76</v>
      </c>
      <c r="F24" s="5">
        <v>1</v>
      </c>
      <c r="G24" s="5">
        <v>193630</v>
      </c>
      <c r="H24" s="1" t="s">
        <v>78</v>
      </c>
      <c r="I24" s="12">
        <v>114.33</v>
      </c>
      <c r="J24" s="8" t="s">
        <v>45</v>
      </c>
      <c r="K24" s="11" t="s">
        <v>45</v>
      </c>
      <c r="L24" s="12" t="e">
        <f t="shared" si="0"/>
        <v>#VALUE!</v>
      </c>
      <c r="M24" s="23" t="e">
        <f t="shared" si="1"/>
        <v>#VALUE!</v>
      </c>
      <c r="N24" s="26" t="s">
        <v>5</v>
      </c>
      <c r="O24" s="3"/>
      <c r="P24" s="3"/>
      <c r="Q24" s="3"/>
      <c r="R24" s="24"/>
      <c r="S24" s="28" t="s">
        <v>42</v>
      </c>
      <c r="T24" s="3"/>
    </row>
    <row r="25" spans="1:20" x14ac:dyDescent="0.25">
      <c r="A25" s="5">
        <v>8195</v>
      </c>
      <c r="B25" s="5">
        <v>12</v>
      </c>
      <c r="C25" s="28" t="s">
        <v>39</v>
      </c>
      <c r="D25" s="5">
        <v>183120</v>
      </c>
      <c r="E25" s="1" t="s">
        <v>79</v>
      </c>
      <c r="F25" s="5">
        <v>1</v>
      </c>
      <c r="G25" s="5">
        <v>33217</v>
      </c>
      <c r="H25" s="1" t="s">
        <v>80</v>
      </c>
      <c r="I25" s="12">
        <v>277.52</v>
      </c>
      <c r="J25" s="8">
        <v>3</v>
      </c>
      <c r="K25" s="11">
        <v>6</v>
      </c>
      <c r="L25" s="12">
        <f t="shared" si="0"/>
        <v>832.56</v>
      </c>
      <c r="M25" s="23">
        <f t="shared" si="1"/>
        <v>1665.12</v>
      </c>
      <c r="N25" s="26" t="s">
        <v>5</v>
      </c>
      <c r="O25" s="3"/>
      <c r="P25" s="3"/>
      <c r="Q25" s="3"/>
      <c r="R25" s="24"/>
      <c r="S25" s="28" t="s">
        <v>42</v>
      </c>
      <c r="T25" s="3"/>
    </row>
    <row r="26" spans="1:20" x14ac:dyDescent="0.25">
      <c r="A26" s="5">
        <v>8195</v>
      </c>
      <c r="B26" s="5" t="s">
        <v>45</v>
      </c>
      <c r="C26" s="28" t="s">
        <v>39</v>
      </c>
      <c r="D26" s="5">
        <v>163313</v>
      </c>
      <c r="E26" s="1" t="s">
        <v>81</v>
      </c>
      <c r="F26" s="5">
        <v>1</v>
      </c>
      <c r="G26" s="5" t="s">
        <v>45</v>
      </c>
      <c r="H26" s="1" t="s">
        <v>52</v>
      </c>
      <c r="I26" s="12">
        <v>0</v>
      </c>
      <c r="J26" s="8" t="s">
        <v>45</v>
      </c>
      <c r="K26" s="11" t="s">
        <v>45</v>
      </c>
      <c r="L26" s="12" t="e">
        <f t="shared" si="0"/>
        <v>#VALUE!</v>
      </c>
      <c r="M26" s="23" t="e">
        <f t="shared" si="1"/>
        <v>#VALUE!</v>
      </c>
      <c r="N26" s="26" t="s">
        <v>12</v>
      </c>
      <c r="O26" s="3"/>
      <c r="P26" s="3"/>
      <c r="Q26" s="3"/>
      <c r="R26" s="24"/>
      <c r="S26" s="28" t="s">
        <v>42</v>
      </c>
      <c r="T26" s="3"/>
    </row>
    <row r="27" spans="1:20" x14ac:dyDescent="0.25">
      <c r="A27" s="5">
        <v>8195</v>
      </c>
      <c r="B27" s="5">
        <v>13</v>
      </c>
      <c r="C27" s="28" t="s">
        <v>39</v>
      </c>
      <c r="D27" s="5">
        <v>163207</v>
      </c>
      <c r="E27" s="1" t="s">
        <v>82</v>
      </c>
      <c r="F27" s="5">
        <v>1</v>
      </c>
      <c r="G27" s="5">
        <v>51941</v>
      </c>
      <c r="H27" s="1" t="s">
        <v>83</v>
      </c>
      <c r="I27" s="12">
        <v>148.56</v>
      </c>
      <c r="J27" s="8">
        <v>0</v>
      </c>
      <c r="K27" s="11">
        <v>0</v>
      </c>
      <c r="L27" s="12">
        <f t="shared" si="0"/>
        <v>0</v>
      </c>
      <c r="M27" s="23">
        <f t="shared" si="1"/>
        <v>0</v>
      </c>
      <c r="N27" s="26" t="s">
        <v>5</v>
      </c>
      <c r="O27" s="3"/>
      <c r="P27" s="3"/>
      <c r="Q27" s="3"/>
      <c r="R27" s="24"/>
      <c r="S27" s="28" t="s">
        <v>42</v>
      </c>
      <c r="T27" s="3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DADOS!$A$2:$A$5</xm:f>
          </x14:formula1>
          <xm:sqref>Q2:Q1048576</xm:sqref>
        </x14:dataValidation>
        <x14:dataValidation type="list" allowBlank="1" showInputMessage="1" showErrorMessage="1" xr:uid="{00000000-0002-0000-0300-000001000000}">
          <x14:formula1>
            <xm:f>DADOS!$B$2:$B$5</xm:f>
          </x14:formula1>
          <xm:sqref>R2:R1048576</xm:sqref>
        </x14:dataValidation>
        <x14:dataValidation type="list" allowBlank="1" showInputMessage="1" showErrorMessage="1" xr:uid="{E9287307-22F1-4594-8996-092EEA4E8A03}">
          <x14:formula1>
            <xm:f>DADOS!$C$2:$C$8</xm:f>
          </x14:formula1>
          <xm:sqref>N2:N1048576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5027-4C6C-49B6-AEC4-F97BABF3E872}">
  <dimension ref="A1:T27"/>
  <sheetViews>
    <sheetView tabSelected="1" workbookViewId="0">
      <selection activeCell="A3" sqref="A3:A27"/>
    </sheetView>
  </sheetViews>
  <sheetFormatPr defaultRowHeight="15" customHeight="1" x14ac:dyDescent="0.25"/>
  <cols>
    <col min="1" max="1" width="19.85546875" style="6" customWidth="1"/>
    <col min="2" max="2" width="10.140625" style="6" customWidth="1"/>
    <col min="3" max="3" width="24" style="29" customWidth="1"/>
    <col min="4" max="4" width="14.42578125" style="7" customWidth="1"/>
    <col min="5" max="5" width="46.140625" customWidth="1"/>
    <col min="6" max="6" width="9.140625" style="6"/>
    <col min="7" max="7" width="14.5703125" style="6" customWidth="1"/>
    <col min="8" max="8" width="66.5703125" customWidth="1"/>
    <col min="9" max="9" width="18.5703125" style="13" customWidth="1"/>
    <col min="10" max="10" width="11.7109375" style="6" customWidth="1"/>
    <col min="11" max="11" width="14.85546875" style="6" customWidth="1"/>
    <col min="12" max="12" width="17.28515625" style="13" customWidth="1"/>
    <col min="13" max="13" width="15.85546875" style="13" customWidth="1"/>
    <col min="14" max="14" width="20.5703125" style="27" customWidth="1"/>
    <col min="15" max="15" width="13.140625" customWidth="1"/>
    <col min="16" max="16" width="18.7109375" customWidth="1"/>
    <col min="17" max="17" width="22.7109375" customWidth="1"/>
    <col min="18" max="18" width="29.42578125" customWidth="1"/>
    <col min="19" max="19" width="38.85546875" style="29" customWidth="1"/>
    <col min="20" max="20" width="66" customWidth="1"/>
  </cols>
  <sheetData>
    <row r="1" spans="1:20" s="2" customFormat="1" ht="30" x14ac:dyDescent="0.25">
      <c r="A1" s="9" t="s">
        <v>16</v>
      </c>
      <c r="B1" s="9" t="s">
        <v>37</v>
      </c>
      <c r="C1" s="9" t="s">
        <v>31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4" t="s">
        <v>24</v>
      </c>
      <c r="K1" s="10" t="s">
        <v>25</v>
      </c>
      <c r="L1" s="9" t="s">
        <v>26</v>
      </c>
      <c r="M1" s="22" t="s">
        <v>27</v>
      </c>
      <c r="N1" s="22" t="s">
        <v>38</v>
      </c>
      <c r="O1" s="9" t="s">
        <v>28</v>
      </c>
      <c r="P1" s="9" t="s">
        <v>29</v>
      </c>
      <c r="Q1" s="9" t="s">
        <v>30</v>
      </c>
      <c r="R1" s="24" t="s">
        <v>1</v>
      </c>
      <c r="S1" s="9" t="s">
        <v>32</v>
      </c>
      <c r="T1" s="9" t="s">
        <v>33</v>
      </c>
    </row>
    <row r="2" spans="1:20" x14ac:dyDescent="0.25">
      <c r="A2" s="5">
        <v>8173</v>
      </c>
      <c r="B2" s="5">
        <v>1</v>
      </c>
      <c r="C2" s="28" t="s">
        <v>39</v>
      </c>
      <c r="D2" s="5">
        <v>183086</v>
      </c>
      <c r="E2" s="1" t="s">
        <v>40</v>
      </c>
      <c r="F2" s="5">
        <v>1</v>
      </c>
      <c r="G2" s="5">
        <v>96933</v>
      </c>
      <c r="H2" s="1" t="s">
        <v>41</v>
      </c>
      <c r="I2" s="12">
        <v>582.54</v>
      </c>
      <c r="J2" s="8">
        <v>2</v>
      </c>
      <c r="K2" s="11">
        <v>4</v>
      </c>
      <c r="L2" s="12">
        <f>I2*J2</f>
        <v>1165.08</v>
      </c>
      <c r="M2" s="23">
        <f>K2*I2</f>
        <v>2330.16</v>
      </c>
      <c r="N2" s="26" t="s">
        <v>11</v>
      </c>
      <c r="O2" s="3"/>
      <c r="P2" s="3"/>
      <c r="Q2" s="3"/>
      <c r="R2" s="24"/>
      <c r="S2" s="28" t="s">
        <v>42</v>
      </c>
      <c r="T2" s="3"/>
    </row>
    <row r="3" spans="1:20" x14ac:dyDescent="0.25">
      <c r="A3" s="5">
        <v>8173</v>
      </c>
      <c r="B3" s="5">
        <v>1</v>
      </c>
      <c r="C3" s="28" t="s">
        <v>43</v>
      </c>
      <c r="D3" s="5">
        <v>183086</v>
      </c>
      <c r="E3" s="1" t="s">
        <v>40</v>
      </c>
      <c r="F3" s="5">
        <v>1</v>
      </c>
      <c r="G3" s="5">
        <v>193601</v>
      </c>
      <c r="H3" s="1" t="s">
        <v>44</v>
      </c>
      <c r="I3" s="12">
        <v>528.42999999999995</v>
      </c>
      <c r="J3" s="8" t="s">
        <v>45</v>
      </c>
      <c r="K3" s="11" t="s">
        <v>45</v>
      </c>
      <c r="L3" s="12" t="e">
        <f t="shared" ref="L3:L27" si="0">I3*J3</f>
        <v>#VALUE!</v>
      </c>
      <c r="M3" s="23" t="e">
        <f t="shared" ref="M3:M27" si="1">K3*I3</f>
        <v>#VALUE!</v>
      </c>
      <c r="N3" s="26" t="s">
        <v>5</v>
      </c>
      <c r="O3" s="3"/>
      <c r="P3" s="3"/>
      <c r="Q3" s="3"/>
      <c r="R3" s="24"/>
      <c r="S3" s="28" t="s">
        <v>42</v>
      </c>
      <c r="T3" s="3"/>
    </row>
    <row r="4" spans="1:20" x14ac:dyDescent="0.25">
      <c r="A4" s="5">
        <v>8173</v>
      </c>
      <c r="B4" s="5">
        <v>2</v>
      </c>
      <c r="C4" s="28" t="s">
        <v>39</v>
      </c>
      <c r="D4" s="5">
        <v>183065</v>
      </c>
      <c r="E4" s="1" t="s">
        <v>46</v>
      </c>
      <c r="F4" s="5">
        <v>1</v>
      </c>
      <c r="G4" s="5">
        <v>54944</v>
      </c>
      <c r="H4" s="1" t="s">
        <v>47</v>
      </c>
      <c r="I4" s="12">
        <v>281.57</v>
      </c>
      <c r="J4" s="8" t="s">
        <v>45</v>
      </c>
      <c r="K4" s="11" t="s">
        <v>45</v>
      </c>
      <c r="L4" s="12" t="e">
        <f t="shared" si="0"/>
        <v>#VALUE!</v>
      </c>
      <c r="M4" s="23" t="e">
        <f t="shared" si="1"/>
        <v>#VALUE!</v>
      </c>
      <c r="N4" s="26" t="s">
        <v>5</v>
      </c>
      <c r="O4" s="3"/>
      <c r="P4" s="3"/>
      <c r="Q4" s="3"/>
      <c r="R4" s="24"/>
      <c r="S4" s="28" t="s">
        <v>42</v>
      </c>
      <c r="T4" s="3"/>
    </row>
    <row r="5" spans="1:20" x14ac:dyDescent="0.25">
      <c r="A5" s="5">
        <v>8173</v>
      </c>
      <c r="B5" s="5">
        <v>2</v>
      </c>
      <c r="C5" s="28" t="s">
        <v>39</v>
      </c>
      <c r="D5" s="5">
        <v>183065</v>
      </c>
      <c r="E5" s="1" t="s">
        <v>46</v>
      </c>
      <c r="F5" s="5">
        <v>1</v>
      </c>
      <c r="G5" s="5">
        <v>187627</v>
      </c>
      <c r="H5" s="1" t="s">
        <v>48</v>
      </c>
      <c r="I5" s="12">
        <v>145.38</v>
      </c>
      <c r="J5" s="8">
        <v>1</v>
      </c>
      <c r="K5" s="11">
        <v>1</v>
      </c>
      <c r="L5" s="12">
        <f t="shared" si="0"/>
        <v>145.38</v>
      </c>
      <c r="M5" s="23">
        <f t="shared" si="1"/>
        <v>145.38</v>
      </c>
      <c r="N5" s="26" t="s">
        <v>5</v>
      </c>
      <c r="O5" s="3"/>
      <c r="P5" s="3"/>
      <c r="Q5" s="3"/>
      <c r="R5" s="24"/>
      <c r="S5" s="28" t="s">
        <v>42</v>
      </c>
      <c r="T5" s="3"/>
    </row>
    <row r="6" spans="1:20" x14ac:dyDescent="0.25">
      <c r="A6" s="5">
        <v>8173</v>
      </c>
      <c r="B6" s="5" t="s">
        <v>45</v>
      </c>
      <c r="C6" s="28" t="s">
        <v>39</v>
      </c>
      <c r="D6" s="5">
        <v>183121</v>
      </c>
      <c r="E6" s="1" t="s">
        <v>49</v>
      </c>
      <c r="F6" s="5">
        <v>1</v>
      </c>
      <c r="G6" s="5">
        <v>54945</v>
      </c>
      <c r="H6" s="1" t="s">
        <v>50</v>
      </c>
      <c r="I6" s="12">
        <v>151.08000000000001</v>
      </c>
      <c r="J6" s="8" t="s">
        <v>45</v>
      </c>
      <c r="K6" s="11" t="s">
        <v>45</v>
      </c>
      <c r="L6" s="12" t="e">
        <f t="shared" si="0"/>
        <v>#VALUE!</v>
      </c>
      <c r="M6" s="23" t="e">
        <f t="shared" si="1"/>
        <v>#VALUE!</v>
      </c>
      <c r="N6" s="26" t="s">
        <v>5</v>
      </c>
      <c r="O6" s="3"/>
      <c r="P6" s="3"/>
      <c r="Q6" s="3"/>
      <c r="R6" s="24"/>
      <c r="S6" s="28" t="s">
        <v>42</v>
      </c>
      <c r="T6" s="3"/>
    </row>
    <row r="7" spans="1:20" x14ac:dyDescent="0.25">
      <c r="A7" s="5">
        <v>8173</v>
      </c>
      <c r="B7" s="5">
        <v>3</v>
      </c>
      <c r="C7" s="28" t="s">
        <v>39</v>
      </c>
      <c r="D7" s="5">
        <v>173191</v>
      </c>
      <c r="E7" s="1" t="s">
        <v>51</v>
      </c>
      <c r="F7" s="5">
        <v>1</v>
      </c>
      <c r="G7" s="5" t="s">
        <v>45</v>
      </c>
      <c r="H7" s="1" t="s">
        <v>52</v>
      </c>
      <c r="I7" s="12">
        <v>0</v>
      </c>
      <c r="J7" s="8" t="s">
        <v>45</v>
      </c>
      <c r="K7" s="11" t="s">
        <v>45</v>
      </c>
      <c r="L7" s="12" t="e">
        <f t="shared" si="0"/>
        <v>#VALUE!</v>
      </c>
      <c r="M7" s="23" t="e">
        <f t="shared" si="1"/>
        <v>#VALUE!</v>
      </c>
      <c r="N7" s="26" t="s">
        <v>12</v>
      </c>
      <c r="O7" s="3"/>
      <c r="P7" s="3"/>
      <c r="Q7" s="3"/>
      <c r="R7" s="24"/>
      <c r="S7" s="28" t="s">
        <v>42</v>
      </c>
      <c r="T7" s="3"/>
    </row>
    <row r="8" spans="1:20" x14ac:dyDescent="0.25">
      <c r="A8" s="5">
        <v>8173</v>
      </c>
      <c r="B8" s="5" t="s">
        <v>45</v>
      </c>
      <c r="C8" s="28" t="s">
        <v>39</v>
      </c>
      <c r="D8" s="5">
        <v>173190</v>
      </c>
      <c r="E8" s="1" t="s">
        <v>53</v>
      </c>
      <c r="F8" s="5">
        <v>1</v>
      </c>
      <c r="G8" s="5" t="s">
        <v>45</v>
      </c>
      <c r="H8" s="1" t="s">
        <v>52</v>
      </c>
      <c r="I8" s="12">
        <v>0</v>
      </c>
      <c r="J8" s="8" t="s">
        <v>45</v>
      </c>
      <c r="K8" s="11" t="s">
        <v>45</v>
      </c>
      <c r="L8" s="12" t="e">
        <f t="shared" si="0"/>
        <v>#VALUE!</v>
      </c>
      <c r="M8" s="23" t="e">
        <f t="shared" si="1"/>
        <v>#VALUE!</v>
      </c>
      <c r="N8" s="26" t="s">
        <v>12</v>
      </c>
      <c r="O8" s="3"/>
      <c r="P8" s="3"/>
      <c r="Q8" s="3"/>
      <c r="R8" s="24"/>
      <c r="S8" s="28" t="s">
        <v>42</v>
      </c>
      <c r="T8" s="3"/>
    </row>
    <row r="9" spans="1:20" x14ac:dyDescent="0.25">
      <c r="A9" s="5">
        <v>8173</v>
      </c>
      <c r="B9" s="5" t="s">
        <v>45</v>
      </c>
      <c r="C9" s="28" t="s">
        <v>39</v>
      </c>
      <c r="D9" s="5">
        <v>173208</v>
      </c>
      <c r="E9" s="1" t="s">
        <v>54</v>
      </c>
      <c r="F9" s="5">
        <v>1</v>
      </c>
      <c r="G9" s="5">
        <v>93402</v>
      </c>
      <c r="H9" s="1" t="s">
        <v>55</v>
      </c>
      <c r="I9" s="12">
        <v>197.33</v>
      </c>
      <c r="J9" s="8" t="s">
        <v>45</v>
      </c>
      <c r="K9" s="11" t="s">
        <v>45</v>
      </c>
      <c r="L9" s="12" t="e">
        <f t="shared" si="0"/>
        <v>#VALUE!</v>
      </c>
      <c r="M9" s="23" t="e">
        <f t="shared" si="1"/>
        <v>#VALUE!</v>
      </c>
      <c r="N9" s="26" t="s">
        <v>12</v>
      </c>
      <c r="O9" s="3"/>
      <c r="P9" s="3"/>
      <c r="Q9" s="3"/>
      <c r="R9" s="24"/>
      <c r="S9" s="28" t="s">
        <v>42</v>
      </c>
      <c r="T9" s="3"/>
    </row>
    <row r="10" spans="1:20" x14ac:dyDescent="0.25">
      <c r="A10" s="5">
        <v>8173</v>
      </c>
      <c r="B10" s="5" t="s">
        <v>45</v>
      </c>
      <c r="C10" s="28" t="s">
        <v>39</v>
      </c>
      <c r="D10" s="5">
        <v>173187</v>
      </c>
      <c r="E10" s="1" t="s">
        <v>56</v>
      </c>
      <c r="F10" s="5">
        <v>1</v>
      </c>
      <c r="G10" s="5" t="s">
        <v>45</v>
      </c>
      <c r="H10" s="1" t="s">
        <v>52</v>
      </c>
      <c r="I10" s="12">
        <v>0</v>
      </c>
      <c r="J10" s="8" t="s">
        <v>45</v>
      </c>
      <c r="K10" s="11" t="s">
        <v>45</v>
      </c>
      <c r="L10" s="12" t="e">
        <f t="shared" si="0"/>
        <v>#VALUE!</v>
      </c>
      <c r="M10" s="23" t="e">
        <f t="shared" si="1"/>
        <v>#VALUE!</v>
      </c>
      <c r="N10" s="26" t="s">
        <v>12</v>
      </c>
      <c r="O10" s="3"/>
      <c r="P10" s="3"/>
      <c r="Q10" s="3"/>
      <c r="R10" s="24"/>
      <c r="S10" s="28" t="s">
        <v>42</v>
      </c>
      <c r="T10" s="3"/>
    </row>
    <row r="11" spans="1:20" x14ac:dyDescent="0.25">
      <c r="A11" s="5">
        <v>8173</v>
      </c>
      <c r="B11" s="5">
        <v>4</v>
      </c>
      <c r="C11" s="28" t="s">
        <v>39</v>
      </c>
      <c r="D11" s="5">
        <v>184362</v>
      </c>
      <c r="E11" s="1" t="s">
        <v>57</v>
      </c>
      <c r="F11" s="5">
        <v>1</v>
      </c>
      <c r="G11" s="5">
        <v>96925</v>
      </c>
      <c r="H11" s="1" t="s">
        <v>58</v>
      </c>
      <c r="I11" s="12">
        <v>3306.91</v>
      </c>
      <c r="J11" s="8" t="s">
        <v>45</v>
      </c>
      <c r="K11" s="11" t="s">
        <v>45</v>
      </c>
      <c r="L11" s="12" t="e">
        <f t="shared" si="0"/>
        <v>#VALUE!</v>
      </c>
      <c r="M11" s="23" t="e">
        <f t="shared" si="1"/>
        <v>#VALUE!</v>
      </c>
      <c r="N11" s="26" t="s">
        <v>5</v>
      </c>
      <c r="O11" s="3"/>
      <c r="P11" s="3"/>
      <c r="Q11" s="3"/>
      <c r="R11" s="24"/>
      <c r="S11" s="28" t="s">
        <v>42</v>
      </c>
      <c r="T11" s="3"/>
    </row>
    <row r="12" spans="1:20" x14ac:dyDescent="0.25">
      <c r="A12" s="5">
        <v>8173</v>
      </c>
      <c r="B12" s="5">
        <v>4</v>
      </c>
      <c r="C12" s="28" t="s">
        <v>43</v>
      </c>
      <c r="D12" s="5">
        <v>184362</v>
      </c>
      <c r="E12" s="1" t="s">
        <v>57</v>
      </c>
      <c r="F12" s="5">
        <v>1</v>
      </c>
      <c r="G12" s="5">
        <v>193631</v>
      </c>
      <c r="H12" s="1" t="s">
        <v>59</v>
      </c>
      <c r="I12" s="12">
        <v>4454.92</v>
      </c>
      <c r="J12" s="8" t="s">
        <v>45</v>
      </c>
      <c r="K12" s="11" t="s">
        <v>45</v>
      </c>
      <c r="L12" s="12" t="e">
        <f t="shared" si="0"/>
        <v>#VALUE!</v>
      </c>
      <c r="M12" s="23" t="e">
        <f t="shared" si="1"/>
        <v>#VALUE!</v>
      </c>
      <c r="N12" s="26" t="s">
        <v>5</v>
      </c>
      <c r="O12" s="3"/>
      <c r="P12" s="3"/>
      <c r="Q12" s="3"/>
      <c r="R12" s="24"/>
      <c r="S12" s="28" t="s">
        <v>42</v>
      </c>
      <c r="T12" s="3"/>
    </row>
    <row r="13" spans="1:20" x14ac:dyDescent="0.25">
      <c r="A13" s="5">
        <v>8173</v>
      </c>
      <c r="B13" s="5">
        <v>5</v>
      </c>
      <c r="C13" s="28" t="s">
        <v>39</v>
      </c>
      <c r="D13" s="5">
        <v>183060</v>
      </c>
      <c r="E13" s="1" t="s">
        <v>60</v>
      </c>
      <c r="F13" s="5">
        <v>1</v>
      </c>
      <c r="G13" s="5">
        <v>96926</v>
      </c>
      <c r="H13" s="1" t="s">
        <v>61</v>
      </c>
      <c r="I13" s="12">
        <v>458.4</v>
      </c>
      <c r="J13" s="8">
        <v>1</v>
      </c>
      <c r="K13" s="11">
        <v>2</v>
      </c>
      <c r="L13" s="12">
        <f t="shared" si="0"/>
        <v>458.4</v>
      </c>
      <c r="M13" s="23">
        <f t="shared" si="1"/>
        <v>916.8</v>
      </c>
      <c r="N13" s="26" t="s">
        <v>5</v>
      </c>
      <c r="O13" s="3"/>
      <c r="P13" s="3"/>
      <c r="Q13" s="3"/>
      <c r="R13" s="24"/>
      <c r="S13" s="28" t="s">
        <v>42</v>
      </c>
      <c r="T13" s="3"/>
    </row>
    <row r="14" spans="1:20" x14ac:dyDescent="0.25">
      <c r="A14" s="5">
        <v>8173</v>
      </c>
      <c r="B14" s="5">
        <v>5</v>
      </c>
      <c r="C14" s="28" t="s">
        <v>43</v>
      </c>
      <c r="D14" s="5">
        <v>183060</v>
      </c>
      <c r="E14" s="1" t="s">
        <v>60</v>
      </c>
      <c r="F14" s="5">
        <v>1</v>
      </c>
      <c r="G14" s="5">
        <v>193628</v>
      </c>
      <c r="H14" s="1" t="s">
        <v>62</v>
      </c>
      <c r="I14" s="12">
        <v>204.84</v>
      </c>
      <c r="J14" s="8" t="s">
        <v>45</v>
      </c>
      <c r="K14" s="11" t="s">
        <v>45</v>
      </c>
      <c r="L14" s="12" t="e">
        <f t="shared" si="0"/>
        <v>#VALUE!</v>
      </c>
      <c r="M14" s="23" t="e">
        <f t="shared" si="1"/>
        <v>#VALUE!</v>
      </c>
      <c r="N14" s="26" t="s">
        <v>5</v>
      </c>
      <c r="O14" s="3"/>
      <c r="P14" s="3"/>
      <c r="Q14" s="3"/>
      <c r="R14" s="24"/>
      <c r="S14" s="28" t="s">
        <v>42</v>
      </c>
      <c r="T14" s="3"/>
    </row>
    <row r="15" spans="1:20" x14ac:dyDescent="0.25">
      <c r="A15" s="5">
        <v>8173</v>
      </c>
      <c r="B15" s="5">
        <v>6</v>
      </c>
      <c r="C15" s="28" t="s">
        <v>39</v>
      </c>
      <c r="D15" s="5">
        <v>183154</v>
      </c>
      <c r="E15" s="1" t="s">
        <v>63</v>
      </c>
      <c r="F15" s="5">
        <v>1</v>
      </c>
      <c r="G15" s="5">
        <v>96927</v>
      </c>
      <c r="H15" s="1" t="s">
        <v>64</v>
      </c>
      <c r="I15" s="12">
        <v>1285.58</v>
      </c>
      <c r="J15" s="8">
        <v>1</v>
      </c>
      <c r="K15" s="11">
        <v>2</v>
      </c>
      <c r="L15" s="12">
        <f t="shared" si="0"/>
        <v>1285.58</v>
      </c>
      <c r="M15" s="23">
        <f t="shared" si="1"/>
        <v>2571.16</v>
      </c>
      <c r="N15" s="26" t="s">
        <v>5</v>
      </c>
      <c r="O15" s="3"/>
      <c r="P15" s="3"/>
      <c r="Q15" s="3"/>
      <c r="R15" s="24"/>
      <c r="S15" s="28" t="s">
        <v>42</v>
      </c>
      <c r="T15" s="3"/>
    </row>
    <row r="16" spans="1:20" x14ac:dyDescent="0.25">
      <c r="A16" s="5">
        <v>8173</v>
      </c>
      <c r="B16" s="5">
        <v>6</v>
      </c>
      <c r="C16" s="28" t="s">
        <v>43</v>
      </c>
      <c r="D16" s="5">
        <v>183154</v>
      </c>
      <c r="E16" s="1" t="s">
        <v>63</v>
      </c>
      <c r="F16" s="5">
        <v>1</v>
      </c>
      <c r="G16" s="5">
        <v>193627</v>
      </c>
      <c r="H16" s="1" t="s">
        <v>65</v>
      </c>
      <c r="I16" s="12">
        <v>1</v>
      </c>
      <c r="J16" s="8" t="s">
        <v>45</v>
      </c>
      <c r="K16" s="11" t="s">
        <v>45</v>
      </c>
      <c r="L16" s="12" t="e">
        <f t="shared" si="0"/>
        <v>#VALUE!</v>
      </c>
      <c r="M16" s="23" t="e">
        <f t="shared" si="1"/>
        <v>#VALUE!</v>
      </c>
      <c r="N16" s="26" t="s">
        <v>5</v>
      </c>
      <c r="O16" s="3"/>
      <c r="P16" s="3"/>
      <c r="Q16" s="3"/>
      <c r="R16" s="24"/>
      <c r="S16" s="28" t="s">
        <v>42</v>
      </c>
      <c r="T16" s="3"/>
    </row>
    <row r="17" spans="1:20" x14ac:dyDescent="0.25">
      <c r="A17" s="5">
        <v>8173</v>
      </c>
      <c r="B17" s="5">
        <v>7</v>
      </c>
      <c r="C17" s="28" t="s">
        <v>39</v>
      </c>
      <c r="D17" s="5">
        <v>183163</v>
      </c>
      <c r="E17" s="1" t="s">
        <v>66</v>
      </c>
      <c r="F17" s="5">
        <v>1</v>
      </c>
      <c r="G17" s="5">
        <v>51174</v>
      </c>
      <c r="H17" s="1" t="s">
        <v>67</v>
      </c>
      <c r="I17" s="12">
        <v>3529.15</v>
      </c>
      <c r="J17" s="8">
        <v>0</v>
      </c>
      <c r="K17" s="11">
        <v>0</v>
      </c>
      <c r="L17" s="12">
        <f t="shared" si="0"/>
        <v>0</v>
      </c>
      <c r="M17" s="23">
        <f t="shared" si="1"/>
        <v>0</v>
      </c>
      <c r="N17" s="26" t="s">
        <v>5</v>
      </c>
      <c r="O17" s="3"/>
      <c r="P17" s="3"/>
      <c r="Q17" s="3"/>
      <c r="R17" s="24"/>
      <c r="S17" s="28" t="s">
        <v>42</v>
      </c>
      <c r="T17" s="3"/>
    </row>
    <row r="18" spans="1:20" x14ac:dyDescent="0.25">
      <c r="A18" s="5">
        <v>8173</v>
      </c>
      <c r="B18" s="5" t="s">
        <v>45</v>
      </c>
      <c r="C18" s="28" t="s">
        <v>39</v>
      </c>
      <c r="D18" s="5">
        <v>183477</v>
      </c>
      <c r="E18" s="1" t="s">
        <v>68</v>
      </c>
      <c r="F18" s="5">
        <v>1</v>
      </c>
      <c r="G18" s="5" t="s">
        <v>45</v>
      </c>
      <c r="H18" s="1" t="s">
        <v>52</v>
      </c>
      <c r="I18" s="12">
        <v>0</v>
      </c>
      <c r="J18" s="8" t="s">
        <v>45</v>
      </c>
      <c r="K18" s="11" t="s">
        <v>45</v>
      </c>
      <c r="L18" s="12" t="e">
        <f t="shared" si="0"/>
        <v>#VALUE!</v>
      </c>
      <c r="M18" s="23" t="e">
        <f t="shared" si="1"/>
        <v>#VALUE!</v>
      </c>
      <c r="N18" s="26" t="s">
        <v>12</v>
      </c>
      <c r="O18" s="3"/>
      <c r="P18" s="3"/>
      <c r="Q18" s="3"/>
      <c r="R18" s="24"/>
      <c r="S18" s="28" t="s">
        <v>42</v>
      </c>
      <c r="T18" s="3"/>
    </row>
    <row r="19" spans="1:20" x14ac:dyDescent="0.25">
      <c r="A19" s="5">
        <v>8173</v>
      </c>
      <c r="B19" s="5">
        <v>8</v>
      </c>
      <c r="C19" s="28" t="s">
        <v>39</v>
      </c>
      <c r="D19" s="5">
        <v>183160</v>
      </c>
      <c r="E19" s="1" t="s">
        <v>69</v>
      </c>
      <c r="F19" s="5">
        <v>1</v>
      </c>
      <c r="G19" s="5">
        <v>32917</v>
      </c>
      <c r="H19" s="1" t="s">
        <v>70</v>
      </c>
      <c r="I19" s="12">
        <v>6479.23</v>
      </c>
      <c r="J19" s="8">
        <v>0</v>
      </c>
      <c r="K19" s="11">
        <v>0</v>
      </c>
      <c r="L19" s="12">
        <f t="shared" si="0"/>
        <v>0</v>
      </c>
      <c r="M19" s="23">
        <f t="shared" si="1"/>
        <v>0</v>
      </c>
      <c r="N19" s="26" t="s">
        <v>5</v>
      </c>
      <c r="O19" s="3"/>
      <c r="P19" s="3"/>
      <c r="Q19" s="3"/>
      <c r="R19" s="24"/>
      <c r="S19" s="28" t="s">
        <v>42</v>
      </c>
      <c r="T19" s="3"/>
    </row>
    <row r="20" spans="1:20" x14ac:dyDescent="0.25">
      <c r="A20" s="5">
        <v>8173</v>
      </c>
      <c r="B20" s="5">
        <v>9</v>
      </c>
      <c r="C20" s="28" t="s">
        <v>39</v>
      </c>
      <c r="D20" s="5">
        <v>183143</v>
      </c>
      <c r="E20" s="1" t="s">
        <v>71</v>
      </c>
      <c r="F20" s="5">
        <v>1</v>
      </c>
      <c r="G20" s="5">
        <v>96930</v>
      </c>
      <c r="H20" s="25" t="s">
        <v>72</v>
      </c>
      <c r="I20" s="12">
        <v>4150.6099999999997</v>
      </c>
      <c r="J20" s="8">
        <v>1</v>
      </c>
      <c r="K20" s="11">
        <v>2</v>
      </c>
      <c r="L20" s="12">
        <f t="shared" si="0"/>
        <v>4150.6099999999997</v>
      </c>
      <c r="M20" s="23">
        <f t="shared" si="1"/>
        <v>8301.2199999999993</v>
      </c>
      <c r="N20" s="26" t="s">
        <v>5</v>
      </c>
      <c r="O20" s="3"/>
      <c r="P20" s="3"/>
      <c r="Q20" s="3"/>
      <c r="R20" s="24"/>
      <c r="S20" s="28" t="s">
        <v>42</v>
      </c>
      <c r="T20" s="3"/>
    </row>
    <row r="21" spans="1:20" x14ac:dyDescent="0.25">
      <c r="A21" s="5">
        <v>8173</v>
      </c>
      <c r="B21" s="5">
        <v>9</v>
      </c>
      <c r="C21" s="28" t="s">
        <v>43</v>
      </c>
      <c r="D21" s="5">
        <v>183143</v>
      </c>
      <c r="E21" s="1" t="s">
        <v>71</v>
      </c>
      <c r="F21" s="5">
        <v>1</v>
      </c>
      <c r="G21" s="5">
        <v>193624</v>
      </c>
      <c r="H21" s="25" t="s">
        <v>73</v>
      </c>
      <c r="I21" s="12">
        <v>1440.51</v>
      </c>
      <c r="J21" s="8" t="s">
        <v>45</v>
      </c>
      <c r="K21" s="11" t="s">
        <v>45</v>
      </c>
      <c r="L21" s="12" t="e">
        <f t="shared" si="0"/>
        <v>#VALUE!</v>
      </c>
      <c r="M21" s="23" t="e">
        <f t="shared" si="1"/>
        <v>#VALUE!</v>
      </c>
      <c r="N21" s="26" t="s">
        <v>5</v>
      </c>
      <c r="O21" s="3"/>
      <c r="P21" s="3"/>
      <c r="Q21" s="3"/>
      <c r="R21" s="24"/>
      <c r="S21" s="28" t="s">
        <v>42</v>
      </c>
      <c r="T21" s="3"/>
    </row>
    <row r="22" spans="1:20" x14ac:dyDescent="0.25">
      <c r="A22" s="5">
        <v>8173</v>
      </c>
      <c r="B22" s="5">
        <v>10</v>
      </c>
      <c r="C22" s="28" t="s">
        <v>39</v>
      </c>
      <c r="D22" s="5">
        <v>183141</v>
      </c>
      <c r="E22" s="1" t="s">
        <v>74</v>
      </c>
      <c r="F22" s="5">
        <v>1</v>
      </c>
      <c r="G22" s="5">
        <v>96931</v>
      </c>
      <c r="H22" s="1" t="s">
        <v>75</v>
      </c>
      <c r="I22" s="12">
        <v>2319.06</v>
      </c>
      <c r="J22" s="8">
        <v>6</v>
      </c>
      <c r="K22" s="11">
        <v>12</v>
      </c>
      <c r="L22" s="12">
        <f t="shared" si="0"/>
        <v>13914.36</v>
      </c>
      <c r="M22" s="23">
        <f t="shared" si="1"/>
        <v>27828.720000000001</v>
      </c>
      <c r="N22" s="26" t="s">
        <v>5</v>
      </c>
      <c r="O22" s="3"/>
      <c r="P22" s="3"/>
      <c r="Q22" s="3"/>
      <c r="R22" s="24"/>
      <c r="S22" s="28" t="s">
        <v>42</v>
      </c>
      <c r="T22" s="3"/>
    </row>
    <row r="23" spans="1:20" x14ac:dyDescent="0.25">
      <c r="A23" s="5">
        <v>8173</v>
      </c>
      <c r="B23" s="5">
        <v>11</v>
      </c>
      <c r="C23" s="28" t="s">
        <v>39</v>
      </c>
      <c r="D23" s="5">
        <v>183654</v>
      </c>
      <c r="E23" s="1" t="s">
        <v>76</v>
      </c>
      <c r="F23" s="5">
        <v>2</v>
      </c>
      <c r="G23" s="5">
        <v>96932</v>
      </c>
      <c r="H23" s="1" t="s">
        <v>77</v>
      </c>
      <c r="I23" s="12">
        <v>339.09</v>
      </c>
      <c r="J23" s="8">
        <v>1</v>
      </c>
      <c r="K23" s="11">
        <v>2</v>
      </c>
      <c r="L23" s="12">
        <f t="shared" si="0"/>
        <v>339.09</v>
      </c>
      <c r="M23" s="23">
        <f t="shared" si="1"/>
        <v>678.18</v>
      </c>
      <c r="N23" s="26" t="s">
        <v>5</v>
      </c>
      <c r="O23" s="3"/>
      <c r="P23" s="3"/>
      <c r="Q23" s="3"/>
      <c r="R23" s="24"/>
      <c r="S23" s="28" t="s">
        <v>42</v>
      </c>
      <c r="T23" s="3"/>
    </row>
    <row r="24" spans="1:20" x14ac:dyDescent="0.25">
      <c r="A24" s="5">
        <v>8173</v>
      </c>
      <c r="B24" s="5">
        <v>11</v>
      </c>
      <c r="C24" s="28" t="s">
        <v>43</v>
      </c>
      <c r="D24" s="5">
        <v>183654</v>
      </c>
      <c r="E24" s="1" t="s">
        <v>76</v>
      </c>
      <c r="F24" s="5">
        <v>1</v>
      </c>
      <c r="G24" s="5">
        <v>193630</v>
      </c>
      <c r="H24" s="1" t="s">
        <v>78</v>
      </c>
      <c r="I24" s="12">
        <v>114.33</v>
      </c>
      <c r="J24" s="8" t="s">
        <v>45</v>
      </c>
      <c r="K24" s="11" t="s">
        <v>45</v>
      </c>
      <c r="L24" s="12" t="e">
        <f t="shared" si="0"/>
        <v>#VALUE!</v>
      </c>
      <c r="M24" s="23" t="e">
        <f t="shared" si="1"/>
        <v>#VALUE!</v>
      </c>
      <c r="N24" s="26" t="s">
        <v>5</v>
      </c>
      <c r="O24" s="3"/>
      <c r="P24" s="3"/>
      <c r="Q24" s="3"/>
      <c r="R24" s="24"/>
      <c r="S24" s="28" t="s">
        <v>42</v>
      </c>
      <c r="T24" s="3"/>
    </row>
    <row r="25" spans="1:20" x14ac:dyDescent="0.25">
      <c r="A25" s="5">
        <v>8173</v>
      </c>
      <c r="B25" s="5">
        <v>12</v>
      </c>
      <c r="C25" s="28" t="s">
        <v>39</v>
      </c>
      <c r="D25" s="5">
        <v>183120</v>
      </c>
      <c r="E25" s="1" t="s">
        <v>79</v>
      </c>
      <c r="F25" s="5">
        <v>1</v>
      </c>
      <c r="G25" s="5">
        <v>33217</v>
      </c>
      <c r="H25" s="1" t="s">
        <v>80</v>
      </c>
      <c r="I25" s="12">
        <v>277.52</v>
      </c>
      <c r="J25" s="8">
        <v>3</v>
      </c>
      <c r="K25" s="11">
        <v>6</v>
      </c>
      <c r="L25" s="12">
        <f t="shared" si="0"/>
        <v>832.56</v>
      </c>
      <c r="M25" s="23">
        <f t="shared" si="1"/>
        <v>1665.12</v>
      </c>
      <c r="N25" s="26" t="s">
        <v>5</v>
      </c>
      <c r="O25" s="3"/>
      <c r="P25" s="3"/>
      <c r="Q25" s="3"/>
      <c r="R25" s="24"/>
      <c r="S25" s="28" t="s">
        <v>42</v>
      </c>
      <c r="T25" s="3"/>
    </row>
    <row r="26" spans="1:20" x14ac:dyDescent="0.25">
      <c r="A26" s="5">
        <v>8173</v>
      </c>
      <c r="B26" s="5" t="s">
        <v>45</v>
      </c>
      <c r="C26" s="28" t="s">
        <v>39</v>
      </c>
      <c r="D26" s="5">
        <v>163313</v>
      </c>
      <c r="E26" s="1" t="s">
        <v>81</v>
      </c>
      <c r="F26" s="5">
        <v>1</v>
      </c>
      <c r="G26" s="5" t="s">
        <v>45</v>
      </c>
      <c r="H26" s="1" t="s">
        <v>52</v>
      </c>
      <c r="I26" s="12">
        <v>0</v>
      </c>
      <c r="J26" s="8" t="s">
        <v>45</v>
      </c>
      <c r="K26" s="11" t="s">
        <v>45</v>
      </c>
      <c r="L26" s="12" t="e">
        <f t="shared" si="0"/>
        <v>#VALUE!</v>
      </c>
      <c r="M26" s="23" t="e">
        <f t="shared" si="1"/>
        <v>#VALUE!</v>
      </c>
      <c r="N26" s="26" t="s">
        <v>12</v>
      </c>
      <c r="O26" s="3"/>
      <c r="P26" s="3"/>
      <c r="Q26" s="3"/>
      <c r="R26" s="24"/>
      <c r="S26" s="28" t="s">
        <v>42</v>
      </c>
      <c r="T26" s="3"/>
    </row>
    <row r="27" spans="1:20" x14ac:dyDescent="0.25">
      <c r="A27" s="5">
        <v>8173</v>
      </c>
      <c r="B27" s="5">
        <v>13</v>
      </c>
      <c r="C27" s="28" t="s">
        <v>39</v>
      </c>
      <c r="D27" s="5">
        <v>163207</v>
      </c>
      <c r="E27" s="1" t="s">
        <v>82</v>
      </c>
      <c r="F27" s="5">
        <v>1</v>
      </c>
      <c r="G27" s="5">
        <v>51941</v>
      </c>
      <c r="H27" s="1" t="s">
        <v>83</v>
      </c>
      <c r="I27" s="12">
        <v>148.56</v>
      </c>
      <c r="J27" s="8">
        <v>0</v>
      </c>
      <c r="K27" s="11">
        <v>0</v>
      </c>
      <c r="L27" s="12">
        <f t="shared" si="0"/>
        <v>0</v>
      </c>
      <c r="M27" s="23">
        <f t="shared" si="1"/>
        <v>0</v>
      </c>
      <c r="N27" s="26" t="s">
        <v>5</v>
      </c>
      <c r="O27" s="3"/>
      <c r="P27" s="3"/>
      <c r="Q27" s="3"/>
      <c r="R27" s="24"/>
      <c r="S27" s="28" t="s">
        <v>42</v>
      </c>
      <c r="T27" s="3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C65855C-0AF9-4B2C-85BB-65E868801D5A}">
          <x14:formula1>
            <xm:f>DADOS!$C$2:$C$8</xm:f>
          </x14:formula1>
          <xm:sqref>N2:N1048576</xm:sqref>
        </x14:dataValidation>
        <x14:dataValidation type="list" allowBlank="1" showInputMessage="1" showErrorMessage="1" xr:uid="{B4A5D49E-BD4C-472D-8CFE-B555CD99F1B9}">
          <x14:formula1>
            <xm:f>DADOS!$B$2:$B$5</xm:f>
          </x14:formula1>
          <xm:sqref>R2:R1048576</xm:sqref>
        </x14:dataValidation>
        <x14:dataValidation type="list" allowBlank="1" showInputMessage="1" showErrorMessage="1" xr:uid="{9209D207-03AE-4D0B-A58A-CBB4D06CA2D9}">
          <x14:formula1>
            <xm:f>DADOS!$A$2:$A$5</xm:f>
          </x14:formula1>
          <xm:sqref>Q2:Q1048576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27E901-A346-4E6F-8BBE-9C33480BA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7255AE-BBDF-48D2-933F-8224645FB7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09F593-B1EE-43C0-8142-911C68E497CA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BASE</vt:lpstr>
      <vt:lpstr>MANUT. PREVENTIVA</vt:lpstr>
      <vt:lpstr>1. MANOPLA</vt:lpstr>
      <vt:lpstr>LISTA COMPLETA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2026-04-20T01:37:37Z</dcterms:created>
  <dcterms:modified xsi:type="dcterms:W3CDTF">2026-05-04T02:05:38Z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