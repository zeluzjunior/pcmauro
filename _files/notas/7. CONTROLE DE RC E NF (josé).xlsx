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zeluz\Downloads\"/>
    </mc:Choice>
  </mc:AlternateContent>
  <xr:revisionPtr revIDLastSave="0" documentId="13_ncr:1_{CF241AE2-5E41-44DE-BB45-D426D204401A}" xr6:coauthVersionLast="47" xr6:coauthVersionMax="47" xr10:uidLastSave="{00000000-0000-0000-0000-000000000000}"/>
  <bookViews>
    <workbookView xWindow="-120" yWindow="-120" windowWidth="29040" windowHeight="16440" xr2:uid="{00000000-000D-0000-FFFF-FFFF00000000}"/>
  </bookViews>
  <sheets>
    <sheet name="CONTROLE RC E NF" sheetId="1" r:id="rId1"/>
    <sheet name="LISTA SUSPENSA - NÃO ALTERAR " sheetId="3" state="hidden" r:id="rId2"/>
    <sheet name="NF FIXA MENSAL - CONTRATO" sheetId="7" r:id="rId3"/>
    <sheet name="CONTROLE - CONTRATOS SERVIÇO" sheetId="4" r:id="rId4"/>
    <sheet name="RATEIO" sheetId="5" r:id="rId5"/>
  </sheets>
  <definedNames>
    <definedName name="_xlnm._FilterDatabase" localSheetId="3" hidden="1">'CONTROLE - CONTRATOS SERVIÇO'!$A$1:$AI$24</definedName>
    <definedName name="_xlnm._FilterDatabase" localSheetId="0" hidden="1">'CONTROLE RC E NF'!$C$3:$AC$391</definedName>
    <definedName name="_xlnm._FilterDatabase" localSheetId="1" hidden="1">'LISTA SUSPENSA - NÃO ALTERAR '!$E$1:$E$9</definedName>
    <definedName name="_xlnm._FilterDatabase" localSheetId="2" hidden="1">'NF FIXA MENSAL - CONTRATO'!$A$1:$P$266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305" i="1" l="1"/>
  <c r="AC304" i="1"/>
  <c r="AC84" i="1"/>
  <c r="F7" i="5"/>
  <c r="AC364" i="1"/>
  <c r="L7" i="5"/>
  <c r="L10" i="5"/>
  <c r="L9" i="5"/>
  <c r="L8" i="5"/>
  <c r="N25" i="5"/>
  <c r="N24" i="5"/>
  <c r="N23" i="5"/>
  <c r="N22" i="5"/>
  <c r="N21" i="5"/>
  <c r="N20" i="5"/>
  <c r="N19" i="5"/>
  <c r="N18" i="5"/>
  <c r="N17" i="5"/>
  <c r="N16" i="5"/>
  <c r="N15" i="5"/>
  <c r="N14" i="5"/>
  <c r="N13" i="5"/>
  <c r="N12" i="5"/>
  <c r="N11" i="5"/>
  <c r="AC300" i="1"/>
  <c r="AC371" i="1"/>
  <c r="AC370" i="1"/>
  <c r="AC368" i="1"/>
  <c r="AC367" i="1"/>
  <c r="AC366" i="1"/>
  <c r="AC365" i="1"/>
  <c r="AC363" i="1"/>
  <c r="AC362" i="1"/>
  <c r="AC361" i="1"/>
  <c r="AC360" i="1"/>
  <c r="AC359" i="1"/>
  <c r="AC358" i="1"/>
  <c r="AC357" i="1"/>
  <c r="AC356" i="1"/>
  <c r="AC355" i="1"/>
  <c r="AC354" i="1"/>
  <c r="AC353" i="1"/>
  <c r="AC352" i="1"/>
  <c r="AC351" i="1"/>
  <c r="AC350" i="1"/>
  <c r="AC349" i="1"/>
  <c r="AC348" i="1"/>
  <c r="AC347" i="1"/>
  <c r="AC346" i="1"/>
  <c r="AC345" i="1"/>
  <c r="AC344" i="1"/>
  <c r="AC343" i="1"/>
  <c r="AC342" i="1"/>
  <c r="AC341" i="1"/>
  <c r="AC340" i="1"/>
  <c r="AC339" i="1"/>
  <c r="AC338" i="1"/>
  <c r="AC337" i="1"/>
  <c r="AC336" i="1"/>
  <c r="AC335" i="1"/>
  <c r="AC334" i="1"/>
  <c r="AC333" i="1"/>
  <c r="AC332" i="1"/>
  <c r="AC331" i="1"/>
  <c r="AC330" i="1"/>
  <c r="AC329" i="1"/>
  <c r="AC328" i="1"/>
  <c r="AC327" i="1"/>
  <c r="AC326" i="1"/>
  <c r="AC325" i="1"/>
  <c r="AC324" i="1"/>
  <c r="AC323" i="1"/>
  <c r="AC322" i="1"/>
  <c r="AC321" i="1"/>
  <c r="AC319" i="1"/>
  <c r="AC318" i="1"/>
  <c r="AC317" i="1"/>
  <c r="AC316" i="1"/>
  <c r="AC315" i="1"/>
  <c r="AC314" i="1"/>
  <c r="AC313" i="1"/>
  <c r="AC312" i="1"/>
  <c r="AC311" i="1"/>
  <c r="AC310" i="1"/>
  <c r="AC309" i="1"/>
  <c r="AC308" i="1"/>
  <c r="AC307" i="1"/>
  <c r="AC306" i="1"/>
  <c r="AC303" i="1"/>
  <c r="AC302" i="1"/>
  <c r="AC301" i="1"/>
  <c r="AC168" i="1"/>
  <c r="AC390" i="1"/>
  <c r="AC389" i="1"/>
  <c r="AC388" i="1"/>
  <c r="AC387" i="1"/>
  <c r="AC386" i="1"/>
  <c r="AC385" i="1"/>
  <c r="AC384" i="1"/>
  <c r="AC383" i="1"/>
  <c r="AC382" i="1"/>
  <c r="AC381" i="1"/>
  <c r="AC380" i="1"/>
  <c r="AC379" i="1"/>
  <c r="AC378" i="1"/>
  <c r="AC377" i="1"/>
  <c r="AC376" i="1"/>
  <c r="AC375" i="1"/>
  <c r="AC374" i="1"/>
  <c r="AC373" i="1"/>
  <c r="AC372" i="1"/>
  <c r="AC369" i="1"/>
  <c r="AC297" i="1"/>
  <c r="AC295" i="1"/>
  <c r="AC294" i="1"/>
  <c r="AC293" i="1"/>
  <c r="AC292" i="1"/>
  <c r="AC291" i="1"/>
  <c r="AC244" i="1"/>
  <c r="AC213" i="1"/>
  <c r="AC212" i="1"/>
  <c r="AC143" i="1"/>
  <c r="AC142" i="1"/>
  <c r="AC140" i="1"/>
  <c r="AC139" i="1"/>
  <c r="AC137" i="1"/>
  <c r="AC135" i="1"/>
  <c r="AC134" i="1"/>
  <c r="AC130" i="1"/>
  <c r="AC129" i="1"/>
  <c r="AC175" i="1"/>
  <c r="AC159" i="1"/>
  <c r="AC152" i="1"/>
  <c r="AC127" i="1"/>
  <c r="AC173" i="1"/>
  <c r="AC80" i="1"/>
  <c r="AC5" i="1"/>
  <c r="AC290" i="1"/>
  <c r="AC288" i="1"/>
  <c r="AC287" i="1"/>
  <c r="AC286" i="1"/>
  <c r="AC285" i="1"/>
  <c r="AC284" i="1"/>
  <c r="AC283" i="1"/>
  <c r="AC282" i="1"/>
  <c r="AC281" i="1"/>
  <c r="AC280" i="1"/>
  <c r="AC279" i="1"/>
  <c r="AC278" i="1"/>
  <c r="AC277" i="1"/>
  <c r="AC276" i="1"/>
  <c r="AC275" i="1"/>
  <c r="AC274" i="1"/>
  <c r="AC273" i="1"/>
  <c r="AC272" i="1"/>
  <c r="AC270" i="1"/>
  <c r="AC269" i="1"/>
  <c r="AC268" i="1"/>
  <c r="AC267" i="1"/>
  <c r="AC266" i="1"/>
  <c r="AC265" i="1"/>
  <c r="AC264" i="1"/>
  <c r="AC263" i="1"/>
  <c r="AC262" i="1"/>
  <c r="AC261" i="1"/>
  <c r="AC260" i="1"/>
  <c r="AC259" i="1"/>
  <c r="AC258" i="1"/>
  <c r="AC257" i="1"/>
  <c r="AC256" i="1"/>
  <c r="AC255" i="1"/>
  <c r="AC254" i="1"/>
  <c r="AC253" i="1"/>
  <c r="AC252" i="1"/>
  <c r="AC251" i="1"/>
  <c r="AC250" i="1"/>
  <c r="AC249" i="1"/>
  <c r="AC248" i="1"/>
  <c r="AC247" i="1"/>
  <c r="AC246" i="1"/>
  <c r="AC245" i="1"/>
  <c r="AC243" i="1"/>
  <c r="AC147" i="1"/>
  <c r="AC131" i="1"/>
  <c r="AC149" i="1"/>
  <c r="AC148" i="1"/>
  <c r="F25" i="5"/>
  <c r="F24" i="5"/>
  <c r="F23" i="5"/>
  <c r="F22" i="5"/>
  <c r="F21" i="5"/>
  <c r="F20" i="5"/>
  <c r="F19" i="5"/>
  <c r="F18" i="5"/>
  <c r="F17" i="5"/>
  <c r="F16" i="5"/>
  <c r="F15" i="5"/>
  <c r="F14" i="5"/>
  <c r="F13" i="5"/>
  <c r="F12" i="5"/>
  <c r="F11" i="5"/>
  <c r="F10" i="5"/>
  <c r="F9" i="5"/>
  <c r="F8" i="5"/>
  <c r="F27" i="5"/>
  <c r="AC57" i="1"/>
  <c r="AC4" i="1"/>
  <c r="AC6" i="1"/>
  <c r="AC7" i="1"/>
  <c r="AC8" i="1"/>
  <c r="AC9" i="1"/>
  <c r="AC10" i="1"/>
  <c r="AC11" i="1"/>
  <c r="AC12"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8" i="1"/>
  <c r="AC59" i="1"/>
  <c r="AC60" i="1"/>
  <c r="AC61" i="1"/>
  <c r="AC62" i="1"/>
  <c r="AC63" i="1"/>
  <c r="AC64" i="1"/>
  <c r="AC65" i="1"/>
  <c r="AC66" i="1"/>
  <c r="AC67" i="1"/>
  <c r="AC68" i="1"/>
  <c r="AC69" i="1"/>
  <c r="AC70" i="1"/>
  <c r="AC71" i="1"/>
  <c r="AC72" i="1"/>
  <c r="AC73" i="1"/>
  <c r="AC74" i="1"/>
  <c r="AC75" i="1"/>
  <c r="AC76" i="1"/>
  <c r="AC77" i="1"/>
  <c r="AC78" i="1"/>
  <c r="AC79" i="1"/>
  <c r="AC81" i="1"/>
  <c r="AC85" i="1"/>
  <c r="AC86" i="1"/>
  <c r="AC87" i="1"/>
  <c r="AC88" i="1"/>
  <c r="AC89" i="1"/>
  <c r="AC90" i="1"/>
  <c r="AC91" i="1"/>
  <c r="AC93" i="1"/>
  <c r="AC94" i="1"/>
  <c r="AC95" i="1"/>
  <c r="AC96" i="1"/>
  <c r="AC97" i="1"/>
  <c r="AC99" i="1"/>
  <c r="AC101" i="1"/>
  <c r="AC102" i="1"/>
  <c r="AC103" i="1"/>
  <c r="AC104" i="1"/>
  <c r="AC105" i="1"/>
  <c r="AC106" i="1"/>
  <c r="AC107" i="1"/>
  <c r="AC108" i="1"/>
  <c r="AC109" i="1"/>
  <c r="AC110" i="1"/>
  <c r="AC111" i="1"/>
  <c r="AC112" i="1"/>
  <c r="AC113" i="1"/>
  <c r="AC114" i="1"/>
  <c r="AC115" i="1"/>
  <c r="AC116" i="1"/>
  <c r="AC117" i="1"/>
  <c r="AC118" i="1"/>
  <c r="AC119" i="1"/>
  <c r="AC122" i="1"/>
  <c r="AC123" i="1"/>
  <c r="AC124" i="1"/>
  <c r="AC125" i="1"/>
  <c r="AC126" i="1"/>
  <c r="AC128" i="1"/>
  <c r="AC132" i="1"/>
  <c r="AC133" i="1"/>
  <c r="AC136" i="1"/>
  <c r="AC138" i="1"/>
  <c r="AC141" i="1"/>
  <c r="AC144" i="1"/>
  <c r="AC145" i="1"/>
  <c r="AC146" i="1"/>
  <c r="AC150" i="1"/>
  <c r="AC151" i="1"/>
  <c r="AC153" i="1"/>
  <c r="AC154" i="1"/>
  <c r="AC155" i="1"/>
  <c r="AC156" i="1"/>
  <c r="AC157" i="1"/>
  <c r="AC158" i="1"/>
  <c r="AC160" i="1"/>
  <c r="AC161" i="1"/>
  <c r="AC162" i="1"/>
  <c r="AC163" i="1"/>
  <c r="AC164" i="1"/>
  <c r="AC166" i="1"/>
  <c r="AC167" i="1"/>
  <c r="AC170" i="1"/>
  <c r="AC171" i="1"/>
  <c r="AC172" i="1"/>
  <c r="AC174"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9" i="1"/>
  <c r="AC210"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N27"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Camila Ramos</author>
    <author>tc={12785C98-4EFE-4269-BE7C-CFFCD8A537C8}</author>
    <author>tc={30311ED5-2EA9-4645-94BE-B9B659B66EFF}</author>
  </authors>
  <commentList>
    <comment ref="Y59" authorId="0" shapeId="0" xr:uid="{00000000-0006-0000-0000-000001000000}">
      <text>
        <r>
          <rPr>
            <sz val="11"/>
            <color theme="1"/>
            <rFont val="Calibri"/>
            <family val="2"/>
            <scheme val="minor"/>
          </rPr>
          <t>Camila Ramos:
NOTA ENVIADA PARA EMAIL NFE@AURORA NA QUAL NINGUÉM DA UNIDADE RECEBEU PARA DAR AS DEVIDAS TRATATIVAS.
ORIENTADO NOVAMENTE O FORNECEDOR PARA CADASTRAR O EMAIL NFSERVOFAC PARA ENVIO DAS NOTAS DE SERVIÇO.</t>
        </r>
      </text>
    </comment>
    <comment ref="Y124" authorId="1" shapeId="0" xr:uid="{12785C98-4EFE-4269-BE7C-CFFCD8A537C8}">
      <text>
        <t>[Comentário encadeado]
Sua versão do Excel permite que você leia este comentário encadeado, no entanto, as edições serão removidas se o arquivo for aberto em uma versão mais recente do Excel. Saiba mais: https://go.microsoft.com/fwlink/?linkid=870924
Comentário:
    Nota enviada para o e-mail correto (nfserviçofac) porém Francilei não realizou a inclusão na 198 dentro do mês de emissão, solicitante Camila responsável pela abertura da rc estava de férias nesse período.</t>
      </text>
    </comment>
    <comment ref="N233" authorId="0" shapeId="0" xr:uid="{00000000-0006-0000-0000-000002000000}">
      <text>
        <r>
          <rPr>
            <sz val="11"/>
            <color theme="1"/>
            <rFont val="Calibri"/>
            <family val="2"/>
            <scheme val="minor"/>
          </rPr>
          <t>Camila Ramos:
Serviço prestado final de 2024 pelo Leonardo Gava, onde tanto o encarregado quanto o fornecedor esqueceram de dar andamento para pagamento do serviço.</t>
        </r>
      </text>
    </comment>
    <comment ref="U237" authorId="0" shapeId="0" xr:uid="{00000000-0006-0000-0000-000003000000}">
      <text>
        <r>
          <rPr>
            <sz val="11"/>
            <color theme="1"/>
            <rFont val="Calibri"/>
            <family val="2"/>
            <scheme val="minor"/>
          </rPr>
          <t>Camila Ramos:
Referente a entrega da peça, a mesma foi levada no dia 16/11 , não foi emitido nota de retorno pois o material foi retirado com romaneio interno da empresa, retornando com o mesmo.</t>
        </r>
      </text>
    </comment>
    <comment ref="N312" authorId="2" shapeId="0" xr:uid="{30311ED5-2EA9-4645-94BE-B9B659B66EFF}">
      <text>
        <t>[Comentário encadeado]
Sua versão do Excel permite que você leia este comentário encadeado, no entanto, as edições serão removidas se o arquivo for aberto em uma versão mais recente do Excel. Saiba mais: https://go.microsoft.com/fwlink/?linkid=870924
Comentário:
    SERVIÇO NÃO PRESTADO ANTES DO PEDIDO, APENAS ABERTO COMO 5 POR SER EMERGENCIAL.</t>
      </text>
    </comment>
  </commentList>
</comments>
</file>

<file path=xl/sharedStrings.xml><?xml version="1.0" encoding="utf-8"?>
<sst xmlns="http://schemas.openxmlformats.org/spreadsheetml/2006/main" count="6722" uniqueCount="1470">
  <si>
    <t>NF SAÍDA</t>
  </si>
  <si>
    <t>REQUISIÇÃO DE COMPRA</t>
  </si>
  <si>
    <t>NF DE SERVIÇO</t>
  </si>
  <si>
    <t>STATUS GERAL</t>
  </si>
  <si>
    <t>SOLICITANTE</t>
  </si>
  <si>
    <t>EMPRESA</t>
  </si>
  <si>
    <t>DESCRIÇÃO DO SERVIÇO</t>
  </si>
  <si>
    <t>C.A/RATEIO</t>
  </si>
  <si>
    <t>USO</t>
  </si>
  <si>
    <t>QUEM ABRIU 
A RC</t>
  </si>
  <si>
    <t>ORÇAMENTO</t>
  </si>
  <si>
    <t>O.S</t>
  </si>
  <si>
    <t>CLASSIF.</t>
  </si>
  <si>
    <t>JUSTIFICATIVA CLASSIFICAÇÃO</t>
  </si>
  <si>
    <r>
      <rPr>
        <sz val="9"/>
        <color rgb="FF000000"/>
        <rFont val="Calibri"/>
        <scheme val="minor"/>
      </rPr>
      <t xml:space="preserve">SPAF0009 - Acesso portária </t>
    </r>
    <r>
      <rPr>
        <sz val="9"/>
        <color rgb="FFFF0000"/>
        <rFont val="Calibri"/>
        <scheme val="minor"/>
      </rPr>
      <t>p/ classif. 5 e 8</t>
    </r>
  </si>
  <si>
    <t>RC</t>
  </si>
  <si>
    <t>DATA RC</t>
  </si>
  <si>
    <t>PEDIDO</t>
  </si>
  <si>
    <t>VALOR TOTAL DO PEDIDO</t>
  </si>
  <si>
    <t>PREVISÃO PARA USO</t>
  </si>
  <si>
    <t>NF SERVIÇO</t>
  </si>
  <si>
    <t>NF RETORNO E DATA LANÇAMENTO</t>
  </si>
  <si>
    <t>CNPJ AURORA</t>
  </si>
  <si>
    <t>SIMPLES NACIONAL</t>
  </si>
  <si>
    <t>VALOR NF</t>
  </si>
  <si>
    <t>EMISSÃO</t>
  </si>
  <si>
    <t>INCLUSÃO 198</t>
  </si>
  <si>
    <t>STATUS</t>
  </si>
  <si>
    <t>OBS</t>
  </si>
  <si>
    <t xml:space="preserve">SALDO RESIDUAL PEDIDO </t>
  </si>
  <si>
    <t>Emanuel</t>
  </si>
  <si>
    <t>BALENA</t>
  </si>
  <si>
    <t>TORNO - usinagem roldanas, para Máquina de lavar monobloblo KUCMAQ</t>
  </si>
  <si>
    <t>Camila</t>
  </si>
  <si>
    <t>93887 - BALENA 5.722,31</t>
  </si>
  <si>
    <t>-</t>
  </si>
  <si>
    <t>20319 - 21/10/25</t>
  </si>
  <si>
    <t>OK</t>
  </si>
  <si>
    <t>não</t>
  </si>
  <si>
    <t>9. FINALIZADO 100%</t>
  </si>
  <si>
    <t>TORNO - usinagem peças de regulagem de fluxo das lavadoras de alta pressão higienização.</t>
  </si>
  <si>
    <t>93863 - BALENA 4.928,00</t>
  </si>
  <si>
    <t>20318 - 21/10/25</t>
  </si>
  <si>
    <t>Rhuan</t>
  </si>
  <si>
    <t>EQUIPARE</t>
  </si>
  <si>
    <t xml:space="preserve">SERVIÇO DE MÃO DE OBRA PARA REALIZAR MANUTENÇÃO PREVENTIVA NO TRITURADOR DE OSSOS
</t>
  </si>
  <si>
    <t>6664 - EQUIPARE 39.520,00</t>
  </si>
  <si>
    <t>estamos enviando com apenas um orçamento devido o fornecedor Equipare ser o fabricante da máquina.</t>
  </si>
  <si>
    <t>5. NF - PEDIDO GERADO, AGUARDANDO NF</t>
  </si>
  <si>
    <t>Eric</t>
  </si>
  <si>
    <t>RT INSTALAÇÕES</t>
  </si>
  <si>
    <t>SERVIÇO DE MÃO DE OBRA E MATERIAL PARA REALIZAR A SUBSTITUIÇÃO DAS JUNTAS EM 4 ESTUFAS TVA VEMAG</t>
  </si>
  <si>
    <t>5388 - RT 53.400,00</t>
  </si>
  <si>
    <t>encaminhamos a solicitação com apenas um orçamento, considerando que o fornecedor RT detém o know-how necessário para a execução precisa da atividade, já tendo prestado este serviço anteriormente ao fabricante das estufas em outras unidades da Aurora.</t>
  </si>
  <si>
    <t>J ORTIZ</t>
  </si>
  <si>
    <t>SERVIÇO DE MÃO DE OBRA E MATERIAL PARA: DEMOLIÇÃO E CONSERTO DA ENTRADA DA BALANÇA EM UMA ÁREA DE 5X4,50(22,5M²) E DESTINAÇÃO DE ENTULHOS, DEMOLIÇÃO DE 4 BASES DE CONCRETO ARMADO EXISTENTES E DESTINAÇÃO DE ENTULHOS, EXECUÇÃO DE 04 NOVAS BASES EM CONCRETO ARMADO COM MEDIDAS DE 50 X 120 E EXECUÇÃO DE 22,5M² DE PAVIMENTO RÍGIDO (CONCRETO ARMADO COM VIGA DE CONCRETO ARMADO PARA REFORÇO NO ACESSO BALANÇA).</t>
  </si>
  <si>
    <t>2025220505 - DE PAULA 96.419,84
3179 - J ORTIZ 73.450,00
46 - FINISSIMA 66.832,00</t>
  </si>
  <si>
    <t>BUSCH</t>
  </si>
  <si>
    <t>SERVIÇO DE REVISÃO COM MÃO DE OBRA E PEÇAS, EM DUAS MOTOBOMBAS DE VÁCUO, SENDO:
1 MOTOBOMBA DE VÁCUO BUSCH RA 160 SN C1403000182, DO SETOR FRESCAIS (SFR - 4057);
1 MOTOBOMBA DE VÁCUO BUSCH RA 0305 D 5H3 SN C1434000300, DO SETOR PRESUNTARIA (PRU - 2291).
OBS: REVISÃO SERÁ FEITA NA UNIDADE</t>
  </si>
  <si>
    <t>455000013 - BUSCH 77.730,14</t>
  </si>
  <si>
    <t>estamos enviando com apenas um orçamento, devido o fornecedor ser o fabricante dos equipamentos.</t>
  </si>
  <si>
    <t>SERVIÇO DE CONSERTO EM MOTOBOMBA DE VÁCUO BUSCH 
WV 1000 C 001 SN C1407000742</t>
  </si>
  <si>
    <t>442003939 - BUSCH 47.367,10</t>
  </si>
  <si>
    <t>121467 - 09/12/25
121465 - 09/12/25</t>
  </si>
  <si>
    <t>NÃO</t>
  </si>
  <si>
    <t>SERVIÇO DE CONSERTO EM MOTOBOMBA DE VÁCUO BUSCH WV 0500 C 001 SN C1426000540</t>
  </si>
  <si>
    <t>442003938 BUSCH 64.483,29</t>
  </si>
  <si>
    <t>C O MUELLER</t>
  </si>
  <si>
    <t xml:space="preserve">SERVIÇO DE CONSERTO EM MOTOBOMBA OMEL BVM/11-156/60 SN 206.048
</t>
  </si>
  <si>
    <t>1.517.889 - C O MUELLER 21.371,00</t>
  </si>
  <si>
    <t>68523 - 03/10/25</t>
  </si>
  <si>
    <t>ok</t>
  </si>
  <si>
    <t>SEW</t>
  </si>
  <si>
    <t>SERVIÇO DE CONSERTO EM MOTOREDUTOR SEW KHF37 CM71L/BR/HR/TF/RH1L/KK</t>
  </si>
  <si>
    <t>4827467 - SEW 10.358,24</t>
  </si>
  <si>
    <t>25396 - 16/09/25
25742 - 19/11/25</t>
  </si>
  <si>
    <t>TOLEDO DO BRASIL INDÚSTRIA DE BALAN LTDA</t>
  </si>
  <si>
    <t>SERVIÇO DE MÃO DE OBRA PARA REALIZAR A RETIRADA DA BALANÇA RODOVIÁRIA DO FOSSO, INSTALAÇÃO APÓS AS ADEQUAÇÕES DA BASE E CALIBRAÇÃO.</t>
  </si>
  <si>
    <t xml:space="preserve">Justificativa: estamos enviando com apenas um orçamento devido o fornecedor Toledo ter sido o responsável pelas últimas calibrações do equipamento, e ter realizado o levantamento de todas medidas necessárias e normativas para a realização do serviço.
</t>
  </si>
  <si>
    <t xml:space="preserve">Munters Brasil </t>
  </si>
  <si>
    <t>SERVIÇO DE MÃO DE OBRA E MATERIAL PARA SUBSTITUIÇÃO DO KIT DE SELOS COM CLIPS, CORREIA DE ACIONAMENTO, ROLETE DE SUPORTE PARA CILINDRO, MOTOR DE ACIONAMENTO E CONJUNTO VENTILADOR DO CONE PARA MOTOR DA CARCAÇA DO DESUMIDIFICADOR MUNTERS HCD 4500</t>
  </si>
  <si>
    <t>Justificativa: estamos enviando com apenas um orçamento devido o fornecedor Münters ser o fabricante da máquina.</t>
  </si>
  <si>
    <t>ATIVA PRO</t>
  </si>
  <si>
    <t>CONSERTO EM IHM DA EMBUTIDEIRA HANDTMANN MODELO VF830</t>
  </si>
  <si>
    <t>80194 - ATIVA PRO 5.417,20</t>
  </si>
  <si>
    <t>325 - 19/11/25</t>
  </si>
  <si>
    <t>SIM</t>
  </si>
  <si>
    <t>BERMO</t>
  </si>
  <si>
    <t xml:space="preserve">CONSERTO EM: UMA VÁLVULA REDUTORA DE PRESSÃO DN 2" M14 E UMA VÁLVULA REDUTORA DE PRESSÃO DN 2" MP-10
</t>
  </si>
  <si>
    <t>59.263 - BERMO 6.080,00</t>
  </si>
  <si>
    <t>28536 - 10/11/25</t>
  </si>
  <si>
    <t>SERVIÇO DE CONSERTO EM MOTOBOMBA DE VÁCUO BUSCH RA 
160 SN C1403000182</t>
  </si>
  <si>
    <t>456000126 - BUSCH  40.939,84</t>
  </si>
  <si>
    <t>SERVIÇO DE VERIFICAÇÃO E DETECÇÃO DE VAZAMENTOS NA LINHA DE VÁCUO ATRAVÉS DO DETECTOR DE VAZAMENTOS A HÉLIO ASM340)</t>
  </si>
  <si>
    <t>455000036 - BUSCH 15.339,50</t>
  </si>
  <si>
    <t>estamos enviando com apenas um orçamento, devido ao fornecedor Busch ser o fabricante de todas as nossa motobombas de vácuo e possuir o Know-how para a realização do serviço.</t>
  </si>
  <si>
    <t>CONSERTO DA MOTOBOMBA DE VÁCUO BUSCH RA 0160 D 563 AJXZ SN C1347000561</t>
  </si>
  <si>
    <t>456000132 - BUSCH  56.902,02</t>
  </si>
  <si>
    <t>TORNO - CONFECÇÃO DE SUPORTE COM ESTRUTURA EM NYLON E VISOR EM 
POLICARBONATO PARA RELÓGIO DIGITAL COM VEDAÇÃO HERMÉTICA</t>
  </si>
  <si>
    <t>94024 - BALENA 2.696,00</t>
  </si>
  <si>
    <t>20355 - 29/10/25</t>
  </si>
  <si>
    <t>CONSERTO DO MOTOREDUTOR SEW SA77 DRE90L4 SN 
70.0241778806.0004.14</t>
  </si>
  <si>
    <t>4837226 - SEW 10.103,40</t>
  </si>
  <si>
    <r>
      <rPr>
        <sz val="9"/>
        <color rgb="FFFF0000"/>
        <rFont val="Calibri"/>
        <scheme val="minor"/>
      </rPr>
      <t xml:space="preserve">4281804
4294860
</t>
    </r>
    <r>
      <rPr>
        <sz val="9"/>
        <color rgb="FF000000"/>
        <rFont val="Calibri"/>
        <scheme val="minor"/>
      </rPr>
      <t>4306425</t>
    </r>
  </si>
  <si>
    <r>
      <rPr>
        <sz val="9"/>
        <color rgb="FFFF0000"/>
        <rFont val="Calibri"/>
        <scheme val="minor"/>
      </rPr>
      <t xml:space="preserve">27/10/2025
</t>
    </r>
    <r>
      <rPr>
        <sz val="9"/>
        <color rgb="FF000000"/>
        <rFont val="Calibri"/>
        <scheme val="minor"/>
      </rPr>
      <t>20/11/2025</t>
    </r>
  </si>
  <si>
    <t>Mateus Wolfart:
COTAÇÃO EM ABERTO DESDE 28/10, SEM RETORNO COM O PREENCHIMENTO VIA PORTAL;
FORNECEDOR NÃO DEMONSTROU COMPROMETIMENTO EM COTAR DE ACORDO COM OS FLUXOS E PROCESSOS DA AURORA, INCLUSIVE, NÃO RESPEITANDO OS PRAZOS PRÉ ESTIPULADOS.;
FAVOR REPROCESSAR A RC SOMENTE QUANDO O MESMO ESTIVER COMPROMETIDO EM COTAR DE ACORDO COM NOSSOS FLUXOS E PROCESSOS;</t>
  </si>
  <si>
    <t>Igor</t>
  </si>
  <si>
    <t>VELOTANO</t>
  </si>
  <si>
    <t>TORNO - USINAGEM EM CASTANHAS DA RODA DEBOFLEX</t>
  </si>
  <si>
    <t>397 - VELOTANO 4.920,00</t>
  </si>
  <si>
    <t>3942 - 09/10/25</t>
  </si>
  <si>
    <t>TORNO - MÃO DE OBRA PARA REFORMA DE 55 CARRETILHAS</t>
  </si>
  <si>
    <t>93848 - BALENA 11.639,32</t>
  </si>
  <si>
    <t>20289 - 14/10/25</t>
  </si>
  <si>
    <t>CONSERTO DE 40 MANEIAS UTILIZADAS NO TAM DE SANGRIA.</t>
  </si>
  <si>
    <t>93912 - BALENA 23.232,00</t>
  </si>
  <si>
    <t>20289 - 14/10/25
20354 - 29/10/25</t>
  </si>
  <si>
    <t>PHDS</t>
  </si>
  <si>
    <t>EMBUCHAMENTO INTERNO DA ENGRENAGEMØ 101 BILONGAR FUROS PARA RAIO DE 150 (RODA DE TRAÇÃO DE NOREA DE MIUDOS)</t>
  </si>
  <si>
    <t>465 - PHDS 1.880,00</t>
  </si>
  <si>
    <t>Devido às falhas recorrentes observadas na nórea de miúdos, foi constatada a necessidade de substituição das duas rodas de tração. No entanto, as peças disponíveis em estoque apresentavam incompatibilidade na furação em relação às rodas desgastadas. Diante disso, foi necessário adaptar as peças, realizando o alongamento da furação e a confecção de uma bucha centralizadora para garantir o correto alinhamento e funcionamento do sistema. Considerando que a nórea apresentava indícios de mau funcionamento, com paradas frequentes e prolongadas, a intervenção foi realizada em caráter de urgência, a fim de evitar maiores impactos na operação.</t>
  </si>
  <si>
    <t>88 - 02/10/25</t>
  </si>
  <si>
    <t xml:space="preserve">	USINAGEM SUPORTE DA SERRA AUTO SPLITTER.</t>
  </si>
  <si>
    <t>408 - VELOTANO 945,00</t>
  </si>
  <si>
    <t>3954 - 20/10/25</t>
  </si>
  <si>
    <t>sim</t>
  </si>
  <si>
    <t>Marcos</t>
  </si>
  <si>
    <t>TORNO - FABRICAÇÃO DE BOTOEIRAS EM INOX CONFORME AMOSTRAS</t>
  </si>
  <si>
    <t>235 - THOMAZ &amp; BARONI 7.500,00
220 - EDINOX 8.522,73
379 - VELOTANO 7.275,00</t>
  </si>
  <si>
    <t>TORNO - usinagem recuperação caixa selagem F200</t>
  </si>
  <si>
    <t>402 - VELOTANO 4.940,00</t>
  </si>
  <si>
    <t>3946 - 14/10/25</t>
  </si>
  <si>
    <t>TORNO - usinagem borda caixa metálica F200</t>
  </si>
  <si>
    <t>403 - VELOTANO 3.850,00</t>
  </si>
  <si>
    <t>3824 - 28/06/25
3949 - 15/10/25</t>
  </si>
  <si>
    <t>THOMAZ &amp; BARONI</t>
  </si>
  <si>
    <t>SOLDAS SANITÁRIAS NA EMBALAGEM INDUSTRIAL CONFORME SOLICITAÇÃO DO CONTROLE DE QUALIDADE</t>
  </si>
  <si>
    <t>252 - THOMAZ &amp; BARONI 3.500,00</t>
  </si>
  <si>
    <t>Após inspeção realizada in loco pelo setor de Controle de qualidade, foi evidenciado por e-mail para manutenção, a necessidade de refazer soldas em mesas, carrinhos e estruturas de máquinas com soldas em condições "não sanitárias" e descontinuadas (com frestas). Estes pontos foram definidos como potenciais agentes de proliferação de contaminantes por estarem diretamente em contato com os produtos processados no setor.</t>
  </si>
  <si>
    <t>AVF USINAGEM</t>
  </si>
  <si>
    <t>TORNO - Usinagem recuperação de régua da Seladora vácuo VC999</t>
  </si>
  <si>
    <t>Régua de selagem com isoladores e roscas danificados gerando paradas no equipamento durante a semana.  Devido ao processo de produção ocorrer até sábado, para não afetar a entrega de volume, optou-se por enviar a peça no domingo para o reparo definitivo.</t>
  </si>
  <si>
    <t>2000 - 14/10/25</t>
  </si>
  <si>
    <t>TORNO - Usinagem em isoladores para VC999</t>
  </si>
  <si>
    <t>5 - AVF USINAGEM 3.398,00</t>
  </si>
  <si>
    <t>2021 - 25/11/25</t>
  </si>
  <si>
    <t xml:space="preserve">TORNO - Usinagem molde inferior selagem F200 SEI </t>
  </si>
  <si>
    <t>388 - VALOTANO 3.850,00</t>
  </si>
  <si>
    <t xml:space="preserve">3966 - </t>
  </si>
  <si>
    <t>simPLES NACIONAL</t>
  </si>
  <si>
    <t>Thales</t>
  </si>
  <si>
    <t>MAINGER ELECTRIC</t>
  </si>
  <si>
    <t>Serviço de mão de obra e material para realizar o conserto em inversor de frequência Lenze utilizado na Textor.</t>
  </si>
  <si>
    <t>919 - MAINGER ELECTRIC 3.800,00</t>
  </si>
  <si>
    <t>10. SALDO CANCELADO</t>
  </si>
  <si>
    <t>A pedido do Thales.</t>
  </si>
  <si>
    <t>USICASTRO</t>
  </si>
  <si>
    <t>TORNO -  conserto em eixo e rotor da bomba lavadora de monoblocos.</t>
  </si>
  <si>
    <t>220 - USICASTRO 6.456,00</t>
  </si>
  <si>
    <t>4250302
4261100
4269348
4275222
4286249</t>
  </si>
  <si>
    <t>10. RC/PEDIDO CANCELADO</t>
  </si>
  <si>
    <t>SALVA 30/10 - Gieferson Junior Bosa:
novamente não recebemos retorno desta empresa...
a empresa criou vários cnpjs, mas precisamos definir apenas 1 como padrão</t>
  </si>
  <si>
    <t>TORNO - conserto em peça utilizada nos riscadores da deboflex</t>
  </si>
  <si>
    <t>93784 - BALENA 3.455,93</t>
  </si>
  <si>
    <t>20317 - 21/10/25</t>
  </si>
  <si>
    <t>TORNO - confecção de roletes, envolvendo usinagem, para a linha Velati que está sem. A ausência destes acaba aumentando o desgaste do equipamento e esteira.</t>
  </si>
  <si>
    <t>93907 - BALENA 5.627,18
417 - USICASTRO 5.775,00
400 - VELOTANO 2.685,00</t>
  </si>
  <si>
    <t>TORNO - fabricação, envolvendo usinagem, de bucha para máquina desossa de cabeça PHD.</t>
  </si>
  <si>
    <r>
      <rPr>
        <sz val="9"/>
        <color rgb="FFFF0000"/>
        <rFont val="Calibri"/>
        <scheme val="minor"/>
      </rPr>
      <t xml:space="preserve">301031 - USICASTRO 725,00
</t>
    </r>
    <r>
      <rPr>
        <sz val="9"/>
        <color rgb="FF000000"/>
        <rFont val="Calibri"/>
        <scheme val="minor"/>
      </rPr>
      <t>701 - PHDS 725,00</t>
    </r>
  </si>
  <si>
    <t>retirado/emergencial mediante ao fato de que o serviço foi executado e entregue dia 05/05. O atraso no envio da proposta é mediante ao fato do esquecimento na abertura por colaborador que hoje não integra mais o corpo técnico da manutenção. Requisição aberta inicialmente 10/10 porém fornecedor não estava conseguindo responder cotação no portal, devido a isso gerou atraso.</t>
  </si>
  <si>
    <r>
      <rPr>
        <sz val="9"/>
        <color rgb="FFFF0000"/>
        <rFont val="Calibri"/>
        <scheme val="minor"/>
      </rPr>
      <t xml:space="preserve">4267061
4275334
4289274
</t>
    </r>
    <r>
      <rPr>
        <sz val="9"/>
        <color rgb="FF000000"/>
        <rFont val="Calibri"/>
        <scheme val="minor"/>
      </rPr>
      <t>4310530</t>
    </r>
  </si>
  <si>
    <t>144 - 06/05/25</t>
  </si>
  <si>
    <t>AGRINOX</t>
  </si>
  <si>
    <t>substituição de tubulação e isolação no setor de higienização de monoblocos verdes indústria e cozimento de miúdos, conforme descrito em memorial descritivo.</t>
  </si>
  <si>
    <t>35%: 2721
65% 2283</t>
  </si>
  <si>
    <t>115 - USICASTRO 24.642,07
24125 - AGRINOX 12.900,00
2090 - METAL C 21.900,00
222 - EDINOX 15.738,64</t>
  </si>
  <si>
    <t>O motivo da urgência é devido ao fato de que as tubulações descritas no memorial estão bastante oxidadas e expostas aos colaboradores, gerando riscos de queimaduras. O serviço também vem apontado no monitoramento em planilhas de autocontrole que vão para o SIF.</t>
  </si>
  <si>
    <t>conserto em bandejas utilizadas no túnel de congelamento contínuo GEA.</t>
  </si>
  <si>
    <t>24154 - AGRINOX 10.430,00</t>
  </si>
  <si>
    <t>O motivo da urgência é devido ao fato de que não possuímos bandejas reservas para substituição no equipamento.
A falta ou utilização delas quebradas pode prejudicar toda a cadeia de produção da unidade.</t>
  </si>
  <si>
    <t>1154 - 20/10/25</t>
  </si>
  <si>
    <t>TORNO - conserto/usinagem das algemas utilizadas na nórea aérea de pernil.</t>
  </si>
  <si>
    <t>406 - VELOTANO 16.320,00</t>
  </si>
  <si>
    <t>O motivo da urgência é devido ao fato de que as algemas estão com um elevado desgaste na composição que agarra e prende os pernis. Dessa forma, acaba acarretando em diversos problemas como o não travamento da algema e liberação da peça no meio do processo. Os problemas citados acabam gerando um grande retrabalho recorrente para a produção.</t>
  </si>
  <si>
    <r>
      <rPr>
        <sz val="9"/>
        <color rgb="FFFF0000"/>
        <rFont val="Calibri"/>
        <scheme val="minor"/>
      </rPr>
      <t xml:space="preserve">4281809
</t>
    </r>
    <r>
      <rPr>
        <sz val="9"/>
        <color rgb="FF000000"/>
        <rFont val="Calibri"/>
        <scheme val="minor"/>
      </rPr>
      <t>4286337</t>
    </r>
  </si>
  <si>
    <r>
      <rPr>
        <sz val="9"/>
        <color rgb="FFFF0000"/>
        <rFont val="Calibri"/>
        <scheme val="minor"/>
      </rPr>
      <t xml:space="preserve">27/10/2025
</t>
    </r>
    <r>
      <rPr>
        <sz val="9"/>
        <color rgb="FF000000"/>
        <rFont val="Calibri"/>
        <scheme val="minor"/>
      </rPr>
      <t>30/10/2025</t>
    </r>
  </si>
  <si>
    <t>William Felipe</t>
  </si>
  <si>
    <t>TORNO - usinagem em redutor estufas</t>
  </si>
  <si>
    <t>Tayane</t>
  </si>
  <si>
    <t>VELOTANO 372</t>
  </si>
  <si>
    <t xml:space="preserve">3914 - 18/09/25
3882 - 21/08/25
3938 - 01/10/25
3963 - </t>
  </si>
  <si>
    <t>TORNO - usinagem em redutor da esteira textor</t>
  </si>
  <si>
    <t xml:space="preserve">3913 - 19/09/25
3962 - </t>
  </si>
  <si>
    <t>TORNO -  usinagem em placa de selagem multivac f200 finas</t>
  </si>
  <si>
    <t>BRAPENTA</t>
  </si>
  <si>
    <t xml:space="preserve">Serviço assistência técnica detector de metais loma </t>
  </si>
  <si>
    <t>OTECCR250913 - BRAPENTA  3.664,00</t>
  </si>
  <si>
    <t>Detector de metais loma IQ3 da f200 embalagem apresentou falhas onde não conseguimos identificar o problema, assim necessitamos do serviço de um técnico especializado LOMA para nos ajudar, pois foi necessário locar um equipamento para não parar a máquina. Estamos tento custo de aluguel e precisamos consertar o quanto antes nosso detector.</t>
  </si>
  <si>
    <t>TORNO - usinagem placas para o o flap das estufas.</t>
  </si>
  <si>
    <t>384 - PHDS 12.535,80</t>
  </si>
  <si>
    <t>O flap da estufa quebrou, onde o mesmo é responsável por direcionar a fumaça no processo de cozimento dos produtos, devido estar quebrado, a coloração e cozimento do produto estava fora de padrão, pois a fumaça estava apenas de um lado do produto.</t>
  </si>
  <si>
    <t>77 - outras saídas (entrada) - 22/09/25</t>
  </si>
  <si>
    <t>TORNO - usinagem em engrenagem do facão de corte linha velatti + fabricação do eixo das facas circulares mulitvac.</t>
  </si>
  <si>
    <t>11 - PHDS 965,00</t>
  </si>
  <si>
    <t>1°Equipamento parado, devido ao desgaste na engrenagem o facão parou de cortar e não tínhamos outra engrenagem para substituir.
2°Eixo da faca circular da f200, operador forçou o mesmo para retirar o suporte da faca e danificou toda a ponta do eixo impossibilitando a montagem novamente.</t>
  </si>
  <si>
    <t>6 - 22/07/25</t>
  </si>
  <si>
    <t>TORNO - usinagem em molas da tampa da porta do tumbler.</t>
  </si>
  <si>
    <t>367 - VELOTANO 2.400,00</t>
  </si>
  <si>
    <t>3961 - 29/10/25</t>
  </si>
  <si>
    <t>TORNO - usinagem em caixa de selagem multivac f200 embalagem.</t>
  </si>
  <si>
    <t>393 - VELOTANO 1.450,00</t>
  </si>
  <si>
    <t>3995 - 27/11/25</t>
  </si>
  <si>
    <t>VOLT</t>
  </si>
  <si>
    <t>conserto eletrônico em inversor de frequência sew eurodrive</t>
  </si>
  <si>
    <t>12260 - VOLT 1.230,00</t>
  </si>
  <si>
    <t>11624 - 18/08/25
11783 - 17/10/25
11634 - 21/08/25</t>
  </si>
  <si>
    <t>conserto eletrônico em inversor de frequência mitsubishi</t>
  </si>
  <si>
    <t>12290 - VOLT 911,00</t>
  </si>
  <si>
    <t>11803 - 22/10/25
11674 - 04/09/25</t>
  </si>
  <si>
    <t xml:space="preserve">conserto eletrônico em inversor de frequência </t>
  </si>
  <si>
    <t>12351 - VOLT 1.102,00</t>
  </si>
  <si>
    <t>11804 - 22/10/25</t>
  </si>
  <si>
    <t>METAL C</t>
  </si>
  <si>
    <t>confecção e instalação de 2 sapatas e 2 bases para reparo das portas dos tumbler, fixar 2 sapatas no piso com chumbador químico, realizar corte da base da estrutura da porta e soldar a nova, e realizar o ajuste da porta com o tumbler.</t>
  </si>
  <si>
    <t>2086 - METAL C 18.800,00</t>
  </si>
  <si>
    <t>Durante o processo, o operador está colocando plástico na tampa do tumbler para não dar passagem de vácuo durante o tumbleamento correndo risco de contaminação física com o plástico e perda de produto. Está prejudicando o tempo de montagem operacional no processo, pois o operador precisa ajustar a tampa manualmente porque a porta não possibilita mais regulagem devido a fixação da estrutura do piso estar comprometida.</t>
  </si>
  <si>
    <t>Bruno</t>
  </si>
  <si>
    <t>MALAGUTTI</t>
  </si>
  <si>
    <t>Serviço de material e mão de obra para reparos em 5000 m² no telhado do Abate. Serviço a ser executado na unidade.</t>
  </si>
  <si>
    <t>0 - MALAGUTTI 375.202,85
2575 - CALHAS CHAPECÓ 450.900,00
0 - HERCULES 869..600,00</t>
  </si>
  <si>
    <t>G P DA LUZ</t>
  </si>
  <si>
    <t>SERVIÇOS DE ELETRICA EM GERAL, LIGAÇÃO DE MOTORES, QUADROS, E LUMINÁRIAS. INSTALAÇÃO DE NOVOS PONTOS PARA MOTORES DE VENTILADORES E TOMADAS CONFORME DEMANDA. TODOS SERVIÇOS SERÃO REALIZADOS DENTRO DA UNIDADE EM DIAS DE SEMANA E FINAL DE SEMANA.</t>
  </si>
  <si>
    <t>50% 2224
50% 2488</t>
  </si>
  <si>
    <t>134 - G P DA LUZ 59.280,00
1024 - TESCH  63.000,00.
2 - VOLT 78.540,00</t>
  </si>
  <si>
    <r>
      <rPr>
        <sz val="9"/>
        <color rgb="FFFF0000"/>
        <rFont val="Calibri"/>
        <scheme val="minor"/>
      </rPr>
      <t xml:space="preserve">316
</t>
    </r>
    <r>
      <rPr>
        <sz val="9"/>
        <color rgb="FF000000"/>
        <rFont val="Calibri"/>
        <scheme val="minor"/>
      </rPr>
      <t>317</t>
    </r>
  </si>
  <si>
    <t>William G.</t>
  </si>
  <si>
    <t>TESCH</t>
  </si>
  <si>
    <t>SERVIÇO DE MÃO DE OBRA DE 2 ELETRICISTAS, DURANTE 15 DIAS, PARA CONSERTO, INSPEÇÃO E AJUSTES EM CONTROLADORES DE TEMPERATURA 
DOS SETORES DE PRODUÇÃO</t>
  </si>
  <si>
    <t>893 - TESCH 21.700,00.
3 - VOLT 23.887,50
57 - G P DA LUZ 25.650,00</t>
  </si>
  <si>
    <t>Flavio</t>
  </si>
  <si>
    <t>HAASEN</t>
  </si>
  <si>
    <t>manutenção no trocador de calor água 90°C</t>
  </si>
  <si>
    <t>90625 - TECSUL 19.588,33
HAASEN 11.775,90</t>
  </si>
  <si>
    <t>Somente duas empresas se prontificaram em responder a solicitação, além que as mesmas tem o material a pronta entrega para realizar a manutenção no equipamento.</t>
  </si>
  <si>
    <t>DALCI</t>
  </si>
  <si>
    <t>PRESTAÇÃO DE SERVIÇO COM FORNECIMENTO DE MÃO DE OBRA E MATERIAIS PARA A TROCA DOS ROLAMENTOS DIANTEIRO E TRASEIRO DOS TRÊS DIGESTORES DE VÍSCERAS.</t>
  </si>
  <si>
    <t>6834 - EQUIPARE 89.100,00
3 - PICCOLI 43.000,00
100 - PRESTECNICA    84.000,00</t>
  </si>
  <si>
    <t>José</t>
  </si>
  <si>
    <t>MAREL</t>
  </si>
  <si>
    <t xml:space="preserve">MATERIAL E MÃO DE OBRA PARA REVISÃO PREVENTIVA NA MÁQUINA V-CUT DO SETORDO ESPOSTEJAMENTO </t>
  </si>
  <si>
    <t>201244 - MAREL 673,76 EUR</t>
  </si>
  <si>
    <t>A manutenção é executada pelo fabricante e parte do plano de preventiva PMS, por isso em anexo apenas um orçamento. </t>
  </si>
  <si>
    <t>PMP</t>
  </si>
  <si>
    <t>SERVIÇO COM MATERIAL E MÃO DE OBRA PARA CONFECÇÃO DE 20 
UNIDADES DE PLACAS DE IDENTIFICAÇÃO PARA ALGEMAS DA MÁQUINA DE DESOSSA DE PERNIL AÉREO X-HAM CONFORME DESENHO</t>
  </si>
  <si>
    <t>7187- PMP 338,20</t>
  </si>
  <si>
    <t xml:space="preserve"> Apresenta-se apenas um orçamento pois o fabricante atual das algemas possui o projeto e as dimensões corretas para fabricação das placas de identificação.</t>
  </si>
  <si>
    <r>
      <rPr>
        <sz val="9"/>
        <color rgb="FFFF0000"/>
        <rFont val="Calibri"/>
        <scheme val="minor"/>
      </rPr>
      <t xml:space="preserve">4167693
4169863
</t>
    </r>
    <r>
      <rPr>
        <sz val="9"/>
        <color rgb="FF000000"/>
        <rFont val="Calibri"/>
        <scheme val="minor"/>
      </rPr>
      <t>4170793</t>
    </r>
  </si>
  <si>
    <t>Jeverson</t>
  </si>
  <si>
    <t>MAYEKAWA</t>
  </si>
  <si>
    <t>SERVIÇO DE MANUTENÇÃO COM CONTRATO - PRIVADO, REFERENTE A PREVENTIVA E DIFERENÇA DA REVISÃO DO CP04 200VLD E CP05 250 VMD NA UNIDADE. ATENDIMENTO EM FINAL DE SEMANA DAS 08:00 ÀS 17:00</t>
  </si>
  <si>
    <t>157400 - MAYEKAWA 27.204,82</t>
  </si>
  <si>
    <t>Manutenção será realizada no final de semana e no contrato de prestação de serviço fechado com o fornecedor não está incluso a manutenção em final de semana. Devido a falta de equipamento não conseguimos realizar durante a semana como pede.</t>
  </si>
  <si>
    <t>10. PARCIALMENTE ATENDIDO</t>
  </si>
  <si>
    <t>SERVIÇOS DE ADEQUAÇÕES E MELHORIAS MECÂNICAS,  SOLDA EM TUBULAÇÕES  E CHAPAS, E CONTONEIRAS DE AÇO INOX (SOLDAS EM GERAL) E REALIZAR INSTALAÇÃO DE CHAPAS EM AÇO INOX/ALUMINIO NA PAREDE DE ISOPAINEL PARA PROTEÇÃO. SERVIÇOS A SEREM REALIZADOS DENTRO DA UNIDADE FAC DURANTE SEMANA E FINAIS DE SEMANA.</t>
  </si>
  <si>
    <t>25% - 2488
25% -  2224
25% - 2283
25% - 2232</t>
  </si>
  <si>
    <t>2019 - METAL C 61.360,00
56 - LM MONTAGENS 68.880,00.
66 - USICASTRO 67.742,00
92911 - BALENA 75.294,00</t>
  </si>
  <si>
    <r>
      <rPr>
        <sz val="9"/>
        <color rgb="FFFF0000"/>
        <rFont val="Calibri"/>
        <scheme val="minor"/>
      </rPr>
      <t xml:space="preserve">707 
733
</t>
    </r>
    <r>
      <rPr>
        <sz val="9"/>
        <color rgb="FF000000"/>
        <rFont val="Calibri"/>
        <scheme val="minor"/>
      </rPr>
      <t>737</t>
    </r>
  </si>
  <si>
    <t>Eder</t>
  </si>
  <si>
    <t>BSA</t>
  </si>
  <si>
    <t>Instalações elétricas, automação e melhorias painéis ETA e ETE conforme “MEMORIAL TÉCNICO - Revisão de Painéis elétricos ETA-ETE.pdf”
Serviço deve iniciar dias 26/07 e terminar dias 25/08/25</t>
  </si>
  <si>
    <t>250067A - AUTOMEC 126.987,54
0 - USINAGEM DG 131.653,21
779 - BSA 113.218,17</t>
  </si>
  <si>
    <t>diversas paradas no processo devido a falhas elétricas e em inversores de frequência, provenientes de problemas nas instalações e cabeamentos de rede de automação, também por estarmos com acesso indevido de operadores há cabine elétrica para ligar inversores de forma manual expondo-os ao risco!</t>
  </si>
  <si>
    <t>MULTIVAC</t>
  </si>
  <si>
    <t>SERVIÇO DE MÃO DE OBRA PARA INSPEÇÃO TÉCNICA DOS EQUIPAMENTOS MULTIVAC EXISTENTES NOS SETORES: SEI, SFT, CUR, STP, SFR, PRU. SENDO 3X F200, DE N° SERIE: #324887, #195021, #258094. 1X B625, DE N° SERIE: #337945. 2X R145, DE N° SERIE: #196492, #196494. 1X R535, DE N° SERIE: #196490.</t>
  </si>
  <si>
    <t>62 - MULTIVAC 34.350,00</t>
  </si>
  <si>
    <t>A contratação de mão de obra especializada para a realização de inspeção nos equipamentos, é imprescindível para assegurar a eficiência operacional, a integridade mecânica e a conformidade sanitária das embaladoras. Dada a relevância desses equipamentos no processo produtivo e o risco de impacto direto à linha de produção em caso de falha, a contratação se configura como urgente e estratégica para garantir a continuidade e a segurança da operação.</t>
  </si>
  <si>
    <r>
      <rPr>
        <sz val="9"/>
        <color rgb="FFFF0000"/>
        <rFont val="Calibri"/>
        <scheme val="minor"/>
      </rPr>
      <t xml:space="preserve">4190648
</t>
    </r>
    <r>
      <rPr>
        <sz val="9"/>
        <color rgb="FF000000"/>
        <rFont val="Calibri"/>
        <scheme val="minor"/>
      </rPr>
      <t>4190926</t>
    </r>
  </si>
  <si>
    <t>H BREMER</t>
  </si>
  <si>
    <t>SERVIÇO DE MÃO DE OBRA E MATERIAL PARA SUBSTITUIÇÃO DOS REFRATÁRIOS DA CALDEIRA H.BREMER HBFR 15 TON</t>
  </si>
  <si>
    <t>427394 - H. BREMER 149.796,41</t>
  </si>
  <si>
    <t xml:space="preserve"> Somente um orçamento na qual empresa é fabricante do equipamento.</t>
  </si>
  <si>
    <t>FIEDLER</t>
  </si>
  <si>
    <t>SERVIÇO DE MÃO DE OBRA PARA 2 DIÁRIAS DE SERVIÇO PARA MANUTENÇÃO DE 1 BOMBA GRUNDFOS</t>
  </si>
  <si>
    <t>392416 - FIEDLER 5.500,00</t>
  </si>
  <si>
    <t>Somente um orçamento devido fornecedor ser representante do sistema de bombeamento Grundfos.</t>
  </si>
  <si>
    <t>A pedido do Jeverson por email 24/10.</t>
  </si>
  <si>
    <t>SERVIÇO DE MÃO DE OBRA E MATERIAL PARA MANUTENÇÃO DO TROCADOR DE CALOR ALFA LAVAL MODELO T20MW.</t>
  </si>
  <si>
    <t>07949 - HAASEN 59.135,58
0 - ALMATHI 80.150,154</t>
  </si>
  <si>
    <t>MONTEMIL</t>
  </si>
  <si>
    <t>SERVIÇO DE ASSISTENCIA TÉCNICA E TREINAMENTO OPERACIONAL NOS EQUIPAMENTOS DO ESPOSTEJAMENTO. ACOMPANHAMENTO DO TÉCNICO NO LOCAL EM DIAS DE SEMANA PARA VERIFICAÇÃO E AJUSTES QUE POSSAM DECORRER</t>
  </si>
  <si>
    <t>1003925 - MONTEMIL 14.890,00</t>
  </si>
  <si>
    <t>Devido ser o fabricante do equipamento</t>
  </si>
  <si>
    <t>Rafael B.</t>
  </si>
  <si>
    <t>ORDEM REFERENTE À SERVIÇO COM URGÊNCIA NA TELA DA ROSCA DO PERCOLADOR DEVIDO A POSSÍVEL QUEBRA DO EQUIPAMENTO E PERCA DE PRODUÇÃO E DANOS A DEMAIS EQUIPAMENTOS</t>
  </si>
  <si>
    <t>13 - USICASTRO 62.320,00
2037 - METAL C 59.500,00 
93023  - BALENA 50.318,08</t>
  </si>
  <si>
    <t>Necessidade de serviço urgente na tela da rosca do percolador com urgência devido a possível quebra do equipamento e perca de produção e danos a demais equipamentos.</t>
  </si>
  <si>
    <t>EMS</t>
  </si>
  <si>
    <t>CONTRATAÇÃO DE SERVIÇO E MATERIAIS PARA SUBSTITUIR O TRILHO "T" DA NORIA DE MONOBLOCOS QUE ESTÁ DANIFICADA. SEERVIÇO A SER REALIZADO DENTRO DA UNIDADE EM FINAL DE SEMANA.</t>
  </si>
  <si>
    <t>5532 - RT 385.300,00
9572 - METAL SUL 298.638,90
2507104 - ESTRELA METAIS 305.299,00</t>
  </si>
  <si>
    <r>
      <rPr>
        <sz val="9"/>
        <color rgb="FFFF0000"/>
        <rFont val="Calibri"/>
        <scheme val="minor"/>
      </rPr>
      <t xml:space="preserve">4333415
</t>
    </r>
    <r>
      <rPr>
        <sz val="9"/>
        <color rgb="FF000000"/>
        <rFont val="Calibri"/>
        <scheme val="minor"/>
      </rPr>
      <t>4439475</t>
    </r>
  </si>
  <si>
    <t>Cleiton</t>
  </si>
  <si>
    <t>METAL MARC</t>
  </si>
  <si>
    <t>Serviço de assistência técnica, de quatro dias para a troca do corpo de passagem de massa da embutideira da presuntaria, com acompanhamento um dia antes e um dia após sua substituição.</t>
  </si>
  <si>
    <t>54 - METAL MARC 30.120,00</t>
  </si>
  <si>
    <t xml:space="preserve">APENAS UM ORÇAMENTO POIS A METAL MARC É EMPRSA TERCEIRA REPRESENTANTE DA METALQUIMIA, E POSSUI LIBERAÇÃO PARA REALIZAR MANUTENÇÕES NAS MÁQUINAS E EQUIPAMENTOS.
</t>
  </si>
  <si>
    <t>CONSERTO DA MOTOBOMBA DE LAMELAS EQUIPARE 19 M³/H BRE-19 30CV 02</t>
  </si>
  <si>
    <t>7100 - EQUIPARE 56.000,00</t>
  </si>
  <si>
    <r>
      <rPr>
        <sz val="9"/>
        <color rgb="FFFF0000"/>
        <rFont val="Calibri"/>
        <scheme val="minor"/>
      </rPr>
      <t xml:space="preserve">4281822
4289724
</t>
    </r>
    <r>
      <rPr>
        <sz val="9"/>
        <color rgb="FF000000"/>
        <rFont val="Calibri"/>
        <scheme val="minor"/>
      </rPr>
      <t>4310675</t>
    </r>
  </si>
  <si>
    <t xml:space="preserve">TORNO - usinagem em castanhas utilizadas em ambas Deboflex. </t>
  </si>
  <si>
    <t>410 - VELOTANO 2.304,00</t>
  </si>
  <si>
    <t>3990 - 26/11/25</t>
  </si>
  <si>
    <t>TORNO - usinagem em conjunto mola utilizado na VC999.</t>
  </si>
  <si>
    <t>411 - VELOTANO 690,00</t>
  </si>
  <si>
    <t>3974 - 04/11/25</t>
  </si>
  <si>
    <t>MONTAGIO</t>
  </si>
  <si>
    <t>SERVIÇO DE INSPEÇÃO NAS ESTRUTURAS DE ARMAZENAMENTO DA EXPEDIÇÃO. SERVIÇO A SER REALIZADO DENTRO DA UNIDADE EM DIAS NORMAIS E FINAL DE SEMANA.</t>
  </si>
  <si>
    <t>2149 - MONTAGGIO</t>
  </si>
  <si>
    <t>Justificativa um orçamento: Empresa especializada em inspeções de sistemas de armazenamento e indicada pelo fabricante dos porta paletes que temos instalado na unidade.</t>
  </si>
  <si>
    <t>SERVIÇO DE MATERIAL E MÃO DE OBRA PARA CONFECÇÃO DE UM CAVALETE, QUE SERÁ UTILIZADO PARA REMOÇÃO E DESLOCAMENTO DOS REDUTORES DOS DIGESTORES DA FFG.
CAVALETE UTILIZADO NA MANUTENÇÃO PREVENTIVA DE TROCA DOS ROLAMENTOS DOS DIGESTORES.</t>
  </si>
  <si>
    <t>13 - PHDS</t>
  </si>
  <si>
    <t xml:space="preserve">NÃO </t>
  </si>
  <si>
    <t>MATERIAL E MÃO DE OBRA PARA MANUTENÇÃO PREVENTIVA DO MOEDOR BG-40S</t>
  </si>
  <si>
    <t>196232 - MAREL</t>
  </si>
  <si>
    <t xml:space="preserve">Trata-se de orçamento incluso no plano de manutenção preventiva feita pelo próprio fabricante da máquina. </t>
  </si>
  <si>
    <t xml:space="preserve">REALIZAR A SUBSTITUIÇÃO DE APROXIMADAMENTE 48 METROS DE TUBULAÇÃO DE 4”, 48 METROS DE 
TUBULAÇÃO DE 3”, 48 METROS DE TUBULAÇÃO DE 2”, 20 METROS DE TUBULAÇÃO DE 1”, 20 METROS DE 
TUBULAÇÃO DE ¾” E 20 METROS DE TUBULAÇÃO DE ½” (MEDIDAS APROXIMADAS), SUBSTITUIÇÃO DE 
TUBULAÇÃO DE AÇO CARBONO POR TUBOS DE INOX.
</t>
  </si>
  <si>
    <t>4588-2488</t>
  </si>
  <si>
    <t>2013 - METAL C</t>
  </si>
  <si>
    <t>JOACIR</t>
  </si>
  <si>
    <t xml:space="preserve">SERVIÇOS REFERENTE À DE MÃO DE OBRA DE MANUTENÇÃO EM PORTAS MODELO ISOBLOCK SENDO:
• PORTAS INDUSTRIA E ABATE
• TROCA DE BORRACHAS
• FABRICAÇÃO E SUBSTITUIÇÃO DE PERFIS MEIA ESQUADRIA
• CHAPEAR PORTAS
• VEDAÇÕES
• INSTALAÇÃO DE GUIAS
• REGULAGEM DAS PORTAS
• OBS: 03 COLABORADORES / 4 DIÁRIAS FIM DE SEMANA
</t>
  </si>
  <si>
    <t xml:space="preserve"> 762 - JOACIR</t>
  </si>
  <si>
    <t>ÚNICO FORNECEDOR DISPONÍVEL NA REGIÃO QUE TEM CONHECIMENTO MANUSEIO E SERVIÇOS DE ISOPAINEL HOMOLOGADO PELA MANUTENÇÃO, PARA REALIZAÇÃO DE SERVIÇOS DENTRO DA UNIDADE COM CONHECIMENTO DA PLANTA ATENTENDO AS NECESSIDADES REAIS DO PROCESSO</t>
  </si>
  <si>
    <t>DE PAULA SOLUÇÕES</t>
  </si>
  <si>
    <t xml:space="preserve">PREPARAÇÃO E PINTURA DE SUPERFÍCIE, EM EPÓXI BRANCO (450 M²);
PREPARAÇÃO E PINTURA DE RODAPÉS, EM EPÓXI CINZA (100 M²);
PINTURA INTERNA E EXTERNA DE PORTAS, NA COR AMARELA (15 UN.);
PREPARAÇÃO E PINTURA DE VENTILADORES TIPO AVIÁRIO, NA COR CINZA (20 UN.);
</t>
  </si>
  <si>
    <t xml:space="preserve">2488 25%
4588 25%
5345 25%
2283 25%
</t>
  </si>
  <si>
    <t>120902 - DE PAULA SOLUÇÕES</t>
  </si>
  <si>
    <t>NECESSIDADE DE PINTURA COM URGÊNCIA REFERENTE A NECESSIDADE DE ATENDER PRAZOS DE AUTO CONTROLE E PRAZOS DO SIF</t>
  </si>
  <si>
    <t>6. NF - AGUARDANDO APROVAÇÃO PARA LANÇAMENTO</t>
  </si>
  <si>
    <t>FRANCIS</t>
  </si>
  <si>
    <t xml:space="preserve"> J ORTIZ CASTANHO LTDA</t>
  </si>
  <si>
    <t>SERVIÇO DE ABERTURA DE DOIS VÃOS PARA COLOCAÇÃO DE VENTILADORES PARA REALIZAR A EXAUSTÃO NO SETOR DE GALERIA TÉCNICA - SERVIÇO A SER EXECUTADO DENTRO DA UNIDADE EM FINAL DE SEMANA</t>
  </si>
  <si>
    <t>Francis</t>
  </si>
  <si>
    <t>3333 - J ORTIZ CASTANHO LTDA</t>
  </si>
  <si>
    <t>SERVIÇO DE SUBSTITUIÇÃO DE TUBULAÇÕES QUE ESTÃO OXIDADAS EM DIVERSOS PONTOS SOBRE O PISO TÉCNICO DA UNIDADE - PONTOS PREVISTOS PARA SUBSTITUIÇÃO ABATE, CORTES, MIUDOS INTERNOS E EXTERNOS - SERVIÇO A SER EXECUTADO DENTRO DA UNIDADE EM DIAS DE SEMANA E FINAIS DE SEMANA</t>
  </si>
  <si>
    <t xml:space="preserve">40% - ABATE 2488
40% - ESPOSTEJAMENTO 2224
10% MI - 2739
10% ME - 2721
</t>
  </si>
  <si>
    <t>2097 - METAL C</t>
  </si>
  <si>
    <t>G.P DA LUZ</t>
  </si>
  <si>
    <t>SERVIÇOS DE ELÉTRICA COMO MONTAGEM DE INFRAS E PASSAGEM DE CABOS, MONTAGEM DE TOMADAS, LIGAÇÃO DE APARELHOS E REFORMA DE PAINEIS ELÉTRICOS. SERVIÇO DE DESLIGAMENTO E REMOÇÃO DE INFRAS INUTILIZADAS QUE ESTÃO OBSOLETAS E SEM USO. TODOS OS SERVIÇOS SERÃO EXECUTADOS DENTRO DA UNIDADE FAC EM DIAS DE SEMANA E FINAIS DE SEMANA</t>
  </si>
  <si>
    <t>2224-2488</t>
  </si>
  <si>
    <t>176 - GP DA LUZ</t>
  </si>
  <si>
    <r>
      <rPr>
        <sz val="9"/>
        <color rgb="FFFF0000"/>
        <rFont val="Calibri"/>
        <scheme val="minor"/>
      </rPr>
      <t xml:space="preserve">333
361
</t>
    </r>
    <r>
      <rPr>
        <sz val="9"/>
        <color rgb="FF000000"/>
        <rFont val="Calibri"/>
        <scheme val="minor"/>
      </rPr>
      <t>376</t>
    </r>
  </si>
  <si>
    <t>03/11/2025 - 19/11/2025
01/12/2025</t>
  </si>
  <si>
    <t>Rafael S.</t>
  </si>
  <si>
    <t>VALENGA</t>
  </si>
  <si>
    <t>SERVIÇO DE MANUTENÇÃO PREVENTIVA DE 1000H DA MÁQUINA PÁ CARREGADEIRA BRUTUS E SUBSTITUIÇÃO DE LÂMINA QUE ESTÁ COM DESGASTE.</t>
  </si>
  <si>
    <t>Yasmin</t>
  </si>
  <si>
    <t>207 - VALENGA</t>
  </si>
  <si>
    <t>ENCAMINHADO UM ÚNICO ORÇAMENTO, POIS A MECÂNICA VALENGA É AUTORIZADA BRUTUS PARA PRESTAR A CORRETA E EFICIENTE MANUTENÇÃO PREVENTIVA.</t>
  </si>
  <si>
    <t>ELETROTEC</t>
  </si>
  <si>
    <t>SERVIÇO DE CONSERTO DE MOTOR DO COMPRESSOR DE AMONIA 2 DA SALA DE MÁQUINAS</t>
  </si>
  <si>
    <t>12857 - ELETROTEC</t>
  </si>
  <si>
    <t>ISOBLOCK</t>
  </si>
  <si>
    <t>SERVIÇO DE INSTALAÇÃO DE PORTA FRIGORÍFICA INDUSTRIAL</t>
  </si>
  <si>
    <t xml:space="preserve">124198 - ISOBLOCK </t>
  </si>
  <si>
    <t>: APENAS UM ORÇAMENTO A FIM DE MANTER A PADRONIZAÇÃO DAS PORTAS INSTALADAS NA INDUSTRIA, ONDE JÁ POSSUÍMOS PORTAS INSTALADAS DO MESMO FORNECEDOR.</t>
  </si>
  <si>
    <t>SERVIÇO DE MAO DE OBRA PARA ADEQUAÇÃO DA ESTAÇÃO DE PESAGEM DA MWS DA PALETIZAÇÃO SENDO REFORMA DA ESTEIRA EXISTENTE, DESEMPENAMENTO DA ESTRUTURA , CORREÇÃO E LIMPEZA DE SOLDAS, CONSERTO DOS GUIAS DIRECIONADORES SERVIÇO A SER EXECUTADO FORA DA UNIDADE CONFORME NF DE SAÍDA 37566</t>
  </si>
  <si>
    <t xml:space="preserve"> 93783 - BALENA</t>
  </si>
  <si>
    <t>20258 - 03/10/25</t>
  </si>
  <si>
    <t>C&amp;E SERVICE INSTALACOES INDUSTRIAIS LTDA</t>
  </si>
  <si>
    <t>Manutenção preventiva em 37 cabines 
elétricas da unidade</t>
  </si>
  <si>
    <t>725 - C &amp; E SERVICE INSTAÇÕES INDUSTRIAIS LTDA</t>
  </si>
  <si>
    <t>ARTEFATOS DE BORRACHA PCR LTDA</t>
  </si>
  <si>
    <t>Serviço de material e mão de obra para reforma de cilindros de tração do equipamento MÁQUINA DE TRIPAS.</t>
  </si>
  <si>
    <t xml:space="preserve"> 122751 - ARTEFATOS DE BORRACHA PCR LTDA</t>
  </si>
  <si>
    <t>99571 - 24/10/25</t>
  </si>
  <si>
    <t>EDINOX MANUTENÇÃO INDUSTRIAL LTDA</t>
  </si>
  <si>
    <t>Remoção e instalação de duto em inox conforme medidas do existente para o sistema de exaustão da sala de pesagem de condimentos</t>
  </si>
  <si>
    <t>232 - EDINOX MANUTENÇÃO INDUSTRIAL LTDA</t>
  </si>
  <si>
    <t>aguardando declaração atualizada</t>
  </si>
  <si>
    <t>S.R GRANDO &amp; CIA</t>
  </si>
  <si>
    <t>FABRICAÇÃO DE DUAS PLACAS IMP UV ACRILICO - ACRÍLICO 3MM BRANCO 30X7CM COM FITA NO VERSO 1UN. VERMELHA / 1 UN. BRANCA</t>
  </si>
  <si>
    <t>119968 - S.R GRANDO &amp; CIA</t>
  </si>
  <si>
    <t>84980 </t>
  </si>
  <si>
    <t>único fornecedor enviou orçamento conforme a normativas solicitadas.</t>
  </si>
  <si>
    <t>SERVIÇOS DE MECÂNICA EM GERAL, CORREÇÃO DE SOLDAS EM ESTRUTURAS DE ESTEIRAS, CHAPAS E PROTEÇÕES DA LINHA DE EVISCERAÇÃO E DO ESPOSTEJAMENTO E CONSERTO DE GAIOLAS E CARRINHOS DE MIUDOS E DE COZIMENTO DAS ESTUFAS. TODOS OS SERVIÇOS SERÃO EXECUTADOS DENTRO DA UNIDADE EM DIAS UTEIS E FINAIS DE SEMANA CONFORME DEMANDA.</t>
  </si>
  <si>
    <t>50%  2488 50%2224</t>
  </si>
  <si>
    <t>2117 - METAL C</t>
  </si>
  <si>
    <r>
      <rPr>
        <sz val="9"/>
        <color rgb="FF000000"/>
        <rFont val="Calibri"/>
        <scheme val="minor"/>
      </rPr>
      <t xml:space="preserve">
</t>
    </r>
    <r>
      <rPr>
        <sz val="9"/>
        <color rgb="FFFF0000"/>
        <rFont val="Calibri"/>
        <scheme val="minor"/>
      </rPr>
      <t xml:space="preserve">745 
</t>
    </r>
    <r>
      <rPr>
        <sz val="9"/>
        <color rgb="FF000000"/>
        <rFont val="Calibri"/>
        <scheme val="minor"/>
      </rPr>
      <t>746</t>
    </r>
  </si>
  <si>
    <t>SERVIÇOS DE AJUSTES E ADEQUAÇÃO DE INFRAS ELÉTRICAS DO ESPOSTEJAMENTO, CONSERTO DE INFRAS DE ILUMINAÇÃO E EQUIPAMENTOS QUE ESTÃO SOLTAS, ADEQUAÇÃO DOS PONTOS E DESCIDAS PARA TMADAS DE BALANÇAS QUE ESTÃO POR BAIXO  DAS ESTEIRAS, REDIMENSIONAMENTO DOS CABOS PARA ATENDER A ALIMENTAÇÃO DOS PONTOS DA LINHA DO CARRÉ E COSTELINHA. TODOS OS SERVIÇOS SERÃO EXECUTADOS DENTRO DA UNIDADE EM DIAS UTEIS E FINAIS DE SEMANA CONFORME DEMANDA.</t>
  </si>
  <si>
    <t>198  - GP. DA LUZ</t>
  </si>
  <si>
    <t>FINISSIMA ACABAMENTOS LTDA</t>
  </si>
  <si>
    <t>61 - FINISSIMA ACABAMENTOS LTDA</t>
  </si>
  <si>
    <t>659
666</t>
  </si>
  <si>
    <t>STEAM PRIME</t>
  </si>
  <si>
    <t>SERVIÇO DE MANUTENÇÃO E RECUPERAÇÃO DE VALVULAS.</t>
  </si>
  <si>
    <t>11610 - S P - STEAM PRIME</t>
  </si>
  <si>
    <t>589 - 03/11/25</t>
  </si>
  <si>
    <t xml:space="preserve">SERVIÇO DE REFORMA E JATEAMENTO DE 5 MESAS DE MEBALAGEM DE PRODUTO NO INDUSTRIALIZADOS CONFORME SOLICITADO PELO CONROLE DE QUALIDADE - SERVIÇO SERÁ EXECUTADO FORA DA UNIDADE E SERÁ ENVIADO UMA DE CADA VEZ ATÉ CONCLUSÃO DAS 5 UNIDADES.
Material saiu com ordem de entrega conforme anexado no e-mail da RC.
</t>
  </si>
  <si>
    <t xml:space="preserve"> 2123 - METAL C</t>
  </si>
  <si>
    <t>Torbim</t>
  </si>
  <si>
    <t xml:space="preserve"> ELO SCIENTIFIC</t>
  </si>
  <si>
    <t>ASSISTÊNCIA TÉCNICA MUFLA DO BIODIGESTOR-CONCERTO CONTROLADOR DE TEMPERATURA, CONJUNTO COMPLETO DE REFRATARIO P/FORNO</t>
  </si>
  <si>
    <t>1222 - ELO SCIENTIFIC</t>
  </si>
  <si>
    <t>Orçamento único devido ser a fabricante do aparelho.</t>
  </si>
  <si>
    <r>
      <rPr>
        <sz val="9"/>
        <color rgb="FFFF0000"/>
        <rFont val="Calibri"/>
        <scheme val="minor"/>
      </rPr>
      <t xml:space="preserve">4270433 </t>
    </r>
    <r>
      <rPr>
        <sz val="9"/>
        <color rgb="FF000000"/>
        <rFont val="Calibri"/>
        <scheme val="minor"/>
      </rPr>
      <t>- 4281983</t>
    </r>
  </si>
  <si>
    <t>MULTTEC</t>
  </si>
  <si>
    <t xml:space="preserve">Serviço de assistência técnica para substituição dos pistões da bandeja de alimentação </t>
  </si>
  <si>
    <t xml:space="preserve">245 - MULTTEC </t>
  </si>
  <si>
    <t>SSU para realizar a troca dos pistões da bandeja de alimentação, os mesmos estão com mal funcionamento, gerando desalinhamento da grelha e impactando no processo. </t>
  </si>
  <si>
    <t xml:space="preserve">Serviço de assistência técnica para realizar o backup do software das multivac da indústria </t>
  </si>
  <si>
    <t>242 - MULTTEC</t>
  </si>
  <si>
    <t xml:space="preserve">SSU para fazer o backup do sistema operacional de todas as multivac da indústria, em conversa com a automação constatamos que não possuímos nenhuma cópia dos arquivos em nosso banco de dados </t>
  </si>
  <si>
    <t>TORNO - USINAGEM COM EMBUCHAMENTO DE PONTEIRAS DE ENGRENAGENS DO REDUTOR.</t>
  </si>
  <si>
    <t>407 - VELOTANO</t>
  </si>
  <si>
    <r>
      <rPr>
        <sz val="9"/>
        <color rgb="FFFF0000"/>
        <rFont val="Calibri"/>
        <scheme val="minor"/>
      </rPr>
      <t xml:space="preserve">4273101
</t>
    </r>
    <r>
      <rPr>
        <sz val="9"/>
        <color rgb="FF000000"/>
        <rFont val="Calibri"/>
        <scheme val="minor"/>
      </rPr>
      <t>4274382</t>
    </r>
  </si>
  <si>
    <t>3953 - 29/10/25</t>
  </si>
  <si>
    <t>REFRIGERAÇÃO IAPÓ</t>
  </si>
  <si>
    <t>SERVIÇO DE TROCA DE RELE E PROTETOR TÉRMICO DE COMPRESSOR EM FREEZER (cód. de patrimônio: 055096).</t>
  </si>
  <si>
    <r>
      <rPr>
        <sz val="9"/>
        <color rgb="FFFF0000"/>
        <rFont val="Calibri"/>
        <scheme val="minor"/>
      </rPr>
      <t xml:space="preserve">4273120 </t>
    </r>
    <r>
      <rPr>
        <sz val="9"/>
        <color rgb="FF000000"/>
        <rFont val="Calibri"/>
        <scheme val="minor"/>
      </rPr>
      <t xml:space="preserve">- </t>
    </r>
    <r>
      <rPr>
        <sz val="9"/>
        <color rgb="FFFF0000"/>
        <rFont val="Calibri"/>
        <scheme val="minor"/>
      </rPr>
      <t xml:space="preserve">4284997 </t>
    </r>
  </si>
  <si>
    <t xml:space="preserve">RC CANCELADA PORQUE FOI ABERTA INCORRETAMENTE. </t>
  </si>
  <si>
    <t>VPS</t>
  </si>
  <si>
    <t>MÃO DE OBRA PARA PRESSURIZAÇÃO E POSSÍVEL CORREÇÃO DE VAZAMENTO DO EQUIPAMENTO SPLIT BRITÂNIA.</t>
  </si>
  <si>
    <t>365 - VPS</t>
  </si>
  <si>
    <t>A empresa mencionada já realiza o PMOC nos equipamentos de ar condicionado da unidade. Dessa forma, estamos aproveitando a vinda deles para a execução deste serviço de forma mais ágil.</t>
  </si>
  <si>
    <t>Serviço de assistência técnica para substituição das placas que seguram o filme e as bases de tensionamento das correntes da faca</t>
  </si>
  <si>
    <t>243 - MULT-TEC</t>
  </si>
  <si>
    <t xml:space="preserve">trata se de uma requisição com apenas um orçamento em anexo pois é um serviço que requer uma mão de obra especializada, tanto na execução quanto na confecção das peças e matérias usados na manutenção da máquina, não dispomos de outros profissionais que possam fornecer esse serviço 
</t>
  </si>
  <si>
    <t>Serviço para troca dos cabos do sistema de segurança da multivac F200</t>
  </si>
  <si>
    <t>246 - MULT-TEC</t>
  </si>
  <si>
    <t>Requisição com apenas um orçamento em anexo pois é um serviço que requer uma mão de obra especializada na execução e único fornecedor disponível esta e anexo.</t>
  </si>
  <si>
    <t>THDS</t>
  </si>
  <si>
    <t>TORNO - CORTAR TUBOS COM 150 MM / FAZER ROSCA NA PONTA.</t>
  </si>
  <si>
    <t>131 - THDS USINAGEM</t>
  </si>
  <si>
    <t>Instalações de válvulas em tubulação danificadas de água potável no forro.</t>
  </si>
  <si>
    <t>STARTECH</t>
  </si>
  <si>
    <t>Serviço de concerto no display da tela</t>
  </si>
  <si>
    <t>8760 - STARTECH</t>
  </si>
  <si>
    <t>1952 - 05/11/25</t>
  </si>
  <si>
    <t xml:space="preserve"> PARANÁ EQUIPAMENTOS S.A.</t>
  </si>
  <si>
    <t>SERVIÇO DE REPARO EM FREIO ELETROMAGNÉTICO.</t>
  </si>
  <si>
    <t>L21445 - PARANÁ EQUIPAMENTOS S.A.</t>
  </si>
  <si>
    <t>RC FOI CANCELADA E SERÁ SUBSTITUÍDA POR OUTRA.</t>
  </si>
  <si>
    <t>MATERIAL E MÃO DE OBRA PARA MANUTENÇÃO PREVENTIVA DO RECUPERADOR DE CARNE DMM50</t>
  </si>
  <si>
    <t xml:space="preserve"> 206857 - MAREL</t>
  </si>
  <si>
    <t>FOSS</t>
  </si>
  <si>
    <t>SERVIÇO DE MÃO DE OBRA E MATERIAL PARA MANUTENÇÃO PREVENTIVA DA MÁQUINA FOODSCAN 2 DAIRY</t>
  </si>
  <si>
    <t>RGM</t>
  </si>
  <si>
    <t>SERVIÇO DE MÃO DE OBRA E MATERIAL PARA CONSERTO DE SOFT STARTER, MARCA SIEMENS, MODELO CL-3RW4424-1BC44</t>
  </si>
  <si>
    <t>14833 - RGM</t>
  </si>
  <si>
    <t>DEIXAR RC EXPIRAR, POIS FOI SOLICITADO DEVOLUÇÃO PORQUE JÁ HAVIA OUTRA DIGITADA</t>
  </si>
  <si>
    <t>A1 SISTEMAS</t>
  </si>
  <si>
    <t xml:space="preserve">REVISÃO NO SISTEMA DE ANTENAS VIA RÁDIO QUE INTERLIGAM A CAPTAÇÃO DO RIO ATÉ A FÁBRICA (TROCA DE ANTENA COM DEFEITO.
</t>
  </si>
  <si>
    <t>85188 (ADITIVO)</t>
  </si>
  <si>
    <t>4279802 - 4286503</t>
  </si>
  <si>
    <t>aberta nova RC, pois o comprador não aceitou pedido de aditivo</t>
  </si>
  <si>
    <t>FÊNIX</t>
  </si>
  <si>
    <t xml:space="preserve">SERVIÇO DE MANUTENÇÃO MOTOBOMBA BÚFFALO 13HP 
DIESEL 4 POLEGADAS.
</t>
  </si>
  <si>
    <t>125 - FÊNIX</t>
  </si>
  <si>
    <t>MASTER</t>
  </si>
  <si>
    <t>OBRA - ADEQUAÇÕES INICIAIS FRIGORÍFICO FACAS</t>
  </si>
  <si>
    <t>48 - MASTER</t>
  </si>
  <si>
    <t xml:space="preserve">OK </t>
  </si>
  <si>
    <t>TORNO - fabricação de engrenagem para estágio 01 da Finity.</t>
  </si>
  <si>
    <t>566 - PHDS 695,00</t>
  </si>
  <si>
    <t>O motivo do retirado é devido ao fato de que a engrenagem em questão estava com um elevado desgaste nos dentes e na furação referente ao eixo. Dessa forma, a engrenagem ficava frouxa no eixo do rolo, aumentando significativamente o desgaste. Além disso, acabava gerando paradas devido ao escape da corrente.</t>
  </si>
  <si>
    <t>TORNO - usinagem em rodas e eixo utilizados no elevador 2 pisos da área limpa da lavadora de monoblocos do abate.</t>
  </si>
  <si>
    <t>339 - PHDS 2.985,00</t>
  </si>
  <si>
    <t>O motivo do emergencial é devido ao fato de que o elevador em questão se encontrava travado, no qual tivemos que realizar toda a desmontagem das rodas, guias e eixo e confecção imediata de peças para que fosse possível reutilizar o elevador mais rápido possível.</t>
  </si>
  <si>
    <t>69 - 17/09/25</t>
  </si>
  <si>
    <t>cancelar, Thales enviou duplicadamente para abrir requisição, e já havia a rc 4298985</t>
  </si>
  <si>
    <t>GN9V</t>
  </si>
  <si>
    <t>LOCAÇÃO DE DETECTOR DE METAIS PARA A LINHA DA 
TERMOFORMADORA F200.
 orçamento é referente aos dias residuais de outubro em que o detector ficou locado em nossa unidade.</t>
  </si>
  <si>
    <t>6883 - GN9V - 1.500,00</t>
  </si>
  <si>
    <t>Referente aos dias residuais de outubro em que o detector ficou locado em nossa unidade.</t>
  </si>
  <si>
    <t>4260 - 17/07/25</t>
  </si>
  <si>
    <t xml:space="preserve">SUBSTITUIÇÃO DA PROTEÇÃO EM POLICARBONATO DO DETECTOR DE METAIS QUE ESTAVA LOCADO EM NOSSA UNIDADE.
OBS: PROTEÇÃO FOI DANIFICADA NO PERÍODO DE LOCAÇÃO
</t>
  </si>
  <si>
    <t>2344 - GN9V 1.755,00</t>
  </si>
  <si>
    <t>PROTEÇÃO FOI DANIFICADA NO PERÍODO DE LOCAÇÃO.</t>
  </si>
  <si>
    <t>CONSERTO DO MÓDULO DAS EMBUTIDEIRAS HANDTMANN</t>
  </si>
  <si>
    <t>080219 - ATIVA PRO 3.525,40</t>
  </si>
  <si>
    <t>339 - 08/12/25</t>
  </si>
  <si>
    <t>AKTUAL SERVICE LTDA</t>
  </si>
  <si>
    <t>MÃO DE OBRA TÉCNICA ESPECIALIZADA A DEVIDO AO DETECTOR DE METAIS DO TRITURADOR DE VÍSCERAS DA GALERIA TÉCNICA NÃO APRESENTAR LEITURA ADEQUADA INTERVINDO DIRETO NA QUALIDADE DO PRODUTO E CONSEQUENTEMENTE POSSÍVEL QUEBRA DO TRITURADOR</t>
  </si>
  <si>
    <t xml:space="preserve">181004182 - AKTUAL SERVICE </t>
  </si>
  <si>
    <t>Necessidade de mão de obra técnica especializada a devido ao detector de metais do triturador de vísceras da galeria técnica não apresentar leitura adequada intervindo direto na qualidade do produto e consequentemente possível quebra do triturador.</t>
  </si>
  <si>
    <r>
      <rPr>
        <sz val="9"/>
        <color rgb="FFFF0000"/>
        <rFont val="Calibri"/>
        <scheme val="minor"/>
      </rPr>
      <t>4281931 -</t>
    </r>
    <r>
      <rPr>
        <sz val="9"/>
        <color rgb="FF000000"/>
        <rFont val="Calibri"/>
        <scheme val="minor"/>
      </rPr>
      <t xml:space="preserve"> </t>
    </r>
    <r>
      <rPr>
        <sz val="9"/>
        <color rgb="FFFF0000"/>
        <rFont val="Calibri"/>
        <scheme val="minor"/>
      </rPr>
      <t>4282587 -</t>
    </r>
    <r>
      <rPr>
        <sz val="9"/>
        <color rgb="FF000000"/>
        <rFont val="Calibri"/>
        <scheme val="minor"/>
      </rPr>
      <t xml:space="preserve"> </t>
    </r>
    <r>
      <rPr>
        <sz val="9"/>
        <color rgb="FFFF0000"/>
        <rFont val="Calibri"/>
        <scheme val="minor"/>
      </rPr>
      <t>4283107 -</t>
    </r>
    <r>
      <rPr>
        <sz val="9"/>
        <color rgb="FF000000"/>
        <rFont val="Calibri"/>
        <scheme val="minor"/>
      </rPr>
      <t xml:space="preserve"> 4289582</t>
    </r>
  </si>
  <si>
    <t>CROWN LIFT TRUCKS DO BRASIL</t>
  </si>
  <si>
    <t xml:space="preserve">SERVIÇO DE CONSERTO E REFORMA DE TRÊS PALETEIRAS EM AÇO INOX DA MARCA BYG - SERVIÇO A SER EXECUTADO FORA DA UNIDADE </t>
  </si>
  <si>
    <t xml:space="preserve">61678 - CROWN LIFT </t>
  </si>
  <si>
    <t xml:space="preserve">TORNO - Concerto caixa de selagem da presuntaria  </t>
  </si>
  <si>
    <t>570 - PHDS USINAGEM</t>
  </si>
  <si>
    <t>Necessidade de reparo na caixa de selagem da multivac da presuntaria, a mesma apresentava avaria não atingindo o vácuo e gerando pera na produção </t>
  </si>
  <si>
    <t>serviço de usinagem</t>
  </si>
  <si>
    <t>SERVIÇO DE MANUTENÇÃO E REPARO NA SOFT STARTER SIEMENS MODELO CL-3RW4424-1BC44 SÉRIE 201208 TIPO 3RW.</t>
  </si>
  <si>
    <t xml:space="preserve">14833 - RGM </t>
  </si>
  <si>
    <t>7218 - 27/10/25</t>
  </si>
  <si>
    <t>VENZON</t>
  </si>
  <si>
    <t>AFIAÇÃO DISCO SERRA 440mm MP 5803530.003 MPS</t>
  </si>
  <si>
    <t>9 - VENZON 2.400,00</t>
  </si>
  <si>
    <t>8623 - 13/11/25</t>
  </si>
  <si>
    <t>STEMAC</t>
  </si>
  <si>
    <t xml:space="preserve">Manutenção no gerador de energia STEMAC , no qual necessita a troca da bateria que não é adequada hoje e substituição do óleo do motor revisão em geral. </t>
  </si>
  <si>
    <t>20816233 - STEMAC</t>
  </si>
  <si>
    <t xml:space="preserve">JUSTIFICATIVA DE 1 ORÇAMENTO: Necessidade de manutenção no gerador de energia, no qual necessita a troca da bateria que não é adequada hoje e substituição do óleo do motor que conforme orientação do técnico faz necessário devido ao acumulo de água que tivemos neste motor. </t>
  </si>
  <si>
    <t>186516 - 186517</t>
  </si>
  <si>
    <t>7.547,45 
4.304,59</t>
  </si>
  <si>
    <t>22/09/2025 - 10/11/2025</t>
  </si>
  <si>
    <t>CANCELAR SALDO RESÍDUA REFERENTE A IMPOSTO DE NF DE MATERIAL</t>
  </si>
  <si>
    <t>Serviço de manutenção do gerador do ADM, troca do tanque combustível, sensor de rotação e demais itens necessários da última manutenção.</t>
  </si>
  <si>
    <t>20815755 - STEMAC</t>
  </si>
  <si>
    <t>Somente um orçamento na qual fornecedor é fabricante do equipamento.</t>
  </si>
  <si>
    <t>4.820,09
8.454,30</t>
  </si>
  <si>
    <t>18/09/2025 - 10/11/2025</t>
  </si>
  <si>
    <t>C.O. MUELLER</t>
  </si>
  <si>
    <t>Conserto de bomba do tanque de reaproveitamento</t>
  </si>
  <si>
    <t>1517671 - C.O. MUELLER</t>
  </si>
  <si>
    <t>68991 - 04/11/25</t>
  </si>
  <si>
    <t>ATENAS BOMBAS</t>
  </si>
  <si>
    <t xml:space="preserve">conserto em bomba do tanque de água 70ºC para a salamaria. </t>
  </si>
  <si>
    <t>13091 - 11/11</t>
  </si>
  <si>
    <t>serviço com material e mão de obra para instalação do painel de transferência para comutação automática do gerador de energia ADM</t>
  </si>
  <si>
    <t>20816066 - STEMAC</t>
  </si>
  <si>
    <t>Somente um fornecedor onde o mesmo é fabricante do equipamento.</t>
  </si>
  <si>
    <t>Conserto para as válvulas de bloqueio de vapor do setor geração de vapor</t>
  </si>
  <si>
    <t xml:space="preserve"> 11467 - STEAM PRIME</t>
  </si>
  <si>
    <t>20039 - 11/11/25</t>
  </si>
  <si>
    <t>DUSPOR</t>
  </si>
  <si>
    <t>instalação de porta vai e vem no corredor de acesso das câmaras de resfriamento de carcaça. Uso 05. com material e mão de obra</t>
  </si>
  <si>
    <t xml:space="preserve"> 2890 - DUSPOR</t>
  </si>
  <si>
    <t>Somente uma empresa onde fornecedor possui know-how especifico com experiencia comprovada na área e domínio do processo, garantindo maior confiabilidade, segurança e qualidade.</t>
  </si>
  <si>
    <t>Francilei</t>
  </si>
  <si>
    <t>PROMAEK</t>
  </si>
  <si>
    <t>Inspeção das linhas de vida da unidade.</t>
  </si>
  <si>
    <t>SERVIÇO DE MANUTENÇÃO EM PLACA ELETRÔNICA DO CLIMATIZADOR DE AR.</t>
  </si>
  <si>
    <t>426 - VPS</t>
  </si>
  <si>
    <t>20039 - 11/11</t>
  </si>
  <si>
    <t>SERVIÇO DE MANUTENÇÃO EM BOMBA KSB MOD. ETA OPBA21300715 TAM. 80-40/3.</t>
  </si>
  <si>
    <t>1518200 - C.O. MUELLER</t>
  </si>
  <si>
    <t>TORNO - REALIZAR ADAPTAÇÃO DE BASE PARA SUBSTITUIÇÃO DO REDUTOR PRINCIPAL, MONTAGEM EM LOCO, ALINHAMENTO DA MESMA</t>
  </si>
  <si>
    <t>122 - USICASTRO</t>
  </si>
  <si>
    <t>O REDUTOR QUE ESTÁ NO MOMENTO NO EQUIPAMENTO APRESENTA RISCO DE QUEBRA CAPTADO EM ANÁLISE DE VIBRAÇÃO, IMPACTANDO DIRETAMENTE A PRODUÇÃO DE FARINHA, SERÁ NECESSÁRIO ADAPTAR A BASE DO REDUTOR ORIGINAL, A EMPRESA TAMBÉM FOI A ÚNICA QUE CONSEGUE ATENDER A PRAZO NECESSÁRIO DA EMPRESA</t>
  </si>
  <si>
    <t>3 ORÇ</t>
  </si>
  <si>
    <t>TORNO - confecção de tampas perfuradas para ralos sifonados em inox</t>
  </si>
  <si>
    <t>CONSERTO DO DRIVE NORDAC 511E</t>
  </si>
  <si>
    <t>080218 - ATIVA PRO 4.697,80</t>
  </si>
  <si>
    <t>327 - 24/11/25</t>
  </si>
  <si>
    <t>Tiago F.</t>
  </si>
  <si>
    <t>AWITE SISTEMAS DE ANALISE DE GASES LTDA</t>
  </si>
  <si>
    <t>ASSISTÊNCIA TÉCNICA MANUTENÇÃO E CALIBRAÇÃO DO MEDIDOR DE GASES DO BIODIGESTOR</t>
  </si>
  <si>
    <t>627/1606 - AWITE SISTEMAS DE ANALISE DE GASES</t>
  </si>
  <si>
    <t>Orçamento único devido ser a fabricante do aparelho</t>
  </si>
  <si>
    <r>
      <rPr>
        <sz val="9"/>
        <color rgb="FFFF0000"/>
        <rFont val="Calibri"/>
        <scheme val="minor"/>
      </rPr>
      <t xml:space="preserve">4285178 </t>
    </r>
    <r>
      <rPr>
        <sz val="9"/>
        <color rgb="FF000000"/>
        <rFont val="Calibri"/>
        <scheme val="minor"/>
      </rPr>
      <t>- 4295754</t>
    </r>
  </si>
  <si>
    <t>MULT-TEC ASSISTÊNCIA ESPECIALIZADA LTDA</t>
  </si>
  <si>
    <t>Serviço para a revisão do conjunto de blocos do vácuo da R145 da embalagem e curados</t>
  </si>
  <si>
    <t>250 - MULTTEC</t>
  </si>
  <si>
    <t>Requisição com apenas um orçamento em anexo pois é um serviço que requer uma mão de obra especializada e em contato com outros fornecedores seria o único disponível no momento.</t>
  </si>
  <si>
    <r>
      <rPr>
        <sz val="9"/>
        <color rgb="FFFF0000"/>
        <rFont val="Calibri"/>
        <scheme val="minor"/>
      </rPr>
      <t xml:space="preserve">4285255 - </t>
    </r>
    <r>
      <rPr>
        <sz val="9"/>
        <color rgb="FF000000"/>
        <rFont val="Calibri"/>
        <scheme val="minor"/>
      </rPr>
      <t>4285510</t>
    </r>
  </si>
  <si>
    <t>Locação de 1 Plataforma TESOURA DE 8M</t>
  </si>
  <si>
    <t>2224 - 25%
2488 - 25%
2283 - 25%
2437 - 25%</t>
  </si>
  <si>
    <t>0 - G P DA LUZ 4.600,00</t>
  </si>
  <si>
    <t>Foi enviado apenas um orçamento pois os outros 02 fornecedores que foi consultado não possuíam a disponibilidade de aluguel do equipamento correto para a realização dos serviços no período requerido pois existia conflito de datas de aluguel devido ao equipamento já estar reservado para outra empresa.</t>
  </si>
  <si>
    <r>
      <rPr>
        <sz val="9"/>
        <color rgb="FF000000"/>
        <rFont val="Calibri"/>
        <scheme val="minor"/>
      </rPr>
      <t xml:space="preserve">338
</t>
    </r>
    <r>
      <rPr>
        <sz val="9"/>
        <color rgb="FFFF0000"/>
        <rFont val="Calibri"/>
        <scheme val="minor"/>
      </rPr>
      <t>12</t>
    </r>
  </si>
  <si>
    <t>Alex</t>
  </si>
  <si>
    <t>TORNO - USINAGEM DE ENGRENAGEM FINITY ESTAGIO 4 TRIPARIA</t>
  </si>
  <si>
    <t>590 - PHDS 1.280,00</t>
  </si>
  <si>
    <t>Foi preciso pedir para empresa terceira a confecção da engrenagem dupla, onde a nossa manutenção interna não atende este tipo de serviço, com objetivo de entregar a máquina rodando na segunda feira dia 27/10.</t>
  </si>
  <si>
    <t>106 - 27/10/25</t>
  </si>
  <si>
    <t>TORNO - Usinagem em rodilhos de furacao de filme flowpack</t>
  </si>
  <si>
    <t>409 - VELOTANO 1.920,00</t>
  </si>
  <si>
    <t>3972 - 04/11/25</t>
  </si>
  <si>
    <t>TORNO - Usinagem em conjunto acionador da extratora de reto</t>
  </si>
  <si>
    <t>414 - VELOTANO 1.740,00</t>
  </si>
  <si>
    <t>4001 - 03/12/25</t>
  </si>
  <si>
    <t>7417557 - 14/11/25</t>
  </si>
  <si>
    <t>tapeçaria pérola</t>
  </si>
  <si>
    <t>Conserto de cadeiras de escritório .</t>
  </si>
  <si>
    <t>5345 16% 2348 40% 2283 16% 2291 8% 4057 8% 4472 4% 2208 8%</t>
  </si>
  <si>
    <t>0-tapeçaria pérola 2.010</t>
  </si>
  <si>
    <t>246 - 04/12/25</t>
  </si>
  <si>
    <t>Calibrabem LTDA-ME</t>
  </si>
  <si>
    <t>Calibração de equipamentos ambulatórias</t>
  </si>
  <si>
    <t>1087678 - 0</t>
  </si>
  <si>
    <t>5602 - 07/11/25</t>
  </si>
  <si>
    <t>ATIVA PRO SERVICE LTD</t>
  </si>
  <si>
    <t>SERVIÇO DE TERCEIRO COM MÃO DE OBRA E MATERIAL PARA CONSERTO EM PLACA ELETRONICA.</t>
  </si>
  <si>
    <t xml:space="preserve">6. NF - PENDENTE </t>
  </si>
  <si>
    <t xml:space="preserve">FRANCIS </t>
  </si>
  <si>
    <t>SERVIÇO DE TERCEIRO COM MÃO DE OBRA E MATERIAL PARA CONSERTO EM IHM HANDTMANN</t>
  </si>
  <si>
    <t xml:space="preserve"> 328 - 24/11/25</t>
  </si>
  <si>
    <t>SERVIÇO DE TERCEIRO COM MÃO DE OBRA E MATERIAL PARA CONSERTO EM IHM ALLEN BRADLEY PANEL PLUS 400</t>
  </si>
  <si>
    <t>SERVIÇO DE TERCEIRO COM MÃO DE OBRA E MATERIAL PARA CONSERTO EM INVERSOR DE FREQUENCIA MITSUBISHI</t>
  </si>
  <si>
    <t>O material foi utilizado na execução do serviço, pois, ao ser testado, apresentou defeito.</t>
  </si>
  <si>
    <t xml:space="preserve">VELOTANO </t>
  </si>
  <si>
    <t>TORNO - Serviço para mão de obra usinagem em trava da caixa de selagem.</t>
  </si>
  <si>
    <t>3964 - 31/10/25</t>
  </si>
  <si>
    <t>AFIAÇÃO LÂMINA DE CORTE V-CUT MARE</t>
  </si>
  <si>
    <t>8624 - 11/11/25</t>
  </si>
  <si>
    <t xml:space="preserve">phds usinagem </t>
  </si>
  <si>
    <t>Torno - USINAR PARAFUSO DESCOREADEIRA DO CARRÉ</t>
  </si>
  <si>
    <t>Justificativa: Durante uma inspeção preventiva realizada na máquina, foi identificada uma folga excessiva no parafuso do conjunto responsável pela tração do rolo principal da descoreadeira. Essa folga comprometia a eficiência do equipamento, resultando em desperdícios, pois permaneciam pedaços de pele após a primeira passada, exigindo a repetição do processo. Essa repetição ocasionava a remoção excessiva de gordura do carré, ampliando as perdas de matéria-prima. Considerando que o equipamento foi desmontado no sábado e precisava estar em operação na segunda-feira pela manhã, foi necessário realizar a usinagem do componente em caráter de urgência.</t>
  </si>
  <si>
    <t>TORNO - Serviço de mão de obra e material para realizar usinagem em peças guias das nóreas de entrada das câmaras de resfriamento de carcaça.</t>
  </si>
  <si>
    <t>3986 - 26/11/25
4005 - 05/12/25</t>
  </si>
  <si>
    <t>Torno - Serviço de mão de obra para realizar usinagem em acoplamento utilizado na F200</t>
  </si>
  <si>
    <t>O motivo do emergencial é devido ao fato de que o acoplamento do acelerador de vácuo utilizado na Multivac F200 na embalagem secundária acabou quebrando. Dessa forma, tornou-se necessário o envio imediato para para retomar a velocidade de ciclos na máquina.</t>
  </si>
  <si>
    <t xml:space="preserve">THDS </t>
  </si>
  <si>
    <t>TORNO - CONSERTO DE PORTÃO DA MOEGA  DE RECEBIMNETO DE RESÍDUOS ( SEGURANÇA DE TERECIROS QUE FAZEM O DESCARREGAMENTO DE RESÍDUOS DA INDUSTRIA)</t>
  </si>
  <si>
    <t>Tiago</t>
  </si>
  <si>
    <t>STIFF REGRIGERAÇÃO</t>
  </si>
  <si>
    <t xml:space="preserve">SERVIÇO DE SUBSTITUIÇÃO DOS BLOCOS SERPENTINAS DO ABSORVEDOR.
</t>
  </si>
  <si>
    <t>SOMENTE DOIS ORÇAMENTOS ONDE EMPRESAS TEM A MÃO DE OBRA QUALIFICADA PARA O ATENDIMENTO DA DEMANDA SOLICITADA DA PARTE DE REFRIGERAÇÃO.</t>
  </si>
  <si>
    <t>GATO AR CONDICIONADO LTDA</t>
  </si>
  <si>
    <t>SERVIÇO DE MANUTENÇÃO NO COMPRESSOR DE UNIDADE CONDENSADORA 36.000 BTUs.</t>
  </si>
  <si>
    <t>AVF</t>
  </si>
  <si>
    <t xml:space="preserve">TORNO- MÃO DE OBRA SENDO: 
Usinagem emergencial no bloco válvulas da Multivac R145
Referente a NF 39890
</t>
  </si>
  <si>
    <t xml:space="preserve">Justificativa: Máquina com problemas de atingimento mínimo vácuo devido aos parafusos de fixação entre os blocos de válvulas estarem espanados. Este serviço emergencial precisou ser feito no domingo com retorno no mesmo dia devido a produção de segunda à sábado em dois turnos no setor. </t>
  </si>
  <si>
    <t>ORDEM REFERENTE À MÃO DE OBRA DE SERVIÇO DE CIVIL PARA REALIZAÇÃO DE REPARO EM 100M² DE PISO EM URETANO, REPARO EM 30 PONTOS EM RODAPÉ EM URETANO.</t>
  </si>
  <si>
    <t>NECESSIDADE DE REALIZAÇÃO SE SERVIÇOS DE REPARO EM PISO PAR TRABALHO EM FINAL DE SEMANA COM URGÊNCIA REFERENTE A NECESSIDADE DE ATENDER SOLICITAÇÕES DE QUALIDADE, PRAZOS DE AUTO CONTROLE E PRAZOS DO SIF</t>
  </si>
  <si>
    <t xml:space="preserve">MANUTENÇÃO MANUTENCAO EM BOMBA 8.180,00
SUBMERSIVEL BCS-205 3 CV TRIFASICA 380V.
</t>
  </si>
  <si>
    <t>13099 - 11/11/25</t>
  </si>
  <si>
    <t>SOS SERVICE</t>
  </si>
  <si>
    <t>Descrição: Contratação de serviço de empresa de instalações elétricas manutenção corretiva de pendências geradas da manutenção preventiva “Cabines elétricas de MT/BT” de 2023
Anexos: Descritivo técnico 00009 Revisão Pendências 2023.pdf</t>
  </si>
  <si>
    <t>12073 - SOS SERVICE
547 - C &amp; E SERVICE
18603 - SERCAMP</t>
  </si>
  <si>
    <t xml:space="preserve">Cancelado saldo a pedido do Eder </t>
  </si>
  <si>
    <t>TORNO- Serviço de mão de obra e material para realizar fabricação de conjuntos viradores da x-ham.</t>
  </si>
  <si>
    <t xml:space="preserve">O motivo da urgência é devido ao fato de que as algemas utilizadas na nórea aérea de pernil não estão virando corretamente devido ao elevado desgaste dos viradores, ocasionando a trava e desarme de todo o sistema. Consequentemente, gerando parada de máquina recorrente. </t>
  </si>
  <si>
    <t>velotano</t>
  </si>
  <si>
    <t>TORNO - Serviço de mão de obra e material para realizar a usinagem em eixo utilizado no moedor linha Velati.</t>
  </si>
  <si>
    <t>3983 - 12/12/25</t>
  </si>
  <si>
    <t>badan</t>
  </si>
  <si>
    <t>Conserto de transformador de selagem VC999 setor: embalagem- seg-industrial</t>
  </si>
  <si>
    <t>1452 - 19/11/25</t>
  </si>
  <si>
    <t>TORNO-Usinagem- Recuperação molde em alumínio aeronáutico para solda com uma face teflonada.</t>
  </si>
  <si>
    <t>2043 - 11/12/25</t>
  </si>
  <si>
    <t>.</t>
  </si>
  <si>
    <t>TORNO -Usinagem suporte placa de selagem corte reto F200</t>
  </si>
  <si>
    <t>1. RC - AGUARDANDO RETORNO DO SOLICITANTE</t>
  </si>
  <si>
    <t>Serviço de mão de obra e material para realizar o balanceamento em rotor de ventilador utilizado no túnel de congelamento GEA.</t>
  </si>
  <si>
    <t>O motivo do emergencial é devido ao fato de que o túnel está operando sem um ventilador. A falta desse pode auxiliar na perda total da temperatura do ambiente, gerando não conformidade e perda de produto.</t>
  </si>
  <si>
    <t xml:space="preserve">F&amp;F MANUTENÇÃO </t>
  </si>
  <si>
    <t xml:space="preserve">MANUTENÇÃO E RECUPERAÇÃO DE VÁLVULAS DE SEGURANÇA DESMONTAGEM, JATEAMENTO, LAPIDAÇÃO, CALIBRAÇÃO, TROCA DE PARAFUSOS 
E PEÇAS.
CERTIFICADOS E ART INCLUSOS.
</t>
  </si>
  <si>
    <t>603 - 18/11/2025</t>
  </si>
  <si>
    <t>USINOX</t>
  </si>
  <si>
    <t xml:space="preserve">Serviço de assistência técnica para acompanhamento e manutenção das embaladoras usinox </t>
  </si>
  <si>
    <t>3458 - USINOX</t>
  </si>
  <si>
    <t>fabricante do equipamento.</t>
  </si>
  <si>
    <t>MACROMAQ</t>
  </si>
  <si>
    <t>SERVIÇO DE MANUTENÇÃO NO CONJUNTO DE FREIO DA TRANSPALETEIRA YALE LIFT TRUCK MODEL MPE060LFN24T2748.</t>
  </si>
  <si>
    <t>233758 - MACROMAQ</t>
  </si>
  <si>
    <t xml:space="preserve"> Transpaleteira do setor de Controle de Materiais está com o sistema de freio danificado, impossibilitando o uso seguro do equipamento. Não possuímos o conjunto de freio para substituição. Conforme informado pelo encarregado, a ausência da transpaleteira tem impactado a agilidade na movimentação de cargas do setor, sendo necessária a priorização do conserto para restabelecimento imediato do equipamento e continuidade das operações. </t>
  </si>
  <si>
    <t>4294337 - 4297520</t>
  </si>
  <si>
    <t>RC EXPIRADA POR FALTA DE AJUSTE</t>
  </si>
  <si>
    <t>CROWN</t>
  </si>
  <si>
    <t>referente ao conserto emergêncial da transpaleteira still da embalagem secundária, que estava parada.</t>
  </si>
  <si>
    <t>NSM</t>
  </si>
  <si>
    <t>Serviço de mão de obra para realizar a substituição de peças do gerador 03 para o gerador 04.</t>
  </si>
  <si>
    <t xml:space="preserve">O serviço foi registrado como retirado, tendo em vista que o equipamento se encontrava inoperante, comprometendo o processo de geração de energia devido à indisponibilidade do gerador. Diante da urgência, não houve tempo hábil para seguir o procedimento padrão de requisição. </t>
  </si>
  <si>
    <t>RGM MANUTENÇÃO</t>
  </si>
  <si>
    <t xml:space="preserve">CONSERTO DE INVERSOR SIEMENS SINAMICS POWER MODULE 230 MOD. 6SL3210-1NE26-0AL0.
Reparo/Preventiva:
 - Desmontagem por completo;
- Limpeza de todas as partes e peças;
 - Secagem em ambiente controlado;
 - Substituição dos ventiladores;
- Recuperação dos bornes de saída;
 - Substituição do composto de transferência térmica.
 - Montagem de acordo com normas de cada fabricante.
</t>
  </si>
  <si>
    <r>
      <rPr>
        <sz val="9"/>
        <color rgb="FFFF0000"/>
        <rFont val="Calibri"/>
        <scheme val="minor"/>
      </rPr>
      <t xml:space="preserve">2452
</t>
    </r>
    <r>
      <rPr>
        <sz val="9"/>
        <color rgb="FF000000"/>
        <rFont val="Calibri"/>
        <scheme val="minor"/>
      </rPr>
      <t>2473</t>
    </r>
  </si>
  <si>
    <t>7435 - 12/12/25</t>
  </si>
  <si>
    <t>multtec</t>
  </si>
  <si>
    <t xml:space="preserve">Visita técnica para manutenção e acompanhamento nos equipamentos </t>
  </si>
  <si>
    <t>252 - MULTTEC</t>
  </si>
  <si>
    <t xml:space="preserve">Serviço de mão de obra para assistência técnica referente a F200 e R145 onde as mesmas estava apresentando problemas na formação, selagem e sistema de vácuo impactando diretamente na produção e gerando um grande número de reprocesso </t>
  </si>
  <si>
    <t>GP DA LUZ</t>
  </si>
  <si>
    <t xml:space="preserve">2488 – 50%
2313 – 50%
</t>
  </si>
  <si>
    <t xml:space="preserve">Justificativa: Foi necessária a locação de uma plataforma para realizar a adequação da iluminação no setor, que se encontrava fora dos padrões mínimos de luminosidade estabelecidos pela norma interna da Aurora. A plataforma foi utilizada especificamente na entrada e saída das câmeras de equalização — área de difícil acesso à parte inferior do forro, devido ao espaço reduzido e à presença das estruturas de fixação da noréia e da própria noréia.
Em razão dessas restrições, o equipamento disponível internamente não conseguia alcançar o local, tornando indispensável a locação de uma plataforma compatível com o espaço. Foi possível apresentar apenas um orçamento, pois, no momento da solicitação via WhatsApp, apenas uma empresa possuía disponibilidade de entrega do equipamento dentro do prazo necessário para execução do serviço.
</t>
  </si>
  <si>
    <r>
      <rPr>
        <sz val="9"/>
        <color rgb="FFFF0000"/>
        <rFont val="Calibri"/>
        <scheme val="minor"/>
      </rPr>
      <t xml:space="preserve">4297853
</t>
    </r>
    <r>
      <rPr>
        <sz val="9"/>
        <color rgb="FF000000"/>
        <rFont val="Calibri"/>
        <scheme val="minor"/>
      </rPr>
      <t xml:space="preserve">4299287
</t>
    </r>
  </si>
  <si>
    <t>EXPIRADA</t>
  </si>
  <si>
    <t>Serviço de mão de obra para substituição do rolamento da parte de traz do tumbler.</t>
  </si>
  <si>
    <t>Apenas um orçamento pois se trata do representante da marca no Brasil.</t>
  </si>
  <si>
    <t>MULT-TEC</t>
  </si>
  <si>
    <t>Serviço de reforma da termoformadora multivac F200</t>
  </si>
  <si>
    <t>2 ORÇ</t>
  </si>
  <si>
    <t>Requisição com apenas dois orçamentos pois só tem duas empresas que fornecem esse tipo de serviço.</t>
  </si>
  <si>
    <t>TORNO - usinagem em guia utilizada na Poly-clip</t>
  </si>
  <si>
    <r>
      <rPr>
        <sz val="9"/>
        <color rgb="FFFF0000"/>
        <rFont val="Calibri"/>
        <scheme val="minor"/>
      </rPr>
      <t xml:space="preserve">376
405
</t>
    </r>
    <r>
      <rPr>
        <sz val="9"/>
        <color rgb="FF000000"/>
        <rFont val="Calibri"/>
        <scheme val="minor"/>
      </rPr>
      <t>436</t>
    </r>
  </si>
  <si>
    <t>136 - 19/11/25</t>
  </si>
  <si>
    <t>TORNO -  usinagem em eixo, chapas e suporte da dosadora de paletas no mezanino.</t>
  </si>
  <si>
    <t>O motivo do emergencial é devido ao elevado desgaste apresentado no sistema, gerando travamentos e interrupção do processo produtivo</t>
  </si>
  <si>
    <r>
      <rPr>
        <sz val="9"/>
        <color rgb="FFFF0000"/>
        <rFont val="Calibri"/>
        <scheme val="minor"/>
      </rPr>
      <t xml:space="preserve">378
</t>
    </r>
    <r>
      <rPr>
        <sz val="9"/>
        <color rgb="FF000000"/>
        <rFont val="Calibri"/>
        <scheme val="minor"/>
      </rPr>
      <t>429</t>
    </r>
  </si>
  <si>
    <t xml:space="preserve">
O motivo do emergencial é devido ao fato de que o elevador em questão se encontrava travado, no qual tivemos que realizar toda a desmontagem das rodas, guias e eixo e confecção imediata de peças para que fosse possível reutilizar o elevador mais rápido possível
</t>
  </si>
  <si>
    <t>TORNO - fabricação de eixos e buchas para utilização no dosador de saída da câmara 04.</t>
  </si>
  <si>
    <t>O motivo do emergencial com único orçamento é devido ao fato de que o sistema dosador estava travando, acarretando na dosagem incorreta e travamento da saída das câmaras com a nórea principal</t>
  </si>
  <si>
    <t>TORNO -  usinagem em rolo e engrenagem da triparia</t>
  </si>
  <si>
    <t>O motivo do emergencial com um único orçamento é devido ao fato de que o rolo estava apresentando um desgaste em relação a engrenagem. Mediante ao problema enfrentado, a corrente acaba escapando do sistema, podendo ocasionar parada de máquina.</t>
  </si>
  <si>
    <t>TORNO - usinagem em placa utilizada na v-cut.</t>
  </si>
  <si>
    <t>O motivo do emergencial é devido ao fato de que a placa utilizada estava com furos e abaulada, gerando travamentos do equipamento durante o processo. Foi necessário usinagem em outra placa, para que no dia seguinte não viesse a parar por definitivo o processo</t>
  </si>
  <si>
    <t>TORNO -  usinagem em cilindro hidráulico da injetora da presuntaria</t>
  </si>
  <si>
    <t>4008 - 10/12/25</t>
  </si>
  <si>
    <t>SERVIÇO DE USINAGEM EM EIXOS DO REDUTOR DA PRENSA EXPELLER</t>
  </si>
  <si>
    <t>3989 - 26/11/25</t>
  </si>
  <si>
    <t>Serviço para mão de obra para conserto em 2 bases do motorredutor da misturadeira montemil.</t>
  </si>
  <si>
    <t>Justificativa: Em um dos chamados da produção foi identificado que a base que segura o motoredutor, responsável pelo funcionamento do moedor estava torta, impossibilitando a regulagem da correia para estica-la, a correia estava pulando os dentes da engrenagem e ocasionando desgaste, correndo risco de parada eminente.</t>
  </si>
  <si>
    <t>MARRARI AUTOMAÇÃO INDL. LTDA</t>
  </si>
  <si>
    <t>CONSERTO E CALIBRAÇÃO DO BALDE M75 MARRARI MEDIDOR DE UMIDADE DE CAVACO</t>
  </si>
  <si>
    <r>
      <rPr>
        <sz val="9"/>
        <color rgb="FFFF0000"/>
        <rFont val="Calibri"/>
        <scheme val="minor"/>
      </rPr>
      <t xml:space="preserve">4852
</t>
    </r>
    <r>
      <rPr>
        <sz val="9"/>
        <color rgb="FF000000"/>
        <rFont val="Calibri"/>
        <scheme val="minor"/>
      </rPr>
      <t>4879</t>
    </r>
  </si>
  <si>
    <t>35040 - 24/11/25</t>
  </si>
  <si>
    <t>USIMEC</t>
  </si>
  <si>
    <t xml:space="preserve"> SERVIÇO DE MÃO DE OBRA PARA REVISÃO DO EXAUSTOR DO CHAMUSCADOR</t>
  </si>
  <si>
    <t>4854 - 04/12/25</t>
  </si>
  <si>
    <t>HANNA INSTRUMENTS BRASIL IMP. E EXP.LTD</t>
  </si>
  <si>
    <t>SERVIÇO DE CALIBRAÇÃO DE UM FOTOMETRO MEDIDOR DE CLORO LIVRE E TOTAL GAMA ALTA, MOD.HI97734C, FABRICANTE HANNA</t>
  </si>
  <si>
    <t>TORNO - Serviço de usinagem em suporte de Celeron para resistência da seladora</t>
  </si>
  <si>
    <t>3993 - 27/12/25</t>
  </si>
  <si>
    <t>TORNO -  fabricação de engrenagem para estágio 01 da Finity</t>
  </si>
  <si>
    <t xml:space="preserve">O motivo do retirado é devido ao fato de que a engrenagem em questão estava com um elevado desgaste nos dentes e na furação referente ao eixo. Dessa forma, a engrenagem ficava frouxa no eixo do rolo, aumentando significativamente o desgaste. Além disso, acabava gerando paradas devido ao escape da corrente. </t>
  </si>
  <si>
    <t xml:space="preserve">TORNO - usinagem em eixo para caixa redutora da fatiadora textor </t>
  </si>
  <si>
    <t>3991 - 26/11/25</t>
  </si>
  <si>
    <t>TORNO -  USINAGEM EM KIT ENGRENAGEM SKINNER</t>
  </si>
  <si>
    <t>TORNO -  usinagem em guias e levantadores da x-ham.</t>
  </si>
  <si>
    <t>3988 - 26/11/25</t>
  </si>
  <si>
    <t>TORNO - conserto em sistema com polia do desbobinador de tripas</t>
  </si>
  <si>
    <t>3999 - 03/12/25</t>
  </si>
  <si>
    <t>REPARO EM 100M² DE PISO EM URETANO REPARO EM 30 PONTOS EM RODAPÉ EM URETANO.</t>
  </si>
  <si>
    <t xml:space="preserve">2488 25% 4588 25%
5345 25% 2283 25%
</t>
  </si>
  <si>
    <t xml:space="preserve">Necessidade de serviço de reparo em piso mediante a atender auto controle e atividades em a manutenção dos mesmos.
</t>
  </si>
  <si>
    <r>
      <rPr>
        <sz val="9"/>
        <color rgb="FFFF0000"/>
        <rFont val="Calibri"/>
        <scheme val="minor"/>
      </rPr>
      <t xml:space="preserve">2065
</t>
    </r>
    <r>
      <rPr>
        <sz val="9"/>
        <color rgb="FF000000"/>
        <rFont val="Calibri"/>
        <scheme val="minor"/>
      </rPr>
      <t xml:space="preserve">2066
</t>
    </r>
  </si>
  <si>
    <t>PMP LAMINAS</t>
  </si>
  <si>
    <t>SERVIÇO DE CONSERTO DE MÁQUINA SKINNER MAREL.</t>
  </si>
  <si>
    <t>7373 - PMP LAMINAS</t>
  </si>
  <si>
    <t xml:space="preserve">sim </t>
  </si>
  <si>
    <t xml:space="preserve">francis simples nacional </t>
  </si>
  <si>
    <t>PESO EXATO</t>
  </si>
  <si>
    <t>SERVIÇO DE CALIBRAÇÃO E INSPEÇÃO EM BALANÇA RODOVIÁRIA</t>
  </si>
  <si>
    <t>Devido a urgência de atendimento da calibração e inspeção da balança, o fornecedor do serviço em questão disponibilizou-se para atendimento com urgência. Por trata-se de um equipamento fundamental para a operação da empresa, faz-se necessária a urgência do atendimento. </t>
  </si>
  <si>
    <t>Solicitado cancelamento do saldo residual pelo José.</t>
  </si>
  <si>
    <t>SERVIÇO DE ASSISTÊNCIA TÉCNICA PARA   MANUTENÇÃO PREVENTIVA PARA 3 X EQUIPAMENTOS F200, 1 X EQUIPAMENTO R535, 2 X EQUIPAMENTOS R145, 12 VISITAS A SEREM REALIZADAS NO PERÍODO DE 12 MESES, INCLUINDO 1 X TÉCNICO ESPECIALISTA, TODAS AS DESPESAS DE VIAGEM, HORAS DE TRABALHO E IMPOSTOS.</t>
  </si>
  <si>
    <t>Peso Exato LTDA</t>
  </si>
  <si>
    <t>Justificativa de orçamento único e urgência: Devido a urgência de atendimento da calibração e inspeção da balança, o fornecedor do serviço em questão disponibilizou-se para atendimento com urgência. Por trata-se de um equipamento fundamental para a operação da empresa, faz-se necessária a urgência do atendimento. </t>
  </si>
  <si>
    <t xml:space="preserve"> REQUISIÇÃO CANCELADA DEVIDO A DIGITAÇÃO EM DUPLICIDADE</t>
  </si>
  <si>
    <t>TORNO -  USINAGEM EM CONJUNTO ACIONADOR DA FACA DA PISTOLA DO RETO.</t>
  </si>
  <si>
    <t>TORNO -  USINAGEM EM BUCHA DO EIXO DO MOEDOR FRESCAL</t>
  </si>
  <si>
    <t>SERVIÇO USINAGEM EM BUCHA DO EIXO DO MOEDOR FRESCAL.</t>
  </si>
  <si>
    <t xml:space="preserve">2488 25% 5345 25%
4588 25% 2291 25%
</t>
  </si>
  <si>
    <t>NECESSIDADE DE SERVIÇO DE SUBSTITUIÇÃO DE TUBULAÇÕES COM VAZAMENTO NO FORRO DA INDUSTRIA DEVIDO A CORROSÃO DE VÁRIOS PONTOS.</t>
  </si>
  <si>
    <t xml:space="preserve">SERVIÇO DE CONSERTO EM BOMBA INJETORA DE DIESEL. </t>
  </si>
  <si>
    <t>ISOPARANÁ</t>
  </si>
  <si>
    <t>ÙNICO FORNECEDOR DISPONÍVEL NA REGIÃO QUE TEM CONHECIMENTO MANUSEIO E SERVIÇOS DE ISOPAINEL HOMOLOGADO PELA MANUTENÇÃO, PARA REALIZAÇÃO DE SERVIÇOS DENTRO DA UNIDADE COM CONHECIMENTO DA PLANTA ATENTENDO AS NECESSIDADES REAIS DO PROCESSO.</t>
  </si>
  <si>
    <t>TORNO - USINAGEM EM POLIA DE ALUMINIO DA NÓRIA DE MÍUDOS</t>
  </si>
  <si>
    <t xml:space="preserve">Durante manutenção na Nória de miúdos, foi verificado a necessidade de realizar o preenchimento e usinagem do encaixe de eixo da polia. Item essencial para o funcionamento do equipamento, sem a realização do reparo no item, estaríamos sujeitos a quebra da polia e consequentemente a parada do equipamento, influenciando na produção.
</t>
  </si>
  <si>
    <t>DE PAULA</t>
  </si>
  <si>
    <t>NECESSIDADE DE CONTRATAÇÃO URGENTE DE MÃO OBRA REFERENTE AS PINTURAS DEVIDO A MISSÃO MALÁSIA.</t>
  </si>
  <si>
    <t>ATLAS COPCO</t>
  </si>
  <si>
    <t xml:space="preserve">SERVIÇO DE MANUTENÇÃO E REPROGRAMAÇÃO DO SISTEMA OPERACIONAL DO COMPRESSOR DE AR ATLAS COPCO. </t>
  </si>
  <si>
    <t xml:space="preserve">Solicitação de serviço emergencial devido o compressor de ar Atlas Copco ter apresentado falha no sistema operacional, impossibilitando a operação do equipamento. Foi solicitada assistência técnica especializada da Atlas Copco, fabricante do equipamento.
</t>
  </si>
  <si>
    <t xml:space="preserve">TORNO - Serviço de torno para reparo nas bases de apoio da caixa de formação da R145  </t>
  </si>
  <si>
    <t>VELOTANO  - 423</t>
  </si>
  <si>
    <t>4011 - 12/12/25</t>
  </si>
  <si>
    <t>QUIMIS</t>
  </si>
  <si>
    <t>SERVIÇO DE MANUTENÇÃO EM EQUIPAMENTO BANHO MARIA MICROPROCESSADO MOD.Q215M2</t>
  </si>
  <si>
    <t>QUIMIS - 9526</t>
  </si>
  <si>
    <t xml:space="preserve"> O conserto urgente do equipamento BANHO MARIA MICROPROCESSADO MOD.Q215M2 é necessário, pois ele é essencial para a realização de análises e ensaios que dependem de controle preciso de temperatura. A indisponibilidade do equipamento interrompe procedimentos críticos, podendo comprometer resultados, atrasar processos laboratoriais e impactar diretamente a rotina operacional. Portanto, o reparo imediato é fundamental para garantir a continuidade das atividades e manter a confiabilidade das análises.</t>
  </si>
  <si>
    <t>nota fiscal enviada no email errado, recebemos apenas em 07/01</t>
  </si>
  <si>
    <t>SERVIÇO DE CONSERTO INVERSOR SIEMENS SINAMICS CL-6SL3210-1PE27-5UL0</t>
  </si>
  <si>
    <t>RGM - 15265</t>
  </si>
  <si>
    <t xml:space="preserve">SERVIÇO DE CONSERTO IHM SIEMENS CL-7KM4212-0BA00-3AA0. </t>
  </si>
  <si>
    <t>RGM - 15267</t>
  </si>
  <si>
    <t>INDUSTRIAS MARQUES DA COSTA LTDA</t>
  </si>
  <si>
    <t xml:space="preserve">SERVIÇO DE CONSERTO MÁQUINA DE LIMPEZA DE TUBOS MC2000. </t>
  </si>
  <si>
    <t xml:space="preserve"> INDUSTRIAS MARQUES DA COSTA LTDA - 35663</t>
  </si>
  <si>
    <t>32322 - 02/12/25</t>
  </si>
  <si>
    <t>ARTEFATOS DE BORRACHA PCR LTDA - 126664</t>
  </si>
  <si>
    <t>MATERIAL PARA CONSERTO DO DETECTOR DE METAIS UTILIZADO PELO TÉCNICO DA PRESTADORA, DURANTE SERVIÇO DE CONSERTO</t>
  </si>
  <si>
    <t>180011490 - AKTUAL SERVICE LTDA 5.094,38</t>
  </si>
  <si>
    <t>Foi realizado a compra urgente de serviço de técnico com mão de obra especializada, para realizar conserto do detector de metais da Galeria Técnica, equipamento de grande importância, devido a detecção de contaminantes metálicos garantindo a segurança e qualidade do produto, e também a segurança dos equipamentos. Durante o conserto, foi necessário a utilização de algumas peças trazidas pelo técnico, devido serem peças especificas do equipamento e não termos em estoque. </t>
  </si>
  <si>
    <r>
      <rPr>
        <sz val="9"/>
        <color rgb="FFFF0000"/>
        <rFont val="Calibri"/>
        <scheme val="minor"/>
      </rPr>
      <t xml:space="preserve">4304349
</t>
    </r>
    <r>
      <rPr>
        <sz val="9"/>
        <color rgb="FF000000"/>
        <rFont val="Calibri"/>
        <scheme val="minor"/>
      </rPr>
      <t>4317377</t>
    </r>
  </si>
  <si>
    <r>
      <rPr>
        <sz val="9"/>
        <color rgb="FFFF0000"/>
        <rFont val="Calibri"/>
        <scheme val="minor"/>
      </rPr>
      <t xml:space="preserve">18/11/2025
</t>
    </r>
    <r>
      <rPr>
        <sz val="9"/>
        <color rgb="FF000000"/>
        <rFont val="Calibri"/>
        <scheme val="minor"/>
      </rPr>
      <t>01/12</t>
    </r>
  </si>
  <si>
    <t>THOMAZ &amp; BARONI
METALURGICA AGRIINOX
METALÚRGICA EDINOX</t>
  </si>
  <si>
    <t>Serviço Recuperação Estrutural da Niveladora Doca Condimentaria 01</t>
  </si>
  <si>
    <t>3 orç</t>
  </si>
  <si>
    <t>4305012
4313038</t>
  </si>
  <si>
    <t>Cancelamento solicitado pelo Marcos.</t>
  </si>
  <si>
    <t>CONSERTO EM SOFTSTARTER CASA DE BOMBAS MODELO 3RW4424-1BC44 MARCA SIEMENS.</t>
  </si>
  <si>
    <t>7135 - 07/10/25
7376 - 24/11/25</t>
  </si>
  <si>
    <t xml:space="preserve">TORNO - usinagem em placa de selagem </t>
  </si>
  <si>
    <t>434 - VEOTANO 2.680,00</t>
  </si>
  <si>
    <t>4032 - 06/01/26</t>
  </si>
  <si>
    <t>EDINOX</t>
  </si>
  <si>
    <t>ADEQUAÇÃO DE SEGURANÇA NOS DRIVEIN CONDIMENTARIA</t>
  </si>
  <si>
    <t xml:space="preserve">RATEIO:
50% - ABATE 2488
50% - ESPOSTEJAMENTO 2224
</t>
  </si>
  <si>
    <t>8. NF INCLUSA NA 198</t>
  </si>
  <si>
    <t>WEBER</t>
  </si>
  <si>
    <t>assistência técnica no equipamento Textor.</t>
  </si>
  <si>
    <t>3025100905 - WEBER 14.816,90</t>
  </si>
  <si>
    <t>foi realizado um levantamento e compra das peças que necessitavam realizar substituição, apos chegada das mesmas, solicitamos o atendimento do técnico para realizar a troca devido a complexidade e parametrização dos componentes. serviço prestado final de 2024 pelo Leonardo Gava, onde tanto o encarregado quanto o fornecedor esqueceram de dar andamento para pagamento do serviço.</t>
  </si>
  <si>
    <t xml:space="preserve">soldas sanitárias em estruturas de
Equipamentos do setor de embalagem primária indústria_x000D_ e industrializados, Setor de embut-cozidos e Setor de presumtaria. 
</t>
  </si>
  <si>
    <t>5345 – 20% 
2283 – 40%
2291 – 40%</t>
  </si>
  <si>
    <t>94624 - BALENA 16.000,00
275 - EDINOX 15.000,00
271 - THOMAZ &amp; BARONI 10.600,00</t>
  </si>
  <si>
    <t>Serviço deve ser executado com urgência, pois tem risco de contaminação dos produtos por meio de soldas mau acabadas e equipamentos danificados, assim podendo soltar resíduos no produto, alguns pontos com corrosão e tricas.</t>
  </si>
  <si>
    <t>TORNO - fabricação, envolvendo usinagem, de eixo para motoredutor e engrenagem.</t>
  </si>
  <si>
    <t>700 - PHDS 1.850,00</t>
  </si>
  <si>
    <t>Encaminhado com um único orçamento e como retirado/emergencial mediante ao fato de que o serviço foi executado e entregue. O atraso no envio da proposta é mediante ao fato do esquecimento na abertura por colaborador que hoje não integra mais o corpo técnico da manutenção.</t>
  </si>
  <si>
    <r>
      <rPr>
        <sz val="9"/>
        <color rgb="FFFF0000"/>
        <rFont val="Calibri"/>
        <scheme val="minor"/>
      </rPr>
      <t xml:space="preserve">4257953
4266448
</t>
    </r>
    <r>
      <rPr>
        <sz val="9"/>
        <color rgb="FF000000"/>
        <rFont val="Calibri"/>
        <scheme val="minor"/>
      </rPr>
      <t>4305931</t>
    </r>
  </si>
  <si>
    <t>6143 - 09/05/25</t>
  </si>
  <si>
    <t xml:space="preserve">TORNO - Serviço de usinagem em bucha bronze e eixo com 
rosca nova.
</t>
  </si>
  <si>
    <t>3998 - 03/12/25</t>
  </si>
  <si>
    <t xml:space="preserve">	TORNO - Confecção de Placa em nylon, conforme desenho</t>
  </si>
  <si>
    <t>433 - VELOTANO 1.735,00
9 - AVF 3.879,90
729 - USICASTRO 1.400,00</t>
  </si>
  <si>
    <t>Devido ao desgaste da chapa que se encontra na esteira de saída do túnel GEA, e segundo relato da operação, está danificando as caixas no processo, por falta desta peça, precisamos fazer o quanto antes este serviço, evitando prejuízo maiores. </t>
  </si>
  <si>
    <t>CONSERTO DA MOTOBOMBA DE VÁCUO BUSCH RA 0302 D 563 DLXX SN C1347000591</t>
  </si>
  <si>
    <t>456000167 - BUSCH 35.530,24</t>
  </si>
  <si>
    <r>
      <rPr>
        <sz val="9"/>
        <color rgb="FFFF0000"/>
        <rFont val="Calibri"/>
        <scheme val="minor"/>
      </rPr>
      <t xml:space="preserve">4306774
</t>
    </r>
    <r>
      <rPr>
        <sz val="9"/>
        <color rgb="FF000000"/>
        <rFont val="Calibri"/>
        <scheme val="minor"/>
      </rPr>
      <t>4320200</t>
    </r>
  </si>
  <si>
    <t>20/11/2025
04/12/2025</t>
  </si>
  <si>
    <t>SERVIÇO DE REFORMA DE NIVELADORA DA DOCA DE LAVAGEM DE CONTENTORES CONFORME NF SAIDA Nº 40507 - SERVIÇO A SER REALIZADO FORA DA UNIDADE</t>
  </si>
  <si>
    <t>phds 656</t>
  </si>
  <si>
    <t>150 - 28/11/25</t>
  </si>
  <si>
    <t>TORNO - usinagem em placa de selagem F200.</t>
  </si>
  <si>
    <t>404 - VELOTANO 1.220,00</t>
  </si>
  <si>
    <t>TORNO - usinagem em placa de selagem F200 e teflonagem.</t>
  </si>
  <si>
    <t>405 - VELOTANO 1.640,00</t>
  </si>
  <si>
    <t>3994 - 27/11/25</t>
  </si>
  <si>
    <t xml:space="preserve">AVF </t>
  </si>
  <si>
    <t xml:space="preserve">TORNO - Usinagem em cantoneira de aço inox para fazer 2 oblongos e normalização do 
Comprimento.
</t>
  </si>
  <si>
    <t>10 - AVF 5.756,40</t>
  </si>
  <si>
    <t>2029 - 03/12/25</t>
  </si>
  <si>
    <t>HYDROZAGEM COMERCIO DE BOMBAS LTDA</t>
  </si>
  <si>
    <t xml:space="preserve"> ASSISTÊNCIA TÉCNICA DA BOMBA DOSADORA A SEKO ETE</t>
  </si>
  <si>
    <t>aguardando declaração do simples</t>
  </si>
  <si>
    <t>REWEFLON</t>
  </si>
  <si>
    <t>RECABELAMENTO EM EIXO PARA ESCOVA LAVA BOTAS</t>
  </si>
  <si>
    <t>24748 - REWEFLON 1.164,00</t>
  </si>
  <si>
    <r>
      <rPr>
        <sz val="9"/>
        <color rgb="FFFF0000"/>
        <rFont val="Calibri"/>
        <scheme val="minor"/>
      </rPr>
      <t xml:space="preserve">4308395
</t>
    </r>
    <r>
      <rPr>
        <sz val="9"/>
        <color rgb="FF000000"/>
        <rFont val="Calibri"/>
        <scheme val="minor"/>
      </rPr>
      <t>4324119</t>
    </r>
  </si>
  <si>
    <t>SERVIÇO DE SUBSTITUIÇÃO DA JUNTA FRONTAL DO FILTRO DO GERADOR DE ENERGIA (SALA DE MÁQUINAS).</t>
  </si>
  <si>
    <t>20824895 - STEMAC</t>
  </si>
  <si>
    <t xml:space="preserve"> Orçamento para substituição da  junta frontal do filtro que está apresentando contaminação de água no óleo lubrificante do gerador de energia que fica ao lado da sala de máquinas, manutenção especializada será realizado pelo fabricante do equipamento.</t>
  </si>
  <si>
    <t>SERVIÇO DE SUBSTITUIÇÃO DE BOMBA INJETORA E SUBSTITUIÇÃO DE ÓLEO, FILTROS E LÍQUIDO DE ARREFECIMENTO.</t>
  </si>
  <si>
    <t>20823735/20853962 - STEMAC</t>
  </si>
  <si>
    <t>Orçamento para substituição da bomba injetora do gerador de energia do ADM, manutenção especializada será realizado pelo fabricante do equipamento.</t>
  </si>
  <si>
    <t>SERVIÇO DE INSTALAÇÃO DE AR CONDICIONADO 24000 BTUS E 12000 BTUS.</t>
  </si>
  <si>
    <t>2101-2178</t>
  </si>
  <si>
    <t>3 orçamentos</t>
  </si>
  <si>
    <t>SERVIÇO DE MÃO DE OBRA E MATERIAIS PARA SUBSTITUIÇÃO DO CORRIMÃO EM AÇO CARBONO POR AÇO INOX 304 DA ESCADARIA DE ACESSO A GALERIA TÉCNICA. SERVIÇO A SER EXECUTADO DURANTE A SEMANA</t>
  </si>
  <si>
    <t>3 ORÇAMENTOS</t>
  </si>
  <si>
    <t>SERVIÇO DE MÃO DE OBRA E MATERIAIS PARA SUBSTITUIÇÃO DO CORRIMÃO EM AÇO CARBONO POR AÇO INOX 304 DA ESCADARIA DE ACESSO A SALGA. SERVIÇO A SER EXECUTADO EM FINAL DE SEMANA</t>
  </si>
  <si>
    <t>TORNO - conserto em algemas utilizadas na nórea aérea de pernil da X-ham, no setor de espostejamento</t>
  </si>
  <si>
    <t>437 - VELOTANO 9.200,00</t>
  </si>
  <si>
    <t>4015 - 16/12/25</t>
  </si>
  <si>
    <t>TORNO - usinagem em eixo central extratora de reto.</t>
  </si>
  <si>
    <t>417 - VELOTANO 2.020,00</t>
  </si>
  <si>
    <t>4027 - 06/01/26</t>
  </si>
  <si>
    <t>PHDS –
Metal C 
BALENA</t>
  </si>
  <si>
    <t>TORNO - usinagem em suporte pneumático extratora reto.</t>
  </si>
  <si>
    <t>436 - VELOTANO 1.350,00</t>
  </si>
  <si>
    <t>4000 - 03/12/25</t>
  </si>
  <si>
    <t>realizar o balanceamento de exaustor utilizado no sanfonamento de tripas do frescal.</t>
  </si>
  <si>
    <t>15204 - USIMEC 5.200,00</t>
  </si>
  <si>
    <t>4862 - 19/12/25</t>
  </si>
  <si>
    <t>TORNO - fabricação de eixo e chapas do conjunto de faca utilizada na Inox Meccanica.</t>
  </si>
  <si>
    <t>726 - PHDS 1.895,00</t>
  </si>
  <si>
    <t xml:space="preserve">O motivo do único orçamento e como emergencial é devido ao fato de que a Inox Meccanica ficou apresentando rasgo na tripa durante todo o processo no dia. No intuito de evitar a repetição para o dia sequente, houve-se a necessidade do serviço. </t>
  </si>
  <si>
    <t>129 - 20/11/25</t>
  </si>
  <si>
    <t>TORNO - fabricação em eixo da esteira de copa utilizada no espostejamento.</t>
  </si>
  <si>
    <t>727 - PHDS 3.880,00</t>
  </si>
  <si>
    <t>O motivo do emergencial é devido ao fato de o eixo em questão acabou quebrando durante o processo, tornando a esteira em questão inutilizada, prejudicando a produção. A fabricação veio também no intuito de adequar o eixo a equipamentos reservas que possuímos hoje, tornando-se mais viável e rápida manutenções futuras.</t>
  </si>
  <si>
    <t>131 - 19/11/25</t>
  </si>
  <si>
    <t>TORNO - usinagem em eixo agitador de lodo utilizado no tanque de lodo da tridecanter e decanter.</t>
  </si>
  <si>
    <t>735 - PHDS 2.820,00</t>
  </si>
  <si>
    <t>O motivo do emergencial com único orçamento é mediante ao fato de que o agitador é responsável por homogeneizar os efluentes do tanque de lodo da tridecanter e decanter. Tornou-se necessário o reparo imediato mediante o fato de que a não homogeneização poderia acarretar no entupimento das tubulações e bombas do processo, gerando um problema consequente ainda maior.</t>
  </si>
  <si>
    <t>138 - 24/11/25</t>
  </si>
  <si>
    <t>TORNO - reparo em conjunto engrenagem utilizado na máquina de tripas.</t>
  </si>
  <si>
    <t>741 - PHDS 830,00</t>
  </si>
  <si>
    <t>O motivo do emergencial e único orçamento é devido ao fato de que o equipamento estava com conjunto engrenagem com folga excessiva, gerando complicações durante a utilização no processo. </t>
  </si>
  <si>
    <t>137 - 24/11/25</t>
  </si>
  <si>
    <t>ABRIR POLIA DO SISTEMA DE TRANSMISSÃO DA NÓRIA DE DERRUBADA DE CARCAÇAS DO MEZANINO.</t>
  </si>
  <si>
    <t>755 - PHDS 950,00</t>
  </si>
  <si>
    <t>O serviço foi executado com a classificação 5 – SERVIÇO EMERGENCIAL SEM NF, em razão de avaria na polia do sistema de transmissão da nória responsável pela movimentação e derrubada de carcaças no mezanino. A falha ocorreu devido à queda da chaveta do eixo, ocasionando danos à polia e comprometendo a operação do equipamento.</t>
  </si>
  <si>
    <t xml:space="preserve">conserto em IHM utilizada na Multivac presuntaria. </t>
  </si>
  <si>
    <t>12490 - VOLT 4.866,25</t>
  </si>
  <si>
    <r>
      <rPr>
        <sz val="9"/>
        <color rgb="FFFF0000"/>
        <rFont val="Calibri"/>
        <scheme val="minor"/>
      </rPr>
      <t xml:space="preserve">4315837
4318473
</t>
    </r>
    <r>
      <rPr>
        <sz val="9"/>
        <color rgb="FF000000"/>
        <rFont val="Calibri"/>
        <scheme val="minor"/>
      </rPr>
      <t>4318609</t>
    </r>
  </si>
  <si>
    <t>11907 - 12/12/25</t>
  </si>
  <si>
    <t>WECO</t>
  </si>
  <si>
    <t xml:space="preserve">substituição do sistema finity da máquina de tripas de correntes para correias. </t>
  </si>
  <si>
    <t>26886 - WECO 13,716.60</t>
  </si>
  <si>
    <t>O motivo por trás do envio da proposta do serviço é devido ao fato de possuirmos um elevado gasto em manutenção nos últimos estágios, mediante desgaste prematuro de engrenagem e eixos. O intuito do projeto piloto é de eliminar o sistema por correntes, que exige um constante monitoramento e lubrificação assídua. Está sendo enviado um único orçamento devido ao fato de que a empresa possui o know-how, apresentou disponibilidade em vir em campo e realizar as medições, levantamentos e instalação do novo sistema.</t>
  </si>
  <si>
    <t>Cristiano pediu ao Thales e Alex para procurarem ele para tratar desse assunto.</t>
  </si>
  <si>
    <t>CLEDSON DE SOUZA BUENO</t>
  </si>
  <si>
    <t>Conserto emergencial realizado na câmara fria de congelados do refeitório.</t>
  </si>
  <si>
    <t xml:space="preserve">Justificativa: Foi necessário atendimento emergencial devido a câmara estar cheio de carnes e produtos que poderiam estragar se não fosse realizado a manutenção corretiva emergencial.
Foi realizado recarga de gás e conserto do sensor de temperatura que estavam danificados.
</t>
  </si>
  <si>
    <t>BEMAG</t>
  </si>
  <si>
    <t>CONFECÇÃO E INSTALAÇÃO DE 7 METROS DE PROTEÇÃO TÉRMICA E ISOLAÇÃO PARA AS TUBULAÇÕES DEVAPOR DO ABATE AREA SUJA 5008IP
Serviço será realizado para adequação das isolações térmicas das tubulações de vapor do abate área suja.</t>
  </si>
  <si>
    <t>24216 - AGRINOX 10.608,00
9 - BEMAG 7.600,00
2199 - METAL C 8.900,00</t>
  </si>
  <si>
    <t>CONSERTO DE 102 CARRETILHAS, TROCA DE GANCHOS, TROCA DE ROLDANAS E TROCA DE PINOS. GANCHOS, ROLDANAS E PINOS FORNECIDOS PELA AURORA.</t>
  </si>
  <si>
    <t>94755 - BALENA 21.585,64</t>
  </si>
  <si>
    <t>dez/25
jan/26</t>
  </si>
  <si>
    <t>20551 - 18/12/25</t>
  </si>
  <si>
    <t>bermo</t>
  </si>
  <si>
    <t xml:space="preserve">SERVIÇO DE MANUTENÇÃO CORRETIVA VÁLVULA DESCARGA DE FUNDO DN50 CL300 C/ ALAVANCA
MODELO DFA40 MARCA BERMO.
</t>
  </si>
  <si>
    <t>Tiago T.</t>
  </si>
  <si>
    <t>Retrofit do comando das 
esteiras de recebimento de 
matéria prima da indústria_x000D_</t>
  </si>
  <si>
    <t>Mecânica Valenga</t>
  </si>
  <si>
    <t>SERVIÇO DE MANUTENÇÃO DO CILINDRO HIDRÁULICO DA DIREÇÃO HIDRÁULICA DA RETROESCAVADEIRA JOHNDEERE.</t>
  </si>
  <si>
    <t>Justificativa: Empresa responsável pelo serviço é a única representante da região autorizada pela john deere (fabricante da retroescavadeira) para realizar manutenções</t>
  </si>
  <si>
    <t>SERVIÇO DE MATERIAL E MÃO DE OBRA PARA REFORMA DE CILINDROS DO EQUIPAMENTO MÁQUINA DE TRIPAS</t>
  </si>
  <si>
    <t>Cristiano</t>
  </si>
  <si>
    <t>FLUXO</t>
  </si>
  <si>
    <t>INSTALAÇÃO DE SISTEMA DE INSENSIBILIZAÇÃO,
START-UP, TREINAMENTO DE EQUIPE,  ACOMPANHAMENTO TÉCNICO E CALIBRAÇÃO DE EQUIPAMENTOS.</t>
  </si>
  <si>
    <t>3952 - FLUXO 11.385,00</t>
  </si>
  <si>
    <t>se trata do fabricante do equipamento.</t>
  </si>
  <si>
    <t>predponta</t>
  </si>
  <si>
    <t>SERVIÇO DE ALINHAMENTO A LASER CONJUNTO PRENSA</t>
  </si>
  <si>
    <t>Justificativa: necessidade de alinhamento com urgência devido a substituição do motor do equipamento, sendo este de grande impotência no processo gerando impacto na produtividade da fábrica.</t>
  </si>
  <si>
    <t>Giovana</t>
  </si>
  <si>
    <t>BRN SOLUCOES INDUSTRIAIS LTDA</t>
  </si>
  <si>
    <t>REVITALIZAÇÃO DE SISTEMA DE AERAÇÃO POR AR DIFUSO ESTAÇÃO DE TRATAMENTO DE EFLUENTE</t>
  </si>
  <si>
    <t>AKTUAL</t>
  </si>
  <si>
    <t>ASSISTENCIA TÉCNICA DO DETECTORR DE METAIS</t>
  </si>
  <si>
    <t>181004265 - AKTUAL 7.903,91</t>
  </si>
  <si>
    <t>NECESSIDADE EMERGENCIAL DE ACOMPANHAMENTO TÉCNICO DO DETECTOR DE METAIS DO TRITURADOR DE VÍSCERAS, COM O RISCO DE QUEBRA DO TRITURADOR DEVIDO A FALHA DO SISTEMA DE DETECÇÃO, GERANDO PERCA E DANOS AO PROCESSO PRODUTIVO. SERVIÇO AINDA NÃO REALIZADO.</t>
  </si>
  <si>
    <r>
      <rPr>
        <sz val="9"/>
        <color rgb="FFFF0000"/>
        <rFont val="Calibri"/>
        <scheme val="minor"/>
      </rPr>
      <t xml:space="preserve">4322178
</t>
    </r>
    <r>
      <rPr>
        <sz val="9"/>
        <color rgb="FF000000"/>
        <rFont val="Calibri"/>
        <scheme val="minor"/>
      </rPr>
      <t>4335421</t>
    </r>
  </si>
  <si>
    <r>
      <rPr>
        <sz val="9"/>
        <color rgb="FFFF0000"/>
        <rFont val="Calibri"/>
        <scheme val="minor"/>
      </rPr>
      <t xml:space="preserve">05/12/2025
</t>
    </r>
    <r>
      <rPr>
        <sz val="9"/>
        <color rgb="FF000000"/>
        <rFont val="Calibri"/>
        <scheme val="minor"/>
      </rPr>
      <t>19/12/2025</t>
    </r>
  </si>
  <si>
    <t>TORNO - USINAGEM EM SUPORTE DO BRAÇO SERRRA AUTO SPLITTER</t>
  </si>
  <si>
    <t>442 - VELOTANO 930,00</t>
  </si>
  <si>
    <t>4009 - 10/12/25</t>
  </si>
  <si>
    <t>conserto eletrônico em controlador de temperatura ropex res-5007</t>
  </si>
  <si>
    <t>12474 - VOLT 2.152,00</t>
  </si>
  <si>
    <t>conserto eletrônico em inversor de frequência lenze 8400 2.4 A</t>
  </si>
  <si>
    <t>12481 - VOLT 2.693,25</t>
  </si>
  <si>
    <t>11906 - 12/12/25</t>
  </si>
  <si>
    <t>TORNO - USINAGEM EM RODA GUIA DA NÓREAS DO ABATE.</t>
  </si>
  <si>
    <t>441 - VELOTANO 700,00</t>
  </si>
  <si>
    <t>4007 - 10/12/25</t>
  </si>
  <si>
    <t>conserto eletrônico em IHM handtmann vf630</t>
  </si>
  <si>
    <t>12475 - VOLT 6.889,25</t>
  </si>
  <si>
    <t>12476 - VOLT 6.368,23</t>
  </si>
  <si>
    <t>conserto eletrônico em controlador de temperatura ropex</t>
  </si>
  <si>
    <t>12484 - VOLT 1.865,22</t>
  </si>
  <si>
    <t>AFIAÇÃO LÂMINA DE CORTE V-CUT MAREL</t>
  </si>
  <si>
    <t>11 - VENZON 1.440,00</t>
  </si>
  <si>
    <t>8724 - 12/12/25</t>
  </si>
  <si>
    <t>TORNO - confecção de módulo de correia utilizada na extratora de escápula.</t>
  </si>
  <si>
    <t>442 - VELOTANO 510,00</t>
  </si>
  <si>
    <t>O motivo do emergencial com um único orçamento é devido ao fato de que a correia acabou quebrando durante o processo, prejudicando o funcionamento da extratora de escápula. A confecção de uma nova emergencialmente veio no intuito de retomar o processo correto o mais rápido possível.</t>
  </si>
  <si>
    <t>3975 - 06/11/25</t>
  </si>
  <si>
    <t>TORNO - USINAGEM DE PONTEIRA DE EIXO E AJUSTE</t>
  </si>
  <si>
    <t>749 - PHDS 2.000,00</t>
  </si>
  <si>
    <t>Foi preciso retirar a peça para conserto no Domingo dia 24/11, aproveitando máquina parada, serviço realizado preenchimento o eixo e realizar usinagem.</t>
  </si>
  <si>
    <t>139 - 23/11/25</t>
  </si>
  <si>
    <t>MACROMAQ EQUIPAMENTOS LTDA</t>
  </si>
  <si>
    <t>conserto da transpaleteira Yale do setor de Controle de Materiais.</t>
  </si>
  <si>
    <r>
      <rPr>
        <sz val="9"/>
        <color rgb="FFFF0000"/>
        <rFont val="Calibri"/>
        <scheme val="minor"/>
      </rPr>
      <t xml:space="preserve">4322864
4337564
4341688
</t>
    </r>
    <r>
      <rPr>
        <sz val="9"/>
        <color rgb="FF000000"/>
        <rFont val="Calibri"/>
        <scheme val="minor"/>
      </rPr>
      <t>4348837</t>
    </r>
  </si>
  <si>
    <t>4. RC - RC ABERTA, AGUARDANDO GERAR PEDIDO</t>
  </si>
  <si>
    <t xml:space="preserve">SENGER </t>
  </si>
  <si>
    <t xml:space="preserve">Conserto de 01 guincho hidráulico bovenal, 01 Jacaré hidráulico bovenau </t>
  </si>
  <si>
    <t>francis</t>
  </si>
  <si>
    <t>SERVIÇO DE TERCEIRO COM MÃO DE OBRA E MATERIAIS PARA REALIZAR A SUBSTITUIÇÃO DO PAINEL E ATUALIZAÇÃO DO SOFTWARE DO DETECTOR DE METAIS LOMA SYSTEMS IQ3+E SN QEU55-25-58124D</t>
  </si>
  <si>
    <t>OTECCT251213-01.BM
251205-01.bm/</t>
  </si>
  <si>
    <t>USTIFICATIVA: SOLICITA-SE A AQUISIÇÃO EM CARÁTER DE URGÊNCIA DEVIDO AO DETECTOR DE METAIS DA LINHA DE MARINADOS DO SETOR DE FRESCAIS TER APRESENTADO FALHA FUNCIONAL TOTAL, PERMANECENDO INOPERANTE MESMO APÓS PROCEDIMENTOS DE RESET, INSPEÇÃO DE CABEAMENTO, VERIFICAÇÃO DA FONTE INTERNA E EXECUÇÃO DE TESTES DE DIAGNÓSTICO. A ANOMALIA EVIDENCIA UMA FALHA CRÍTICA NO MÓDULO ELETRÔNICO RESPONSÁVEL PELA LEITURA DO CAMPO ELETROMAGNÉTICO, COMPROMETENDO INTEGRALMENTE O PROCESSO DE DETECÇÃO. DIANTE DISSO, TORNA-SE NECESSÁRIA A SUBSTITUIÇÃO COMPLETA DO PAINEL DE CONTROLE E A ATUALIZAÇÃO DO SOFTWARE DO EQUIPAMENTO.</t>
  </si>
  <si>
    <r>
      <rPr>
        <sz val="9"/>
        <color rgb="FFFF0000"/>
        <rFont val="Calibri"/>
        <scheme val="minor"/>
      </rPr>
      <t xml:space="preserve">4323115
</t>
    </r>
    <r>
      <rPr>
        <sz val="9"/>
        <color rgb="FF000000"/>
        <rFont val="Calibri"/>
        <scheme val="minor"/>
      </rPr>
      <t>4330599</t>
    </r>
  </si>
  <si>
    <t>TORNO - SERVIÇO DE USINAGEM DAS ROLDANAS DO TOMBADOR DE CONTENTORES.</t>
  </si>
  <si>
    <t xml:space="preserve">Justificativa: Serviço emergencial de usinagem dos das roldanas do tombador de contentores, equipamento gera perca no processo produtivo. </t>
  </si>
  <si>
    <t>S P MANUTENÇÃO E SERVIÇOS</t>
  </si>
  <si>
    <t>SERVIÇO DE CONSERTO DE VÁLVULA DE GAVETA 4" DA CALDEIRA CONFORME NF DE SAÍDA Nº 40999</t>
  </si>
  <si>
    <t>SERVIÇOS DE MECÂNICA PARA SUBSTITUIÇÃO DE TUBULAÇÕES OXIDADES POR AÇO INOX, OS MATERIAIS SERÃO FORNECIDOS PELA UNIDADE. SERVIÇO DE SUBSTITUIÇÃO EM DIVERSOS PONTOS DO ABATE, CORTES PALETIZAÇÃO. A SER EXECUTADO DENTRO DA UNIDADE EM FINAIS DE SEMANA.</t>
  </si>
  <si>
    <t>2224 50%
2488</t>
  </si>
  <si>
    <t>93641
114
2202</t>
  </si>
  <si>
    <t>UTC SERVICOS EM INFORMATICA LTDA</t>
  </si>
  <si>
    <t>TORNO - USINAGEM EM EIXO DO MOTOR DA MESA DE REPENDURA.</t>
  </si>
  <si>
    <t>444 - VELOTANO 1.420,00</t>
  </si>
  <si>
    <t>4029 - 06/01/26</t>
  </si>
  <si>
    <t>os tauras do ar</t>
  </si>
  <si>
    <t>SERVIÇO DE CONSERTO EM AR CONDICIONADO SPRINGER 18 BTUs / 30000 BTUs / 48000 BTUs / 18000 BTUs.</t>
  </si>
  <si>
    <t xml:space="preserve">2151– 400,00 reais
2054– 750,00 reais
1759– 920,00 reais
2208– 220,00 reais
</t>
  </si>
  <si>
    <t>Justificativa: Durante a manutenção PMOC foi constatado alguns equipamentos com falta de fluido e com problemas de funcionamento, solicitado a adequação afim de deixar os equipamentos em ótimo estado de conservação e de funcionamento. Necessidade desta manutenção haja visto o conforto térmico dos colaboradores na qual trabalha no local.</t>
  </si>
  <si>
    <t>TORNO  -  USINAGEM ROSCA HELICOIDAL E REFORÇO NA PONTEIRA.</t>
  </si>
  <si>
    <t>170 - 18/12/25</t>
  </si>
  <si>
    <t xml:space="preserve">ATENAS </t>
  </si>
  <si>
    <t xml:space="preserve">MANUTENÇÃO EM BOMBA KSB 080-050-250, 6.500,00
COM OS SERVICOS DE;
- DESMONTAGEM;
- LIMPEZA E BANHO DE DECAPAGEM;
- ANALISE DE TROCA DE PECAS;
- RT;
- FABRICACAO DE ANEL DE DESGASTE;
- BUCHA PROTETORA;
- JG DE JUNTAS;
- SELO MECANICO;
- JG DE PARAFUSOS;
- JATEAMENTO DE CARCACA;
- JATEAMENTO DE TAMPA DE PRESSAO;
- MONTAGEM;
- TESTES;
- PINTURA;
</t>
  </si>
  <si>
    <t>SERVIÇO DE MANUTENÇÃO CORRETIVA EM VÁLVULA DE CONTROLE E PILOTO CONTROLADOR.</t>
  </si>
  <si>
    <t>pedir emissão d anota em janeiro</t>
  </si>
  <si>
    <t>SERVIÇO DE TERCEIRO DE ASSISTÊNCIA TÉCNICA PARA MANUTENÇÃO PREVENTIVA EM: 3 EQUIPAMENTOS F200, 1 EQUIPAMENTO R535 E
2 EQUIPAMENTOS R145. SENDO: 1 VISITA AO MÊS A SEREM REALIZADAS NO PERÍODO DE 12 MESES. INCLUINDO 1 TÉCNICO ESPECIALISTA,
COM TODAS AS DESPESAS DE VIAGEM, HORAS DE TRABALHO E IMPOSTOS. OBS: APENAS SERVIÇO</t>
  </si>
  <si>
    <t>41 - MULT-TEC 98.619,33</t>
  </si>
  <si>
    <t>Estamos encaminhando com apenas um orçamento, uma vez que o fornecedor Mult-Tec é o único da região com capacidade comprovada para atender às nossas necessidades no formato de visitas mensais programadas, realizando acompanhamento contínuo e inspeções técnicas especializadas em nossas termoformadoras.</t>
  </si>
  <si>
    <t>4335957
4340627</t>
  </si>
  <si>
    <t>Observação do comprador Mateus Wolfart:
ESSE TIPO DE DEMANDA DEVE SER CARACTERIZADA COMO CONTRATO;
PARA ESSA AVALIAÇÃO DE CLASSIFICAR OU NÃO COMO CONTRATO, A DEMANDA DEVE PARTIR DA COORDENAÇÃO CORPORATIVA DE MANUTENÇÃO, SR JOEMAR VAROTTO;
OS COMPRADORES RESPONSAVEIS PELA NEGOCIAÇÃO DESSE TIPO DE CONTRATO SÃO OS SRS. MATHEUS QUADROS E EDUARDO SIMON</t>
  </si>
  <si>
    <t>SERVIÇO DE TERCEIRO DE ASSISTÊNCIA TÉCNICA PARA MANUTENÇÃO PREVENTIVA EM: 3 EQUIPAMENTOS F200, 1 EQUIPAMENTO R535 E 2 EQUIPAMENTOS R145. SENDO: 12 VISITAS A SEREM REALIZADAS NO PERÍODO DE 12 MESES. INCLUINDO 1 TÉCNICO ESPECIALISTA, COM TODAS AS DESPESAS DE VIAGEM, HORAS DE TRABALHO E IMPOSTOS</t>
  </si>
  <si>
    <r>
      <rPr>
        <sz val="9"/>
        <color rgb="FFFF0000"/>
        <rFont val="Calibri"/>
        <scheme val="minor"/>
      </rPr>
      <t xml:space="preserve">4330850
</t>
    </r>
    <r>
      <rPr>
        <sz val="9"/>
        <color rgb="FF000000"/>
        <rFont val="Calibri"/>
        <scheme val="minor"/>
      </rPr>
      <t>4331600</t>
    </r>
  </si>
  <si>
    <t>Observação do autorizador Adriano Tomalok:
PARA APROVAÇAÕ PRECISO DE MAIS INFORMAÇÕES:
CADA VISITA SÃO QUANTOS DIAS?
SÓ SERVIÇO?
ETC..
ABERTO NOVA RC PARA SUBSTITUIR</t>
  </si>
  <si>
    <t>SERVIÇO DE CONSERTO DE MANGUEIRAS HIDRÁULICAS PRENSADA.</t>
  </si>
  <si>
    <t>CLEDSON DE SOUZA</t>
  </si>
  <si>
    <t>CONSERTO DE 3 BEBEDOUROS DE COLUNA DA RECEPÇÃO DE SUÍNOS.</t>
  </si>
  <si>
    <t>0 - CLEDSON DE SOUZA 1.080,00</t>
  </si>
  <si>
    <t>serviço foi realizado com a classificação 5 - SERVIÇO EMERGENCIAL SEM NF devido a necessidade imediata de garantir a qualidade de abastecimento de água gelada no setor de recepção de suínos. Atualmente os 3 bebedouros do setor não fornecem uma boa condição ergonômica aos colaboradores do setor.</t>
  </si>
  <si>
    <t>TORNO - FABRICAÇÃO DE BUCHA EM AÇO INOX E USINAGEM EM FLANGE DO TUMBLER DE MASSAS 02 DA PRESUNTARIA.</t>
  </si>
  <si>
    <t>784 - PHDS 1.860,00</t>
  </si>
  <si>
    <t>O serviço foi executado sob a classificação 5 – Serviço Emergencial Sem NF, em razão da necessidade imediata de fabricação de uma bucha e usinagem do flange pertencente ao sistema de abertura da tampa do Tumbler de massas. A intervenção emergencial tornou-se imprescindível para restabelecer a funcionalidade mecânica do equipamento e evitar a paralisação prolongada do processo produtivo. O atendimento foi realizado em caráter emergencial no domingo, 30/11/2025.</t>
  </si>
  <si>
    <t>VENTARE IND. E COM. DE SISTEMAS DE VENT. EIRELI -EPP</t>
  </si>
  <si>
    <t>SISTEMA DE VENTILAÇÃO.</t>
  </si>
  <si>
    <t>FABRICAÇÃO E INSTALAÇÃO DE AGITADOR TANQUE DE LODO ETE</t>
  </si>
  <si>
    <t>GESTEC</t>
  </si>
  <si>
    <t>CONSERTO DE INTERFACE DE LEITURA DE TEMPERATURA DAS SONDAS UTILIZADAS PARA VALIDAÇÃO TÉRMICA. SERVIÇO EXECUTADO FORA DA UNIDADE NO EQUIPAMENTO ENVIADO PARA CONSERTO CONFORME 
PEDIDO DE FATURAMENTO 11883</t>
  </si>
  <si>
    <t>15417 - GESTEC 2.206,00</t>
  </si>
  <si>
    <t>marel</t>
  </si>
  <si>
    <t>MATERIAL E MÃO DE OBRA PARA MANUTENÇÃO PREVENTIVA DO NA FATIADORA V-CUT 240 MAREL</t>
  </si>
  <si>
    <t>209199
209212
: 209214</t>
  </si>
  <si>
    <t>Justificativa: Fornecedor das peças necessárias para o serviço tem data limite de faturamento dia 16 de Dezembro e retorno gradual de faturamento dia 06 de Janeiro. Devido a urgência da chegada das peças não podemos aguardar o período de retorno das atividades do fornecedor (SERVIÇO AINDA NÃO PRESTADO). </t>
  </si>
  <si>
    <t xml:space="preserve">os tauras do ar </t>
  </si>
  <si>
    <t>SERVIÇO DE CONSERTO EM AR CONDICIONADO DA SALA DA CALDEIRA SPRINGER 12000 BTUs/ SALA DE EPI SPRINGER 9000 BTUs/ ALMOXARIFADO MATERIAIS SPRINGER 22000 BTUs.</t>
  </si>
  <si>
    <t xml:space="preserve">1236– 2.244,00 reais
2101– 1.779,00 reais
2089– 2.919,00 reais
</t>
  </si>
  <si>
    <t>JUSTIFICATIVA: REALIZADO PMOC NO SISTEMA DE AR CONDICIONADO DA FÁBRICA E LEVANTADO NECESSIDADE DE REPARO NO AR CONDICIONADO DA SALA DA CALDEIRA, SALA DE EPI E SALA DO ALMOXARIFADO MATERIAIS.</t>
  </si>
  <si>
    <r>
      <rPr>
        <sz val="9"/>
        <color rgb="FFFF0000"/>
        <rFont val="Calibri"/>
        <scheme val="minor"/>
      </rPr>
      <t xml:space="preserve">4330091
4336438
</t>
    </r>
    <r>
      <rPr>
        <sz val="9"/>
        <color rgb="FF000000"/>
        <rFont val="Calibri"/>
        <scheme val="minor"/>
      </rPr>
      <t>4346135</t>
    </r>
  </si>
  <si>
    <t>phds</t>
  </si>
  <si>
    <t>ROMANEIO: 1778.</t>
  </si>
  <si>
    <t>TORNO - SERVIÇO DE USINAGEM ACOPLAMENTOS CONFORME AMOSTRAS / RECUPERAÇAO DE CONJUNTO DE ACOPLAMENTO / FABRICAÇÃO DE ACOPLAMENTO.</t>
  </si>
  <si>
    <t>JUSTIFICATIVA: Necessidade de usinagem de acoplamento da bomba do absorvedor, quebrou o acoplamento sendo necessário recuperar o mesmo, equipamento impacta na climatização da indústria.</t>
  </si>
  <si>
    <t>ROMANEIO: 1784.</t>
  </si>
  <si>
    <t>TORNO - SERVIÇO DE USINAGEM ABRIR ACOPLAMENTO BOMBA DE RESFRIAMENTO DA ABSORÇÃO (24MMX25MM) CHAVETA 8MM.</t>
  </si>
  <si>
    <t>TORNO - SERVIÇO DE USINAGEM ABRIR ACOPLAMENTO BOMBA CAPTAÇÃO ETE.</t>
  </si>
  <si>
    <t>JUSTIFICATIVA: Necessidade de usinagem de acoplamento da bomba de água da lagoa de água bruta, Equipamento de alta impacto no tratamento de água, podendo gerar impacto negativo no processo industrial.</t>
  </si>
  <si>
    <t>114 - 03/11/25</t>
  </si>
  <si>
    <t>MANUTENÇÃO PREVENTIVA DO NA FATIADORA V-CUT 240 MAREL</t>
  </si>
  <si>
    <t>210531 - MAREL 22.383,66</t>
  </si>
  <si>
    <t>Fornecedor das peças necessárias para o serviço tem data limite de faturamento dia 16 de Dezembro e retorno gradual de faturamento dia 06 de Janeiro. Devido a urgência da chegada das peças não podemos aguardar o período de retorno das atividades do fornecedor (SERVIÇO AINDA NÃO PRESTADO).</t>
  </si>
  <si>
    <t>Inicialmente seria pedido este orçamento para o equipamento V-CUT para solucionar as questões emergenciais, após o envio para digitação, feito uma análise melhor do orçamento e relatório enviado pela MAREL, foi decidido realizar a requisição conforme recomendação. Portanto, favor cancelar está requisição, pois se trata de materiais já inclusos na requisição N°4329978.</t>
  </si>
  <si>
    <t>CLEDSON</t>
  </si>
  <si>
    <t>SUBSTITUIÇÃO DO COMPRESSOR DO BEBEDOURO DA RECEPÇÃO DE SUÍNOS.</t>
  </si>
  <si>
    <t>0 - CLEDSON DE SOUZA 900,00</t>
  </si>
  <si>
    <t>7620441 - 23/12/25</t>
  </si>
  <si>
    <t>PREDPONTA</t>
  </si>
  <si>
    <t>517 - PREDPONTA 3.024,00</t>
  </si>
  <si>
    <t>NECESSIDADE DE ALINHAMENTO COM URGÊNCIA DEVIDO A SUBSTITUIÇÃO DO CONJUNTO MOTOR / REDUTOR DO EQUIPAMENTO, SENDO ESTE DE GRANDE IMPOTÊNCIA NO PROCESSO GERANDO IMPACTO NA PRODUTIVIDADE DA FÁBRICA.</t>
  </si>
  <si>
    <t>PEROLA TAPEÇARIA</t>
  </si>
  <si>
    <t>SERVIÇO DE CONSERTO DE POLTRONAS.</t>
  </si>
  <si>
    <t>0 - PEROLA TAPEÇARIA - 900</t>
  </si>
  <si>
    <r>
      <rPr>
        <sz val="9"/>
        <color rgb="FFFF0000"/>
        <rFont val="Calibri"/>
        <scheme val="minor"/>
      </rPr>
      <t xml:space="preserve">4330441
</t>
    </r>
    <r>
      <rPr>
        <sz val="9"/>
        <color rgb="FF000000"/>
        <rFont val="Calibri"/>
        <scheme val="minor"/>
      </rPr>
      <t>4342926</t>
    </r>
  </si>
  <si>
    <t>SALVO 29/12
Observação do comprador Gieferson Junior Bosa:
novamente não recebemos retorno do fornecedor através do portal, impossibilitando assim a continuidade da negociação</t>
  </si>
  <si>
    <t>ROMANEIO 1787</t>
  </si>
  <si>
    <t>TORNO - USINAGEM BUCHA FUSO ABERTURA DA TAMPA DO DIGESTOR DE PELOS.</t>
  </si>
  <si>
    <t>716 - PHDS 6.403,76</t>
  </si>
  <si>
    <t>Necessidade de usinagem de bucha de fuso em bronze do digestor de pelos devido ao equipamento não estar abrindo a comporta atrapalhando o processo produtivo e gerando risco aos colaboradores.</t>
  </si>
  <si>
    <t>SERVIÇO DE TERCEIRO COM MÃO DE OBRA E MATERIAIS PARA REALIZAR A SUBSTITUIÇÃO DO PAINEL E ATUALIZAÇÃO DO SOFTWARE DO DETECTOR DE METAIS LOMA SYSTEMS IQ3+E SN QEU55-25-58124D.</t>
  </si>
  <si>
    <t>NF 6614 - 6.998,00</t>
  </si>
  <si>
    <t>AQUISIÇÃO EM CARÁTER DE URGÊNCIA DEVIDO AO DETECTOR DE METAIS DA LINHA DE MARINADOS DO SETOR DE FRESCAIS TER APRESENTADO FALHA FUNCIONAL TOTAL, PERMANECENDO INOPERANTE MESMO APÓS PROCEDIMENTOS DE RESET, INSPEÇÃO DE CABEAMENTO, VERIFICAÇÃO DA FONTE INTERNA E EXECUÇÃO DE TESTES DE DIAGNÓSTICO. A ANOMALIA EVIDENCIA UMA FALHA CRÍTICA NO MÓDULO ELETRÔNICO RESPONSÁVEL PELA LEITURA DO CAMPO ELETROMAGNÉTICO, COMPROMETENDO INTEGRALMENTE O PROCESSO DE DETECÇÃO. DIANTE DISSO, TORNA-SE NECESSÁRIA A SUBSTITUIÇÃO COMPLETA DO PAINEL DE CONTROLE E A ATUALIZAÇÃO DO SOFTWARE DO EQUIPAMENTO, EQUIPAMENTO ENCONTRA-SE PARADO, IMPACTANDO DIRETAMENTE AO SETOR DE PRODUÇÃO.</t>
  </si>
  <si>
    <t>AGUARDAR GERAR PEDIDO</t>
  </si>
  <si>
    <t>FAST</t>
  </si>
  <si>
    <t>REVISÃO PREVENTIVA DA CENTRIFUGA TRIDECANTER DCT SATURNO 3 (N° 3019).</t>
  </si>
  <si>
    <t>2058.25 - FAST 45.890,18</t>
  </si>
  <si>
    <t>Somente um orçamento por se tratar do fabricante do equipamento.</t>
  </si>
  <si>
    <t>REVISÃO PREVENTIVA DA CENTRIFUGA DECANTER DC MARTE 3 (N° 3019)</t>
  </si>
  <si>
    <t>2057.25 - FAST 20.502,08</t>
  </si>
  <si>
    <t>MASTER / LUCOL</t>
  </si>
  <si>
    <t>Contratação de empresa de construção civil para fornecimento de material e mão de obra na execução, de Entrada Sanitária, Câmara de Matéria Prima, Lavagem de Contentores e Ampliação da Sala de Máquinas do Frigorífico Aurora Coop de Castro (FAC).</t>
  </si>
  <si>
    <t>INSTALAÇÃO DE PLATAFORMAS E ESCADAS PARA ACESSO AOS PAINÉIS DE VÁLVULA DE AMONIA NOS SETORES DE CORTES, PALETIZAÇÃO E ESTOCAGEM PARA FACILIAR A MANUTENÇÃO E MANOBRAS NAS VÁLVULAS</t>
  </si>
  <si>
    <t>TORNO - USINAGEM EM CONJUNTO DE PEÇAS (ÊMBOLO E NAVALHAS) DO DOSADOR VOLUMÉTRICO.</t>
  </si>
  <si>
    <t>447 - VELOTANO 7.530,00</t>
  </si>
  <si>
    <t>4025 - 06/01/26</t>
  </si>
  <si>
    <t>atendimento realizado In-loco, assistência técnica no equipamento Textor.</t>
  </si>
  <si>
    <t>4025120947 - WEBER 2.305,80</t>
  </si>
  <si>
    <t>Durante inspeção foi identificado que o inversor de frequência de acionamento do motor da esteira Marking conveyor do conjunto CMB, apresentava falha de curto circuito na saída do inversor quando o inversor entrava em operação, devido a complexidade do problema, foi necessário solicitar  assistência técnica da weber para solucionar o problema.</t>
  </si>
  <si>
    <t>TORNO - usinagem em eixo e polia embaladora tactap</t>
  </si>
  <si>
    <t>814 - PHDS 1.390,00</t>
  </si>
  <si>
    <t>Eixo da polia que traciona a correia que puxa as caixas para embalar gastou, assim não realizando a força mecânica necessária para puxar a caixa, foi necessário o envio com urgência para serviço de usinagem, pois equipamento esta parado.</t>
  </si>
  <si>
    <t>163 - 08/12/25</t>
  </si>
  <si>
    <t>TORNO - usinagem em acoplamento bomba hidráulica tumbler.</t>
  </si>
  <si>
    <t>803 - PHDS 680,00</t>
  </si>
  <si>
    <t>Chaveta que trava o acoplamento na bomba gastou e estava trabalhando livre, o sistema e responsável por realizar o movimento de sobe e desce do tumbler, devido o desgaste o hidráulico estavam sem força para movimentar o tumbler, encontramos um acoplamento porem foi necessário abrir o canal de chaveta e o diâmetro interno.</t>
  </si>
  <si>
    <t>161 - 04/12/25</t>
  </si>
  <si>
    <t>ROMANEIO 253</t>
  </si>
  <si>
    <t>TORNO - , usinagem em guia da ponte rolante presuntaria</t>
  </si>
  <si>
    <t>717 - PHDS 1.400,00</t>
  </si>
  <si>
    <t>Local onde prende uma das partes do guia espanou e quebrou por trabalhar com folga, foi necessária enviar uma parte do guia com urgência para usinagem, pois estávamos com risco eminente de parada podendo desenrolar o cabo de aço.</t>
  </si>
  <si>
    <t>TORNO -  USINAGEM / FABRICAÇÃO DE 11  EIXOS PARA POLIDORA DO ABATE COM FORNECIMENTO DE MÃO DE OBRA E MATERIAL.</t>
  </si>
  <si>
    <t>49 - VELOTANO 74.800,00</t>
  </si>
  <si>
    <r>
      <rPr>
        <sz val="9"/>
        <color rgb="FFFF0000"/>
        <rFont val="Calibri"/>
        <scheme val="minor"/>
      </rPr>
      <t xml:space="preserve">3213
</t>
    </r>
    <r>
      <rPr>
        <sz val="9"/>
        <color rgb="FF000000"/>
        <rFont val="Calibri"/>
        <scheme val="minor"/>
      </rPr>
      <t>3220</t>
    </r>
  </si>
  <si>
    <t>Material e mão de obra para realização de montagem de rede de utilidades contemplando, rede de vapor, rede de água temperatura 38ºC, rede de água temperatura 45ºC, rede de vapor e rede de ar comprimido contendo as derivações necessárias para ligação dos equipamentos da barreira sanitária (três unidades de lavadores de mão e três unidades de lavadores de botas),  ligação de máquina lavadora de contentores e instalação de ponto de higinização nas salas.  </t>
  </si>
  <si>
    <t>TORNO - usinagem em placa de selagem multivac CA:5345 uso(242).</t>
  </si>
  <si>
    <t>449 - VELOTANO 850,00</t>
  </si>
  <si>
    <t>4028 - 06/01/26</t>
  </si>
  <si>
    <t xml:space="preserve">TORNO - usinagem em placa de selagem multivac </t>
  </si>
  <si>
    <t>448 - VELOTANO 3.760,00</t>
  </si>
  <si>
    <t>HELIBOMBAS</t>
  </si>
  <si>
    <t>CONSERTO EM AERADOR HM-15CV PLQ: 5550022294.</t>
  </si>
  <si>
    <t>225.0256 - HELIOBOMBAS 30.655,00</t>
  </si>
  <si>
    <t xml:space="preserve">Aerador do setor da ETE danificado, necessidade de reparo diretamente com o fabricante do equipamento.
</t>
  </si>
  <si>
    <t>ATENAS</t>
  </si>
  <si>
    <t xml:space="preserve">CONSERTO BOMBA ME BR 2250, COM
OS SERVICOS DE;
- DESMONTAGEM;
- LIMPEZA E BANHO DE DECAPAGEM;
- ANALISE DE TROCA DE PECAS;
- SMOT EM BRONZE;
- REJUVENESCIMENTO DO MOTOR;
- JG DE ROLAMENTOS;
- VENTOINHA;
- CAPA DEFLETORA;
- FABRICACAO DE PONTA DE EIXO;
- MONTAGEM;
- TESTES;
- PINTURA;
</t>
  </si>
  <si>
    <t>12123 - ATENAS 5.920,00</t>
  </si>
  <si>
    <t>fabricação de guia em UHMW para a Inox Meccanica, que apresenta danos, podendo ocasionar a trava ou movimentação indevida do cilindro da máquina.
TORNO COM CLASS 1 E 3 ORÇAMENTO - TORNO SEM DIVISÃO.</t>
  </si>
  <si>
    <t>861 - PHDS 3.837,00
11 - AVF 3.689,90
440 - VELOTANO 2.900,00</t>
  </si>
  <si>
    <t>CONSERTO DA MOTOBOMBA DE VÁCUO BUSCH RA 0302 D 5H3 SN C1743000176.</t>
  </si>
  <si>
    <t>456000198 - BUSCH 42.268,78</t>
  </si>
  <si>
    <t>DE PAULA SOLUÇÕES LTDA</t>
  </si>
  <si>
    <t>2488 25%
4588 25%
5345 25%
2283 25%</t>
  </si>
  <si>
    <t>3456 - J ORTIZ 73.550,00
61 - FINISSIMA 59.500,00
41201 - DE PAULA 69.672,30</t>
  </si>
  <si>
    <t>ASSISTENCIA TECNICA EM IHM SIEMENS KTP 600 BASIC MONO.</t>
  </si>
  <si>
    <t>080261 - ATIVA PRO 2.821,40</t>
  </si>
  <si>
    <t>TORNO - USINAGEM ROLO DE APOIO DAS ESTEIRAS DE ALIMENTACÃO DE CAVACO DA CALDEIRA.</t>
  </si>
  <si>
    <t>438 - VELOTANO 11.500,00</t>
  </si>
  <si>
    <t>4023 - 06/01/26</t>
  </si>
  <si>
    <t>CONSERTO EM IHM SIEMENS KTP 600 BASIC MONO</t>
  </si>
  <si>
    <t>080262 - ATIVA PRO 885,10</t>
  </si>
  <si>
    <t>F F VALVULAS</t>
  </si>
  <si>
    <t>CONSERTO VÁLVULAS REDUTORAS DE PRESSÃO DE 2” POL E VÁLVULAS DE SEGURANÇA 1.1/2” POL.</t>
  </si>
  <si>
    <t>407 - F F VALVULAS 13.600,00</t>
  </si>
  <si>
    <t>612 - 08/01/26</t>
  </si>
  <si>
    <t>S&amp;V</t>
  </si>
  <si>
    <t>CONSERTO DE CADEIRAS , TROCA DE ESTOFADO, REVESTIMENTO, RODIZISO QUEBRADOS E REVISÃO GERAL DOS COMPONENTES DAS CADEIRAS. SERVIÇO A SER EFETUADO FORA DA UNIDADE</t>
  </si>
  <si>
    <t>10% 453
90% 1171</t>
  </si>
  <si>
    <t>7 - móveis</t>
  </si>
  <si>
    <t>9101472504 - S&amp;V 3.670,00</t>
  </si>
  <si>
    <t>TORNO - USINAGEM EM CILINDRO DA TESOURA DE DESNUCA</t>
  </si>
  <si>
    <t>454 - VELOTANO 4.300,00</t>
  </si>
  <si>
    <t>REALIZAR OS REPAROS E ACABAMENTOS EM ISOPAINEL E VISOR EM CARÁTER DE EMERGÊNCIA DO SETOR DE LAVAGEM DE CESTAS PARA VIABILIZAR A VISTORIA DO SETOR PELO SIF LOCAL. SERVIÇO A SER EXECUTADO DENTRO DA UNIDADE.</t>
  </si>
  <si>
    <t>809 - JOACIR 3.468,00</t>
  </si>
  <si>
    <t>Necessário realizar os reparos e acabamentos em isopainel e visor em caráter de emergência do setor de lavagem de cestas para viabilizar a vistoria do setor pelo SIF local.</t>
  </si>
  <si>
    <t xml:space="preserve">ADEQUAÇÃO DE ESTEIRA QUE ESTAVA NO DEPÓSITO  PARA INSTALAÇÃO NA SAÍDA DO TUMBLER DE TEMPERADOS PARA REDUZIR RISCOS ERGONÔMICOS DEVIDO A SAÍDA DO TUMBLER SER MUITO BAIXA. MELHORIA DEFINIDA NO COMITE DE MELHORIAS. SERVIÇO A SER EXECUTADO FORA DA UNIDADE. </t>
  </si>
  <si>
    <t>95062 - BALENA 9.916,20</t>
  </si>
  <si>
    <t>SAD-25 Nº0254</t>
  </si>
  <si>
    <t>TORNO - USINAGEM NO CONJUNTO DO SUPORTE DO SISTEMA DE ABERTURA DA TAMPA DO TUMBLER DE MASSAS 02 DA PRESUNTARIA</t>
  </si>
  <si>
    <t>815 - PHDS 3.687,00</t>
  </si>
  <si>
    <t>O serviço foi executado sob a classificação 5 – Serviço Emergencial Sem NF, em razão da necessidade imediata de usinagem para conserto no conjunto do suporte do sistema de abertura da tampa pertencente ao tumbler de massas 02. A intervenção emergencial tornou-se necessária para restabelecer a funcionalidade mecânica do equipamento e evitar a paralisação prolongada do processo produtivo na segunda-feira. O atendimento foi realizado em caráter emergencial no domingo, 07/12/2025, único momento possível para execução sem impacto operacional.</t>
  </si>
  <si>
    <t>MONTAGENS INDUSTRIAIS CHAPECO</t>
  </si>
  <si>
    <t>Mão de Obra e material auxiliar para instalação de um evaporador para câmara de matéria prima fornecido pela Aurora conforme memorial descritivo anexo.</t>
  </si>
  <si>
    <t xml:space="preserve">POTENCIAL INSTALACOES ELETRICAS </t>
  </si>
  <si>
    <t>Instalações elétricas do lavador de contentores, barreira sanitária, câmara de matéria prima e ampliação da central de água quente.</t>
  </si>
  <si>
    <r>
      <rPr>
        <sz val="9"/>
        <color rgb="FFFF0000"/>
        <rFont val="Calibri"/>
        <scheme val="minor"/>
      </rPr>
      <t xml:space="preserve">238
</t>
    </r>
    <r>
      <rPr>
        <sz val="9"/>
        <color rgb="FF000000"/>
        <rFont val="Calibri"/>
        <scheme val="minor"/>
      </rPr>
      <t>239</t>
    </r>
  </si>
  <si>
    <t>CONFECÇÃO DE 10
QUADROS DE ENERGIA DE 400X350X150 EM INOX 304 COM TAMPA, VEDAÇÃO, FUROS E TRILHO DIN.</t>
  </si>
  <si>
    <t>8613 - METALURGICA CIPRIANO 23.748,20
94958 - BALENA 32.849,08
24246. - AGRINOX 22.000,00
32 - BEMAG 20.890,00
2213 - METAL C 22.800,00</t>
  </si>
  <si>
    <t xml:space="preserve">vou ver o Eder aprova, por ser elétrica ele precisa aprovar tecnicamente. </t>
  </si>
  <si>
    <t>SUBSTITUIÇÃO DO CORRIMÃO EM AÇO CARBONO POR AÇO INOX 304 DA ESCADARIA DE ACESSO PASSARELA DE VISITAÇÃO E VESTIÁRIOS</t>
  </si>
  <si>
    <t>94946 - BALENA 22.551,26
2219 - METAL C 12.300,00
886 - USICASTRO 22.258,35</t>
  </si>
  <si>
    <t>DETECT NET</t>
  </si>
  <si>
    <t>CALIBRAÇÃO DO SISTEMA DE DETECÇÃO DE NH3.</t>
  </si>
  <si>
    <t>10899 - DETECT NET 167.100,00</t>
  </si>
  <si>
    <t>Somente um orçamento pois o fornecedor realizou a instalação dos equipamentos de detecção de amônia na unidade. E os mesmos tem o histórico dos pontos aonde estão instalados. Assim será mantido o padrão na unidade.</t>
  </si>
  <si>
    <t>TORNO - USINAGEM DE ENGRENAGEM ASA TRIPARIA MAQUINA FINITTY</t>
  </si>
  <si>
    <t>824 - PHDS 395,00</t>
  </si>
  <si>
    <t>Não temos esta engrenagem em espefico no almoxerifado, evitando parada de equipamento, foi preciso pedir para empresa cofeccionar a peça.</t>
  </si>
  <si>
    <t>165 - 08/12/25</t>
  </si>
  <si>
    <t>TORNO - USINAGEM EM CONJUNTO CUBO MOEDOR / TROCAR PARAFUSO DA 
CARCAÇA/ TROCAR ROLAMENTO 30209 ROLOS CONICO, TROCAR 
RETENTOR 45/60-7 ROLOS CONICOS/ VERIFICAR EIXO COM DESGASTE 
JATEAR E PINTAR RODA E CX REDUTORA</t>
  </si>
  <si>
    <t>847 - PHDS 3.768,00</t>
  </si>
  <si>
    <t>Foi preciso retirar o conjunto no domingo devido rolamento danificado e vazamento de óleo, onde precisou de usinagem, retornado a peça na segunda-feira para montagem e atendendo da produção.</t>
  </si>
  <si>
    <t>167 - 15/12/2025</t>
  </si>
  <si>
    <t>TORNO - Usinagem em flanges para tubulação acelerador vácuo VC999</t>
  </si>
  <si>
    <t>453 - VELOTANO 2.100,00</t>
  </si>
  <si>
    <t>4022 - 05/01/26</t>
  </si>
  <si>
    <t>MANUTENÇÃO PREVENTIVA DE 4.000H COMPRESSOR DE AR G110 VSD Nº DE SÉRIE BQR145481.</t>
  </si>
  <si>
    <t>213491684 - ATLAS COPCO 42.181,08</t>
  </si>
  <si>
    <t>Somente um orçamento devido fornecedor ser fabricante do equipamento</t>
  </si>
  <si>
    <t>MÃO DE OBRA PARA DIA EXTRA DE ACOMPANHAMENTO DE UM TÉCNICO DA MAREL, PARA O EQUIPAMENTO V-CUT 240.</t>
  </si>
  <si>
    <t>210877 - MAREL 4.709,79</t>
  </si>
  <si>
    <t>Na primeira semana de Dezembro o equipamento Fatiadora V-CUT 240 começou a apresentar problemas persistentes, fazendo necessário a vinda de um técnico da fabricante para sanar o problema, inicialmente a vindo do técnico estava prevista para as datas 12/12 até 15/12, no entanto, durante reunião no dia 15/12 com coordenadores da Marel foi solicitado a permanência do técnico para um dia extra, visando acompanhar a produção e buscar outras possíveis soluções para os problemas.</t>
  </si>
  <si>
    <t>SOMASOLUTION</t>
  </si>
  <si>
    <t>SERVIÇO DE TERCEIRO COM MÃO DE OBRA E MATERIAIS PARA CONSERTO DE IMPRESSORA 
MARKEM-IMAJE 9450 SN CN24300166</t>
  </si>
  <si>
    <t>58.343 - SOMASOLUTION 8.259,89</t>
  </si>
  <si>
    <t>conserto em bomba utilizada na tipificação do abate.</t>
  </si>
  <si>
    <t>12144 - ATENAS 5.800,00</t>
  </si>
  <si>
    <t>TORNO - conserto/usinagem em conjunto volante da serra Soffinox paleta.</t>
  </si>
  <si>
    <t>13 - AVF 4.259,90</t>
  </si>
  <si>
    <t>SERVIÇO DE MANUTENÇÃO E ADEQUAÇÃO DA ESTEIRA QUE ESTAVA NO DEPÓSITO PARA COLOCAÇÃO NA SALA DE LIMPEZA DE PÉS. REVISAR MANCAIS E REDUZIR COMPRIMENTO PARA 3.000 MM. REALIZAR REPARO NOS PÉS DA ESTEIRA E ADEQUAR PARA ALTURA ERGONÔMICA DE 900 MM. REALIZAR AJUSTE NOS ROLOS DE TRAÇÃO DA ESTEIRA E SEPARAÇÃO DA FITA REMOVENDO AS PARTES DE BORRACHA. REALIZAR JATEAMENTO DA ESTRUTURA APÓS ADEQUAÇÕES. SERVIÇO A SER EXECUTADO FORA DA UNIDADE</t>
  </si>
  <si>
    <t>95101 - BALENA 10.507,00</t>
  </si>
  <si>
    <t xml:space="preserve">20537 - 15/12/25
</t>
  </si>
  <si>
    <t xml:space="preserve">MAO DE OBRA PARA ADEQUAÇÃO EM TRÊS LIMPADORES DE PÉS SENDO REDUÇÃO DA BANDEJA, ALTERAR POSIÇÃO DOS PÉS E BACIA DE COLETA DE ESGOTO. REALIZAR CORTE E SOLDA DA ESTRUTURA PARA DEIXAR O QUADRO DE COMANDO NO MENOR ESPAÇO PSOSSIVEL.  RETIRAR O QUADRO SUPORTE PARA BACIAS DE MONOBLOCO CONFORME SOLICITADO PARA VIABILIZAR ESPAÇO NO SETOR.
REALIZAR ACABAMENTO COM JATEAMENTO NO INOX. SERVIÇO A SER EXECUTADO FORA DA UNIDADE. </t>
  </si>
  <si>
    <t>95100 - BALENA 17.500,00</t>
  </si>
  <si>
    <t>CONFECÇÃO DOS PILARES DE ANCORAGEM DA LAGOA.</t>
  </si>
  <si>
    <t>SERVIÇO DE MANUTENÇÃO E RECUPERAÇÃO DE ESTEIRA QUE ESTAVA GUARDADA NO DEPÓSITO SEM OS PÉS E SUPORTES PARA PODER INSTALAR NA LINHA DE TERMOFORMADOS DA FRESCAL. SERVIÇO DE MANUTENÇÃO E RECUPERAÇÃO DOS PÉS, MANCAIS E REDIMENSIONAMENTO DE EIXO PARA INSTALAÇAO DE MOTOR EXISTENTES NA LINHA. SERVIÇO A SER EXECUTADO FORA DA UNIDADE.CONFORME NF DE SAÍDA 42132</t>
  </si>
  <si>
    <t xml:space="preserve">2102 CANCELADA </t>
  </si>
  <si>
    <t>SERVIÇO DE ATENDIMENTO E ASSITÊNCIA VIA ACESSO REMOTO PARA DIAGNÓSTICO E MANUTENÇÃO DE MÁQUINA DA LINHA DO ABATE E INSENSIBILIZADOR VIA CO2 BUTINA</t>
  </si>
  <si>
    <t xml:space="preserve"> O292694BA01</t>
  </si>
  <si>
    <t>Justificativa: Trata-se de um serviço com apenas um orçamento por ser uma assistência de serviço remoto oferecido apenas pelo fornecedor e fabricante do equipamento, não podendo ser feito por outro tipo de empresa. </t>
  </si>
  <si>
    <t>TORNO - USINAGEM DE BUCHAS EM BRONZE PARA INJETORA DE BACON</t>
  </si>
  <si>
    <t>848 - PHDS 2.680,00</t>
  </si>
  <si>
    <t>Foi realizado o serviço de usinagem no eixo da injetora de bacon, pois além de não conseguirmos realizar o serviço interno, precisava montar o equipamento para produção.</t>
  </si>
  <si>
    <t>179 - 26/12/25</t>
  </si>
  <si>
    <t>CONSERTO EM IHM DA EMBUTIDEIRA HANDTMANN</t>
  </si>
  <si>
    <t>080272 - ATIVA PRO 5.929,10</t>
  </si>
  <si>
    <t>TORNO - Usinagem em eixo fatiadora de bisteca</t>
  </si>
  <si>
    <t>456 - VELOTANO 2.000,00</t>
  </si>
  <si>
    <t>REGISTRO DE PORTARIA</t>
  </si>
  <si>
    <t>LOXAM</t>
  </si>
  <si>
    <t xml:space="preserve"> VISITA TÉCNICA PARA DIAGNÓSTICO EM EQUIPAMENTO PLATAFORMA DE TRABALHO AÉREO SKYJACK SJ4732</t>
  </si>
  <si>
    <t>13717 - LOXAM 2.209,37</t>
  </si>
  <si>
    <t>O serviço foi realizado por meio da classificação 5 – Retirado devido a Plataforma de Trabalho Aéreo (PTA), equipamento essencial para a execução segura das atividades realizadas em altura estar inoperante, o que comprometeu diretamente as rotinas da equipe de Higienização, especialmente nos serviços de limpeza de evaporadores e demais intervenções que exigem acesso em altura.</t>
  </si>
  <si>
    <t xml:space="preserve">MEGA GUINDASTE </t>
  </si>
  <si>
    <t>SERVIÇO DE LOCAÇÃO DE GUINDASTE 70T.</t>
  </si>
  <si>
    <t>JUSTIFICATIVA: Locação de guindaste para a substituição do trocador de calor da água 90 °C do setor do abate, pois estava apresentando vazamento e baixa eficiência com dificuldade de atendimento a necessidade de operação para produção. O fornecedor foi escolhido por possuir o equipamento adequado para a execução do serviço, além de ser o mais próximo da unidade, garantindo agilidade e redução de custos logísticos.</t>
  </si>
  <si>
    <r>
      <rPr>
        <sz val="9"/>
        <color rgb="FFFF0000"/>
        <rFont val="Calibri"/>
        <scheme val="minor"/>
      </rPr>
      <t xml:space="preserve">4350103
</t>
    </r>
    <r>
      <rPr>
        <sz val="9"/>
        <color rgb="FF000000"/>
        <rFont val="Calibri"/>
        <scheme val="minor"/>
      </rPr>
      <t>4350432</t>
    </r>
  </si>
  <si>
    <t>Startech Eletrônica Industria</t>
  </si>
  <si>
    <t>CONCERTO IHM DO SUPERVISORIO DO TANQUE 8</t>
  </si>
  <si>
    <t>DANLUZ COMÉRCIO DE MOTORES ELÉTRICOS LTDA</t>
  </si>
  <si>
    <t>REALIZAÇÃO DE ASSISTENCIA TECNICA REFERENTE A MÃO DE OBRA DE MANUTENÇÃO DOS PORTÕE S E CANCELAS DAS GUARITAS</t>
  </si>
  <si>
    <t>JUSTIFICATIVA: NECESSIDADE DE MANTER OS PORTÕES E CANCELAS EM PLENO FUNCIONAMENTO DEVIDO O CONTROLE ASSÍDUO DE ENTRADA DE PESSOAS VEÍCULOS E ANIMAIS</t>
  </si>
  <si>
    <t>PHDS USINAGEM</t>
  </si>
  <si>
    <t>SAD025 N°0137</t>
  </si>
  <si>
    <t>TORNO- SERVIÇO PARA USINAGEM EM ACOPLAMENTO DA BOMBA HIDRAULICA DO TAMBLER</t>
  </si>
  <si>
    <t>justificativa: feita usinagem no acoplamento do tumbler pois o mesmo gerou desgaste no canal do eixo, impossibilitando o acionamento do equipamento. </t>
  </si>
  <si>
    <t>IN LOCO</t>
  </si>
  <si>
    <t>REVISÃO PREVENTIVA IN LOCO DA MOTOBOMBA DE VÁCUO BUSCH RA 0305 D 503 SN C1748000277</t>
  </si>
  <si>
    <t>455000092 - BUSCH 48.506,80</t>
  </si>
  <si>
    <t>Identificamos que a bomba de vácuo da termoformadora Multivac do setor da presuntaria está apresentando queima excessiva de óleo, caracterizando falha operacional crítica. Essa condição indica possível desgaste interno, superaquecimento e perda de eficiência do sistema de vácuo, podendo evoluir para travamento ou quebra total do equipamento a qualquer momento. Ressalta-se que não há equipamento reserva disponível para substituição imediata. A indisponibilidade dessa bomba implica parada total da termoformadora, impactando diretamente o processo produtivo do presunto, com risco de interrupção de produção, perdas de matéria-prima, não conformidade no processo de embalagem a vácuo e possíveis impactos na segurança e qualidade do produto final. Diante do cenário apresentado, torna-se imprescindível a execução imediata do serviço de manutenção preventiva, a fim de evitar falha do equipamento, reduzir riscos operacionais, garantir a continuidade da produção e preservar a integridade do processo.</t>
  </si>
  <si>
    <t>TORNO- Usinagem em conj. De guia linear v-cut</t>
  </si>
  <si>
    <t>5013IP - MATERIAL E MÃO DE OBRA PARA A CONFECÇÃO DE 30 UNIDADES DE TRAVESSAS DA MESA DE DEPENDURA E 30 CHAPAS DE TRAÇÃO EM AÇO INOX 304</t>
  </si>
  <si>
    <t xml:space="preserve"> 3-ORÇ</t>
  </si>
  <si>
    <t>SAD-025 0259</t>
  </si>
  <si>
    <t>TORNO - USINAGEM DO SUPORTE DOS PINOS GUIAS DAS ENGRENAGENS DO SISTEMA DE TRANSPORTE DE CARRINHOS DA ESTUFA 04</t>
  </si>
  <si>
    <t>941 - PHDS 3.560,00</t>
  </si>
  <si>
    <t xml:space="preserve">O serviço foi executado sob a classificação 5 – Serviço Emergencial sem NF, em razão da necessidade de intervenção imediata no suporte dos pinos-guia das engrenagens do sistema de transporte de carrinhos da Estufa 04. O conjunto apresentava elevado nível de desgaste, o que comprometia o alinhamento mecânico e a confiabilidade operacional do sistema, colocando em risco a continuidade do processo de transporte dos carrinhos da estufa de cozimento e podendo ocasionar danos adicionais aos componentes.
</t>
  </si>
  <si>
    <t>CONSERTO DO INVERSOR DE FREQUÊNCIA DANFOSS SN 455619A354</t>
  </si>
  <si>
    <t>9303 - STARTECH 5.300,00</t>
  </si>
  <si>
    <t>CONSERTO DO INVERSOR DE FREQUÊNCIA SCHNEIDER ALTIVAR 320 20HP</t>
  </si>
  <si>
    <t>080275 - ATIVA PRO 3.898,20</t>
  </si>
  <si>
    <t>electra</t>
  </si>
  <si>
    <t>SERVIÇO DE ASSISTENCIA TECNICA PARA AS MAQUINAS VC999, VEMAG E SEYDELMANN PARA INSPEÇAO DE PREVENTIVAS E LEVANTAMENTO DE PEÇAS</t>
  </si>
  <si>
    <t>CLASIÇÃO 29APENAS UM ORÇAMENTO POR SE TRATAR DO REPRESENTATE DAS MARCAS</t>
  </si>
  <si>
    <t>TORNO- Usinagem em conk. Redutor servo v-cut (engrenagem)</t>
  </si>
  <si>
    <r>
      <rPr>
        <sz val="9"/>
        <color rgb="FFFF0000"/>
        <rFont val="Calibri"/>
        <scheme val="minor"/>
      </rPr>
      <t xml:space="preserve">4354976
4355404
</t>
    </r>
    <r>
      <rPr>
        <sz val="9"/>
        <color rgb="FF000000"/>
        <rFont val="Calibri"/>
        <scheme val="minor"/>
      </rPr>
      <t>4355433</t>
    </r>
  </si>
  <si>
    <t>TORNO- Usinagem em guia da desossa debofleX</t>
  </si>
  <si>
    <t>CONSERTO (ESQUADREJAR GAIOLAS TORTAS, REFAZER SOLDAS TRINCADAS, TROCAR METALON INOX 50 X 50 X # 2.0 DANIFICADOS, TROCAR 20 RODAS DE NYLON REFORÇADO COM FIBRA DE VIDRO) DE 16 GAIOLAS DE VARAS DO SETOR DE COZIDOS</t>
  </si>
  <si>
    <t>95216 - BALENA 25.810,69</t>
  </si>
  <si>
    <t>CONSERTO (REFAZER SOLDAS TRINCADAS, ENDIREITAR PARTES TORTAS, SOLDAR NERVURAS E CABOS FALTANTES E ACABAMENTO LAVADO COM GEL DECAPANTE) DE: 52 FORMAS DE PRESUNTO LOG, 43 FORMAS DE PRESUNTO OVAL E 09 FORMAS DE PRESUNTO QUADRADA</t>
  </si>
  <si>
    <t>95237 - BALENA 25.031,20</t>
  </si>
  <si>
    <t>CONSERTO DA MOTOBOMBA DE VÁCUO BUSCH KB 0040 D IZO SN DEM121340429</t>
  </si>
  <si>
    <t>456000205 - BUSCH 13.049,95</t>
  </si>
  <si>
    <t>ERIC:  Iremos comprar um equipamento novo.</t>
  </si>
  <si>
    <t>CONSERTO DA MOTOBOMBA DE VÁCUO BUSCH RA 0250 D 503 SN C1520000162</t>
  </si>
  <si>
    <t>456000204 - BUSCH 46.224,83</t>
  </si>
  <si>
    <t xml:space="preserve">TORNO - usinagem em guia linear da serra do pernil no mezanino. </t>
  </si>
  <si>
    <t>459 - VELOTANO 2.800,00</t>
  </si>
  <si>
    <t>TORNO - USINAGEM EM CONJUNTO DE PLACAS DE SELAGEM DAS TERMOFORMADORAS À VÁCUO MULTIVAC</t>
  </si>
  <si>
    <t>458 - VELOTANO 6.150,00</t>
  </si>
  <si>
    <t>FORTRESS</t>
  </si>
  <si>
    <t>realizar o reparo em detector de metal reserva da Fortress, utilizado na linha do LOG da presuntaria.</t>
  </si>
  <si>
    <t>15356 - FORTRESS 14.872,26</t>
  </si>
  <si>
    <t>TORNO</t>
  </si>
  <si>
    <t xml:space="preserve">TORNO - Usinagem em batente faca reta multivac </t>
  </si>
  <si>
    <t>460 - VELOTANO 4.450,00</t>
  </si>
  <si>
    <t>cleiton</t>
  </si>
  <si>
    <t>moldes brasil</t>
  </si>
  <si>
    <t>SERIÇO PARA RECUPERAÇÃO DA CAIXA DE SELAGEM DA R145</t>
  </si>
  <si>
    <t>mult-tec</t>
  </si>
  <si>
    <t>SERVIÇO DE ASSITENCIA TECNICA PARA AJUSTE NA PARTE DO CORTE E REGULAGEM DO CILINDRO DA F200 DO FARTIADOS</t>
  </si>
  <si>
    <t>CLASIÇÃO 29APENAS UM ORÇAMENTO POIS O FORNECEDOR JÁ REALIZOU ALTERAÇÃO NA MAQUINA</t>
  </si>
  <si>
    <t>SAD-025 0258</t>
  </si>
  <si>
    <t>TORNO - fabricação de novo embolo da volterm que apresentou quebra na desmontagem operacional</t>
  </si>
  <si>
    <t>914 - PHDS 4.950,00</t>
  </si>
  <si>
    <t>O motivo do emergencial é devido ao fato de que, devido a quebra após a desmontagem pelo operador, a massa acabava vazando para fora do circuito, gerando imprecisão na dosagem de massa para as formas da Multivac. O único orçamento é mediante ao fato de que a empresa teve disponibilidade em nos atender durante a madrugada para não prejudicar no dia seguinte.</t>
  </si>
  <si>
    <t>3. RC - AGUARDANDO APROVAÇÃO CRISTIANO</t>
  </si>
  <si>
    <t>SAD-025 18</t>
  </si>
  <si>
    <t>TORNO - usinagem e instalação de roscas postiças na placa de selagem da F200.</t>
  </si>
  <si>
    <t>777 - PHDS 2.260,00</t>
  </si>
  <si>
    <t>O motivo do emergencial é devido ao fato de que sem as roscas postiças instaladas na placa de selagem, não é possível realizar a devida fixação no equipamento pelos parafusos. Consequentemente, acabava gerando perca de eficiência no vácuo e selagem incorreta, mediante a subida torta do equipamento. O único orçamento é mediante ao fato de que a empresa teve disponibilidade em nos atender durante a madrugada para não prejudicar no dia seguinte</t>
  </si>
  <si>
    <t>TORNO - usinagem em eixo de rolo liso do beneficiamento de tripas que apresentou desgaste.</t>
  </si>
  <si>
    <t>778 - PHDS 3.280,00</t>
  </si>
  <si>
    <t>O motivo do emergencial é devido ao fato de que o eixo em questão apresentou desgaste, tornando-se necessário sua usinagem para que pudéssemos finalizar a revisão do módulo da triparia durante final de semana. O único orçamento é mediante ao fato de que a empresa teve disponibilidade em nos atender durante a madrugada para não prejudicar no dia seguinte.</t>
  </si>
  <si>
    <t>151 - 01/12/25</t>
  </si>
  <si>
    <t>TORNO - fabricação em peça do embolo da cubetiadeira Treiff, utilizada para realizar o corte de bacon em cubos para os frescais.</t>
  </si>
  <si>
    <t>983 - PHDS 1.850,00</t>
  </si>
  <si>
    <t>O motivo do emergencial é devido ao fato de que a peça em questão é responsável em realizar o alinhamento do eixo e pressionar proporcionalmente o bacon contra as lâminas. Sem ela, o equipamento em questão acaba não funcionando. O único orçamento é mediante ao fato de que a empresa teve disponibilidade em nos atender durante a madrugada para não prejudicar a produção nos dias seguintes.</t>
  </si>
  <si>
    <t>189 - 07/01/26</t>
  </si>
  <si>
    <t>982 - PHDS 1.850,00</t>
  </si>
  <si>
    <t>O motivo do emergencial é devido ao fato de que a peça em questão é responsável em realizar o alinhamento do eixo e pressionar proporcionalmente o bacon contra as lâminas. Mediante a indevida instalação da peça 01, a mesma acabou quebrando e sem ela, o equipamento em questão acaba não funcionando. Foi realizada a confecção de uma peça provisória até a chegada da original. Porém, caso não venha a funcionar, deve-se ter uma peça reserva para a instalação. O único orçamento é mediante ao fato de que a empresa teve disponibilidade em nos atender durante a madrugada para não prejudicar a produção nos dias seguintes.</t>
  </si>
  <si>
    <t>192 - 09/01/26</t>
  </si>
  <si>
    <t>TORNO - usinagem em eixos do riscador deboflex.</t>
  </si>
  <si>
    <t>984 - PHDS 2.888.00</t>
  </si>
  <si>
    <t>TORNO - usinagem em conjunto de engrenagens utilizada na linha Velati.</t>
  </si>
  <si>
    <t>0 - AVF 1.789,90</t>
  </si>
  <si>
    <t>QUEM ABRIU RC</t>
  </si>
  <si>
    <t>Barbara</t>
  </si>
  <si>
    <t>2. RC - ABRIR RC</t>
  </si>
  <si>
    <t>7. NF - APROVADO, LANÇAR</t>
  </si>
  <si>
    <t>10. NF CANCELADA</t>
  </si>
  <si>
    <t>Karine</t>
  </si>
  <si>
    <t>CONTRATO</t>
  </si>
  <si>
    <t>FORNECEDOR</t>
  </si>
  <si>
    <t>OPTANTE SIMPLES NACIONAL</t>
  </si>
  <si>
    <t>VALOR TOTAL/VALOR BRUTO</t>
  </si>
  <si>
    <t>EMISSÃO DA NF</t>
  </si>
  <si>
    <t>INLCUSÃO  NA 198</t>
  </si>
  <si>
    <t>NF</t>
  </si>
  <si>
    <t>C.A</t>
  </si>
  <si>
    <t>USO CONT.</t>
  </si>
  <si>
    <t>LANÇAMENTO REALIZADO POR</t>
  </si>
  <si>
    <t>OBS. DE INRREGULARIDADES</t>
  </si>
  <si>
    <t>LOCAÇÃO DE EQUIPAMENTOS UTILIZADOS PARA MOVIMENTAÇÃO DE
 CARGAS PALETIZADAS REFERENTE AO CONTRATO SEQUENCIA AURORA:3624 - Nº AURORA 111657</t>
  </si>
  <si>
    <t>Sequencia Aurora:3624
nº aurora 111657</t>
  </si>
  <si>
    <t>DISKTRANS</t>
  </si>
  <si>
    <t>RATEIO</t>
  </si>
  <si>
    <t>NF LANÇADA</t>
  </si>
  <si>
    <t>CAMILA</t>
  </si>
  <si>
    <t>TAYANE</t>
  </si>
  <si>
    <t xml:space="preserve">NF LANÇADA </t>
  </si>
  <si>
    <t>LOCAÇÃO TANQUE C.O2</t>
  </si>
  <si>
    <t>112582
14441</t>
  </si>
  <si>
    <t>MESSER</t>
  </si>
  <si>
    <t>ASSISTENCIA TÉCNICA DO TANQUE DE CO2.</t>
  </si>
  <si>
    <t xml:space="preserve">ASSISTENCIA TÉCNICA DO TANQUE DE CO2. - 112582 - 14441
</t>
  </si>
  <si>
    <t>Serviço de legalização e licenciamento dos comunicadores radiofrequência junto a Anatel.</t>
  </si>
  <si>
    <t>114403	9655</t>
  </si>
  <si>
    <t>CRICOM</t>
  </si>
  <si>
    <t xml:space="preserve">Operação Tratamento de Efluentes	1228	3	3,75%	 R$ 15,00 
Operação de Frio	1210	3	3,75%	 R$ 15,00 
Operação de Calor	1236	2	2,50%	 R$ 10,00 
Abate/Resfriamento	2488	4	5,00%	 R$ 20,00 
Recepção de Suínos	2216	3	3,75%	 R$ 15,00 
Espostejamento	2224	8	10,00%	 R$ 40,00 
Higienização	2437	2	2,50%	 R$ 10,00 
Túneis e Câmaras	2313	2	2,50%	 R$ 10,00 
Embalagem (Cortes)	4413	1	1,25%	 R$ 5,00 
Logística	2348	2	2,50%	 R$ 10,00 
Fábrica de Farinha	2330	2	2,50%	 R$ 10,00 
Produção	2208	3	3,75%	 R$ 15,00 
Frescais	4057	1	1,25%	 R$ 5,00 
Presuntaria 	2291	1	1,25%	 R$ 5,00 
Cozidos	2283	1	1,25%	 R$ 5,00 
Embalagem secundária (Ind)	5345	1	1,25%	 R$ 5,00 
Fatiados	4600	1	1,25%	 R$ 5,00 
Curados	5525	1	1,25%	 R$ 5,00 
SESMT	2101	4	5,00%	 R$ 20,00 
Manut. Elétrica	1163	13	16,25%	 R$ 65,00 
Manut. Mecanica	1171	16	20,00%	 R$ 80,00 
Manut. Civil	1180	1	1,25%	 R$ 5,00 
Engenharia e Manutenção	1155	3	3,75%	 R$ 15,00 
Adm	2054	1	1,25%	 R$ 5,00 
Controle de Materiais	2089	1	1,25%	 R$ 5,00 
</t>
  </si>
  <si>
    <t>59 conta
81 USO</t>
  </si>
  <si>
    <r>
      <rPr>
        <sz val="11"/>
        <color rgb="FFFF0000"/>
        <rFont val="Calibri"/>
        <scheme val="minor"/>
      </rPr>
      <t xml:space="preserve">152
</t>
    </r>
    <r>
      <rPr>
        <sz val="11"/>
        <color rgb="FF000000"/>
        <rFont val="Calibri"/>
        <scheme val="minor"/>
      </rPr>
      <t>619</t>
    </r>
  </si>
  <si>
    <t>3796497
3799643</t>
  </si>
  <si>
    <t>"Serviço de locação de radiotransmissores e central, composta por um sistema de repetidoras e baterias estacionárias, para a planta.
CONTRATO 114402 - 9654"</t>
  </si>
  <si>
    <t>114402	9654</t>
  </si>
  <si>
    <t>ABIX</t>
  </si>
  <si>
    <t xml:space="preserve">Operação Tratamento de Efluentes	1228	3	3,75%	 R$ 239,68 
Operação de Frio	1210	3	3,75%	 R$ 239,68 
Operação de Calor	1236	2	2,50%	 R$ 159,79 
Abate/Resfriamento	2488	4	5,00%	 R$ 319,57 
Recepção de Suínos	2216	3	3,75%	 R$ 239,68 
Espostejamento	2224	8	10,00%	 R$ 639,14 
Higienização	2437	2	2,50%	 R$ 159,79 
Túneis e Câmaras	2313	2	2,50%	 R$ 159,79 
Embalagem (Cortes)	4413	1	1,25%	 R$ 79,89 
Logística	2348	2	2,50%	 R$ 159,79 
Fábrica de Farinha	2330	2	2,50%	 R$ 159,79 
Produção	2208	3	3,75%	 R$ 239,68 
Frescais	4057	1	1,25%	 R$ 79,89 
Presuntaria 	2291	1	1,25%	 R$ 79,89 
Cozidos	2283	1	1,25%	 R$ 79,89 
Embalagem secundária (Ind)	5345	1	1,25%	 R$ 79,89 
Fatiados	4600	1	1,25%	 R$ 79,89 
Curados	5525	1	1,25%	 R$ 79,89 
SESMT	2101	4	5,00%	 R$ 319,57 
Manut. Elétrica	1163	13	16,25%	 R$ 1.038,61 
Manut. Mecanica	1171	16	20,00%	 R$ 1.278,29 
Manut. Civil	1180	1	1,25%	 R$ 79,89 
Engenharia e Manutenção	1155	3	3,75%	 R$ 239,68 
Adm	2054	1	1,25%	 R$ 79,89 
Controle de Materiais	2089	1	1,25%	 R$ 79,89 
</t>
  </si>
  <si>
    <t>Operação Tratamento de Efluentes	1228	3,75%	217,89
Operação de Frio	1210	3,75%	217,89
Operação de Calor	1236	2,50%	145,26
Abate/Resfriamento	2488	5,00%	290,52
Recepção de Suínos	2216	3,75%	217,89
Espostejamento	2224	10,00%	581,04
Higienização	2437	2,50%	145,26
Túneis e Câmaras	2313	2,50%	145,26
Embalagem (Cortes)	4413	1,25%	72,63
Logística	2348	2,50%	145,26
Fábrica de Farinha	2330	2,50%	145,26
Produção	2208	3,75%	217,89
Frescais	4057	1,25%	72,63
Presuntaria 	2291	1,25%	72,63
Cozidos	2283	1,25%	72,63
Embalagem secundária (Ind)	5345	1,25%	72,63
Fatiados	4600	1,25%	72,63
Curados	5525	1,25%	72,63
SESMT	2101	5,00%	290,52
Manut. Elétrica	1163	16,25%	944,19
Manut. Mecanica	1171	20,00%	1162,08
Manut. Civil	1180	1,25%	72,63
Engenharia e Manutenção	1155	3,75%	217,89
Adm	2054	1,25%	72,63
Controle de Materiais	2089	1,25%	72,63</t>
  </si>
  <si>
    <t>CA 2054:  406,73 (todos CA do ADM)
CA 2208: 2.672,78 (todos os CA que envolve dep. manutenção).
CA 1163: 2.730,89 (todos os CA da produção).</t>
  </si>
  <si>
    <t>354 conta
262 USO</t>
  </si>
  <si>
    <r>
      <rPr>
        <sz val="11"/>
        <color rgb="FFFF0000"/>
        <rFont val="Calibri"/>
        <scheme val="minor"/>
      </rPr>
      <t xml:space="preserve">1004
</t>
    </r>
    <r>
      <rPr>
        <sz val="11"/>
        <color rgb="FF000000"/>
        <rFont val="Calibri"/>
        <scheme val="minor"/>
      </rPr>
      <t>1004</t>
    </r>
  </si>
  <si>
    <t>2054:  426,11(todos CA do ADM)
2208: 2.800,16 (todos os CA que envolve dep. manutenção).
1163: 2.861,03 (todos os CA da produção).</t>
  </si>
  <si>
    <r>
      <rPr>
        <sz val="11"/>
        <color rgb="FF000000"/>
        <rFont val="Calibri"/>
        <scheme val="minor"/>
      </rPr>
      <t>262</t>
    </r>
    <r>
      <rPr>
        <b/>
        <sz val="11"/>
        <color rgb="FF000000"/>
        <rFont val="Calibri"/>
        <scheme val="minor"/>
      </rPr>
      <t xml:space="preserve"> </t>
    </r>
    <r>
      <rPr>
        <b/>
        <sz val="11"/>
        <color rgb="FFFF0000"/>
        <rFont val="Calibri"/>
        <scheme val="minor"/>
      </rPr>
      <t>- FATURA</t>
    </r>
  </si>
  <si>
    <r>
      <rPr>
        <sz val="11"/>
        <color rgb="FF000000"/>
        <rFont val="Calibri"/>
        <scheme val="minor"/>
      </rPr>
      <t xml:space="preserve">262 </t>
    </r>
    <r>
      <rPr>
        <b/>
        <sz val="11"/>
        <color rgb="FFFF0000"/>
        <rFont val="Calibri"/>
        <scheme val="minor"/>
      </rPr>
      <t>- FATURA</t>
    </r>
  </si>
  <si>
    <r>
      <rPr>
        <sz val="11"/>
        <color rgb="FF000000"/>
        <rFont val="Calibri"/>
        <scheme val="minor"/>
      </rPr>
      <t xml:space="preserve">262 - </t>
    </r>
    <r>
      <rPr>
        <b/>
        <sz val="11"/>
        <color rgb="FFFF0000"/>
        <rFont val="Calibri"/>
        <scheme val="minor"/>
      </rPr>
      <t>FATURA</t>
    </r>
  </si>
  <si>
    <t>REFERENTE A ENERGIA ELETRICA DA SUBESTAÇÃO</t>
  </si>
  <si>
    <t>ELECTRA</t>
  </si>
  <si>
    <t>ADRIANA</t>
  </si>
  <si>
    <t>SERVIÇO DE MÃO DE OBRA ESPECIALIZADA PARA MANUTENÇÃO DO SISTEMA DE CLIMATIZAÇÃO COM ELABORAÇÃO E GESTÃO DO PMOC (PLANO DE MANUTENÇÃO, OPERAÇÃO E CONTROLE) COM EMISSÃO E RECOLHIMENTO DA ART (ANOTAÇÃO DE RESPONSABILIDADE TÉCNICA ¿ CREA), CONFORME CONTRATO SEQ. AURORA Nº 15713, NÚMERO AURORA 119738.</t>
  </si>
  <si>
    <t>91230	316</t>
  </si>
  <si>
    <t>VIDALAR</t>
  </si>
  <si>
    <t>3547890 - 
3550014 - 3557528</t>
  </si>
  <si>
    <t>DELTA</t>
  </si>
  <si>
    <t>Mão de obra terceira para realizar a aferição da vibração nas máquinas, verificando a vida útil dos rolamentos de motores e caixas redutoras. 
Confeccionar um relatório após as análises e apresentar assim que finalizado.</t>
  </si>
  <si>
    <t>NF CANCELADA - EMITIDA APÓS O PRAZO</t>
  </si>
  <si>
    <t>"Mão de obra terceira para realizar a aferição da vibração nas máquinas, verificando a vida útil dos rolamentos de motores e caixas redutoras. 
Confeccionar um relatório após as análises e apresentar assim que finalizado."</t>
  </si>
  <si>
    <t xml:space="preserve">MÃO DE OBRA TERCEIRA PARA REALIZAR A AFERIÇÃO DA VIBRAÇÃO NAS MÁQUINAS, VERIFICANDO A VIDA ÚTIL DOS ROLAMENTOS DE MOTORES E CAIXAS REDUTORAS. 
CONFECCIONAR UM RELATÓRIO APÓS AS ANÁLISES E APRESENTAR ASSIM QUE FINALIZADO.
</t>
  </si>
  <si>
    <t>NF CANCELADA - EMITIDA APÓS O PRAZO PERMITIDO PARA LANÇAMENTO</t>
  </si>
  <si>
    <t>NOTA CANCELADA - EMITIDA APÓS PRAZO</t>
  </si>
  <si>
    <t xml:space="preserve">          FRANCIS </t>
  </si>
  <si>
    <t>MÃO DE OBRA PARA REALIZAÇÃO DE ANÁLISES DE VIBRAÇÃO EM EQUIPAMENTOS E MÁQUINAS, VERIFICANDO A VIDA ÚTIL DOS ROLAMENTOS DE BOMBAS, MOTORES E REDUTORES. OBS: SERVIÇO DEVERÁ SER REALIZADO 1X POR MÊS DE JANEIRO A DEZEMBRO DE 2025, A CADA VISITA DEVERÁ SER APRESENTADO RELATÓRIOS DE DIAGNÓSTICOS E DE ALARMES COM OS HISTÓRICOS DAS ANÁLISES.
Contrato Seq. Aurora nº 15839 e número Aurora 119950.</t>
  </si>
  <si>
    <t>119950 - 15839</t>
  </si>
  <si>
    <r>
      <rPr>
        <sz val="11"/>
        <color rgb="FFFF0000"/>
        <rFont val="Calibri"/>
        <scheme val="minor"/>
      </rPr>
      <t xml:space="preserve">1559
</t>
    </r>
    <r>
      <rPr>
        <sz val="11"/>
        <color rgb="FF000000"/>
        <rFont val="Calibri"/>
        <scheme val="minor"/>
      </rPr>
      <t>1560</t>
    </r>
  </si>
  <si>
    <t xml:space="preserve">CA 2488 – ABT
R$ 275,00
CA 1236 - GEV
R$ 275,00
CA 1244 - ETA
R$ 275,00
CA 1228 - ETE
R$ 275,00
CA 2330 - FFG
R$ 275,00
CA 1210 - GEF
R$ 275,00
CA 2283 - CEB
R$ 275,00
CA 4057 - SRF
R$ 275,00
CA 2291 - PRU
R$ 275,00
CA 4588 - EST
R$ 275,00
</t>
  </si>
  <si>
    <t>NF CANCELADA - EMITIDA EM DUPLICIDADE COM A NOTA 1560 DO CONTRATO</t>
  </si>
  <si>
    <t>CA 2488 – ABT
R$ 275,00
CA 1236 - GEV
R$ 275,00
CA 1244 - ETA
R$ 275,00
CA 1228 - ETE
R$ 275,00
CA 2330 - FFG
R$ 275,00
CA 1210 - GEF
R$ 275,00
CA 2283 - CEB
R$ 275,00
CA 4057 - SRF
R$ 275,00
CA 2291 - PRU
R$ 275,00
CA 4588 - EST
R$ 275,00</t>
  </si>
  <si>
    <t xml:space="preserve">SERVIÇO DE MÃO DE OBRA PARA REALIZAÇÃO DE ANÁLISES DE VIBRAÇÃO EM EQUIPAMENTOS E MÁQUINAS, VERIFICANDO A VIDA ÚTIL DOS ROLAMENTOS DE BOMBAS, MOTORES E REDUTORES. OBS: SERVIÇO DEVERÁ SER REALIZADO 1X POR MÊS DE JANEIRO A DEZEMBRO DE 2025, A CADA VISITA DEVERÁ SER APRESENTADO RELATÓRIOS DE DIAGNÓSTICOS E DE ALARMES COM OS HISTÓRICOS DAS ANÁLISES.
</t>
  </si>
  <si>
    <t xml:space="preserve">CA 2488 – 275,00
CA 1236 -  275,00
CA 1244 -  275,00
CA 1228 - 275,00
CA 2330 -  275,00
CA 1210 - 275,00
CA 2283 - 275,00
CA 4057 -  275,00
CA 2291 -  275,00
CA 4588 -  275,00
</t>
  </si>
  <si>
    <t>SERVIÇO DE MÃO DE OBRA PARA REALIZAÇÃO DE ANÁLISES DE VIBRAÇÃO EM EQUIPAMENTOS E MÁQUINAS, VERIFICANDO A VIDA ÚTIL DOS ROLAMENTOS DE BOMBAS, MOTORES E REDUTORES. OBS: SERVIÇO DEVERÁ SER REALIZADO 1X POR MÊS DE JANEIRO A DEZEMBRO DE 2025, A CADA VISITA DEVERÁ SER APRESENTADO RELATÓRIOS DE DIAGNÓSTICOS E DE ALARMES COM OS HISTÓRICOS DAS ANÁLISES.</t>
  </si>
  <si>
    <t xml:space="preserve">CA 2488 – 275,00
CA 1236 -  275,00
CA 1244 -  275,00
CA 1228 - 275,00
CA 2330 -  275,00
CA 1210 - 275,00
CA 2283 - 275,00
CA 4057 -  275,00
CA 2291 -  275,00
CA 4588 -  275,00
</t>
  </si>
  <si>
    <t>referente a 01ª parcela da proposta O291631 de Contrato para prestação de serviços.</t>
  </si>
  <si>
    <t>Nº Aurora 112762	- Seq. 14442</t>
  </si>
  <si>
    <r>
      <rPr>
        <sz val="11"/>
        <color rgb="FFFF0000"/>
        <rFont val="Calibri"/>
        <scheme val="minor"/>
      </rPr>
      <t xml:space="preserve">4227
</t>
    </r>
    <r>
      <rPr>
        <sz val="11"/>
        <color rgb="FF000000"/>
        <rFont val="Calibri"/>
        <scheme val="minor"/>
      </rPr>
      <t>4244</t>
    </r>
  </si>
  <si>
    <t>2224 - 25%
2488 - 75%</t>
  </si>
  <si>
    <t>referente a 02ª parcela da proposta O291631 de Contrato para prestação de serviços.</t>
  </si>
  <si>
    <t>referente a 03ª parcela da proposta O291631 de Contrato para prestação de serviços.</t>
  </si>
  <si>
    <t>referente a 04ª parcela da proposta O291631 de Contrato para prestação de serviços.</t>
  </si>
  <si>
    <t>referente a 05ª parcela da proposta O291631 de Contrato para prestação de serviços.</t>
  </si>
  <si>
    <t>referente a 06ª parcela da proposta O291631 de Contrato para prestação de serviços.</t>
  </si>
  <si>
    <t>referente a 07ª parcela da proposta O291631 de Contrato para prestação de serviços.</t>
  </si>
  <si>
    <t>referente a 08ª parcela da proposta O291631 de Contrato para prestação de serviços.</t>
  </si>
  <si>
    <t>referente a 09ª parcela da proposta O291631 de Contrato para prestação de serviços.</t>
  </si>
  <si>
    <t>referente a 10ª parcela da proposta O291631 de Contrato para prestação de serviços.</t>
  </si>
  <si>
    <t>"2224 - 25% - 7.367,76
2488 - 75% - 22.103,26"</t>
  </si>
  <si>
    <t>contrato 112325
seq Aurora  14277</t>
  </si>
  <si>
    <t>NAVIER</t>
  </si>
  <si>
    <t>Manutenção preventiva nos compressores de amônia. PARCELA 1/36</t>
  </si>
  <si>
    <t>121666	- 16242</t>
  </si>
  <si>
    <t>Manutenção preventiva nos compressores de amônia. PARCELA 02/36</t>
  </si>
  <si>
    <t>Manutenção preventiva nos compressores de amônia. PARCELA 03/36</t>
  </si>
  <si>
    <t>Manutenção preventiva nos compressores de amônia. PARCELA 04/36</t>
  </si>
  <si>
    <t>Manutenção preventiva nos compressores de amônia. PARCELA 05/36</t>
  </si>
  <si>
    <t>CAMILA*</t>
  </si>
  <si>
    <t>Manutenção preventiva nos compressores de amônia. PARCELA 06/36</t>
  </si>
  <si>
    <t>FATURA CANCELADA POR COBRANÇAS DIVERGENTES</t>
  </si>
  <si>
    <t>"SERVIÇO DE CONSERTO ELÉTRICO DE EMPILHADEIRA A COMBUSTÃO REALIZADO DENTRO DA UNIDADE PELA EMPRESA ESPECIALIZADA NO EQUIPAMENTO. EQUIPAMENTO ESTAVA PARADO DEVIDO ROMPIMENTO DE MANGUEIRA E VAZAMENTO DE ÓLEO, SENDO NECESSÁRIO CHAMAR A EMPRESA PARA CONSERTO URGENTE DEVIDO EQUIPAMENTO SER USADO PARA TRANSPORTE DE MATERIAIS E CONDIMENTOS PARA ABASTECIMENTO DO FRIGORIFICO E INDUSTRIALIZADOS
NF 4743"</t>
  </si>
  <si>
    <t>SERVIÇO DE CONSERTO ELÉTRICO DE TRANSPALETEIRA REALIZADO DENTRO DA UNIDADE PELA EMPRESA ESPECIALIZADA NO EQUIPAMENTO. EQUIPAMENTO ESTAVA PARADO DEVIDO TEREM MOLHADO O EQUIPAMENTO COM ÁGUA, OCASIONANDO ATENDIMENTO POR MAU USO.
NOTA 4823</t>
  </si>
  <si>
    <t xml:space="preserve">FATURA REFERENTE A LOCAÇÃO DE EQUIPAMENTOS </t>
  </si>
  <si>
    <t>NF CANCELADA</t>
  </si>
  <si>
    <t>rateio</t>
  </si>
  <si>
    <t>valor errado</t>
  </si>
  <si>
    <t>NF CANCELADA - VALOR INCORRETO</t>
  </si>
  <si>
    <t>fatura cancelada</t>
  </si>
  <si>
    <t>2348/2313</t>
  </si>
  <si>
    <t>Serviços de munck com cesto para colocação de tubos ETE - O.S.778</t>
  </si>
  <si>
    <t>Serviços de munck normal para erguer tubos, retirada de esteira e troca de plataforma doca - o.s. 671-675-783-779</t>
  </si>
  <si>
    <t>1228 - 2224 - 4472 -  800</t>
  </si>
  <si>
    <t>Manutenção preventiva nos compressores de amônia. PARCELA 07/36</t>
  </si>
  <si>
    <r>
      <rPr>
        <sz val="11"/>
        <color rgb="FFFF0000"/>
        <rFont val="Calibri"/>
        <scheme val="minor"/>
      </rPr>
      <t xml:space="preserve">881001017
</t>
    </r>
    <r>
      <rPr>
        <sz val="11"/>
        <color rgb="FF000000"/>
        <rFont val="Calibri"/>
        <scheme val="minor"/>
      </rPr>
      <t>74504</t>
    </r>
  </si>
  <si>
    <t>2054:  437,52 (todos CA do ADM)
2208: 2.875,11  (todos os CA que envolve dep. manutenção).
1163: 2.937,60 (todos os CA da produção).</t>
  </si>
  <si>
    <t>francis
CAMILA</t>
  </si>
  <si>
    <r>
      <rPr>
        <sz val="11"/>
        <color rgb="FFFF0000"/>
        <rFont val="Calibri"/>
        <scheme val="minor"/>
      </rPr>
      <t xml:space="preserve">263
</t>
    </r>
    <r>
      <rPr>
        <sz val="11"/>
        <color rgb="FF000000"/>
        <rFont val="Calibri"/>
        <scheme val="minor"/>
      </rPr>
      <t>721</t>
    </r>
  </si>
  <si>
    <t>referente a 11ª parcela da proposta O291631 de Contrato para prestação de serviços.</t>
  </si>
  <si>
    <t>Serviços de munck para alocação e remoção da balsa na lagoa de aeração ETE - O.S. 702-791</t>
  </si>
  <si>
    <t>Serviços de munck para troca de motor lagoa, movimentação niveladora da doca contentores e troca de ventilador - O.S. 701-703-704</t>
  </si>
  <si>
    <t xml:space="preserve">34% ETE 1228
33% ABATE 2488
33% CONDIMENTARIA 4472
</t>
  </si>
  <si>
    <t xml:space="preserve">FOSSA, RALO, E LIMPEZA DA SANGRIA </t>
  </si>
  <si>
    <t>DR AMBIENTAL</t>
  </si>
  <si>
    <t xml:space="preserve">limpeza de ralo e caixa de passagem no faqueiro do espostejamento </t>
  </si>
  <si>
    <t>128247	
18060</t>
  </si>
  <si>
    <t>GATO AR</t>
  </si>
  <si>
    <r>
      <rPr>
        <sz val="11"/>
        <color rgb="FFFF0000"/>
        <rFont val="Calibri"/>
        <scheme val="minor"/>
      </rPr>
      <t xml:space="preserve">705
</t>
    </r>
    <r>
      <rPr>
        <sz val="11"/>
        <color rgb="FF000000"/>
        <rFont val="Calibri"/>
        <scheme val="minor"/>
      </rPr>
      <t>708</t>
    </r>
  </si>
  <si>
    <t>referente a 12ª parcela da proposta O291631 de Contrato para prestação de serviços.</t>
  </si>
  <si>
    <t>CA 2488 – 275,00
CA 1236 -  275,00
CA 1244 -  275,00
CA 1228 - 275,00
CA 2330 -  275,00
CA 1210 - 275,00
CA 2283 - 275,00
CA 4057 -  275,00
CA 2291 -  275,00
CA 4588 -  275,00</t>
  </si>
  <si>
    <t>Serviços de munck com cadeirinha, içamento de ventilador - O.S. 686</t>
  </si>
  <si>
    <t xml:space="preserve">
Serviços de munck para movimentação de container, colocação de platibanda, içamento ventilador, retirada de barca lagoa ETE, movimentação de maquinas e 
troca de platibanda - O.S. 706-707-795-797-798-799</t>
  </si>
  <si>
    <t xml:space="preserve"> 707                                                                                             R$   1.800,00
2071
1210
706
 R$   1.000,00
2071
1210
798
 R$      800,00
2071
1228
799
 R$   1.000,00
2071
2330
795
 R$      800,00
2071
4057
797
 R$      800,00
2071
4472</t>
  </si>
  <si>
    <t>Manutenção preventiva nos compressores de amônia. PARCELA 08/36</t>
  </si>
  <si>
    <t>Serviços de munck com cadeirinha para medição de gases da caldeira e colocação de tela biodigestor</t>
  </si>
  <si>
    <t>1236 - 2.050,00
1228 - 1.470,00</t>
  </si>
  <si>
    <t>Serviços de munck normal para retirada de esteiras, montagem de ventilador, descarregamento de tanque, colocar boia na lagoa, movimentação de motor,
montagem de motor, retirada de motor com compressor sala de máquinas - O.S. 714-715-718-719-720-693-694</t>
  </si>
  <si>
    <t xml:space="preserve">BRUNO 714 - 2244 1550
BRUNO 715 - 2470 1800
JEVERSON 720 - 2488 800
RAFAEL 694 - 2488 1300
JEVERSON 719 - 1210 800
TIAGO 693 - 1228 1500
JEVERSON 718 - 1210 800
</t>
  </si>
  <si>
    <t>O.S 16780</t>
  </si>
  <si>
    <t>122708	16445</t>
  </si>
  <si>
    <t>Fornecedor</t>
  </si>
  <si>
    <t>Status</t>
  </si>
  <si>
    <t>Nº Aurora</t>
  </si>
  <si>
    <t>Seq. Aurora</t>
  </si>
  <si>
    <t>Valor</t>
  </si>
  <si>
    <t>Requisição</t>
  </si>
  <si>
    <t>Pedido</t>
  </si>
  <si>
    <t>Responsável</t>
  </si>
  <si>
    <t>Inicio</t>
  </si>
  <si>
    <t>Fim</t>
  </si>
  <si>
    <t>Comprador</t>
  </si>
  <si>
    <t>Descrição do Contrato</t>
  </si>
  <si>
    <t>Crown</t>
  </si>
  <si>
    <t>VIGENTE</t>
  </si>
  <si>
    <t>Rateio</t>
  </si>
  <si>
    <t>BRUNO</t>
  </si>
  <si>
    <t>Sara</t>
  </si>
  <si>
    <t>Locação de paleteira e transpaleteira</t>
  </si>
  <si>
    <t>Marel</t>
  </si>
  <si>
    <t>ENCERRADO 16/10/2024</t>
  </si>
  <si>
    <t>EUR 26.916.99</t>
  </si>
  <si>
    <t>CRISTIANO</t>
  </si>
  <si>
    <t>Serviço de TI e informática</t>
  </si>
  <si>
    <t>Soma</t>
  </si>
  <si>
    <t>LEONARDO</t>
  </si>
  <si>
    <t>Locação de impressora</t>
  </si>
  <si>
    <t>Disktran</t>
  </si>
  <si>
    <t>Joel Moises</t>
  </si>
  <si>
    <t>Locação de transpaleteira</t>
  </si>
  <si>
    <t>Toledo</t>
  </si>
  <si>
    <t>VIGENTE (MATRIZ)</t>
  </si>
  <si>
    <t>PAULO ROBERTO</t>
  </si>
  <si>
    <t>Vlademir Lourenço</t>
  </si>
  <si>
    <t>Contrato de Manutenção de Software</t>
  </si>
  <si>
    <t>ok - lançado pela matriz de acordo com a Rebecca Stter Scalvi Macharett</t>
  </si>
  <si>
    <t>VERIFICAR</t>
  </si>
  <si>
    <t>Messer</t>
  </si>
  <si>
    <t>espostejamento</t>
  </si>
  <si>
    <t>ERIC</t>
  </si>
  <si>
    <t>Locação do Tanque de CO2</t>
  </si>
  <si>
    <t>Serviço assistencia técnica no tanque de C.O</t>
  </si>
  <si>
    <t>Cricom</t>
  </si>
  <si>
    <t>Sem data definida.</t>
  </si>
  <si>
    <t>Abix</t>
  </si>
  <si>
    <t>CA 2054:  406,73 (todos CA do ADM)
CA 2208: 2.672,78 (todos os CA que envolve dep. manutenção).
CA 1155: 2.730,89 (todos os CA da produção).</t>
  </si>
  <si>
    <t>Serviço de locação de radiotransmissores e central, composta por um sistema de repetidoras e baterias estacionárias, para a planta.
80 unidades - PD506 - Rádio Portátil em UHF
(Kit contém: Rádio, Transformador, Base e Bateria)
80 unidades - PD506 - Bateria Extra (1500mAh)
2 unidades  - Estação Base - Repetidora Digital
(Cada Repetidora permite a conversação de 2 grupos
simultâneos, duas repetidoras devem atender à demanda dessa
unidade)</t>
  </si>
  <si>
    <t>ELECTRA ENERGIA</t>
  </si>
  <si>
    <t>UNIDADE</t>
  </si>
  <si>
    <t>ENCERRADO 30/11/2025</t>
  </si>
  <si>
    <t>GATO AR CONDICIONADO (OS TAURAS DO AR)</t>
  </si>
  <si>
    <t>JEVERSON</t>
  </si>
  <si>
    <t xml:space="preserve">CA 2488 – ABT
R$ 275,00
CA 1236 - GEV
R$ 275,00
CA 1244 - ETA
R$ 275,00
CA 1228 - ETE
R$ 275,00
CA 2330 - FFG
R$ 275,00
CA 1210 - GEF
R$ 275,00
CA 2283 - CEB
R$ 275,00
CA 4057 - SRF
R$ 275,00
CA 2291 - PRU
R$ 275,00
CA 4588 - EST
R$ 275,00
</t>
  </si>
  <si>
    <t>serviços 
especializados de manutenção preventiva mensal de 143 (cento e quarenta e três) conjuntos de 
equipamentos industriais, monitoramento e análise de vibração para análises preditivas e emissão do 
relatório/laudo técnico</t>
  </si>
  <si>
    <t>CORPORATIVO</t>
  </si>
  <si>
    <t>VINICIUS BECHER</t>
  </si>
  <si>
    <t>referente a parcela da proposta O291631 de Contrato para prestação de serviços.</t>
  </si>
  <si>
    <t>VARIÁVEL</t>
  </si>
  <si>
    <r>
      <rPr>
        <sz val="11"/>
        <color rgb="FF000000"/>
        <rFont val="Calibri"/>
        <scheme val="minor"/>
      </rPr>
      <t xml:space="preserve">CONTRATO PARA SERVIÇO DE MUNK  
MUNCK MODELO ATÉ 12 TON </t>
    </r>
    <r>
      <rPr>
        <b/>
        <sz val="11"/>
        <color rgb="FFFF0000"/>
        <rFont val="Calibri"/>
        <scheme val="minor"/>
      </rPr>
      <t xml:space="preserve">SEM </t>
    </r>
    <r>
      <rPr>
        <sz val="11"/>
        <color rgb="FF000000"/>
        <rFont val="Calibri"/>
        <scheme val="minor"/>
      </rPr>
      <t>CESTO AEREO OU PORTA PALET</t>
    </r>
  </si>
  <si>
    <r>
      <rPr>
        <sz val="11"/>
        <color rgb="FF000000"/>
        <rFont val="Calibri"/>
        <scheme val="minor"/>
      </rPr>
      <t xml:space="preserve">CONTRATO PARA SERVIÇO DE MUNK  
MUNCK MODELO ATÉ 12 TON </t>
    </r>
    <r>
      <rPr>
        <b/>
        <sz val="11"/>
        <color rgb="FFFF0000"/>
        <rFont val="Calibri"/>
        <scheme val="minor"/>
      </rPr>
      <t xml:space="preserve">COM </t>
    </r>
    <r>
      <rPr>
        <sz val="11"/>
        <color rgb="FF000000"/>
        <rFont val="Calibri"/>
        <scheme val="minor"/>
      </rPr>
      <t>CESTO AEREO OU PORTA PALET</t>
    </r>
  </si>
  <si>
    <r>
      <rPr>
        <sz val="11"/>
        <color rgb="FF000000"/>
        <rFont val="Calibri"/>
        <scheme val="minor"/>
      </rPr>
      <t xml:space="preserve">CONTRATO PARA SERVIÇO DE MUNK  
MUNCK MODELO ATÉ 12 TON </t>
    </r>
    <r>
      <rPr>
        <b/>
        <sz val="11"/>
        <color rgb="FFFF0000"/>
        <rFont val="Calibri"/>
        <scheme val="minor"/>
      </rPr>
      <t>PARA PEFURAÇÃO</t>
    </r>
    <r>
      <rPr>
        <sz val="11"/>
        <color rgb="FF000000"/>
        <rFont val="Calibri"/>
        <scheme val="minor"/>
      </rPr>
      <t xml:space="preserve"> DE ESTACAS ATÉ 6 METROS</t>
    </r>
  </si>
  <si>
    <t>ALEXANDRE ROSSETTO</t>
  </si>
  <si>
    <t>Manutenção preventiva nos compressores de amônia.</t>
  </si>
  <si>
    <t>GIOVANA</t>
  </si>
  <si>
    <r>
      <rPr>
        <sz val="11"/>
        <color rgb="FF000000"/>
        <rFont val="Calibri"/>
        <scheme val="minor"/>
      </rPr>
      <t xml:space="preserve">LIMPEZA COM CAMINHÕES DE HIDROVACUO E HIDROJATEAMENTO
</t>
    </r>
    <r>
      <rPr>
        <b/>
        <sz val="11"/>
        <color rgb="FFFF0000"/>
        <rFont val="Calibri"/>
        <scheme val="minor"/>
      </rPr>
      <t>MEIA DIÁRIA</t>
    </r>
  </si>
  <si>
    <r>
      <rPr>
        <sz val="11"/>
        <color rgb="FF000000"/>
        <rFont val="Calibri"/>
        <scheme val="minor"/>
      </rPr>
      <t xml:space="preserve">LIMPEZA COM CAMINHÕES DE HIDROVACUO E HIDROJATEAMENTO
</t>
    </r>
    <r>
      <rPr>
        <b/>
        <sz val="11"/>
        <color rgb="FFFF0000"/>
        <rFont val="Calibri"/>
        <scheme val="minor"/>
      </rPr>
      <t>DIÁRIA</t>
    </r>
  </si>
  <si>
    <t>850 A HORA 
550 MOBILIZAÇÃO COM CONTRATAÇÃO MINIMA DE 2 HORAS
14,16667 reais por minuto</t>
  </si>
  <si>
    <r>
      <rPr>
        <sz val="11"/>
        <color rgb="FF000000"/>
        <rFont val="Calibri"/>
        <scheme val="minor"/>
      </rPr>
      <t xml:space="preserve">LIMPEZA COM CAMINHÕES DE HIDROVACUO E HIDROJATEAMENTO
</t>
    </r>
    <r>
      <rPr>
        <b/>
        <sz val="11"/>
        <color rgb="FFFF0000"/>
        <rFont val="Calibri"/>
        <scheme val="minor"/>
      </rPr>
      <t>POR HORA</t>
    </r>
  </si>
  <si>
    <r>
      <rPr>
        <sz val="11"/>
        <color rgb="FF000000"/>
        <rFont val="Calibri"/>
        <scheme val="minor"/>
      </rPr>
      <t xml:space="preserve">variaveis com os </t>
    </r>
    <r>
      <rPr>
        <b/>
        <sz val="11"/>
        <color rgb="FFFF0000"/>
        <rFont val="Calibri"/>
        <scheme val="minor"/>
      </rPr>
      <t xml:space="preserve">25 % </t>
    </r>
    <r>
      <rPr>
        <sz val="11"/>
        <color rgb="FF000000"/>
        <rFont val="Calibri"/>
        <scheme val="minor"/>
      </rPr>
      <t xml:space="preserve">e adiconal por hora </t>
    </r>
  </si>
  <si>
    <t>MUNKART</t>
  </si>
  <si>
    <t>R$190,00 por hora (seg a sex)
R$210,00 por hora (sáb, dom, feriados)</t>
  </si>
  <si>
    <t>Mínimo 3 horas de permanência</t>
  </si>
  <si>
    <t>PREENCHER</t>
  </si>
  <si>
    <t>FORMULA</t>
  </si>
  <si>
    <t>2291 - 0,50
2230 - 0,50</t>
  </si>
  <si>
    <t>%</t>
  </si>
  <si>
    <t>VALOR TOTAL</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</si>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</sst>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quot;R$&quot;\ #,##0.00;[Red]\-&quot;R$&quot;\ #,##0.00"/>
    <numFmt numFmtId="165" formatCode="_-&quot;R$&quot;\ * #,##0.00_-;\-&quot;R$&quot;\ * #,##0.00_-;_-&quot;R$&quot;\ * &quot;-&quot;??_-;_-@_-"/>
    <numFmt numFmtId="166" formatCode="[$-416]mmm\-yy;@"/>
    <numFmt numFmtId="167" formatCode="_-[$R$-416]\ * #,##0.00_-;\-[$R$-416]\ * #,##0.00_-;_-[$R$-416]\ * &quot;-&quot;??_-;_-@_-"/>
    <numFmt numFmtId="168" formatCode="_-[$€-2]\ * #,##0.00_-;\-[$€-2]\ * #,##0.00_-;_-[$€-2]\ * &quot;-&quot;??_-;_-@_-"/>
    <numFmt numFmtId="169" formatCode="&quot;R$&quot;\ #,##0.00"/>
  </numFmts>
  <fonts count="30" x14ac:knownFonts="1">
    <font>
      <sz val="11"/>
      <color theme="1"/>
      <name val="Calibri"/>
      <family val="2"/>
      <scheme val="minor"/>
    </font>
    <font>
      <sz val="11"/>
      <color theme="1"/>
      <name val="Calibri"/>
      <scheme val="minor"/>
    </font>
    <font>
      <sz val="11"/>
      <color theme="1"/>
      <name val="Calibri"/>
      <family val="2"/>
      <scheme val="minor"/>
    </font>
    <font>
      <sz val="9"/>
      <color theme="1"/>
      <name val="Calibri"/>
      <family val="2"/>
      <scheme val="minor"/>
    </font>
    <font>
      <b/>
      <sz val="9"/>
      <color theme="1"/>
      <name val="Calibri"/>
      <family val="2"/>
      <scheme val="minor"/>
    </font>
    <font>
      <b/>
      <sz val="10"/>
      <color theme="0"/>
      <name val="Calibri"/>
      <family val="2"/>
      <scheme val="minor"/>
    </font>
    <font>
      <sz val="9"/>
      <color rgb="FF00B050"/>
      <name val="Calibri"/>
      <family val="2"/>
      <scheme val="minor"/>
    </font>
    <font>
      <sz val="9"/>
      <color rgb="FFFF0000"/>
      <name val="Calibri"/>
      <family val="2"/>
      <scheme val="minor"/>
    </font>
    <font>
      <sz val="9"/>
      <color rgb="FFFF0000"/>
      <name val="Calibri"/>
      <scheme val="minor"/>
    </font>
    <font>
      <sz val="9"/>
      <color rgb="FF000000"/>
      <name val="Calibri"/>
      <scheme val="minor"/>
    </font>
    <font>
      <sz val="9"/>
      <color theme="1"/>
      <name val="Calibri"/>
      <scheme val="minor"/>
    </font>
    <font>
      <sz val="9"/>
      <color rgb="FF000000"/>
      <name val="Calibri"/>
      <family val="2"/>
      <scheme val="minor"/>
    </font>
    <font>
      <sz val="11"/>
      <color rgb="FFFF0000"/>
      <name val="Calibri"/>
      <scheme val="minor"/>
    </font>
    <font>
      <b/>
      <sz val="11"/>
      <color theme="1"/>
      <name val="Calibri"/>
      <family val="2"/>
      <scheme val="minor"/>
    </font>
    <font>
      <sz val="11"/>
      <color rgb="FF000000"/>
      <name val="Calibri"/>
      <scheme val="minor"/>
    </font>
    <font>
      <sz val="11"/>
      <color rgb="FF000000"/>
      <name val="Calibri"/>
      <family val="2"/>
      <scheme val="minor"/>
    </font>
    <font>
      <b/>
      <sz val="11"/>
      <color rgb="FFFF0000"/>
      <name val="Calibri"/>
      <scheme val="minor"/>
    </font>
    <font>
      <sz val="11"/>
      <color rgb="FF00B050"/>
      <name val="Calibri"/>
      <family val="2"/>
      <scheme val="minor"/>
    </font>
    <font>
      <sz val="26"/>
      <color rgb="FFFF0000"/>
      <name val="Calibri"/>
      <family val="2"/>
      <scheme val="minor"/>
    </font>
    <font>
      <b/>
      <sz val="11"/>
      <color theme="0"/>
      <name val="Calibri"/>
      <family val="2"/>
      <scheme val="minor"/>
    </font>
    <font>
      <b/>
      <sz val="11"/>
      <color rgb="FF000000"/>
      <name val="Calibri"/>
      <scheme val="minor"/>
    </font>
    <font>
      <sz val="11"/>
      <color rgb="FFC00000"/>
      <name val="Calibri"/>
      <family val="2"/>
      <scheme val="minor"/>
    </font>
    <font>
      <sz val="11"/>
      <color rgb="FF9C0006"/>
      <name val="Calibri"/>
      <charset val="1"/>
    </font>
    <font>
      <sz val="10"/>
      <color theme="1"/>
      <name val="Calibri"/>
      <family val="2"/>
      <charset val="1"/>
    </font>
    <font>
      <sz val="9"/>
      <color rgb="FFC00000"/>
      <name val="Calibri"/>
      <scheme val="minor"/>
    </font>
    <font>
      <sz val="11"/>
      <color rgb="FF242424"/>
      <name val="Segoe UI"/>
      <charset val="1"/>
    </font>
    <font>
      <sz val="10"/>
      <color rgb="FF000000"/>
      <name val="Aptos"/>
      <charset val="1"/>
    </font>
    <font>
      <sz val="10"/>
      <color theme="1"/>
      <name val="Times New Roman"/>
      <family val="1"/>
      <charset val="1"/>
    </font>
    <font>
      <sz val="9"/>
      <color theme="1"/>
      <name val="Arial"/>
      <family val="2"/>
      <charset val="1"/>
    </font>
    <font>
      <sz val="11"/>
      <color rgb="FF00B050"/>
      <name val="Calibri"/>
      <scheme val="minor"/>
    </font>
  </fonts>
  <fills count="18">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1"/>
        <bgColor indexed="64"/>
      </patternFill>
    </fill>
    <fill>
      <patternFill patternType="solid">
        <fgColor rgb="FF00B0F0"/>
        <bgColor indexed="64"/>
      </patternFill>
    </fill>
    <fill>
      <patternFill patternType="solid">
        <fgColor theme="7"/>
        <bgColor indexed="64"/>
      </patternFill>
    </fill>
    <fill>
      <patternFill patternType="solid">
        <fgColor theme="9" tint="0.59999389629810485"/>
        <bgColor indexed="64"/>
      </patternFill>
    </fill>
    <fill>
      <patternFill patternType="solid">
        <fgColor rgb="FFFFFFFF"/>
        <bgColor indexed="64"/>
      </patternFill>
    </fill>
    <fill>
      <patternFill patternType="solid">
        <fgColor theme="5" tint="0.59999389629810485"/>
        <bgColor indexed="64"/>
      </patternFill>
    </fill>
    <fill>
      <patternFill patternType="solid">
        <fgColor rgb="FFC00000"/>
        <bgColor indexed="64"/>
      </patternFill>
    </fill>
    <fill>
      <patternFill patternType="solid">
        <fgColor theme="0"/>
        <bgColor indexed="64"/>
      </patternFill>
    </fill>
    <fill>
      <patternFill patternType="solid">
        <fgColor rgb="FF00B050"/>
        <bgColor indexed="64"/>
      </patternFill>
    </fill>
    <fill>
      <patternFill patternType="solid">
        <fgColor rgb="FFFF0000"/>
        <bgColor indexed="64"/>
      </patternFill>
    </fill>
  </fills>
  <borders count="16">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rgb="FF000000"/>
      </left>
      <right style="thin">
        <color rgb="FF000000"/>
      </right>
      <top/>
      <bottom style="thin">
        <color rgb="FF000000"/>
      </bottom>
      <diagonal/>
    </border>
  </borders>
  <cellStyleXfs count="2">
    <xf numFmtId="0" fontId="0" fillId="0" borderId="0"/>
    <xf numFmtId="165" fontId="2" fillId="0" borderId="0" applyFont="0" applyFill="0" applyBorder="0" applyAlignment="0" applyProtection="0"/>
  </cellStyleXfs>
  <cellXfs count="212">
    <xf numFmtId="0" fontId="0" fillId="0" borderId="0" xfId="0"/>
    <xf numFmtId="0" fontId="0" fillId="0" borderId="0" xfId="0" applyAlignment="1">
      <alignment horizontal="center" vertical="center"/>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0" fillId="5" borderId="0" xfId="0" applyFill="1"/>
    <xf numFmtId="0" fontId="0" fillId="3" borderId="0" xfId="0" applyFill="1"/>
    <xf numFmtId="0" fontId="13" fillId="10" borderId="5" xfId="0" applyFont="1" applyFill="1" applyBorder="1" applyAlignment="1">
      <alignment horizontal="center" vertical="center"/>
    </xf>
    <xf numFmtId="167" fontId="13" fillId="10" borderId="5" xfId="0" applyNumberFormat="1" applyFont="1" applyFill="1" applyBorder="1" applyAlignment="1">
      <alignment horizontal="center" vertical="center"/>
    </xf>
    <xf numFmtId="14" fontId="13" fillId="10" borderId="5" xfId="0" applyNumberFormat="1" applyFont="1" applyFill="1" applyBorder="1" applyAlignment="1">
      <alignment horizontal="center" vertical="center"/>
    </xf>
    <xf numFmtId="0" fontId="13" fillId="10" borderId="5" xfId="0" applyFont="1" applyFill="1" applyBorder="1" applyAlignment="1">
      <alignment horizontal="left" vertical="center"/>
    </xf>
    <xf numFmtId="17" fontId="13" fillId="3" borderId="5" xfId="0" applyNumberFormat="1" applyFont="1" applyFill="1" applyBorder="1" applyAlignment="1">
      <alignment horizontal="center" vertical="center"/>
    </xf>
    <xf numFmtId="0" fontId="0" fillId="0" borderId="5" xfId="0" applyBorder="1" applyAlignment="1">
      <alignment vertical="center"/>
    </xf>
    <xf numFmtId="0" fontId="0" fillId="11" borderId="5" xfId="0" applyFill="1" applyBorder="1" applyAlignment="1">
      <alignment horizontal="center" vertical="center"/>
    </xf>
    <xf numFmtId="0" fontId="0" fillId="0" borderId="5" xfId="0" applyBorder="1" applyAlignment="1">
      <alignment horizontal="center" vertical="center"/>
    </xf>
    <xf numFmtId="167" fontId="0" fillId="0" borderId="5" xfId="0" applyNumberFormat="1" applyBorder="1" applyAlignment="1">
      <alignment horizontal="center" vertical="center"/>
    </xf>
    <xf numFmtId="14" fontId="0" fillId="0" borderId="5" xfId="0" applyNumberFormat="1" applyBorder="1" applyAlignment="1">
      <alignment horizontal="center" vertical="center"/>
    </xf>
    <xf numFmtId="0" fontId="0" fillId="0" borderId="5" xfId="0" applyBorder="1" applyAlignment="1">
      <alignment horizontal="left" vertical="center"/>
    </xf>
    <xf numFmtId="0" fontId="0" fillId="2" borderId="5" xfId="0" applyFill="1" applyBorder="1" applyAlignment="1">
      <alignment vertical="center"/>
    </xf>
    <xf numFmtId="0" fontId="0" fillId="2" borderId="5" xfId="0" applyFill="1" applyBorder="1" applyAlignment="1">
      <alignment horizontal="center" vertical="center"/>
    </xf>
    <xf numFmtId="168" fontId="0" fillId="2" borderId="5" xfId="0" applyNumberFormat="1" applyFill="1" applyBorder="1" applyAlignment="1">
      <alignment horizontal="center" vertical="center"/>
    </xf>
    <xf numFmtId="14" fontId="0" fillId="2" borderId="5" xfId="0" applyNumberFormat="1" applyFill="1" applyBorder="1" applyAlignment="1">
      <alignment horizontal="center" vertical="center"/>
    </xf>
    <xf numFmtId="0" fontId="0" fillId="2" borderId="5" xfId="0" applyFill="1" applyBorder="1" applyAlignment="1">
      <alignment horizontal="left" vertical="center"/>
    </xf>
    <xf numFmtId="167" fontId="0" fillId="2" borderId="5" xfId="0" applyNumberFormat="1" applyFill="1" applyBorder="1" applyAlignment="1">
      <alignment horizontal="center" vertical="center"/>
    </xf>
    <xf numFmtId="0" fontId="14" fillId="0" borderId="5" xfId="0" applyFont="1" applyBorder="1" applyAlignment="1">
      <alignment horizontal="center" vertical="center" wrapText="1"/>
    </xf>
    <xf numFmtId="0" fontId="0" fillId="0" borderId="5" xfId="0" applyBorder="1" applyAlignment="1">
      <alignment horizontal="left" vertical="top" wrapText="1"/>
    </xf>
    <xf numFmtId="167" fontId="15" fillId="0" borderId="5" xfId="0" applyNumberFormat="1" applyFont="1" applyBorder="1" applyAlignment="1">
      <alignment horizontal="center" vertical="center"/>
    </xf>
    <xf numFmtId="0" fontId="0" fillId="0" borderId="5" xfId="0" applyBorder="1" applyAlignment="1">
      <alignment horizontal="center" vertical="center" wrapText="1"/>
    </xf>
    <xf numFmtId="0" fontId="0" fillId="0" borderId="5" xfId="0" applyBorder="1" applyAlignment="1">
      <alignment horizontal="left" vertical="center" wrapText="1"/>
    </xf>
    <xf numFmtId="0" fontId="0" fillId="0" borderId="6" xfId="0" applyBorder="1" applyAlignment="1">
      <alignment horizontal="center" vertical="center"/>
    </xf>
    <xf numFmtId="0" fontId="0" fillId="0" borderId="6" xfId="0" applyBorder="1" applyAlignment="1">
      <alignment horizontal="center" vertical="center" wrapText="1"/>
    </xf>
    <xf numFmtId="167" fontId="0" fillId="0" borderId="7" xfId="0" applyNumberFormat="1" applyBorder="1" applyAlignment="1">
      <alignment horizontal="center" vertical="center"/>
    </xf>
    <xf numFmtId="14" fontId="0" fillId="0" borderId="8" xfId="0" applyNumberFormat="1" applyBorder="1" applyAlignment="1">
      <alignment horizontal="center" vertical="center"/>
    </xf>
    <xf numFmtId="0" fontId="0" fillId="12" borderId="5" xfId="0" applyFill="1" applyBorder="1" applyAlignment="1">
      <alignment horizontal="center" vertical="center"/>
    </xf>
    <xf numFmtId="167" fontId="0" fillId="0" borderId="5" xfId="0" applyNumberFormat="1" applyBorder="1" applyAlignment="1">
      <alignment horizontal="center" vertical="center" wrapText="1"/>
    </xf>
    <xf numFmtId="9" fontId="0" fillId="0" borderId="0" xfId="0" applyNumberFormat="1"/>
    <xf numFmtId="43" fontId="0" fillId="0" borderId="0" xfId="0" applyNumberFormat="1"/>
    <xf numFmtId="9" fontId="15" fillId="13" borderId="0" xfId="0" applyNumberFormat="1" applyFont="1" applyFill="1" applyAlignment="1">
      <alignment horizontal="center" vertical="center"/>
    </xf>
    <xf numFmtId="165" fontId="0" fillId="11" borderId="0" xfId="0" applyNumberFormat="1" applyFill="1" applyAlignment="1">
      <alignment horizontal="center" vertical="center"/>
    </xf>
    <xf numFmtId="0" fontId="17" fillId="0" borderId="5" xfId="0" applyFont="1" applyBorder="1" applyAlignment="1">
      <alignment horizontal="center" vertical="center" wrapText="1"/>
    </xf>
    <xf numFmtId="2" fontId="15" fillId="13" borderId="0" xfId="0" applyNumberFormat="1" applyFont="1" applyFill="1"/>
    <xf numFmtId="0" fontId="15" fillId="13" borderId="0" xfId="0" applyFont="1" applyFill="1"/>
    <xf numFmtId="43" fontId="0" fillId="11" borderId="0" xfId="0" applyNumberFormat="1" applyFill="1"/>
    <xf numFmtId="165" fontId="0" fillId="0" borderId="0" xfId="0" applyNumberFormat="1"/>
    <xf numFmtId="165" fontId="15" fillId="13" borderId="5" xfId="1" applyFont="1" applyFill="1" applyBorder="1" applyAlignment="1">
      <alignment wrapText="1"/>
    </xf>
    <xf numFmtId="9" fontId="15" fillId="13" borderId="0" xfId="0" applyNumberFormat="1" applyFont="1" applyFill="1"/>
    <xf numFmtId="9" fontId="13" fillId="0" borderId="6" xfId="0" applyNumberFormat="1" applyFont="1" applyBorder="1" applyAlignment="1">
      <alignment horizontal="center"/>
    </xf>
    <xf numFmtId="0" fontId="19" fillId="14" borderId="0" xfId="0" applyFont="1" applyFill="1" applyAlignment="1">
      <alignment horizontal="center" vertical="center" wrapText="1"/>
    </xf>
    <xf numFmtId="165" fontId="5" fillId="14" borderId="0" xfId="1" applyFont="1" applyFill="1" applyAlignment="1">
      <alignment horizontal="center" vertical="center" wrapText="1"/>
    </xf>
    <xf numFmtId="165" fontId="19" fillId="14" borderId="0" xfId="1" applyFont="1" applyFill="1" applyAlignment="1">
      <alignment horizontal="center" vertical="center" wrapText="1"/>
    </xf>
    <xf numFmtId="16" fontId="0" fillId="0" borderId="5" xfId="0" applyNumberFormat="1" applyBorder="1" applyAlignment="1">
      <alignment horizontal="center" vertical="center" wrapText="1"/>
    </xf>
    <xf numFmtId="16" fontId="0" fillId="15" borderId="5" xfId="0" applyNumberFormat="1" applyFill="1" applyBorder="1" applyAlignment="1">
      <alignment horizontal="center" vertical="center" wrapText="1"/>
    </xf>
    <xf numFmtId="0" fontId="0" fillId="11" borderId="5" xfId="0" applyFill="1" applyBorder="1" applyAlignment="1">
      <alignment horizontal="center" vertical="center" wrapText="1"/>
    </xf>
    <xf numFmtId="0" fontId="0" fillId="0" borderId="5" xfId="0" applyBorder="1" applyAlignment="1">
      <alignment wrapText="1"/>
    </xf>
    <xf numFmtId="0" fontId="0" fillId="2" borderId="5" xfId="0" applyFill="1" applyBorder="1" applyAlignment="1">
      <alignment horizontal="center" vertical="center" wrapText="1"/>
    </xf>
    <xf numFmtId="0" fontId="0" fillId="4" borderId="5" xfId="0" applyFill="1" applyBorder="1" applyAlignment="1">
      <alignment horizontal="center" vertical="center" wrapText="1"/>
    </xf>
    <xf numFmtId="165" fontId="17" fillId="0" borderId="5" xfId="1" applyFont="1" applyBorder="1" applyAlignment="1">
      <alignment wrapText="1"/>
    </xf>
    <xf numFmtId="0" fontId="15" fillId="0" borderId="5" xfId="0" applyFont="1" applyBorder="1" applyAlignment="1">
      <alignment horizontal="center" vertical="center" wrapText="1"/>
    </xf>
    <xf numFmtId="0" fontId="12" fillId="0" borderId="5" xfId="0" applyFont="1" applyBorder="1" applyAlignment="1">
      <alignment horizontal="center" vertical="center" wrapText="1"/>
    </xf>
    <xf numFmtId="0" fontId="0" fillId="0" borderId="9" xfId="0" applyBorder="1" applyAlignment="1">
      <alignment horizontal="center" vertical="center"/>
    </xf>
    <xf numFmtId="0" fontId="0" fillId="0" borderId="6" xfId="0" applyBorder="1" applyAlignment="1">
      <alignment horizontal="left" vertical="top" wrapText="1"/>
    </xf>
    <xf numFmtId="0" fontId="0" fillId="0" borderId="0" xfId="0" applyAlignment="1">
      <alignment horizontal="left" vertical="top"/>
    </xf>
    <xf numFmtId="3" fontId="0" fillId="0" borderId="5" xfId="0" applyNumberFormat="1" applyBorder="1" applyAlignment="1">
      <alignment horizontal="center" vertical="center" wrapText="1"/>
    </xf>
    <xf numFmtId="0" fontId="0" fillId="0" borderId="0" xfId="0" applyAlignment="1">
      <alignment horizontal="center" vertical="center" wrapText="1"/>
    </xf>
    <xf numFmtId="0" fontId="0" fillId="15" borderId="5" xfId="0" applyFill="1" applyBorder="1" applyAlignment="1">
      <alignment horizontal="center" vertical="center" wrapText="1"/>
    </xf>
    <xf numFmtId="0" fontId="0" fillId="0" borderId="8" xfId="0" applyBorder="1" applyAlignment="1">
      <alignment horizontal="center" vertical="center" wrapText="1"/>
    </xf>
    <xf numFmtId="0" fontId="0" fillId="0" borderId="5" xfId="0" applyBorder="1" applyAlignment="1">
      <alignment vertical="top" wrapText="1"/>
    </xf>
    <xf numFmtId="165" fontId="17" fillId="0" borderId="5" xfId="1" applyFont="1" applyBorder="1" applyAlignment="1">
      <alignment vertical="center" wrapText="1"/>
    </xf>
    <xf numFmtId="0" fontId="0" fillId="0" borderId="5" xfId="0" applyBorder="1" applyAlignment="1">
      <alignment vertical="center" wrapText="1"/>
    </xf>
    <xf numFmtId="165" fontId="17" fillId="0" borderId="6" xfId="1" applyFont="1" applyBorder="1" applyAlignment="1">
      <alignment vertical="center" wrapText="1"/>
    </xf>
    <xf numFmtId="167" fontId="17" fillId="0" borderId="5" xfId="0" applyNumberFormat="1" applyFont="1" applyBorder="1" applyAlignment="1">
      <alignment vertical="center" wrapText="1"/>
    </xf>
    <xf numFmtId="0" fontId="0" fillId="11" borderId="5" xfId="0" applyFill="1" applyBorder="1" applyAlignment="1">
      <alignment vertical="center" wrapText="1"/>
    </xf>
    <xf numFmtId="165" fontId="17" fillId="0" borderId="5" xfId="0" applyNumberFormat="1" applyFont="1" applyBorder="1" applyAlignment="1">
      <alignment vertical="center" wrapText="1"/>
    </xf>
    <xf numFmtId="0" fontId="0" fillId="4" borderId="5" xfId="0" applyFill="1" applyBorder="1" applyAlignment="1">
      <alignment vertical="center" wrapText="1"/>
    </xf>
    <xf numFmtId="0" fontId="0" fillId="16" borderId="5" xfId="0" applyFill="1" applyBorder="1" applyAlignment="1">
      <alignment vertical="center" wrapText="1"/>
    </xf>
    <xf numFmtId="0" fontId="0" fillId="2" borderId="5" xfId="0" applyFill="1" applyBorder="1" applyAlignment="1">
      <alignment vertical="center" wrapText="1"/>
    </xf>
    <xf numFmtId="167" fontId="0" fillId="0" borderId="5" xfId="0" applyNumberFormat="1" applyBorder="1" applyAlignment="1">
      <alignment vertical="center" wrapText="1"/>
    </xf>
    <xf numFmtId="165" fontId="0" fillId="0" borderId="5" xfId="1" applyFont="1" applyBorder="1" applyAlignment="1">
      <alignment vertical="center" wrapText="1"/>
    </xf>
    <xf numFmtId="165" fontId="15" fillId="0" borderId="5" xfId="1" applyFont="1" applyBorder="1" applyAlignment="1">
      <alignment vertical="center" wrapText="1"/>
    </xf>
    <xf numFmtId="0" fontId="0" fillId="17" borderId="5" xfId="0" applyFill="1" applyBorder="1" applyAlignment="1">
      <alignment vertical="center" wrapText="1"/>
    </xf>
    <xf numFmtId="16" fontId="0" fillId="0" borderId="5" xfId="0" applyNumberFormat="1" applyBorder="1" applyAlignment="1">
      <alignment horizontal="center" vertical="center"/>
    </xf>
    <xf numFmtId="0" fontId="0" fillId="0" borderId="8" xfId="0" applyBorder="1" applyAlignment="1">
      <alignment horizontal="left" vertical="center" wrapText="1"/>
    </xf>
    <xf numFmtId="167" fontId="0" fillId="0" borderId="5" xfId="0" applyNumberFormat="1" applyBorder="1" applyAlignment="1">
      <alignment horizontal="left" vertical="center" wrapText="1"/>
    </xf>
    <xf numFmtId="0" fontId="0" fillId="7" borderId="5" xfId="0" applyFill="1" applyBorder="1" applyAlignment="1">
      <alignment horizontal="center" vertical="center" wrapText="1"/>
    </xf>
    <xf numFmtId="165" fontId="0" fillId="0" borderId="5" xfId="1" applyFont="1" applyBorder="1" applyAlignment="1">
      <alignment wrapText="1"/>
    </xf>
    <xf numFmtId="0" fontId="0" fillId="0" borderId="6" xfId="0" applyBorder="1" applyAlignment="1">
      <alignment wrapText="1"/>
    </xf>
    <xf numFmtId="165" fontId="0" fillId="0" borderId="6" xfId="1" applyFont="1" applyBorder="1" applyAlignment="1">
      <alignment wrapText="1"/>
    </xf>
    <xf numFmtId="165" fontId="15" fillId="0" borderId="5" xfId="1" applyFont="1" applyBorder="1" applyAlignment="1">
      <alignment wrapText="1"/>
    </xf>
    <xf numFmtId="0" fontId="17" fillId="0" borderId="6" xfId="0" applyFont="1" applyBorder="1" applyAlignment="1">
      <alignment horizontal="center" vertical="center" wrapText="1"/>
    </xf>
    <xf numFmtId="0" fontId="21" fillId="5" borderId="5" xfId="0" applyFont="1" applyFill="1" applyBorder="1" applyAlignment="1">
      <alignment vertical="center" wrapText="1"/>
    </xf>
    <xf numFmtId="165" fontId="0" fillId="0" borderId="5" xfId="1" applyFont="1" applyFill="1" applyBorder="1" applyAlignment="1">
      <alignment wrapText="1"/>
    </xf>
    <xf numFmtId="165" fontId="15" fillId="0" borderId="5" xfId="1" applyFont="1" applyFill="1" applyBorder="1" applyAlignment="1">
      <alignment wrapText="1"/>
    </xf>
    <xf numFmtId="0" fontId="21" fillId="5" borderId="5" xfId="0" applyFont="1" applyFill="1" applyBorder="1" applyAlignment="1">
      <alignment horizontal="center" vertical="center" wrapText="1"/>
    </xf>
    <xf numFmtId="16" fontId="0" fillId="0" borderId="6" xfId="0" applyNumberFormat="1" applyBorder="1" applyAlignment="1">
      <alignment horizontal="center" vertical="center" wrapText="1"/>
    </xf>
    <xf numFmtId="0" fontId="0" fillId="11" borderId="6" xfId="0" applyFill="1" applyBorder="1" applyAlignment="1">
      <alignment horizontal="center" vertical="center" wrapText="1"/>
    </xf>
    <xf numFmtId="0" fontId="0" fillId="0" borderId="6" xfId="0" applyBorder="1" applyAlignment="1">
      <alignment vertical="top" wrapText="1"/>
    </xf>
    <xf numFmtId="165" fontId="15" fillId="0" borderId="6" xfId="1" applyFont="1" applyBorder="1" applyAlignment="1">
      <alignment wrapText="1"/>
    </xf>
    <xf numFmtId="0" fontId="15" fillId="0" borderId="6" xfId="0" applyFont="1" applyBorder="1" applyAlignment="1">
      <alignment horizontal="center" vertical="center" wrapText="1"/>
    </xf>
    <xf numFmtId="0" fontId="0" fillId="4" borderId="6" xfId="0" applyFill="1" applyBorder="1" applyAlignment="1">
      <alignment horizontal="center" vertical="center" wrapText="1"/>
    </xf>
    <xf numFmtId="0" fontId="21" fillId="0" borderId="5" xfId="0" applyFont="1" applyBorder="1" applyAlignment="1">
      <alignment horizontal="center" vertical="center" wrapText="1"/>
    </xf>
    <xf numFmtId="14" fontId="0" fillId="0" borderId="5" xfId="0" applyNumberFormat="1" applyBorder="1" applyAlignment="1">
      <alignment horizontal="center" vertical="center" wrapText="1"/>
    </xf>
    <xf numFmtId="0" fontId="3" fillId="0" borderId="0" xfId="0" applyFont="1" applyAlignment="1" applyProtection="1">
      <alignment vertical="center" wrapText="1"/>
      <protection locked="0"/>
    </xf>
    <xf numFmtId="14" fontId="3" fillId="0" borderId="0" xfId="0" applyNumberFormat="1" applyFont="1" applyAlignment="1" applyProtection="1">
      <alignment vertical="center" wrapText="1"/>
      <protection locked="0"/>
    </xf>
    <xf numFmtId="165" fontId="3" fillId="0" borderId="0" xfId="1" applyFont="1" applyFill="1" applyAlignment="1" applyProtection="1">
      <alignment vertical="center" wrapText="1"/>
      <protection locked="0"/>
    </xf>
    <xf numFmtId="166" fontId="3" fillId="0" borderId="0" xfId="0" applyNumberFormat="1" applyFont="1" applyAlignment="1" applyProtection="1">
      <alignment vertical="center" wrapText="1"/>
      <protection locked="0"/>
    </xf>
    <xf numFmtId="0" fontId="5" fillId="8" borderId="2" xfId="0" applyFont="1" applyFill="1" applyBorder="1" applyAlignment="1" applyProtection="1">
      <alignment horizontal="center" vertical="center" wrapText="1"/>
      <protection locked="0"/>
    </xf>
    <xf numFmtId="0" fontId="3" fillId="5" borderId="1" xfId="0" applyFont="1" applyFill="1" applyBorder="1" applyAlignment="1" applyProtection="1">
      <alignment horizontal="center" vertical="center" wrapText="1"/>
      <protection locked="0"/>
    </xf>
    <xf numFmtId="0" fontId="3" fillId="6" borderId="1" xfId="0" applyFont="1" applyFill="1" applyBorder="1" applyAlignment="1" applyProtection="1">
      <alignment horizontal="center" vertical="center" wrapText="1"/>
      <protection locked="0"/>
    </xf>
    <xf numFmtId="0" fontId="10" fillId="6" borderId="1" xfId="0" applyFont="1" applyFill="1" applyBorder="1" applyAlignment="1" applyProtection="1">
      <alignment horizontal="center" vertical="center" wrapText="1"/>
      <protection locked="0"/>
    </xf>
    <xf numFmtId="14" fontId="3" fillId="6" borderId="1" xfId="0" applyNumberFormat="1" applyFont="1" applyFill="1" applyBorder="1" applyAlignment="1" applyProtection="1">
      <alignment horizontal="center" vertical="center" wrapText="1"/>
      <protection locked="0"/>
    </xf>
    <xf numFmtId="165" fontId="3" fillId="6" borderId="1" xfId="1" applyFont="1" applyFill="1" applyBorder="1" applyAlignment="1" applyProtection="1">
      <alignment horizontal="center" vertical="center" wrapText="1"/>
      <protection locked="0"/>
    </xf>
    <xf numFmtId="166" fontId="3" fillId="6" borderId="1" xfId="0" applyNumberFormat="1" applyFont="1" applyFill="1" applyBorder="1" applyAlignment="1" applyProtection="1">
      <alignment horizontal="center" vertical="center" wrapText="1"/>
      <protection locked="0"/>
    </xf>
    <xf numFmtId="0" fontId="3" fillId="7" borderId="1" xfId="0" applyFont="1" applyFill="1" applyBorder="1" applyAlignment="1" applyProtection="1">
      <alignment horizontal="center" vertical="center" wrapText="1"/>
      <protection locked="0"/>
    </xf>
    <xf numFmtId="165" fontId="3" fillId="7" borderId="1" xfId="1" applyFont="1" applyFill="1" applyBorder="1" applyAlignment="1" applyProtection="1">
      <alignment horizontal="center" vertical="center" wrapText="1"/>
      <protection locked="0"/>
    </xf>
    <xf numFmtId="14" fontId="3" fillId="7" borderId="1" xfId="0" applyNumberFormat="1" applyFont="1" applyFill="1" applyBorder="1" applyAlignment="1" applyProtection="1">
      <alignment horizontal="center" vertical="center" wrapText="1"/>
      <protection locked="0"/>
    </xf>
    <xf numFmtId="0" fontId="5" fillId="8" borderId="1" xfId="0" applyFont="1" applyFill="1" applyBorder="1" applyAlignment="1" applyProtection="1">
      <alignment horizontal="center" vertical="center" wrapText="1"/>
      <protection locked="0"/>
    </xf>
    <xf numFmtId="0" fontId="3" fillId="0" borderId="0" xfId="0" applyFont="1" applyAlignment="1" applyProtection="1">
      <alignment horizontal="center" vertical="center" wrapText="1"/>
      <protection locked="0"/>
    </xf>
    <xf numFmtId="0" fontId="3" fillId="9" borderId="1" xfId="0" applyFont="1" applyFill="1" applyBorder="1" applyAlignment="1" applyProtection="1">
      <alignment horizontal="center" vertical="center" wrapText="1"/>
      <protection locked="0"/>
    </xf>
    <xf numFmtId="0" fontId="3" fillId="0" borderId="1" xfId="0" applyFont="1" applyBorder="1" applyAlignment="1" applyProtection="1">
      <alignment horizontal="center" vertical="center" wrapText="1"/>
      <protection locked="0"/>
    </xf>
    <xf numFmtId="0" fontId="3" fillId="9" borderId="1" xfId="0" applyFont="1" applyFill="1" applyBorder="1" applyAlignment="1" applyProtection="1">
      <alignment horizontal="left" vertical="top" wrapText="1"/>
      <protection locked="0"/>
    </xf>
    <xf numFmtId="0" fontId="6" fillId="0" borderId="1" xfId="0" applyFont="1" applyBorder="1" applyAlignment="1" applyProtection="1">
      <alignment horizontal="center" vertical="center" wrapText="1"/>
      <protection locked="0"/>
    </xf>
    <xf numFmtId="14" fontId="3" fillId="0" borderId="1" xfId="0" applyNumberFormat="1" applyFont="1" applyBorder="1" applyAlignment="1" applyProtection="1">
      <alignment horizontal="center" vertical="center" wrapText="1"/>
      <protection locked="0"/>
    </xf>
    <xf numFmtId="164" fontId="6" fillId="0" borderId="1" xfId="1" applyNumberFormat="1" applyFont="1" applyBorder="1" applyAlignment="1" applyProtection="1">
      <alignment horizontal="center" vertical="center" wrapText="1"/>
      <protection locked="0"/>
    </xf>
    <xf numFmtId="166" fontId="3" fillId="0" borderId="1" xfId="0" applyNumberFormat="1" applyFont="1" applyBorder="1" applyAlignment="1" applyProtection="1">
      <alignment horizontal="center" vertical="center" wrapText="1"/>
      <protection locked="0"/>
    </xf>
    <xf numFmtId="165" fontId="6" fillId="0" borderId="1" xfId="1" applyFont="1" applyBorder="1" applyAlignment="1" applyProtection="1">
      <alignment horizontal="center" vertical="center" wrapText="1"/>
      <protection locked="0"/>
    </xf>
    <xf numFmtId="0" fontId="3" fillId="2" borderId="1" xfId="0" applyFont="1" applyFill="1" applyBorder="1" applyAlignment="1" applyProtection="1">
      <alignment horizontal="center" vertical="center" wrapText="1"/>
      <protection locked="0"/>
    </xf>
    <xf numFmtId="164" fontId="3" fillId="0" borderId="2" xfId="0" applyNumberFormat="1" applyFont="1" applyBorder="1" applyAlignment="1" applyProtection="1">
      <alignment horizontal="center" vertical="center" wrapText="1"/>
      <protection locked="0"/>
    </xf>
    <xf numFmtId="0" fontId="3" fillId="0" borderId="1" xfId="0" applyFont="1" applyBorder="1" applyAlignment="1" applyProtection="1">
      <alignment horizontal="left" vertical="top" wrapText="1"/>
      <protection locked="0"/>
    </xf>
    <xf numFmtId="166" fontId="3" fillId="2" borderId="1" xfId="0" applyNumberFormat="1" applyFont="1" applyFill="1" applyBorder="1" applyAlignment="1" applyProtection="1">
      <alignment horizontal="center" vertical="center" wrapText="1"/>
      <protection locked="0"/>
    </xf>
    <xf numFmtId="165" fontId="3" fillId="0" borderId="1" xfId="1" applyFont="1" applyBorder="1" applyAlignment="1" applyProtection="1">
      <alignment horizontal="center" vertical="center" wrapText="1"/>
      <protection locked="0"/>
    </xf>
    <xf numFmtId="0" fontId="3" fillId="3" borderId="1" xfId="0" applyFont="1" applyFill="1" applyBorder="1" applyAlignment="1" applyProtection="1">
      <alignment horizontal="center" vertical="center" wrapText="1"/>
      <protection locked="0"/>
    </xf>
    <xf numFmtId="0" fontId="24" fillId="0" borderId="1" xfId="0" applyFont="1" applyBorder="1" applyAlignment="1" applyProtection="1">
      <alignment horizontal="center" vertical="center" wrapText="1"/>
      <protection locked="0"/>
    </xf>
    <xf numFmtId="0" fontId="8" fillId="0" borderId="1" xfId="0" applyFont="1" applyBorder="1" applyAlignment="1" applyProtection="1">
      <alignment horizontal="center" vertical="center" wrapText="1"/>
      <protection locked="0"/>
    </xf>
    <xf numFmtId="14" fontId="10" fillId="0" borderId="1" xfId="0" applyNumberFormat="1" applyFont="1" applyBorder="1" applyAlignment="1" applyProtection="1">
      <alignment horizontal="center" vertical="center" wrapText="1"/>
      <protection locked="0"/>
    </xf>
    <xf numFmtId="164" fontId="7" fillId="0" borderId="1" xfId="1" applyNumberFormat="1" applyFont="1" applyBorder="1" applyAlignment="1" applyProtection="1">
      <alignment horizontal="center" vertical="center" wrapText="1"/>
      <protection locked="0"/>
    </xf>
    <xf numFmtId="0" fontId="7" fillId="0" borderId="1" xfId="0" applyFont="1" applyBorder="1" applyAlignment="1" applyProtection="1">
      <alignment horizontal="center" vertical="center" wrapText="1"/>
      <protection locked="0"/>
    </xf>
    <xf numFmtId="0" fontId="10" fillId="0" borderId="1" xfId="0" applyFont="1" applyBorder="1" applyAlignment="1" applyProtection="1">
      <alignment horizontal="center" vertical="center" wrapText="1"/>
      <protection locked="0"/>
    </xf>
    <xf numFmtId="0" fontId="7" fillId="0" borderId="1" xfId="0" applyFont="1" applyBorder="1" applyAlignment="1" applyProtection="1">
      <alignment horizontal="left" vertical="top" wrapText="1"/>
      <protection locked="0"/>
    </xf>
    <xf numFmtId="0" fontId="3" fillId="15" borderId="1" xfId="0" applyFont="1" applyFill="1" applyBorder="1" applyAlignment="1" applyProtection="1">
      <alignment horizontal="center" vertical="center" wrapText="1"/>
      <protection locked="0"/>
    </xf>
    <xf numFmtId="164" fontId="11" fillId="0" borderId="1" xfId="1" applyNumberFormat="1" applyFont="1" applyBorder="1" applyAlignment="1" applyProtection="1">
      <alignment horizontal="center" vertical="center" wrapText="1"/>
      <protection locked="0"/>
    </xf>
    <xf numFmtId="14" fontId="3" fillId="15" borderId="1" xfId="0" applyNumberFormat="1" applyFont="1" applyFill="1" applyBorder="1" applyAlignment="1" applyProtection="1">
      <alignment horizontal="center" vertical="center" wrapText="1"/>
      <protection locked="0"/>
    </xf>
    <xf numFmtId="14" fontId="7" fillId="0" borderId="1" xfId="0" applyNumberFormat="1" applyFont="1" applyBorder="1" applyAlignment="1" applyProtection="1">
      <alignment horizontal="center" vertical="center" wrapText="1"/>
      <protection locked="0"/>
    </xf>
    <xf numFmtId="164" fontId="6" fillId="0" borderId="1" xfId="1" applyNumberFormat="1" applyFont="1" applyFill="1" applyBorder="1" applyAlignment="1" applyProtection="1">
      <alignment horizontal="center" vertical="center" wrapText="1"/>
      <protection locked="0"/>
    </xf>
    <xf numFmtId="165" fontId="3" fillId="0" borderId="10" xfId="1" applyFont="1" applyBorder="1" applyAlignment="1" applyProtection="1">
      <alignment horizontal="center" vertical="center" wrapText="1"/>
      <protection locked="0"/>
    </xf>
    <xf numFmtId="14" fontId="3" fillId="0" borderId="3" xfId="0" applyNumberFormat="1" applyFont="1" applyBorder="1" applyAlignment="1" applyProtection="1">
      <alignment horizontal="center" vertical="center" wrapText="1"/>
      <protection locked="0"/>
    </xf>
    <xf numFmtId="165" fontId="3" fillId="0" borderId="11" xfId="1" applyFont="1" applyBorder="1" applyAlignment="1" applyProtection="1">
      <alignment horizontal="center" vertical="center" wrapText="1"/>
      <protection locked="0"/>
    </xf>
    <xf numFmtId="0" fontId="3" fillId="0" borderId="2" xfId="0" applyFont="1" applyBorder="1" applyAlignment="1" applyProtection="1">
      <alignment horizontal="center" vertical="center" wrapText="1"/>
      <protection locked="0"/>
    </xf>
    <xf numFmtId="16" fontId="3" fillId="15" borderId="1" xfId="0" applyNumberFormat="1" applyFont="1" applyFill="1" applyBorder="1" applyAlignment="1" applyProtection="1">
      <alignment horizontal="center" vertical="center" wrapText="1"/>
      <protection locked="0"/>
    </xf>
    <xf numFmtId="0" fontId="3" fillId="0" borderId="1" xfId="0" applyFont="1" applyBorder="1" applyAlignment="1" applyProtection="1">
      <alignment vertical="center" wrapText="1"/>
      <protection locked="0"/>
    </xf>
    <xf numFmtId="165" fontId="11" fillId="0" borderId="1" xfId="1" applyFont="1" applyBorder="1" applyAlignment="1" applyProtection="1">
      <alignment horizontal="center" vertical="center" wrapText="1"/>
      <protection locked="0"/>
    </xf>
    <xf numFmtId="16" fontId="3" fillId="0" borderId="1" xfId="0" applyNumberFormat="1" applyFont="1" applyBorder="1" applyAlignment="1" applyProtection="1">
      <alignment horizontal="center" vertical="center" wrapText="1"/>
      <protection locked="0"/>
    </xf>
    <xf numFmtId="169" fontId="3" fillId="0" borderId="1" xfId="1" applyNumberFormat="1" applyFont="1" applyBorder="1" applyAlignment="1" applyProtection="1">
      <alignment horizontal="center" vertical="center" wrapText="1"/>
      <protection locked="0"/>
    </xf>
    <xf numFmtId="0" fontId="11" fillId="15" borderId="1" xfId="1" applyNumberFormat="1" applyFont="1" applyFill="1" applyBorder="1" applyAlignment="1" applyProtection="1">
      <alignment horizontal="center" vertical="center" wrapText="1"/>
      <protection locked="0"/>
    </xf>
    <xf numFmtId="165" fontId="11" fillId="15" borderId="1" xfId="1" applyFont="1" applyFill="1" applyBorder="1" applyAlignment="1" applyProtection="1">
      <alignment horizontal="center" vertical="center" wrapText="1"/>
      <protection locked="0"/>
    </xf>
    <xf numFmtId="0" fontId="3" fillId="0" borderId="10" xfId="0"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3" fillId="0" borderId="13" xfId="0" applyFont="1" applyBorder="1" applyAlignment="1" applyProtection="1">
      <alignment horizontal="center" vertical="center" wrapText="1"/>
      <protection locked="0"/>
    </xf>
    <xf numFmtId="0" fontId="3" fillId="0" borderId="12" xfId="0" applyFont="1" applyBorder="1" applyAlignment="1" applyProtection="1">
      <alignment horizontal="center" vertical="center" wrapText="1"/>
      <protection locked="0"/>
    </xf>
    <xf numFmtId="0" fontId="3" fillId="0" borderId="11" xfId="0" applyFont="1" applyBorder="1" applyAlignment="1" applyProtection="1">
      <alignment horizontal="center" vertical="center" wrapText="1"/>
      <protection locked="0"/>
    </xf>
    <xf numFmtId="4" fontId="0" fillId="0" borderId="0" xfId="0" applyNumberFormat="1" applyProtection="1">
      <protection locked="0"/>
    </xf>
    <xf numFmtId="0" fontId="22" fillId="0" borderId="0" xfId="0" applyFont="1" applyProtection="1">
      <protection locked="0"/>
    </xf>
    <xf numFmtId="14" fontId="3" fillId="2" borderId="1" xfId="0" applyNumberFormat="1" applyFont="1" applyFill="1" applyBorder="1" applyAlignment="1" applyProtection="1">
      <alignment horizontal="center" vertical="center" wrapText="1"/>
      <protection locked="0"/>
    </xf>
    <xf numFmtId="0" fontId="0" fillId="0" borderId="0" xfId="0" applyAlignment="1" applyProtection="1">
      <alignment horizontal="center" vertical="center" wrapText="1"/>
      <protection locked="0"/>
    </xf>
    <xf numFmtId="14" fontId="3" fillId="0" borderId="10" xfId="0" applyNumberFormat="1" applyFont="1" applyBorder="1" applyAlignment="1" applyProtection="1">
      <alignment horizontal="center" vertical="center" wrapText="1"/>
      <protection locked="0"/>
    </xf>
    <xf numFmtId="165" fontId="11" fillId="0" borderId="10" xfId="1" applyFont="1" applyBorder="1" applyAlignment="1" applyProtection="1">
      <alignment horizontal="center" vertical="center" wrapText="1"/>
      <protection locked="0"/>
    </xf>
    <xf numFmtId="166" fontId="3" fillId="0" borderId="10" xfId="0" applyNumberFormat="1" applyFont="1" applyBorder="1" applyAlignment="1" applyProtection="1">
      <alignment horizontal="center" vertical="center" wrapText="1"/>
      <protection locked="0"/>
    </xf>
    <xf numFmtId="0" fontId="3" fillId="0" borderId="5" xfId="0" applyFont="1" applyBorder="1" applyAlignment="1" applyProtection="1">
      <alignment horizontal="center" vertical="center" wrapText="1"/>
      <protection locked="0"/>
    </xf>
    <xf numFmtId="14" fontId="3" fillId="0" borderId="14" xfId="0" applyNumberFormat="1" applyFont="1" applyBorder="1" applyAlignment="1" applyProtection="1">
      <alignment horizontal="center" vertical="center" wrapText="1"/>
      <protection locked="0"/>
    </xf>
    <xf numFmtId="165" fontId="3" fillId="0" borderId="2" xfId="0" applyNumberFormat="1" applyFont="1" applyBorder="1" applyAlignment="1" applyProtection="1">
      <alignment horizontal="center" vertical="center" wrapText="1"/>
      <protection locked="0"/>
    </xf>
    <xf numFmtId="0" fontId="3" fillId="0" borderId="1" xfId="0" applyFont="1" applyBorder="1" applyAlignment="1" applyProtection="1">
      <alignment horizontal="left" vertical="center" wrapText="1"/>
      <protection locked="0"/>
    </xf>
    <xf numFmtId="0" fontId="25" fillId="12" borderId="0" xfId="0" applyFont="1" applyFill="1" applyAlignment="1" applyProtection="1">
      <alignment wrapText="1"/>
      <protection locked="0"/>
    </xf>
    <xf numFmtId="165" fontId="7" fillId="0" borderId="1" xfId="1" applyFont="1" applyBorder="1" applyAlignment="1" applyProtection="1">
      <alignment horizontal="center" vertical="center" wrapText="1"/>
      <protection locked="0"/>
    </xf>
    <xf numFmtId="4" fontId="3" fillId="2" borderId="1" xfId="0" applyNumberFormat="1" applyFont="1" applyFill="1" applyBorder="1" applyAlignment="1" applyProtection="1">
      <alignment horizontal="center" vertical="center" wrapText="1"/>
      <protection locked="0"/>
    </xf>
    <xf numFmtId="0" fontId="0" fillId="0" borderId="0" xfId="0" applyAlignment="1" applyProtection="1">
      <alignment wrapText="1"/>
      <protection locked="0"/>
    </xf>
    <xf numFmtId="3" fontId="3" fillId="0" borderId="1" xfId="0" applyNumberFormat="1" applyFont="1" applyBorder="1" applyAlignment="1" applyProtection="1">
      <alignment horizontal="center" vertical="center" wrapText="1"/>
      <protection locked="0"/>
    </xf>
    <xf numFmtId="165" fontId="11" fillId="0" borderId="0" xfId="1" applyFont="1" applyAlignment="1" applyProtection="1">
      <alignment vertical="center" wrapText="1"/>
      <protection locked="0"/>
    </xf>
    <xf numFmtId="165" fontId="3" fillId="0" borderId="0" xfId="1" applyFont="1" applyAlignment="1" applyProtection="1">
      <alignment vertical="center" wrapText="1"/>
      <protection locked="0"/>
    </xf>
    <xf numFmtId="0" fontId="26" fillId="0" borderId="0" xfId="0" applyFont="1" applyAlignment="1" applyProtection="1">
      <alignment horizontal="center" vertical="center"/>
      <protection locked="0"/>
    </xf>
    <xf numFmtId="4" fontId="3" fillId="0" borderId="1" xfId="0" applyNumberFormat="1" applyFont="1" applyBorder="1" applyAlignment="1" applyProtection="1">
      <alignment horizontal="center" vertical="center" wrapText="1"/>
      <protection locked="0"/>
    </xf>
    <xf numFmtId="0" fontId="0" fillId="0" borderId="5" xfId="0" applyBorder="1"/>
    <xf numFmtId="0" fontId="0" fillId="0" borderId="7" xfId="0" applyBorder="1" applyAlignment="1">
      <alignment horizontal="center" vertical="center" wrapText="1"/>
    </xf>
    <xf numFmtId="0" fontId="0" fillId="12" borderId="15" xfId="0" applyFill="1" applyBorder="1" applyAlignment="1">
      <alignment horizontal="center" vertical="center"/>
    </xf>
    <xf numFmtId="0" fontId="0" fillId="0" borderId="15" xfId="0" applyBorder="1" applyAlignment="1">
      <alignment vertical="top" wrapText="1"/>
    </xf>
    <xf numFmtId="0" fontId="0" fillId="0" borderId="15" xfId="0" applyBorder="1" applyAlignment="1">
      <alignment horizontal="center" vertical="center"/>
    </xf>
    <xf numFmtId="165" fontId="6" fillId="0" borderId="1" xfId="1" applyFont="1" applyFill="1" applyBorder="1" applyAlignment="1" applyProtection="1">
      <alignment horizontal="center" vertical="center" wrapText="1"/>
      <protection locked="0"/>
    </xf>
    <xf numFmtId="165" fontId="11" fillId="0" borderId="1" xfId="1" applyFont="1" applyFill="1" applyBorder="1" applyAlignment="1" applyProtection="1">
      <alignment horizontal="center" vertical="center" wrapText="1"/>
      <protection locked="0"/>
    </xf>
    <xf numFmtId="0" fontId="27" fillId="0" borderId="0" xfId="0" applyFont="1" applyProtection="1">
      <protection locked="0"/>
    </xf>
    <xf numFmtId="0" fontId="28" fillId="0" borderId="0" xfId="0" applyFont="1" applyProtection="1">
      <protection locked="0"/>
    </xf>
    <xf numFmtId="168" fontId="11" fillId="0" borderId="1" xfId="1" applyNumberFormat="1" applyFont="1" applyBorder="1" applyAlignment="1" applyProtection="1">
      <alignment horizontal="center" vertical="center" wrapText="1"/>
      <protection locked="0"/>
    </xf>
    <xf numFmtId="0" fontId="3" fillId="0" borderId="0" xfId="0" applyFont="1" applyAlignment="1" applyProtection="1">
      <alignment horizontal="left" vertical="center" wrapText="1"/>
      <protection locked="0"/>
    </xf>
    <xf numFmtId="0" fontId="3" fillId="9" borderId="1" xfId="0" applyFont="1" applyFill="1" applyBorder="1" applyAlignment="1" applyProtection="1">
      <alignment horizontal="left" vertical="center" wrapText="1"/>
      <protection locked="0"/>
    </xf>
    <xf numFmtId="0" fontId="23" fillId="9" borderId="0" xfId="0" applyFont="1" applyFill="1" applyAlignment="1" applyProtection="1">
      <alignment horizontal="left" wrapText="1"/>
      <protection locked="0"/>
    </xf>
    <xf numFmtId="0" fontId="3" fillId="9" borderId="1" xfId="0" quotePrefix="1" applyFont="1" applyFill="1" applyBorder="1" applyAlignment="1" applyProtection="1">
      <alignment horizontal="left" vertical="center" wrapText="1"/>
      <protection locked="0"/>
    </xf>
    <xf numFmtId="0" fontId="3" fillId="0" borderId="11" xfId="0" applyFont="1" applyBorder="1" applyAlignment="1" applyProtection="1">
      <alignment horizontal="left" vertical="center" wrapText="1"/>
      <protection locked="0"/>
    </xf>
    <xf numFmtId="0" fontId="29" fillId="0" borderId="5" xfId="0" applyFont="1" applyBorder="1" applyAlignment="1">
      <alignment horizontal="center" vertical="center" wrapText="1"/>
    </xf>
    <xf numFmtId="0" fontId="3" fillId="0" borderId="10" xfId="0" applyFont="1" applyBorder="1" applyAlignment="1" applyProtection="1">
      <alignment horizontal="left" vertical="center" wrapText="1"/>
      <protection locked="0"/>
    </xf>
    <xf numFmtId="164" fontId="3" fillId="0" borderId="13" xfId="0" applyNumberFormat="1" applyFont="1" applyBorder="1" applyAlignment="1" applyProtection="1">
      <alignment horizontal="center" vertical="center" wrapText="1"/>
      <protection locked="0"/>
    </xf>
    <xf numFmtId="0" fontId="3" fillId="2" borderId="10" xfId="0" applyFont="1" applyFill="1" applyBorder="1" applyAlignment="1" applyProtection="1">
      <alignment horizontal="center" vertical="center" wrapText="1"/>
      <protection locked="0"/>
    </xf>
    <xf numFmtId="165" fontId="7" fillId="0" borderId="1" xfId="1" applyFont="1" applyFill="1" applyBorder="1" applyAlignment="1" applyProtection="1">
      <alignment horizontal="center" vertical="center" wrapText="1"/>
      <protection locked="0"/>
    </xf>
    <xf numFmtId="165" fontId="3" fillId="0" borderId="1" xfId="1" applyFont="1" applyFill="1" applyBorder="1" applyAlignment="1" applyProtection="1">
      <alignment horizontal="center" vertical="center" wrapText="1"/>
      <protection locked="0"/>
    </xf>
    <xf numFmtId="0" fontId="0" fillId="2" borderId="5" xfId="0" applyFill="1" applyBorder="1" applyAlignment="1">
      <alignment horizontal="left" vertical="top" wrapText="1"/>
    </xf>
    <xf numFmtId="0" fontId="1" fillId="11" borderId="5" xfId="0" applyFont="1" applyFill="1" applyBorder="1" applyAlignment="1">
      <alignment horizontal="center" vertical="center" wrapText="1"/>
    </xf>
    <xf numFmtId="0" fontId="1" fillId="0" borderId="5" xfId="0" applyFont="1" applyBorder="1" applyAlignment="1">
      <alignment horizontal="center" vertical="center" wrapText="1"/>
    </xf>
    <xf numFmtId="0" fontId="1" fillId="0" borderId="5" xfId="0" applyFont="1" applyBorder="1" applyAlignment="1">
      <alignment horizontal="left" vertical="center" wrapText="1"/>
    </xf>
    <xf numFmtId="0" fontId="4" fillId="4" borderId="1" xfId="0" applyFont="1" applyFill="1" applyBorder="1" applyAlignment="1" applyProtection="1">
      <alignment horizontal="center" vertical="center" wrapText="1"/>
      <protection locked="0"/>
    </xf>
    <xf numFmtId="0" fontId="4" fillId="2" borderId="1" xfId="0" applyFont="1" applyFill="1" applyBorder="1" applyAlignment="1" applyProtection="1">
      <alignment horizontal="center" vertical="center" wrapText="1"/>
      <protection locked="0"/>
    </xf>
    <xf numFmtId="0" fontId="5" fillId="8" borderId="2" xfId="0" applyFont="1" applyFill="1" applyBorder="1" applyAlignment="1" applyProtection="1">
      <alignment horizontal="center" vertical="center" wrapText="1"/>
      <protection locked="0"/>
    </xf>
    <xf numFmtId="0" fontId="5" fillId="8" borderId="4" xfId="0" applyFont="1" applyFill="1" applyBorder="1" applyAlignment="1" applyProtection="1">
      <alignment horizontal="center" vertical="center" wrapText="1"/>
      <protection locked="0"/>
    </xf>
    <xf numFmtId="0" fontId="4" fillId="3" borderId="2" xfId="0" applyFont="1" applyFill="1" applyBorder="1" applyAlignment="1" applyProtection="1">
      <alignment horizontal="center" vertical="center" wrapText="1"/>
      <protection locked="0"/>
    </xf>
    <xf numFmtId="0" fontId="4" fillId="3" borderId="4" xfId="0" applyFont="1" applyFill="1" applyBorder="1" applyAlignment="1" applyProtection="1">
      <alignment horizontal="center" vertical="center" wrapText="1"/>
      <protection locked="0"/>
    </xf>
    <xf numFmtId="0" fontId="4" fillId="3" borderId="3" xfId="0" applyFont="1" applyFill="1" applyBorder="1" applyAlignment="1" applyProtection="1">
      <alignment horizontal="center" vertical="center" wrapText="1"/>
      <protection locked="0"/>
    </xf>
    <xf numFmtId="1" fontId="18" fillId="0" borderId="5" xfId="0" applyNumberFormat="1" applyFont="1" applyBorder="1" applyAlignment="1">
      <alignment horizontal="center" vertical="center" wrapText="1"/>
    </xf>
  </cellXfs>
  <cellStyles count="2">
    <cellStyle name="Moeda" xfId="1" builtinId="4"/>
    <cellStyle name="Normal" xfId="0" builtinId="0"/>
  </cellStyles>
  <dxfs count="247">
    <dxf>
      <font>
        <color rgb="FF9C0006"/>
      </font>
      <fill>
        <patternFill patternType="solid">
          <bgColor theme="5" tint="0.79998168889431442"/>
        </patternFill>
      </fill>
    </dxf>
    <dxf>
      <font>
        <color rgb="FF9C0006"/>
      </font>
      <fill>
        <patternFill patternType="solid">
          <bgColor theme="5" tint="0.79998168889431442"/>
        </patternFill>
      </fill>
    </dxf>
    <dxf>
      <font>
        <color rgb="FF9C0006"/>
      </font>
      <fill>
        <patternFill patternType="solid">
          <bgColor theme="5" tint="0.79998168889431442"/>
        </patternFill>
      </fill>
    </dxf>
    <dxf>
      <font>
        <color rgb="FF9C0006"/>
      </font>
      <fill>
        <patternFill patternType="solid">
          <bgColor theme="5" tint="0.79998168889431442"/>
        </patternFill>
      </fill>
    </dxf>
    <dxf>
      <font>
        <color rgb="FF9C0006"/>
      </font>
      <fill>
        <patternFill>
          <bgColor rgb="FFFFC7CE"/>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ill>
        <patternFill patternType="solid">
          <bgColor rgb="FFFFC000"/>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ill>
        <patternFill patternType="solid">
          <bgColor rgb="FFFFC000"/>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ont>
        <color theme="9" tint="-0.499984740745262"/>
      </font>
      <fill>
        <patternFill patternType="solid">
          <bgColor theme="9" tint="0.59999389629810485"/>
        </patternFill>
      </fill>
    </dxf>
    <dxf>
      <fill>
        <patternFill patternType="solid">
          <bgColor rgb="FFFFC000"/>
        </patternFill>
      </fill>
    </dxf>
    <dxf>
      <font>
        <color theme="9" tint="-0.499984740745262"/>
      </font>
      <fill>
        <patternFill patternType="solid">
          <bgColor theme="9" tint="0.59999389629810485"/>
        </patternFill>
      </fill>
    </dxf>
    <dxf>
      <fill>
        <patternFill patternType="solid">
          <bgColor rgb="FFFFC000"/>
        </patternFill>
      </fill>
    </dxf>
    <dxf>
      <font>
        <color theme="9" tint="-0.499984740745262"/>
      </font>
      <fill>
        <patternFill patternType="solid">
          <bgColor theme="9" tint="0.59999389629810485"/>
        </patternFill>
      </fill>
    </dxf>
    <dxf>
      <fill>
        <patternFill patternType="solid">
          <bgColor rgb="FFFFC000"/>
        </patternFill>
      </fill>
    </dxf>
    <dxf>
      <font>
        <color theme="9" tint="-0.499984740745262"/>
      </font>
      <fill>
        <patternFill patternType="solid">
          <bgColor theme="9" tint="0.59999389629810485"/>
        </patternFill>
      </fill>
    </dxf>
    <dxf>
      <fill>
        <patternFill patternType="solid">
          <bgColor rgb="FFFFC000"/>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ont>
        <color theme="9" tint="-0.499984740745262"/>
      </font>
      <fill>
        <patternFill patternType="solid">
          <bgColor theme="9" tint="0.59999389629810485"/>
        </patternFill>
      </fill>
    </dxf>
    <dxf>
      <fill>
        <patternFill patternType="solid">
          <bgColor rgb="FFFFC000"/>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ont>
        <color rgb="FF9C0006"/>
      </font>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rgb="FFFFC000"/>
        </patternFill>
      </fill>
    </dxf>
    <dxf>
      <fill>
        <patternFill patternType="solid">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FFFF00"/>
        </patternFill>
      </fill>
    </dxf>
    <dxf>
      <fill>
        <patternFill patternType="solid">
          <bgColor rgb="FFFFEB9C"/>
        </patternFill>
      </fill>
    </dxf>
    <dxf>
      <fill>
        <patternFill patternType="solid">
          <bgColor rgb="FFFFC7CE"/>
        </patternFill>
      </fill>
    </dxf>
    <dxf>
      <fill>
        <patternFill patternType="solid">
          <bgColor rgb="FFC6EFCE"/>
        </patternFill>
      </fill>
    </dxf>
    <dxf>
      <fill>
        <patternFill patternType="solid">
          <bgColor rgb="FF92D050"/>
        </patternFill>
      </fill>
    </dxf>
    <dxf>
      <fill>
        <patternFill patternType="solid">
          <bgColor rgb="FF92D05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theme="5"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Camila Ramos" id="{65676D70-A01C-4580-BAA8-577C62D0D74D}" userId="S::camila-ramos@auroracoop.com.br::09f35383-dfed-4344-a276-787dc8481032" providerId="AD"/>
</personList>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Y124" dT="2025-12-17T13:20:15.06" personId="{65676D70-A01C-4580-BAA8-577C62D0D74D}" id="{12785C98-4EFE-4269-BE7C-CFFCD8A537C8}">
    <text>Nota enviada para o e-mail correto (nfserviçofac) porém Francilei não realizou a inclusão na 198 dentro do mês de emissão, solicitante Camila responsável pela abertura da rc estava de férias nesse período.</text>
  </threadedComment>
  <threadedComment ref="N312" dT="2025-12-13T14:39:20.48" personId="{65676D70-A01C-4580-BAA8-577C62D0D74D}" id="{30311ED5-2EA9-4645-94BE-B9B659B66EFF}">
    <text>SERVIÇO NÃO PRESTADO ANTES DO PEDIDO, APENAS ABERTO COMO 5 POR SER EMERGENCIAL.</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797"/>
  <sheetViews>
    <sheetView showGridLines="0" tabSelected="1" zoomScale="70" zoomScaleNormal="70" workbookViewId="0">
      <pane xSplit="1" ySplit="3" topLeftCell="B143" activePane="bottomRight" state="frozen"/>
      <selection pane="topRight" activeCell="B1" sqref="B1"/>
      <selection pane="bottomLeft" activeCell="A4" sqref="A4"/>
      <selection pane="bottomRight" activeCell="O145" sqref="O145"/>
    </sheetView>
  </sheetViews>
  <sheetFormatPr defaultColWidth="9.140625" defaultRowHeight="45" customHeight="1" x14ac:dyDescent="0.25"/>
  <cols>
    <col min="1" max="1" width="9.140625" style="101" customWidth="1"/>
    <col min="2" max="2" width="9.140625" style="116" customWidth="1"/>
    <col min="3" max="3" width="11.42578125" style="101" bestFit="1" customWidth="1"/>
    <col min="4" max="5" width="9.140625" style="101" customWidth="1"/>
    <col min="6" max="6" width="71.85546875" style="189" customWidth="1"/>
    <col min="7" max="7" width="11.28515625" style="101" customWidth="1"/>
    <col min="8" max="8" width="13.5703125" style="101" customWidth="1"/>
    <col min="9" max="9" width="8.85546875" style="101" customWidth="1"/>
    <col min="10" max="10" width="22.7109375" style="101" customWidth="1"/>
    <col min="11" max="11" width="13.5703125" style="101" customWidth="1"/>
    <col min="12" max="12" width="13.7109375" style="101" customWidth="1"/>
    <col min="13" max="13" width="26.42578125" style="101" customWidth="1"/>
    <col min="14" max="14" width="11.42578125" style="101" customWidth="1"/>
    <col min="15" max="15" width="16.85546875" style="101" customWidth="1"/>
    <col min="16" max="16" width="9.140625" style="102" customWidth="1"/>
    <col min="17" max="17" width="9.140625" style="101" hidden="1" customWidth="1"/>
    <col min="18" max="18" width="18.7109375" style="176" customWidth="1"/>
    <col min="19" max="19" width="9.140625" style="104" hidden="1" customWidth="1"/>
    <col min="20" max="23" width="9.140625" style="101" hidden="1" customWidth="1"/>
    <col min="24" max="24" width="11.28515625" style="176" hidden="1" customWidth="1"/>
    <col min="25" max="26" width="9.140625" style="102" hidden="1" customWidth="1"/>
    <col min="27" max="27" width="17.7109375" style="101" customWidth="1"/>
    <col min="28" max="28" width="27.42578125" style="101" customWidth="1"/>
    <col min="29" max="29" width="13.28515625" style="101" customWidth="1"/>
    <col min="30" max="33" width="9.140625" style="101" bestFit="1" customWidth="1"/>
    <col min="34" max="34" width="9.140625" style="101" customWidth="1"/>
    <col min="35" max="16384" width="9.140625" style="101"/>
  </cols>
  <sheetData>
    <row r="1" spans="2:29" ht="13.15" customHeight="1" x14ac:dyDescent="0.25">
      <c r="R1" s="103"/>
      <c r="X1" s="103"/>
    </row>
    <row r="2" spans="2:29" ht="21.6" customHeight="1" x14ac:dyDescent="0.25">
      <c r="C2" s="208" t="s">
        <v>0</v>
      </c>
      <c r="D2" s="209"/>
      <c r="E2" s="210"/>
      <c r="F2" s="205" t="s">
        <v>1</v>
      </c>
      <c r="G2" s="205"/>
      <c r="H2" s="205"/>
      <c r="I2" s="205"/>
      <c r="J2" s="205"/>
      <c r="K2" s="205"/>
      <c r="L2" s="205"/>
      <c r="M2" s="205"/>
      <c r="N2" s="205"/>
      <c r="O2" s="205"/>
      <c r="P2" s="205"/>
      <c r="Q2" s="205"/>
      <c r="R2" s="205"/>
      <c r="S2" s="205"/>
      <c r="T2" s="204" t="s">
        <v>2</v>
      </c>
      <c r="U2" s="204"/>
      <c r="V2" s="204"/>
      <c r="W2" s="204"/>
      <c r="X2" s="204"/>
      <c r="Y2" s="204"/>
      <c r="Z2" s="204"/>
      <c r="AA2" s="206" t="s">
        <v>3</v>
      </c>
      <c r="AB2" s="207"/>
      <c r="AC2" s="207"/>
    </row>
    <row r="3" spans="2:29" s="116" customFormat="1" ht="58.15" customHeight="1" x14ac:dyDescent="0.25">
      <c r="B3" s="106" t="s">
        <v>1469</v>
      </c>
      <c r="C3" s="106" t="s">
        <v>4</v>
      </c>
      <c r="D3" s="106" t="s">
        <v>5</v>
      </c>
      <c r="E3" s="106" t="s">
        <v>0</v>
      </c>
      <c r="F3" s="107" t="s">
        <v>6</v>
      </c>
      <c r="G3" s="107" t="s">
        <v>7</v>
      </c>
      <c r="H3" s="107" t="s">
        <v>8</v>
      </c>
      <c r="I3" s="107" t="s">
        <v>9</v>
      </c>
      <c r="J3" s="107" t="s">
        <v>10</v>
      </c>
      <c r="K3" s="107" t="s">
        <v>11</v>
      </c>
      <c r="L3" s="107" t="s">
        <v>12</v>
      </c>
      <c r="M3" s="107" t="s">
        <v>13</v>
      </c>
      <c r="N3" s="108" t="s">
        <v>14</v>
      </c>
      <c r="O3" s="107" t="s">
        <v>15</v>
      </c>
      <c r="P3" s="109" t="s">
        <v>16</v>
      </c>
      <c r="Q3" s="107" t="s">
        <v>17</v>
      </c>
      <c r="R3" s="110" t="s">
        <v>18</v>
      </c>
      <c r="S3" s="111" t="s">
        <v>19</v>
      </c>
      <c r="T3" s="112" t="s">
        <v>20</v>
      </c>
      <c r="U3" s="112" t="s">
        <v>21</v>
      </c>
      <c r="V3" s="112" t="s">
        <v>22</v>
      </c>
      <c r="W3" s="112" t="s">
        <v>23</v>
      </c>
      <c r="X3" s="113" t="s">
        <v>24</v>
      </c>
      <c r="Y3" s="114" t="s">
        <v>25</v>
      </c>
      <c r="Z3" s="114" t="s">
        <v>26</v>
      </c>
      <c r="AA3" s="115" t="s">
        <v>27</v>
      </c>
      <c r="AB3" s="115" t="s">
        <v>28</v>
      </c>
      <c r="AC3" s="105" t="s">
        <v>29</v>
      </c>
    </row>
    <row r="4" spans="2:29" ht="45" customHeight="1" x14ac:dyDescent="0.25">
      <c r="B4" s="118">
        <v>1</v>
      </c>
      <c r="C4" s="117" t="s">
        <v>30</v>
      </c>
      <c r="D4" s="118" t="s">
        <v>31</v>
      </c>
      <c r="E4" s="118">
        <v>37590</v>
      </c>
      <c r="F4" s="119" t="s">
        <v>32</v>
      </c>
      <c r="G4" s="120">
        <v>2470</v>
      </c>
      <c r="H4" s="120">
        <v>242</v>
      </c>
      <c r="I4" s="118" t="s">
        <v>33</v>
      </c>
      <c r="J4" s="118" t="s">
        <v>34</v>
      </c>
      <c r="K4" s="118">
        <v>84273</v>
      </c>
      <c r="L4" s="118">
        <v>6</v>
      </c>
      <c r="M4" s="118" t="s">
        <v>35</v>
      </c>
      <c r="N4" s="118" t="s">
        <v>35</v>
      </c>
      <c r="O4" s="118">
        <v>4258218</v>
      </c>
      <c r="P4" s="121">
        <v>45932</v>
      </c>
      <c r="Q4" s="118">
        <v>4377696</v>
      </c>
      <c r="R4" s="122">
        <v>5722.31</v>
      </c>
      <c r="S4" s="123">
        <v>45931</v>
      </c>
      <c r="T4" s="118">
        <v>19518</v>
      </c>
      <c r="U4" s="118" t="s">
        <v>36</v>
      </c>
      <c r="V4" s="118" t="s">
        <v>37</v>
      </c>
      <c r="W4" s="118" t="s">
        <v>38</v>
      </c>
      <c r="X4" s="124">
        <v>5722.31</v>
      </c>
      <c r="Y4" s="121">
        <v>45952</v>
      </c>
      <c r="Z4" s="121">
        <v>45957</v>
      </c>
      <c r="AA4" s="125" t="s">
        <v>39</v>
      </c>
      <c r="AB4" s="118"/>
      <c r="AC4" s="126">
        <f t="shared" ref="AC4:AC67" si="0">R4-X4</f>
        <v>0</v>
      </c>
    </row>
    <row r="5" spans="2:29" ht="45" customHeight="1" x14ac:dyDescent="0.25">
      <c r="B5" s="118">
        <v>2</v>
      </c>
      <c r="C5" s="117" t="s">
        <v>30</v>
      </c>
      <c r="D5" s="118" t="s">
        <v>31</v>
      </c>
      <c r="E5" s="118">
        <v>37589</v>
      </c>
      <c r="F5" s="119" t="s">
        <v>40</v>
      </c>
      <c r="G5" s="120">
        <v>2437</v>
      </c>
      <c r="H5" s="120">
        <v>242</v>
      </c>
      <c r="I5" s="118" t="s">
        <v>33</v>
      </c>
      <c r="J5" s="118" t="s">
        <v>41</v>
      </c>
      <c r="K5" s="118">
        <v>84278</v>
      </c>
      <c r="L5" s="118">
        <v>6</v>
      </c>
      <c r="M5" s="118" t="s">
        <v>35</v>
      </c>
      <c r="N5" s="118" t="s">
        <v>35</v>
      </c>
      <c r="O5" s="118">
        <v>4258230</v>
      </c>
      <c r="P5" s="121">
        <v>45931</v>
      </c>
      <c r="Q5" s="118">
        <v>4375463</v>
      </c>
      <c r="R5" s="122">
        <v>4928.8</v>
      </c>
      <c r="S5" s="123">
        <v>45931</v>
      </c>
      <c r="T5" s="118">
        <v>19517</v>
      </c>
      <c r="U5" s="118" t="s">
        <v>42</v>
      </c>
      <c r="V5" s="118" t="s">
        <v>37</v>
      </c>
      <c r="W5" s="118" t="s">
        <v>38</v>
      </c>
      <c r="X5" s="124">
        <v>4928.8</v>
      </c>
      <c r="Y5" s="121">
        <v>45952</v>
      </c>
      <c r="Z5" s="121">
        <v>45957</v>
      </c>
      <c r="AA5" s="125" t="s">
        <v>39</v>
      </c>
      <c r="AB5" s="118"/>
      <c r="AC5" s="126">
        <f>R5-X5</f>
        <v>0</v>
      </c>
    </row>
    <row r="6" spans="2:29" ht="45" customHeight="1" x14ac:dyDescent="0.25">
      <c r="B6" s="118">
        <v>3</v>
      </c>
      <c r="C6" s="117" t="s">
        <v>43</v>
      </c>
      <c r="D6" s="118" t="s">
        <v>44</v>
      </c>
      <c r="E6" s="118" t="s">
        <v>35</v>
      </c>
      <c r="F6" s="127" t="s">
        <v>45</v>
      </c>
      <c r="G6" s="118">
        <v>2330</v>
      </c>
      <c r="H6" s="118">
        <v>242</v>
      </c>
      <c r="I6" s="118" t="s">
        <v>33</v>
      </c>
      <c r="J6" s="118" t="s">
        <v>46</v>
      </c>
      <c r="K6" s="118">
        <v>60337</v>
      </c>
      <c r="L6" s="118">
        <v>1</v>
      </c>
      <c r="M6" s="118" t="s">
        <v>47</v>
      </c>
      <c r="N6" s="118" t="s">
        <v>35</v>
      </c>
      <c r="O6" s="118">
        <v>4105536</v>
      </c>
      <c r="P6" s="121">
        <v>45784</v>
      </c>
      <c r="Q6" s="118">
        <v>4229205</v>
      </c>
      <c r="R6" s="122">
        <v>37500</v>
      </c>
      <c r="S6" s="128"/>
      <c r="T6" s="118"/>
      <c r="U6" s="118"/>
      <c r="V6" s="118"/>
      <c r="W6" s="118"/>
      <c r="X6" s="129"/>
      <c r="Y6" s="121"/>
      <c r="Z6" s="121"/>
      <c r="AA6" s="118" t="s">
        <v>48</v>
      </c>
      <c r="AB6" s="118"/>
      <c r="AC6" s="126">
        <f t="shared" si="0"/>
        <v>37500</v>
      </c>
    </row>
    <row r="7" spans="2:29" ht="45" customHeight="1" x14ac:dyDescent="0.25">
      <c r="B7" s="118">
        <v>4</v>
      </c>
      <c r="C7" s="117" t="s">
        <v>49</v>
      </c>
      <c r="D7" s="118" t="s">
        <v>50</v>
      </c>
      <c r="E7" s="118" t="s">
        <v>35</v>
      </c>
      <c r="F7" s="127" t="s">
        <v>51</v>
      </c>
      <c r="G7" s="118">
        <v>4588</v>
      </c>
      <c r="H7" s="118">
        <v>242</v>
      </c>
      <c r="I7" s="118" t="s">
        <v>33</v>
      </c>
      <c r="J7" s="118" t="s">
        <v>52</v>
      </c>
      <c r="K7" s="118">
        <v>68049</v>
      </c>
      <c r="L7" s="118">
        <v>29</v>
      </c>
      <c r="M7" s="118" t="s">
        <v>53</v>
      </c>
      <c r="N7" s="118" t="s">
        <v>35</v>
      </c>
      <c r="O7" s="118">
        <v>4152135</v>
      </c>
      <c r="P7" s="121">
        <v>45827</v>
      </c>
      <c r="Q7" s="118">
        <v>4277107</v>
      </c>
      <c r="R7" s="122">
        <v>49000</v>
      </c>
      <c r="S7" s="123">
        <v>45839</v>
      </c>
      <c r="T7" s="118"/>
      <c r="U7" s="118"/>
      <c r="V7" s="118"/>
      <c r="W7" s="118"/>
      <c r="X7" s="129"/>
      <c r="Y7" s="121"/>
      <c r="Z7" s="121"/>
      <c r="AA7" s="118" t="s">
        <v>48</v>
      </c>
      <c r="AB7" s="118"/>
      <c r="AC7" s="126">
        <f t="shared" si="0"/>
        <v>49000</v>
      </c>
    </row>
    <row r="8" spans="2:29" ht="45" customHeight="1" x14ac:dyDescent="0.25">
      <c r="B8" s="118">
        <v>5</v>
      </c>
      <c r="C8" s="118" t="s">
        <v>49</v>
      </c>
      <c r="D8" s="118" t="s">
        <v>54</v>
      </c>
      <c r="E8" s="118" t="s">
        <v>35</v>
      </c>
      <c r="F8" s="127" t="s">
        <v>55</v>
      </c>
      <c r="G8" s="118">
        <v>2151</v>
      </c>
      <c r="H8" s="118">
        <v>5</v>
      </c>
      <c r="I8" s="118" t="s">
        <v>33</v>
      </c>
      <c r="J8" s="118" t="s">
        <v>56</v>
      </c>
      <c r="K8" s="118">
        <v>72312</v>
      </c>
      <c r="L8" s="118">
        <v>1</v>
      </c>
      <c r="M8" s="118" t="s">
        <v>35</v>
      </c>
      <c r="N8" s="118" t="s">
        <v>35</v>
      </c>
      <c r="O8" s="118">
        <v>4183033</v>
      </c>
      <c r="P8" s="121">
        <v>45856</v>
      </c>
      <c r="Q8" s="118">
        <v>4311590</v>
      </c>
      <c r="R8" s="122">
        <v>61000</v>
      </c>
      <c r="S8" s="123">
        <v>45870</v>
      </c>
      <c r="T8" s="118"/>
      <c r="U8" s="118" t="s">
        <v>35</v>
      </c>
      <c r="V8" s="118"/>
      <c r="W8" s="118"/>
      <c r="X8" s="129"/>
      <c r="Y8" s="121"/>
      <c r="Z8" s="121"/>
      <c r="AA8" s="118" t="s">
        <v>48</v>
      </c>
      <c r="AB8" s="118"/>
      <c r="AC8" s="126">
        <f t="shared" si="0"/>
        <v>61000</v>
      </c>
    </row>
    <row r="9" spans="2:29" ht="45" customHeight="1" x14ac:dyDescent="0.25">
      <c r="B9" s="118">
        <v>6</v>
      </c>
      <c r="C9" s="117" t="s">
        <v>49</v>
      </c>
      <c r="D9" s="118" t="s">
        <v>57</v>
      </c>
      <c r="E9" s="118" t="s">
        <v>35</v>
      </c>
      <c r="F9" s="127" t="s">
        <v>58</v>
      </c>
      <c r="G9" s="118">
        <v>4057</v>
      </c>
      <c r="H9" s="118">
        <v>242</v>
      </c>
      <c r="I9" s="118" t="s">
        <v>33</v>
      </c>
      <c r="J9" s="118" t="s">
        <v>59</v>
      </c>
      <c r="K9" s="118">
        <v>75797</v>
      </c>
      <c r="L9" s="118">
        <v>29</v>
      </c>
      <c r="M9" s="118" t="s">
        <v>60</v>
      </c>
      <c r="N9" s="118" t="s">
        <v>35</v>
      </c>
      <c r="O9" s="118">
        <v>4205622</v>
      </c>
      <c r="P9" s="121">
        <v>45877</v>
      </c>
      <c r="Q9" s="118">
        <v>4333670</v>
      </c>
      <c r="R9" s="122">
        <v>1675.74</v>
      </c>
      <c r="S9" s="123">
        <v>45901</v>
      </c>
      <c r="T9" s="118"/>
      <c r="U9" s="118"/>
      <c r="V9" s="118"/>
      <c r="W9" s="118"/>
      <c r="X9" s="124"/>
      <c r="Y9" s="121"/>
      <c r="Z9" s="121"/>
      <c r="AA9" s="118" t="s">
        <v>39</v>
      </c>
      <c r="AB9" s="118"/>
      <c r="AC9" s="126">
        <f t="shared" si="0"/>
        <v>1675.74</v>
      </c>
    </row>
    <row r="10" spans="2:29" ht="45" customHeight="1" x14ac:dyDescent="0.25">
      <c r="B10" s="118">
        <v>7</v>
      </c>
      <c r="C10" s="117" t="s">
        <v>49</v>
      </c>
      <c r="D10" s="118" t="s">
        <v>57</v>
      </c>
      <c r="E10" s="118">
        <v>32960</v>
      </c>
      <c r="F10" s="127" t="s">
        <v>61</v>
      </c>
      <c r="G10" s="118">
        <v>5345</v>
      </c>
      <c r="H10" s="118">
        <v>242</v>
      </c>
      <c r="I10" s="118" t="s">
        <v>33</v>
      </c>
      <c r="J10" s="118" t="s">
        <v>62</v>
      </c>
      <c r="K10" s="118">
        <v>75837</v>
      </c>
      <c r="L10" s="118">
        <v>6</v>
      </c>
      <c r="M10" s="118" t="s">
        <v>35</v>
      </c>
      <c r="N10" s="118" t="s">
        <v>35</v>
      </c>
      <c r="O10" s="118">
        <v>4209120</v>
      </c>
      <c r="P10" s="121">
        <v>45882</v>
      </c>
      <c r="Q10" s="118">
        <v>4332638</v>
      </c>
      <c r="R10" s="122">
        <v>43206.92</v>
      </c>
      <c r="S10" s="128"/>
      <c r="T10" s="118">
        <v>6764</v>
      </c>
      <c r="U10" s="118" t="s">
        <v>63</v>
      </c>
      <c r="V10" s="118" t="s">
        <v>37</v>
      </c>
      <c r="W10" s="118" t="s">
        <v>64</v>
      </c>
      <c r="X10" s="124">
        <v>3850</v>
      </c>
      <c r="Y10" s="121">
        <v>45999</v>
      </c>
      <c r="Z10" s="121">
        <v>46002</v>
      </c>
      <c r="AA10" s="118" t="s">
        <v>39</v>
      </c>
      <c r="AB10" s="118"/>
      <c r="AC10" s="126">
        <f t="shared" si="0"/>
        <v>39356.92</v>
      </c>
    </row>
    <row r="11" spans="2:29" ht="45" customHeight="1" x14ac:dyDescent="0.25">
      <c r="B11" s="118">
        <v>8</v>
      </c>
      <c r="C11" s="117" t="s">
        <v>49</v>
      </c>
      <c r="D11" s="118" t="s">
        <v>57</v>
      </c>
      <c r="E11" s="118">
        <v>32960</v>
      </c>
      <c r="F11" s="127" t="s">
        <v>65</v>
      </c>
      <c r="G11" s="118">
        <v>5345</v>
      </c>
      <c r="H11" s="118">
        <v>242</v>
      </c>
      <c r="I11" s="118" t="s">
        <v>33</v>
      </c>
      <c r="J11" s="118" t="s">
        <v>66</v>
      </c>
      <c r="K11" s="118">
        <v>75838</v>
      </c>
      <c r="L11" s="118">
        <v>6</v>
      </c>
      <c r="M11" s="118" t="s">
        <v>35</v>
      </c>
      <c r="N11" s="118" t="s">
        <v>35</v>
      </c>
      <c r="O11" s="118">
        <v>4220235</v>
      </c>
      <c r="P11" s="121">
        <v>45894</v>
      </c>
      <c r="Q11" s="118">
        <v>4341618</v>
      </c>
      <c r="R11" s="122">
        <v>58485.81</v>
      </c>
      <c r="S11" s="123">
        <v>45901</v>
      </c>
      <c r="T11" s="118">
        <v>6765</v>
      </c>
      <c r="U11" s="118" t="s">
        <v>63</v>
      </c>
      <c r="V11" s="118" t="s">
        <v>37</v>
      </c>
      <c r="W11" s="118" t="s">
        <v>64</v>
      </c>
      <c r="X11" s="124">
        <v>3850</v>
      </c>
      <c r="Y11" s="121">
        <v>45999</v>
      </c>
      <c r="Z11" s="121">
        <v>46002</v>
      </c>
      <c r="AA11" s="118" t="s">
        <v>39</v>
      </c>
      <c r="AB11" s="118"/>
      <c r="AC11" s="126">
        <f t="shared" si="0"/>
        <v>54635.81</v>
      </c>
    </row>
    <row r="12" spans="2:29" ht="45" customHeight="1" x14ac:dyDescent="0.25">
      <c r="B12" s="118">
        <v>9</v>
      </c>
      <c r="C12" s="117" t="s">
        <v>49</v>
      </c>
      <c r="D12" s="118" t="s">
        <v>67</v>
      </c>
      <c r="E12" s="118">
        <v>34988</v>
      </c>
      <c r="F12" s="127" t="s">
        <v>68</v>
      </c>
      <c r="G12" s="118">
        <v>2488</v>
      </c>
      <c r="H12" s="118">
        <v>242</v>
      </c>
      <c r="I12" s="118" t="s">
        <v>33</v>
      </c>
      <c r="J12" s="118" t="s">
        <v>69</v>
      </c>
      <c r="K12" s="118">
        <v>78841</v>
      </c>
      <c r="L12" s="118">
        <v>6</v>
      </c>
      <c r="M12" s="118" t="s">
        <v>35</v>
      </c>
      <c r="N12" s="118" t="s">
        <v>35</v>
      </c>
      <c r="O12" s="118">
        <v>4225407</v>
      </c>
      <c r="P12" s="121">
        <v>45898</v>
      </c>
      <c r="Q12" s="118">
        <v>4346971</v>
      </c>
      <c r="R12" s="122">
        <v>24490.05</v>
      </c>
      <c r="S12" s="123">
        <v>45901</v>
      </c>
      <c r="T12" s="118">
        <v>11592</v>
      </c>
      <c r="U12" s="130" t="s">
        <v>70</v>
      </c>
      <c r="V12" s="118" t="s">
        <v>71</v>
      </c>
      <c r="W12" s="118" t="s">
        <v>64</v>
      </c>
      <c r="X12" s="124">
        <v>24490.05</v>
      </c>
      <c r="Y12" s="121">
        <v>45966</v>
      </c>
      <c r="Z12" s="121">
        <v>45971</v>
      </c>
      <c r="AA12" s="125" t="s">
        <v>39</v>
      </c>
      <c r="AB12" s="118"/>
      <c r="AC12" s="126">
        <f t="shared" si="0"/>
        <v>0</v>
      </c>
    </row>
    <row r="13" spans="2:29" ht="45" customHeight="1" x14ac:dyDescent="0.25">
      <c r="B13" s="118">
        <v>10</v>
      </c>
      <c r="C13" s="117" t="s">
        <v>49</v>
      </c>
      <c r="D13" s="118" t="s">
        <v>72</v>
      </c>
      <c r="E13" s="118">
        <v>33390</v>
      </c>
      <c r="F13" s="127" t="s">
        <v>73</v>
      </c>
      <c r="G13" s="118">
        <v>2488</v>
      </c>
      <c r="H13" s="118">
        <v>242</v>
      </c>
      <c r="I13" s="118" t="s">
        <v>33</v>
      </c>
      <c r="J13" s="118" t="s">
        <v>74</v>
      </c>
      <c r="K13" s="118">
        <v>78938</v>
      </c>
      <c r="L13" s="118">
        <v>6</v>
      </c>
      <c r="M13" s="118" t="s">
        <v>35</v>
      </c>
      <c r="N13" s="118" t="s">
        <v>35</v>
      </c>
      <c r="O13" s="118">
        <v>4229429</v>
      </c>
      <c r="P13" s="121">
        <v>45902</v>
      </c>
      <c r="Q13" s="118">
        <v>4352541</v>
      </c>
      <c r="R13" s="122">
        <v>9971.9</v>
      </c>
      <c r="S13" s="123">
        <v>45901</v>
      </c>
      <c r="T13" s="118">
        <v>10788</v>
      </c>
      <c r="U13" s="118" t="s">
        <v>75</v>
      </c>
      <c r="V13" s="118" t="s">
        <v>71</v>
      </c>
      <c r="W13" s="118" t="s">
        <v>64</v>
      </c>
      <c r="X13" s="129">
        <v>2631.6</v>
      </c>
      <c r="Y13" s="121">
        <v>45975</v>
      </c>
      <c r="Z13" s="121">
        <v>45987</v>
      </c>
      <c r="AA13" s="118" t="s">
        <v>39</v>
      </c>
      <c r="AB13" s="131"/>
      <c r="AC13" s="126" t="s">
        <v>35</v>
      </c>
    </row>
    <row r="14" spans="2:29" ht="45" customHeight="1" x14ac:dyDescent="0.25">
      <c r="B14" s="118">
        <v>11</v>
      </c>
      <c r="C14" s="117" t="s">
        <v>49</v>
      </c>
      <c r="D14" s="118" t="s">
        <v>76</v>
      </c>
      <c r="E14" s="118" t="s">
        <v>35</v>
      </c>
      <c r="F14" s="127" t="s">
        <v>77</v>
      </c>
      <c r="G14" s="118">
        <v>2151</v>
      </c>
      <c r="H14" s="118">
        <v>242</v>
      </c>
      <c r="I14" s="118" t="s">
        <v>33</v>
      </c>
      <c r="J14" s="118">
        <v>20494121</v>
      </c>
      <c r="K14" s="118">
        <v>79957</v>
      </c>
      <c r="L14" s="118">
        <v>29</v>
      </c>
      <c r="M14" s="118" t="s">
        <v>78</v>
      </c>
      <c r="N14" s="118" t="s">
        <v>35</v>
      </c>
      <c r="O14" s="118">
        <v>4235917</v>
      </c>
      <c r="P14" s="121">
        <v>45909</v>
      </c>
      <c r="Q14" s="118">
        <v>4361857</v>
      </c>
      <c r="R14" s="122">
        <v>16488.73</v>
      </c>
      <c r="S14" s="123">
        <v>45962</v>
      </c>
      <c r="T14" s="118"/>
      <c r="U14" s="118"/>
      <c r="V14" s="118"/>
      <c r="W14" s="118"/>
      <c r="X14" s="129"/>
      <c r="Y14" s="121"/>
      <c r="Z14" s="121"/>
      <c r="AA14" s="118" t="s">
        <v>48</v>
      </c>
      <c r="AB14" s="118"/>
      <c r="AC14" s="126">
        <f t="shared" si="0"/>
        <v>16488.73</v>
      </c>
    </row>
    <row r="15" spans="2:29" ht="45" customHeight="1" x14ac:dyDescent="0.25">
      <c r="B15" s="118">
        <v>12</v>
      </c>
      <c r="C15" s="117" t="s">
        <v>49</v>
      </c>
      <c r="D15" s="118" t="s">
        <v>79</v>
      </c>
      <c r="E15" s="118" t="s">
        <v>35</v>
      </c>
      <c r="F15" s="127" t="s">
        <v>80</v>
      </c>
      <c r="G15" s="118">
        <v>2348</v>
      </c>
      <c r="H15" s="118">
        <v>242</v>
      </c>
      <c r="I15" s="118" t="s">
        <v>33</v>
      </c>
      <c r="J15" s="118" t="s">
        <v>79</v>
      </c>
      <c r="K15" s="118">
        <v>79952</v>
      </c>
      <c r="L15" s="118">
        <v>29</v>
      </c>
      <c r="M15" s="118" t="s">
        <v>81</v>
      </c>
      <c r="N15" s="118" t="s">
        <v>35</v>
      </c>
      <c r="O15" s="118">
        <v>4247386</v>
      </c>
      <c r="P15" s="121">
        <v>45919</v>
      </c>
      <c r="Q15" s="118">
        <v>4374946</v>
      </c>
      <c r="R15" s="122">
        <v>63723.28</v>
      </c>
      <c r="S15" s="123">
        <v>45962</v>
      </c>
      <c r="T15" s="118"/>
      <c r="U15" s="118"/>
      <c r="V15" s="118"/>
      <c r="W15" s="118"/>
      <c r="X15" s="129"/>
      <c r="Y15" s="121"/>
      <c r="Z15" s="121"/>
      <c r="AA15" s="118" t="s">
        <v>48</v>
      </c>
      <c r="AB15" s="118"/>
      <c r="AC15" s="126">
        <f t="shared" si="0"/>
        <v>63723.28</v>
      </c>
    </row>
    <row r="16" spans="2:29" ht="45" customHeight="1" x14ac:dyDescent="0.25">
      <c r="B16" s="118">
        <v>13</v>
      </c>
      <c r="C16" s="117" t="s">
        <v>49</v>
      </c>
      <c r="D16" s="118" t="s">
        <v>82</v>
      </c>
      <c r="E16" s="118">
        <v>37062</v>
      </c>
      <c r="F16" s="127" t="s">
        <v>83</v>
      </c>
      <c r="G16" s="118">
        <v>4057</v>
      </c>
      <c r="H16" s="118">
        <v>242</v>
      </c>
      <c r="I16" s="118" t="s">
        <v>33</v>
      </c>
      <c r="J16" s="118" t="s">
        <v>84</v>
      </c>
      <c r="K16" s="118">
        <v>84332</v>
      </c>
      <c r="L16" s="118">
        <v>6</v>
      </c>
      <c r="M16" s="118" t="s">
        <v>35</v>
      </c>
      <c r="N16" s="118" t="s">
        <v>35</v>
      </c>
      <c r="O16" s="118">
        <v>4260192</v>
      </c>
      <c r="P16" s="121">
        <v>45932</v>
      </c>
      <c r="Q16" s="118">
        <v>4377720</v>
      </c>
      <c r="R16" s="122">
        <v>5417.2</v>
      </c>
      <c r="S16" s="123">
        <v>45962</v>
      </c>
      <c r="T16" s="118">
        <v>141</v>
      </c>
      <c r="U16" s="118" t="s">
        <v>85</v>
      </c>
      <c r="V16" s="118" t="s">
        <v>71</v>
      </c>
      <c r="W16" s="118" t="s">
        <v>86</v>
      </c>
      <c r="X16" s="124">
        <v>5417.2</v>
      </c>
      <c r="Y16" s="121">
        <v>45968</v>
      </c>
      <c r="Z16" s="121">
        <v>45987</v>
      </c>
      <c r="AA16" s="118" t="s">
        <v>39</v>
      </c>
      <c r="AB16" s="118"/>
      <c r="AC16" s="126">
        <f t="shared" si="0"/>
        <v>0</v>
      </c>
    </row>
    <row r="17" spans="2:29" ht="45" customHeight="1" x14ac:dyDescent="0.25">
      <c r="B17" s="118">
        <v>14</v>
      </c>
      <c r="C17" s="117" t="s">
        <v>49</v>
      </c>
      <c r="D17" s="118" t="s">
        <v>87</v>
      </c>
      <c r="E17" s="118">
        <v>37476</v>
      </c>
      <c r="F17" s="127" t="s">
        <v>88</v>
      </c>
      <c r="G17" s="118">
        <v>4588</v>
      </c>
      <c r="H17" s="118">
        <v>242</v>
      </c>
      <c r="I17" s="118" t="s">
        <v>33</v>
      </c>
      <c r="J17" s="118" t="s">
        <v>89</v>
      </c>
      <c r="K17" s="118">
        <v>84711</v>
      </c>
      <c r="L17" s="118">
        <v>6</v>
      </c>
      <c r="M17" s="118" t="s">
        <v>35</v>
      </c>
      <c r="N17" s="118" t="s">
        <v>35</v>
      </c>
      <c r="O17" s="118">
        <v>4260208</v>
      </c>
      <c r="P17" s="121">
        <v>45932</v>
      </c>
      <c r="Q17" s="118">
        <v>4382892</v>
      </c>
      <c r="R17" s="122">
        <v>6080</v>
      </c>
      <c r="S17" s="123">
        <v>45962</v>
      </c>
      <c r="T17" s="118">
        <v>10472</v>
      </c>
      <c r="U17" s="118" t="s">
        <v>90</v>
      </c>
      <c r="V17" s="118" t="s">
        <v>71</v>
      </c>
      <c r="W17" s="118" t="s">
        <v>64</v>
      </c>
      <c r="X17" s="122">
        <v>6080</v>
      </c>
      <c r="Y17" s="121">
        <v>45966</v>
      </c>
      <c r="Z17" s="121">
        <v>45985</v>
      </c>
      <c r="AA17" s="118" t="s">
        <v>39</v>
      </c>
      <c r="AB17" s="118"/>
      <c r="AC17" s="126">
        <f t="shared" si="0"/>
        <v>0</v>
      </c>
    </row>
    <row r="18" spans="2:29" ht="45" customHeight="1" x14ac:dyDescent="0.25">
      <c r="B18" s="118">
        <v>15</v>
      </c>
      <c r="C18" s="117" t="s">
        <v>49</v>
      </c>
      <c r="D18" s="118" t="s">
        <v>57</v>
      </c>
      <c r="E18" s="118">
        <v>37258</v>
      </c>
      <c r="F18" s="127" t="s">
        <v>91</v>
      </c>
      <c r="G18" s="118">
        <v>5345</v>
      </c>
      <c r="H18" s="118">
        <v>242</v>
      </c>
      <c r="I18" s="118" t="s">
        <v>33</v>
      </c>
      <c r="J18" s="118" t="s">
        <v>92</v>
      </c>
      <c r="K18" s="118">
        <v>85500</v>
      </c>
      <c r="L18" s="118">
        <v>6</v>
      </c>
      <c r="M18" s="118" t="s">
        <v>35</v>
      </c>
      <c r="N18" s="118" t="s">
        <v>35</v>
      </c>
      <c r="O18" s="118">
        <v>4266419</v>
      </c>
      <c r="P18" s="121">
        <v>45939</v>
      </c>
      <c r="Q18" s="118">
        <v>4386369</v>
      </c>
      <c r="R18" s="122">
        <v>38046.94</v>
      </c>
      <c r="S18" s="123">
        <v>46006</v>
      </c>
      <c r="T18" s="118"/>
      <c r="U18" s="118"/>
      <c r="V18" s="118"/>
      <c r="W18" s="118"/>
      <c r="X18" s="129"/>
      <c r="Y18" s="121"/>
      <c r="Z18" s="121"/>
      <c r="AA18" s="118" t="s">
        <v>48</v>
      </c>
      <c r="AB18" s="118"/>
      <c r="AC18" s="126">
        <f t="shared" si="0"/>
        <v>38046.94</v>
      </c>
    </row>
    <row r="19" spans="2:29" ht="45" customHeight="1" x14ac:dyDescent="0.25">
      <c r="B19" s="118">
        <v>16</v>
      </c>
      <c r="C19" s="117" t="s">
        <v>49</v>
      </c>
      <c r="D19" s="118" t="s">
        <v>57</v>
      </c>
      <c r="E19" s="118" t="s">
        <v>35</v>
      </c>
      <c r="F19" s="127" t="s">
        <v>93</v>
      </c>
      <c r="G19" s="118">
        <v>5345</v>
      </c>
      <c r="H19" s="118">
        <v>242</v>
      </c>
      <c r="I19" s="118" t="s">
        <v>33</v>
      </c>
      <c r="J19" s="118" t="s">
        <v>94</v>
      </c>
      <c r="K19" s="118">
        <v>85504</v>
      </c>
      <c r="L19" s="118">
        <v>29</v>
      </c>
      <c r="M19" s="118" t="s">
        <v>95</v>
      </c>
      <c r="N19" s="118" t="s">
        <v>35</v>
      </c>
      <c r="O19" s="118">
        <v>4266437</v>
      </c>
      <c r="P19" s="121">
        <v>45939</v>
      </c>
      <c r="Q19" s="118">
        <v>4390651</v>
      </c>
      <c r="R19" s="122">
        <v>14651.5</v>
      </c>
      <c r="S19" s="123">
        <v>46006</v>
      </c>
      <c r="T19" s="118">
        <v>6715</v>
      </c>
      <c r="U19" s="118" t="s">
        <v>35</v>
      </c>
      <c r="V19" s="118" t="s">
        <v>37</v>
      </c>
      <c r="W19" s="118" t="s">
        <v>64</v>
      </c>
      <c r="X19" s="124">
        <v>14651.5</v>
      </c>
      <c r="Y19" s="121">
        <v>45979</v>
      </c>
      <c r="Z19" s="121">
        <v>45985</v>
      </c>
      <c r="AA19" s="118" t="s">
        <v>39</v>
      </c>
      <c r="AB19" s="118"/>
      <c r="AC19" s="126">
        <f t="shared" si="0"/>
        <v>0</v>
      </c>
    </row>
    <row r="20" spans="2:29" ht="45" customHeight="1" x14ac:dyDescent="0.25">
      <c r="B20" s="118">
        <v>17</v>
      </c>
      <c r="C20" s="117" t="s">
        <v>49</v>
      </c>
      <c r="D20" s="118" t="s">
        <v>57</v>
      </c>
      <c r="E20" s="118">
        <v>37477</v>
      </c>
      <c r="F20" s="127" t="s">
        <v>96</v>
      </c>
      <c r="G20" s="118">
        <v>5345</v>
      </c>
      <c r="H20" s="118">
        <v>242</v>
      </c>
      <c r="I20" s="118" t="s">
        <v>33</v>
      </c>
      <c r="J20" s="118" t="s">
        <v>97</v>
      </c>
      <c r="K20" s="118">
        <v>85866</v>
      </c>
      <c r="L20" s="118">
        <v>6</v>
      </c>
      <c r="M20" s="118" t="s">
        <v>35</v>
      </c>
      <c r="N20" s="118" t="s">
        <v>35</v>
      </c>
      <c r="O20" s="118">
        <v>4266452</v>
      </c>
      <c r="P20" s="121">
        <v>45939</v>
      </c>
      <c r="Q20" s="118">
        <v>4386373</v>
      </c>
      <c r="R20" s="122">
        <v>52933.41</v>
      </c>
      <c r="S20" s="123">
        <v>46006</v>
      </c>
      <c r="T20" s="118"/>
      <c r="U20" s="118"/>
      <c r="V20" s="118"/>
      <c r="W20" s="118"/>
      <c r="X20" s="129"/>
      <c r="Y20" s="121"/>
      <c r="Z20" s="121"/>
      <c r="AA20" s="118" t="s">
        <v>48</v>
      </c>
      <c r="AB20" s="118"/>
      <c r="AC20" s="126">
        <f t="shared" si="0"/>
        <v>52933.41</v>
      </c>
    </row>
    <row r="21" spans="2:29" ht="45" customHeight="1" x14ac:dyDescent="0.25">
      <c r="B21" s="118">
        <v>18</v>
      </c>
      <c r="C21" s="118" t="s">
        <v>49</v>
      </c>
      <c r="D21" s="118" t="s">
        <v>31</v>
      </c>
      <c r="E21" s="118">
        <v>38021</v>
      </c>
      <c r="F21" s="119" t="s">
        <v>98</v>
      </c>
      <c r="G21" s="118">
        <v>2224</v>
      </c>
      <c r="H21" s="118">
        <v>5</v>
      </c>
      <c r="I21" s="118" t="s">
        <v>33</v>
      </c>
      <c r="J21" s="118" t="s">
        <v>99</v>
      </c>
      <c r="K21" s="118">
        <v>85874</v>
      </c>
      <c r="L21" s="118">
        <v>6</v>
      </c>
      <c r="M21" s="118" t="s">
        <v>35</v>
      </c>
      <c r="N21" s="118" t="s">
        <v>35</v>
      </c>
      <c r="O21" s="118">
        <v>4266467</v>
      </c>
      <c r="P21" s="121">
        <v>45939</v>
      </c>
      <c r="Q21" s="118">
        <v>4383061</v>
      </c>
      <c r="R21" s="122">
        <v>2696</v>
      </c>
      <c r="S21" s="123">
        <v>45960</v>
      </c>
      <c r="T21" s="118">
        <v>19541</v>
      </c>
      <c r="U21" s="118" t="s">
        <v>100</v>
      </c>
      <c r="V21" s="118" t="s">
        <v>37</v>
      </c>
      <c r="W21" s="118" t="s">
        <v>64</v>
      </c>
      <c r="X21" s="122">
        <v>2696</v>
      </c>
      <c r="Y21" s="121">
        <v>45964</v>
      </c>
      <c r="Z21" s="121"/>
      <c r="AA21" s="125" t="s">
        <v>39</v>
      </c>
      <c r="AB21" s="118"/>
      <c r="AC21" s="126">
        <f t="shared" si="0"/>
        <v>0</v>
      </c>
    </row>
    <row r="22" spans="2:29" ht="45" customHeight="1" x14ac:dyDescent="0.25">
      <c r="B22" s="118">
        <v>19</v>
      </c>
      <c r="C22" s="117" t="s">
        <v>49</v>
      </c>
      <c r="D22" s="118" t="s">
        <v>72</v>
      </c>
      <c r="E22" s="118">
        <v>37478</v>
      </c>
      <c r="F22" s="127" t="s">
        <v>101</v>
      </c>
      <c r="G22" s="118">
        <v>2224</v>
      </c>
      <c r="H22" s="118">
        <v>242</v>
      </c>
      <c r="I22" s="118" t="s">
        <v>33</v>
      </c>
      <c r="J22" s="118" t="s">
        <v>102</v>
      </c>
      <c r="K22" s="118">
        <v>87407</v>
      </c>
      <c r="L22" s="118">
        <v>6</v>
      </c>
      <c r="M22" s="118" t="s">
        <v>35</v>
      </c>
      <c r="N22" s="118" t="s">
        <v>35</v>
      </c>
      <c r="O22" s="132" t="s">
        <v>103</v>
      </c>
      <c r="P22" s="133" t="s">
        <v>104</v>
      </c>
      <c r="Q22" s="118">
        <v>4432508</v>
      </c>
      <c r="R22" s="122">
        <v>9690.33</v>
      </c>
      <c r="S22" s="123">
        <v>45992</v>
      </c>
      <c r="T22" s="118"/>
      <c r="U22" s="118"/>
      <c r="V22" s="118"/>
      <c r="W22" s="118"/>
      <c r="X22" s="129"/>
      <c r="Y22" s="121"/>
      <c r="Z22" s="121"/>
      <c r="AA22" s="118" t="s">
        <v>48</v>
      </c>
      <c r="AB22" s="135" t="s">
        <v>105</v>
      </c>
      <c r="AC22" s="126">
        <f t="shared" si="0"/>
        <v>9690.33</v>
      </c>
    </row>
    <row r="23" spans="2:29" ht="45" customHeight="1" x14ac:dyDescent="0.25">
      <c r="B23" s="118">
        <v>20</v>
      </c>
      <c r="C23" s="117" t="s">
        <v>106</v>
      </c>
      <c r="D23" s="118" t="s">
        <v>107</v>
      </c>
      <c r="E23" s="118">
        <v>37720</v>
      </c>
      <c r="F23" s="119" t="s">
        <v>108</v>
      </c>
      <c r="G23" s="118">
        <v>2224</v>
      </c>
      <c r="H23" s="118">
        <v>242</v>
      </c>
      <c r="I23" s="118" t="s">
        <v>33</v>
      </c>
      <c r="J23" s="118" t="s">
        <v>109</v>
      </c>
      <c r="K23" s="118">
        <v>83469</v>
      </c>
      <c r="L23" s="118">
        <v>6</v>
      </c>
      <c r="M23" s="118" t="s">
        <v>35</v>
      </c>
      <c r="N23" s="118" t="s">
        <v>35</v>
      </c>
      <c r="O23" s="118">
        <v>4253925</v>
      </c>
      <c r="P23" s="121">
        <v>45926</v>
      </c>
      <c r="Q23" s="118">
        <v>4371454</v>
      </c>
      <c r="R23" s="122">
        <v>4674</v>
      </c>
      <c r="S23" s="123">
        <v>45931</v>
      </c>
      <c r="T23" s="118">
        <v>3205</v>
      </c>
      <c r="U23" s="118" t="s">
        <v>110</v>
      </c>
      <c r="V23" s="118" t="s">
        <v>37</v>
      </c>
      <c r="W23" s="118" t="s">
        <v>86</v>
      </c>
      <c r="X23" s="124">
        <v>4674</v>
      </c>
      <c r="Y23" s="121">
        <v>45995</v>
      </c>
      <c r="Z23" s="121">
        <v>46000</v>
      </c>
      <c r="AA23" s="118" t="s">
        <v>39</v>
      </c>
      <c r="AB23" s="118"/>
      <c r="AC23" s="126">
        <f t="shared" si="0"/>
        <v>0</v>
      </c>
    </row>
    <row r="24" spans="2:29" ht="45" customHeight="1" x14ac:dyDescent="0.25">
      <c r="B24" s="118">
        <v>21</v>
      </c>
      <c r="C24" s="117" t="s">
        <v>106</v>
      </c>
      <c r="D24" s="118" t="s">
        <v>31</v>
      </c>
      <c r="E24" s="118">
        <v>37567</v>
      </c>
      <c r="F24" s="119" t="s">
        <v>111</v>
      </c>
      <c r="G24" s="120">
        <v>2488</v>
      </c>
      <c r="H24" s="120">
        <v>242</v>
      </c>
      <c r="I24" s="118" t="s">
        <v>33</v>
      </c>
      <c r="J24" s="118" t="s">
        <v>112</v>
      </c>
      <c r="K24" s="118">
        <v>83474</v>
      </c>
      <c r="L24" s="118">
        <v>6</v>
      </c>
      <c r="M24" s="118" t="s">
        <v>35</v>
      </c>
      <c r="N24" s="118" t="s">
        <v>35</v>
      </c>
      <c r="O24" s="118">
        <v>4255379</v>
      </c>
      <c r="P24" s="121">
        <v>45837</v>
      </c>
      <c r="Q24" s="118">
        <v>4372773</v>
      </c>
      <c r="R24" s="122">
        <v>11639.32</v>
      </c>
      <c r="S24" s="123">
        <v>45931</v>
      </c>
      <c r="T24" s="118">
        <v>19480</v>
      </c>
      <c r="U24" s="118" t="s">
        <v>113</v>
      </c>
      <c r="V24" s="118" t="s">
        <v>71</v>
      </c>
      <c r="W24" s="118" t="s">
        <v>64</v>
      </c>
      <c r="X24" s="124">
        <v>11639.32</v>
      </c>
      <c r="Y24" s="121">
        <v>45943</v>
      </c>
      <c r="Z24" s="121">
        <v>45957</v>
      </c>
      <c r="AA24" s="125" t="s">
        <v>39</v>
      </c>
      <c r="AB24" s="118"/>
      <c r="AC24" s="126">
        <f t="shared" si="0"/>
        <v>0</v>
      </c>
    </row>
    <row r="25" spans="2:29" ht="45" customHeight="1" x14ac:dyDescent="0.25">
      <c r="B25" s="118">
        <v>22</v>
      </c>
      <c r="C25" s="118" t="s">
        <v>106</v>
      </c>
      <c r="D25" s="118" t="s">
        <v>31</v>
      </c>
      <c r="E25" s="118">
        <v>37567</v>
      </c>
      <c r="F25" s="127" t="s">
        <v>114</v>
      </c>
      <c r="G25" s="118">
        <v>2488</v>
      </c>
      <c r="H25" s="118">
        <v>242</v>
      </c>
      <c r="I25" s="118" t="s">
        <v>33</v>
      </c>
      <c r="J25" s="118" t="s">
        <v>115</v>
      </c>
      <c r="K25" s="118">
        <v>84606</v>
      </c>
      <c r="L25" s="118">
        <v>6</v>
      </c>
      <c r="M25" s="118" t="s">
        <v>35</v>
      </c>
      <c r="N25" s="118" t="s">
        <v>35</v>
      </c>
      <c r="O25" s="118">
        <v>4260202</v>
      </c>
      <c r="P25" s="121">
        <v>45932</v>
      </c>
      <c r="Q25" s="118">
        <v>4377778</v>
      </c>
      <c r="R25" s="122">
        <v>23232</v>
      </c>
      <c r="S25" s="123">
        <v>45931</v>
      </c>
      <c r="T25" s="118">
        <v>19540</v>
      </c>
      <c r="U25" s="118" t="s">
        <v>116</v>
      </c>
      <c r="V25" s="118" t="s">
        <v>37</v>
      </c>
      <c r="W25" s="118" t="s">
        <v>64</v>
      </c>
      <c r="X25" s="122">
        <v>23232</v>
      </c>
      <c r="Y25" s="121">
        <v>45964</v>
      </c>
      <c r="Z25" s="121">
        <v>45971</v>
      </c>
      <c r="AA25" s="125" t="s">
        <v>39</v>
      </c>
      <c r="AB25" s="118"/>
      <c r="AC25" s="126">
        <f t="shared" si="0"/>
        <v>0</v>
      </c>
    </row>
    <row r="26" spans="2:29" ht="45" customHeight="1" x14ac:dyDescent="0.25">
      <c r="B26" s="118">
        <v>23</v>
      </c>
      <c r="C26" s="117" t="s">
        <v>106</v>
      </c>
      <c r="D26" s="118" t="s">
        <v>117</v>
      </c>
      <c r="E26" s="118" t="s">
        <v>35</v>
      </c>
      <c r="F26" s="127" t="s">
        <v>118</v>
      </c>
      <c r="G26" s="120">
        <v>2488</v>
      </c>
      <c r="H26" s="120">
        <v>242</v>
      </c>
      <c r="I26" s="118" t="s">
        <v>33</v>
      </c>
      <c r="J26" s="118" t="s">
        <v>119</v>
      </c>
      <c r="K26" s="118">
        <v>85095</v>
      </c>
      <c r="L26" s="118">
        <v>5</v>
      </c>
      <c r="M26" s="118" t="s">
        <v>120</v>
      </c>
      <c r="N26" s="118" t="s">
        <v>37</v>
      </c>
      <c r="O26" s="118">
        <v>4263415</v>
      </c>
      <c r="P26" s="121">
        <v>45937</v>
      </c>
      <c r="Q26" s="118">
        <v>4384232</v>
      </c>
      <c r="R26" s="122">
        <v>1880</v>
      </c>
      <c r="S26" s="123">
        <v>45931</v>
      </c>
      <c r="T26" s="118">
        <v>258</v>
      </c>
      <c r="U26" s="118" t="s">
        <v>121</v>
      </c>
      <c r="V26" s="118" t="s">
        <v>71</v>
      </c>
      <c r="W26" s="118" t="s">
        <v>38</v>
      </c>
      <c r="X26" s="124">
        <v>1880</v>
      </c>
      <c r="Y26" s="121">
        <v>45944</v>
      </c>
      <c r="Z26" s="121">
        <v>45950</v>
      </c>
      <c r="AA26" s="125" t="s">
        <v>39</v>
      </c>
      <c r="AB26" s="118"/>
      <c r="AC26" s="126">
        <f t="shared" si="0"/>
        <v>0</v>
      </c>
    </row>
    <row r="27" spans="2:29" ht="45" customHeight="1" x14ac:dyDescent="0.25">
      <c r="B27" s="118">
        <v>24</v>
      </c>
      <c r="C27" s="117" t="s">
        <v>106</v>
      </c>
      <c r="D27" s="118" t="s">
        <v>107</v>
      </c>
      <c r="E27" s="118">
        <v>38866</v>
      </c>
      <c r="F27" s="119" t="s">
        <v>122</v>
      </c>
      <c r="G27" s="120">
        <v>2488</v>
      </c>
      <c r="H27" s="120">
        <v>242</v>
      </c>
      <c r="I27" s="118" t="s">
        <v>33</v>
      </c>
      <c r="J27" s="118" t="s">
        <v>123</v>
      </c>
      <c r="K27" s="118">
        <v>86955</v>
      </c>
      <c r="L27" s="118">
        <v>6</v>
      </c>
      <c r="M27" s="118" t="s">
        <v>35</v>
      </c>
      <c r="N27" s="118" t="s">
        <v>35</v>
      </c>
      <c r="O27" s="118">
        <v>4271707</v>
      </c>
      <c r="P27" s="121">
        <v>45945</v>
      </c>
      <c r="Q27" s="118">
        <v>4389037</v>
      </c>
      <c r="R27" s="122">
        <v>897.75</v>
      </c>
      <c r="S27" s="123">
        <v>45931</v>
      </c>
      <c r="T27" s="118">
        <v>3160</v>
      </c>
      <c r="U27" s="118" t="s">
        <v>124</v>
      </c>
      <c r="V27" s="118"/>
      <c r="W27" s="118" t="s">
        <v>125</v>
      </c>
      <c r="X27" s="124">
        <v>897.75</v>
      </c>
      <c r="Y27" s="121">
        <v>45951</v>
      </c>
      <c r="Z27" s="121">
        <v>45952</v>
      </c>
      <c r="AA27" s="125" t="s">
        <v>39</v>
      </c>
      <c r="AB27" s="118"/>
      <c r="AC27" s="126">
        <f t="shared" si="0"/>
        <v>0</v>
      </c>
    </row>
    <row r="28" spans="2:29" ht="45" customHeight="1" x14ac:dyDescent="0.25">
      <c r="B28" s="118">
        <v>25</v>
      </c>
      <c r="C28" s="117" t="s">
        <v>126</v>
      </c>
      <c r="D28" s="118" t="s">
        <v>107</v>
      </c>
      <c r="E28" s="118" t="s">
        <v>35</v>
      </c>
      <c r="F28" s="119" t="s">
        <v>127</v>
      </c>
      <c r="G28" s="118">
        <v>5345</v>
      </c>
      <c r="H28" s="118">
        <v>242</v>
      </c>
      <c r="I28" s="118" t="s">
        <v>33</v>
      </c>
      <c r="J28" s="118" t="s">
        <v>128</v>
      </c>
      <c r="K28" s="118">
        <v>82539</v>
      </c>
      <c r="L28" s="118">
        <v>1</v>
      </c>
      <c r="M28" s="118" t="s">
        <v>35</v>
      </c>
      <c r="N28" s="118" t="s">
        <v>35</v>
      </c>
      <c r="O28" s="118">
        <v>4250962</v>
      </c>
      <c r="P28" s="121">
        <v>45924</v>
      </c>
      <c r="Q28" s="118">
        <v>4375058</v>
      </c>
      <c r="R28" s="122">
        <v>7275</v>
      </c>
      <c r="S28" s="123">
        <v>45901</v>
      </c>
      <c r="T28" s="118">
        <v>3187</v>
      </c>
      <c r="U28" s="118"/>
      <c r="V28" s="118" t="s">
        <v>71</v>
      </c>
      <c r="W28" s="118" t="s">
        <v>23</v>
      </c>
      <c r="X28" s="129">
        <v>7275</v>
      </c>
      <c r="Y28" s="121">
        <v>45974</v>
      </c>
      <c r="Z28" s="121">
        <v>45978</v>
      </c>
      <c r="AA28" s="125" t="s">
        <v>39</v>
      </c>
      <c r="AB28" s="118"/>
      <c r="AC28" s="126">
        <f t="shared" si="0"/>
        <v>0</v>
      </c>
    </row>
    <row r="29" spans="2:29" ht="45" customHeight="1" x14ac:dyDescent="0.25">
      <c r="B29" s="118">
        <v>26</v>
      </c>
      <c r="C29" s="117" t="s">
        <v>126</v>
      </c>
      <c r="D29" s="118" t="s">
        <v>107</v>
      </c>
      <c r="E29" s="118">
        <v>37051</v>
      </c>
      <c r="F29" s="119" t="s">
        <v>129</v>
      </c>
      <c r="G29" s="120">
        <v>5345</v>
      </c>
      <c r="H29" s="120">
        <v>242</v>
      </c>
      <c r="I29" s="118" t="s">
        <v>33</v>
      </c>
      <c r="J29" s="118" t="s">
        <v>130</v>
      </c>
      <c r="K29" s="118">
        <v>86021</v>
      </c>
      <c r="L29" s="118">
        <v>6</v>
      </c>
      <c r="M29" s="118" t="s">
        <v>35</v>
      </c>
      <c r="N29" s="118" t="s">
        <v>35</v>
      </c>
      <c r="O29" s="118">
        <v>4267163</v>
      </c>
      <c r="P29" s="121">
        <v>45940</v>
      </c>
      <c r="Q29" s="118">
        <v>4383193</v>
      </c>
      <c r="R29" s="122">
        <v>4693</v>
      </c>
      <c r="S29" s="123">
        <v>45960</v>
      </c>
      <c r="T29" s="118">
        <v>3153</v>
      </c>
      <c r="U29" s="118" t="s">
        <v>131</v>
      </c>
      <c r="V29" s="118" t="s">
        <v>71</v>
      </c>
      <c r="W29" s="118" t="s">
        <v>125</v>
      </c>
      <c r="X29" s="124">
        <v>4693</v>
      </c>
      <c r="Y29" s="121">
        <v>45943</v>
      </c>
      <c r="Z29" s="121">
        <v>45952</v>
      </c>
      <c r="AA29" s="125" t="s">
        <v>39</v>
      </c>
      <c r="AB29" s="118"/>
      <c r="AC29" s="126">
        <f t="shared" si="0"/>
        <v>0</v>
      </c>
    </row>
    <row r="30" spans="2:29" ht="45" customHeight="1" x14ac:dyDescent="0.25">
      <c r="B30" s="118">
        <v>27</v>
      </c>
      <c r="C30" s="117" t="s">
        <v>126</v>
      </c>
      <c r="D30" s="118" t="s">
        <v>107</v>
      </c>
      <c r="E30" s="118">
        <v>32338</v>
      </c>
      <c r="F30" s="119" t="s">
        <v>132</v>
      </c>
      <c r="G30" s="120">
        <v>5345</v>
      </c>
      <c r="H30" s="120">
        <v>242</v>
      </c>
      <c r="I30" s="118" t="s">
        <v>33</v>
      </c>
      <c r="J30" s="118" t="s">
        <v>133</v>
      </c>
      <c r="K30" s="118">
        <v>86022</v>
      </c>
      <c r="L30" s="118">
        <v>6</v>
      </c>
      <c r="M30" s="118" t="s">
        <v>35</v>
      </c>
      <c r="N30" s="118" t="s">
        <v>35</v>
      </c>
      <c r="O30" s="118">
        <v>4267181</v>
      </c>
      <c r="P30" s="121">
        <v>45940</v>
      </c>
      <c r="Q30" s="118">
        <v>4383210</v>
      </c>
      <c r="R30" s="122">
        <v>3657.5</v>
      </c>
      <c r="S30" s="123">
        <v>45960</v>
      </c>
      <c r="T30" s="118">
        <v>3154</v>
      </c>
      <c r="U30" s="118" t="s">
        <v>134</v>
      </c>
      <c r="V30" s="118" t="s">
        <v>71</v>
      </c>
      <c r="W30" s="118" t="s">
        <v>125</v>
      </c>
      <c r="X30" s="124">
        <v>3657.5</v>
      </c>
      <c r="Y30" s="121">
        <v>45945</v>
      </c>
      <c r="Z30" s="121">
        <v>45952</v>
      </c>
      <c r="AA30" s="125" t="s">
        <v>39</v>
      </c>
      <c r="AB30" s="118"/>
      <c r="AC30" s="126">
        <f t="shared" si="0"/>
        <v>0</v>
      </c>
    </row>
    <row r="31" spans="2:29" ht="45" customHeight="1" x14ac:dyDescent="0.25">
      <c r="B31" s="118">
        <v>28</v>
      </c>
      <c r="C31" s="117" t="s">
        <v>126</v>
      </c>
      <c r="D31" s="118" t="s">
        <v>135</v>
      </c>
      <c r="E31" s="118" t="s">
        <v>35</v>
      </c>
      <c r="F31" s="127" t="s">
        <v>136</v>
      </c>
      <c r="G31" s="118">
        <v>5345</v>
      </c>
      <c r="H31" s="118">
        <v>242</v>
      </c>
      <c r="I31" s="118" t="s">
        <v>33</v>
      </c>
      <c r="J31" s="118" t="s">
        <v>137</v>
      </c>
      <c r="K31" s="118">
        <v>86684</v>
      </c>
      <c r="L31" s="118">
        <v>2</v>
      </c>
      <c r="M31" s="118" t="s">
        <v>138</v>
      </c>
      <c r="N31" s="118" t="s">
        <v>35</v>
      </c>
      <c r="O31" s="118">
        <v>4271618</v>
      </c>
      <c r="P31" s="121">
        <v>45945</v>
      </c>
      <c r="Q31" s="118">
        <v>4386811</v>
      </c>
      <c r="R31" s="122">
        <v>2120</v>
      </c>
      <c r="S31" s="123">
        <v>45950</v>
      </c>
      <c r="T31" s="118">
        <v>187</v>
      </c>
      <c r="U31" s="118"/>
      <c r="V31" s="118" t="s">
        <v>37</v>
      </c>
      <c r="W31" s="118" t="s">
        <v>23</v>
      </c>
      <c r="X31" s="129">
        <v>2120</v>
      </c>
      <c r="Y31" s="121">
        <v>45972</v>
      </c>
      <c r="Z31" s="121">
        <v>45978</v>
      </c>
      <c r="AA31" s="125" t="s">
        <v>39</v>
      </c>
      <c r="AB31" s="118"/>
      <c r="AC31" s="126">
        <f t="shared" si="0"/>
        <v>0</v>
      </c>
    </row>
    <row r="32" spans="2:29" ht="45" customHeight="1" x14ac:dyDescent="0.25">
      <c r="B32" s="118">
        <v>29</v>
      </c>
      <c r="C32" s="117" t="s">
        <v>126</v>
      </c>
      <c r="D32" s="118" t="s">
        <v>139</v>
      </c>
      <c r="E32" s="118" t="s">
        <v>35</v>
      </c>
      <c r="F32" s="119" t="s">
        <v>140</v>
      </c>
      <c r="G32" s="120">
        <v>5345</v>
      </c>
      <c r="H32" s="120">
        <v>242</v>
      </c>
      <c r="I32" s="118" t="s">
        <v>33</v>
      </c>
      <c r="J32" s="118" t="s">
        <v>35</v>
      </c>
      <c r="K32" s="118">
        <v>86727</v>
      </c>
      <c r="L32" s="118">
        <v>8</v>
      </c>
      <c r="M32" s="118" t="s">
        <v>141</v>
      </c>
      <c r="N32" s="118" t="s">
        <v>35</v>
      </c>
      <c r="O32" s="118">
        <v>4272777</v>
      </c>
      <c r="P32" s="121">
        <v>45946</v>
      </c>
      <c r="Q32" s="118">
        <v>4387350</v>
      </c>
      <c r="R32" s="122">
        <v>3679.9</v>
      </c>
      <c r="S32" s="123">
        <v>45950</v>
      </c>
      <c r="T32" s="118">
        <v>1767</v>
      </c>
      <c r="U32" s="118" t="s">
        <v>142</v>
      </c>
      <c r="V32" s="118" t="s">
        <v>71</v>
      </c>
      <c r="W32" s="118" t="s">
        <v>125</v>
      </c>
      <c r="X32" s="124">
        <v>3679.9</v>
      </c>
      <c r="Y32" s="121">
        <v>45944</v>
      </c>
      <c r="Z32" s="121">
        <v>45950</v>
      </c>
      <c r="AA32" s="125" t="s">
        <v>39</v>
      </c>
      <c r="AB32" s="118"/>
      <c r="AC32" s="126">
        <f t="shared" si="0"/>
        <v>0</v>
      </c>
    </row>
    <row r="33" spans="2:29" ht="45" customHeight="1" x14ac:dyDescent="0.25">
      <c r="B33" s="118">
        <v>30</v>
      </c>
      <c r="C33" s="117" t="s">
        <v>126</v>
      </c>
      <c r="D33" s="118" t="s">
        <v>139</v>
      </c>
      <c r="E33" s="118">
        <v>39015</v>
      </c>
      <c r="F33" s="119" t="s">
        <v>143</v>
      </c>
      <c r="G33" s="118">
        <v>5345</v>
      </c>
      <c r="H33" s="118">
        <v>242</v>
      </c>
      <c r="I33" s="118" t="s">
        <v>33</v>
      </c>
      <c r="J33" s="118" t="s">
        <v>144</v>
      </c>
      <c r="K33" s="118">
        <v>87373</v>
      </c>
      <c r="L33" s="118">
        <v>6</v>
      </c>
      <c r="M33" s="118" t="s">
        <v>35</v>
      </c>
      <c r="N33" s="118" t="s">
        <v>35</v>
      </c>
      <c r="O33" s="118">
        <v>4275238</v>
      </c>
      <c r="P33" s="121">
        <v>45950</v>
      </c>
      <c r="Q33" s="118">
        <v>4394015</v>
      </c>
      <c r="R33" s="122">
        <v>3398</v>
      </c>
      <c r="S33" s="123">
        <v>45955</v>
      </c>
      <c r="T33" s="118">
        <v>1785</v>
      </c>
      <c r="U33" s="118" t="s">
        <v>145</v>
      </c>
      <c r="V33" s="118" t="s">
        <v>71</v>
      </c>
      <c r="W33" s="118" t="s">
        <v>86</v>
      </c>
      <c r="X33" s="124">
        <v>3398</v>
      </c>
      <c r="Y33" s="121">
        <v>45963</v>
      </c>
      <c r="Z33" s="121">
        <v>45986</v>
      </c>
      <c r="AA33" s="118" t="s">
        <v>39</v>
      </c>
      <c r="AB33" s="136"/>
      <c r="AC33" s="126">
        <f t="shared" si="0"/>
        <v>0</v>
      </c>
    </row>
    <row r="34" spans="2:29" ht="45" customHeight="1" x14ac:dyDescent="0.25">
      <c r="B34" s="118">
        <v>31</v>
      </c>
      <c r="C34" s="117" t="s">
        <v>126</v>
      </c>
      <c r="D34" s="118" t="s">
        <v>107</v>
      </c>
      <c r="E34" s="118">
        <v>39269</v>
      </c>
      <c r="F34" s="119" t="s">
        <v>146</v>
      </c>
      <c r="G34" s="118">
        <v>5345</v>
      </c>
      <c r="H34" s="118">
        <v>242</v>
      </c>
      <c r="I34" s="118" t="s">
        <v>33</v>
      </c>
      <c r="J34" s="118" t="s">
        <v>147</v>
      </c>
      <c r="K34" s="118">
        <v>87723</v>
      </c>
      <c r="L34" s="118">
        <v>6</v>
      </c>
      <c r="M34" s="118" t="s">
        <v>35</v>
      </c>
      <c r="N34" s="118" t="s">
        <v>35</v>
      </c>
      <c r="O34" s="118">
        <v>4277711</v>
      </c>
      <c r="P34" s="121">
        <v>45952</v>
      </c>
      <c r="Q34" s="118">
        <v>4395225</v>
      </c>
      <c r="R34" s="122">
        <v>3657.5</v>
      </c>
      <c r="S34" s="123">
        <v>45960</v>
      </c>
      <c r="T34" s="118">
        <v>3169</v>
      </c>
      <c r="U34" s="125" t="s">
        <v>148</v>
      </c>
      <c r="V34" s="118" t="s">
        <v>71</v>
      </c>
      <c r="W34" s="118" t="s">
        <v>149</v>
      </c>
      <c r="X34" s="122">
        <v>3657.5</v>
      </c>
      <c r="Y34" s="121">
        <v>45962</v>
      </c>
      <c r="Z34" s="121">
        <v>45965</v>
      </c>
      <c r="AA34" s="125" t="s">
        <v>39</v>
      </c>
      <c r="AB34" s="118"/>
      <c r="AC34" s="126">
        <f t="shared" si="0"/>
        <v>0</v>
      </c>
    </row>
    <row r="35" spans="2:29" ht="45" customHeight="1" x14ac:dyDescent="0.25">
      <c r="B35" s="118">
        <v>32</v>
      </c>
      <c r="C35" s="117" t="s">
        <v>150</v>
      </c>
      <c r="D35" s="118" t="s">
        <v>151</v>
      </c>
      <c r="E35" s="118">
        <v>34953</v>
      </c>
      <c r="F35" s="127" t="s">
        <v>152</v>
      </c>
      <c r="G35" s="118">
        <v>4600</v>
      </c>
      <c r="H35" s="118">
        <v>242</v>
      </c>
      <c r="I35" s="118" t="s">
        <v>33</v>
      </c>
      <c r="J35" s="118" t="s">
        <v>153</v>
      </c>
      <c r="K35" s="118">
        <v>78881</v>
      </c>
      <c r="L35" s="118">
        <v>6</v>
      </c>
      <c r="M35" s="118" t="s">
        <v>35</v>
      </c>
      <c r="N35" s="118" t="s">
        <v>35</v>
      </c>
      <c r="O35" s="118">
        <v>4224829</v>
      </c>
      <c r="P35" s="121">
        <v>45897</v>
      </c>
      <c r="Q35" s="118">
        <v>4342843</v>
      </c>
      <c r="R35" s="122">
        <v>3800</v>
      </c>
      <c r="S35" s="123">
        <v>45901</v>
      </c>
      <c r="T35" s="118"/>
      <c r="U35" s="118"/>
      <c r="V35" s="118"/>
      <c r="W35" s="118"/>
      <c r="X35" s="129"/>
      <c r="Y35" s="121"/>
      <c r="Z35" s="121"/>
      <c r="AA35" s="118" t="s">
        <v>154</v>
      </c>
      <c r="AB35" s="118" t="s">
        <v>155</v>
      </c>
      <c r="AC35" s="126">
        <f t="shared" si="0"/>
        <v>3800</v>
      </c>
    </row>
    <row r="36" spans="2:29" ht="45" customHeight="1" x14ac:dyDescent="0.25">
      <c r="B36" s="118">
        <v>33</v>
      </c>
      <c r="C36" s="117" t="s">
        <v>150</v>
      </c>
      <c r="D36" s="118" t="s">
        <v>156</v>
      </c>
      <c r="E36" s="118">
        <v>31359</v>
      </c>
      <c r="F36" s="119" t="s">
        <v>157</v>
      </c>
      <c r="G36" s="118">
        <v>2470</v>
      </c>
      <c r="H36" s="118">
        <v>242</v>
      </c>
      <c r="I36" s="118" t="s">
        <v>33</v>
      </c>
      <c r="J36" s="118" t="s">
        <v>158</v>
      </c>
      <c r="K36" s="118">
        <v>82153</v>
      </c>
      <c r="L36" s="118">
        <v>6</v>
      </c>
      <c r="M36" s="118" t="s">
        <v>35</v>
      </c>
      <c r="N36" s="118" t="s">
        <v>35</v>
      </c>
      <c r="O36" s="132" t="s">
        <v>159</v>
      </c>
      <c r="P36" s="121">
        <v>45950</v>
      </c>
      <c r="Q36" s="125"/>
      <c r="R36" s="134">
        <v>6456</v>
      </c>
      <c r="S36" s="123">
        <v>45931</v>
      </c>
      <c r="T36" s="118"/>
      <c r="U36" s="118"/>
      <c r="V36" s="118"/>
      <c r="W36" s="118"/>
      <c r="X36" s="129"/>
      <c r="Y36" s="121"/>
      <c r="Z36" s="121"/>
      <c r="AA36" s="118" t="s">
        <v>160</v>
      </c>
      <c r="AB36" s="135" t="s">
        <v>161</v>
      </c>
      <c r="AC36" s="126">
        <f t="shared" si="0"/>
        <v>6456</v>
      </c>
    </row>
    <row r="37" spans="2:29" ht="45" customHeight="1" x14ac:dyDescent="0.25">
      <c r="B37" s="118">
        <v>34</v>
      </c>
      <c r="C37" s="117" t="s">
        <v>150</v>
      </c>
      <c r="D37" s="118" t="s">
        <v>31</v>
      </c>
      <c r="E37" s="118">
        <v>37312</v>
      </c>
      <c r="F37" s="119" t="s">
        <v>162</v>
      </c>
      <c r="G37" s="118">
        <v>2224</v>
      </c>
      <c r="H37" s="118">
        <v>242</v>
      </c>
      <c r="I37" s="118" t="s">
        <v>33</v>
      </c>
      <c r="J37" s="118" t="s">
        <v>163</v>
      </c>
      <c r="K37" s="118">
        <v>82160</v>
      </c>
      <c r="L37" s="118">
        <v>6</v>
      </c>
      <c r="M37" s="118" t="s">
        <v>35</v>
      </c>
      <c r="N37" s="118" t="s">
        <v>35</v>
      </c>
      <c r="O37" s="118">
        <v>4250436</v>
      </c>
      <c r="P37" s="121">
        <v>45923</v>
      </c>
      <c r="Q37" s="118">
        <v>4366562</v>
      </c>
      <c r="R37" s="122">
        <v>3455.93</v>
      </c>
      <c r="S37" s="123">
        <v>45931</v>
      </c>
      <c r="T37" s="118">
        <v>19539</v>
      </c>
      <c r="U37" s="118" t="s">
        <v>164</v>
      </c>
      <c r="V37" s="118" t="s">
        <v>37</v>
      </c>
      <c r="W37" s="118" t="s">
        <v>64</v>
      </c>
      <c r="X37" s="122">
        <v>3455.93</v>
      </c>
      <c r="Y37" s="121">
        <v>45964</v>
      </c>
      <c r="Z37" s="121"/>
      <c r="AA37" s="125" t="s">
        <v>39</v>
      </c>
      <c r="AB37" s="118"/>
      <c r="AC37" s="126">
        <f t="shared" si="0"/>
        <v>0</v>
      </c>
    </row>
    <row r="38" spans="2:29" ht="45" customHeight="1" x14ac:dyDescent="0.25">
      <c r="B38" s="118">
        <v>35</v>
      </c>
      <c r="C38" s="117" t="s">
        <v>150</v>
      </c>
      <c r="D38" s="118" t="s">
        <v>107</v>
      </c>
      <c r="E38" s="118" t="s">
        <v>35</v>
      </c>
      <c r="F38" s="119" t="s">
        <v>165</v>
      </c>
      <c r="G38" s="120">
        <v>5525</v>
      </c>
      <c r="H38" s="120">
        <v>242</v>
      </c>
      <c r="I38" s="118" t="s">
        <v>33</v>
      </c>
      <c r="J38" s="118" t="s">
        <v>166</v>
      </c>
      <c r="K38" s="118">
        <v>83965</v>
      </c>
      <c r="L38" s="118">
        <v>1</v>
      </c>
      <c r="M38" s="118" t="s">
        <v>35</v>
      </c>
      <c r="N38" s="118" t="s">
        <v>35</v>
      </c>
      <c r="O38" s="118">
        <v>4256365</v>
      </c>
      <c r="P38" s="121">
        <v>45930</v>
      </c>
      <c r="Q38" s="118">
        <v>4377379</v>
      </c>
      <c r="R38" s="122">
        <v>2685</v>
      </c>
      <c r="S38" s="123">
        <v>45962</v>
      </c>
      <c r="T38" s="118">
        <v>3159</v>
      </c>
      <c r="U38" s="118" t="s">
        <v>35</v>
      </c>
      <c r="V38" s="118" t="s">
        <v>71</v>
      </c>
      <c r="W38" s="118" t="s">
        <v>125</v>
      </c>
      <c r="X38" s="124">
        <v>2685</v>
      </c>
      <c r="Y38" s="121">
        <v>45947</v>
      </c>
      <c r="Z38" s="121">
        <v>45951</v>
      </c>
      <c r="AA38" s="125" t="s">
        <v>39</v>
      </c>
      <c r="AB38" s="118"/>
      <c r="AC38" s="126">
        <f t="shared" si="0"/>
        <v>0</v>
      </c>
    </row>
    <row r="39" spans="2:29" ht="45" customHeight="1" x14ac:dyDescent="0.25">
      <c r="B39" s="118">
        <v>36</v>
      </c>
      <c r="C39" s="117" t="s">
        <v>150</v>
      </c>
      <c r="D39" s="118" t="s">
        <v>117</v>
      </c>
      <c r="E39" s="118" t="s">
        <v>35</v>
      </c>
      <c r="F39" s="119" t="s">
        <v>167</v>
      </c>
      <c r="G39" s="118">
        <v>2739</v>
      </c>
      <c r="H39" s="118">
        <v>242</v>
      </c>
      <c r="I39" s="118" t="s">
        <v>33</v>
      </c>
      <c r="J39" s="136" t="s">
        <v>168</v>
      </c>
      <c r="K39" s="118">
        <v>83988</v>
      </c>
      <c r="L39" s="118">
        <v>5</v>
      </c>
      <c r="M39" s="118" t="s">
        <v>169</v>
      </c>
      <c r="N39" s="118" t="s">
        <v>37</v>
      </c>
      <c r="O39" s="132" t="s">
        <v>170</v>
      </c>
      <c r="P39" s="121">
        <v>45986</v>
      </c>
      <c r="Q39" s="118">
        <v>4431055</v>
      </c>
      <c r="R39" s="122">
        <v>725</v>
      </c>
      <c r="S39" s="123">
        <v>45962</v>
      </c>
      <c r="T39" s="118"/>
      <c r="U39" s="118" t="s">
        <v>171</v>
      </c>
      <c r="V39" s="118"/>
      <c r="W39" s="118"/>
      <c r="X39" s="129"/>
      <c r="Y39" s="121"/>
      <c r="Z39" s="121"/>
      <c r="AA39" s="118" t="s">
        <v>48</v>
      </c>
      <c r="AB39" s="137"/>
      <c r="AC39" s="126">
        <f t="shared" si="0"/>
        <v>725</v>
      </c>
    </row>
    <row r="40" spans="2:29" ht="45" customHeight="1" x14ac:dyDescent="0.25">
      <c r="B40" s="118">
        <v>37</v>
      </c>
      <c r="C40" s="118" t="s">
        <v>150</v>
      </c>
      <c r="D40" s="118" t="s">
        <v>172</v>
      </c>
      <c r="E40" s="118" t="s">
        <v>35</v>
      </c>
      <c r="F40" s="127" t="s">
        <v>173</v>
      </c>
      <c r="G40" s="118" t="s">
        <v>174</v>
      </c>
      <c r="H40" s="118">
        <v>5</v>
      </c>
      <c r="I40" s="118" t="s">
        <v>33</v>
      </c>
      <c r="J40" s="118" t="s">
        <v>175</v>
      </c>
      <c r="K40" s="118">
        <v>83993</v>
      </c>
      <c r="L40" s="118">
        <v>2</v>
      </c>
      <c r="M40" s="118" t="s">
        <v>176</v>
      </c>
      <c r="N40" s="118" t="s">
        <v>35</v>
      </c>
      <c r="O40" s="118">
        <v>4257969</v>
      </c>
      <c r="P40" s="121">
        <v>45931</v>
      </c>
      <c r="Q40" s="118">
        <v>4375452</v>
      </c>
      <c r="R40" s="122">
        <v>12900</v>
      </c>
      <c r="S40" s="123">
        <v>45962</v>
      </c>
      <c r="T40" s="118">
        <v>1304</v>
      </c>
      <c r="U40" s="118" t="s">
        <v>35</v>
      </c>
      <c r="V40" s="118" t="s">
        <v>71</v>
      </c>
      <c r="W40" s="118" t="s">
        <v>23</v>
      </c>
      <c r="X40" s="122">
        <v>12900</v>
      </c>
      <c r="Y40" s="121">
        <v>45964</v>
      </c>
      <c r="Z40" s="121">
        <v>45964</v>
      </c>
      <c r="AA40" s="125" t="s">
        <v>39</v>
      </c>
      <c r="AB40" s="118"/>
      <c r="AC40" s="126">
        <f t="shared" si="0"/>
        <v>0</v>
      </c>
    </row>
    <row r="41" spans="2:29" ht="45" customHeight="1" x14ac:dyDescent="0.25">
      <c r="B41" s="118">
        <v>38</v>
      </c>
      <c r="C41" s="117" t="s">
        <v>150</v>
      </c>
      <c r="D41" s="118" t="s">
        <v>172</v>
      </c>
      <c r="E41" s="118" t="s">
        <v>35</v>
      </c>
      <c r="F41" s="127" t="s">
        <v>177</v>
      </c>
      <c r="G41" s="120">
        <v>2313</v>
      </c>
      <c r="H41" s="120">
        <v>242</v>
      </c>
      <c r="I41" s="118" t="s">
        <v>33</v>
      </c>
      <c r="J41" s="118" t="s">
        <v>178</v>
      </c>
      <c r="K41" s="118">
        <v>86019</v>
      </c>
      <c r="L41" s="118">
        <v>2</v>
      </c>
      <c r="M41" s="118" t="s">
        <v>179</v>
      </c>
      <c r="N41" s="118" t="s">
        <v>35</v>
      </c>
      <c r="O41" s="118">
        <v>4267144</v>
      </c>
      <c r="P41" s="121">
        <v>45940</v>
      </c>
      <c r="Q41" s="118">
        <v>4384249</v>
      </c>
      <c r="R41" s="122">
        <v>10430</v>
      </c>
      <c r="S41" s="123">
        <v>45960</v>
      </c>
      <c r="T41" s="118">
        <v>1295</v>
      </c>
      <c r="U41" s="118" t="s">
        <v>180</v>
      </c>
      <c r="V41" s="118" t="s">
        <v>71</v>
      </c>
      <c r="W41" s="118" t="s">
        <v>125</v>
      </c>
      <c r="X41" s="124">
        <v>10430</v>
      </c>
      <c r="Y41" s="121">
        <v>45951</v>
      </c>
      <c r="Z41" s="121">
        <v>45953</v>
      </c>
      <c r="AA41" s="125" t="s">
        <v>39</v>
      </c>
      <c r="AB41" s="118"/>
      <c r="AC41" s="126">
        <f t="shared" si="0"/>
        <v>0</v>
      </c>
    </row>
    <row r="42" spans="2:29" ht="45" customHeight="1" x14ac:dyDescent="0.25">
      <c r="B42" s="118">
        <v>39</v>
      </c>
      <c r="C42" s="117" t="s">
        <v>150</v>
      </c>
      <c r="D42" s="118" t="s">
        <v>107</v>
      </c>
      <c r="E42" s="118" t="s">
        <v>35</v>
      </c>
      <c r="F42" s="119" t="s">
        <v>181</v>
      </c>
      <c r="G42" s="118">
        <v>2224</v>
      </c>
      <c r="H42" s="118">
        <v>242</v>
      </c>
      <c r="I42" s="118" t="s">
        <v>33</v>
      </c>
      <c r="J42" s="118" t="s">
        <v>182</v>
      </c>
      <c r="K42" s="118">
        <v>87296</v>
      </c>
      <c r="L42" s="118">
        <v>2</v>
      </c>
      <c r="M42" s="118" t="s">
        <v>183</v>
      </c>
      <c r="N42" s="118" t="s">
        <v>35</v>
      </c>
      <c r="O42" s="136" t="s">
        <v>184</v>
      </c>
      <c r="P42" s="133" t="s">
        <v>185</v>
      </c>
      <c r="Q42" s="138">
        <v>4403698</v>
      </c>
      <c r="R42" s="122">
        <v>15504</v>
      </c>
      <c r="S42" s="123">
        <v>45989</v>
      </c>
      <c r="T42" s="118">
        <v>3185</v>
      </c>
      <c r="U42" s="118"/>
      <c r="V42" s="118" t="s">
        <v>71</v>
      </c>
      <c r="W42" s="118" t="s">
        <v>23</v>
      </c>
      <c r="X42" s="124">
        <v>15504</v>
      </c>
      <c r="Y42" s="121">
        <v>45973</v>
      </c>
      <c r="Z42" s="121">
        <v>45974</v>
      </c>
      <c r="AA42" s="125" t="s">
        <v>39</v>
      </c>
      <c r="AB42" s="135"/>
      <c r="AC42" s="126">
        <f t="shared" si="0"/>
        <v>0</v>
      </c>
    </row>
    <row r="43" spans="2:29" ht="45" customHeight="1" x14ac:dyDescent="0.25">
      <c r="B43" s="118">
        <v>40</v>
      </c>
      <c r="C43" s="117" t="s">
        <v>186</v>
      </c>
      <c r="D43" s="118" t="s">
        <v>107</v>
      </c>
      <c r="E43" s="118">
        <v>34945</v>
      </c>
      <c r="F43" s="119" t="s">
        <v>187</v>
      </c>
      <c r="G43" s="118">
        <v>4588</v>
      </c>
      <c r="H43" s="118">
        <v>242</v>
      </c>
      <c r="I43" s="118" t="s">
        <v>188</v>
      </c>
      <c r="J43" s="118" t="s">
        <v>189</v>
      </c>
      <c r="K43" s="118">
        <v>75890</v>
      </c>
      <c r="L43" s="118">
        <v>6</v>
      </c>
      <c r="M43" s="118" t="s">
        <v>35</v>
      </c>
      <c r="N43" s="118" t="s">
        <v>35</v>
      </c>
      <c r="O43" s="118">
        <v>4206409</v>
      </c>
      <c r="P43" s="121">
        <v>45880</v>
      </c>
      <c r="Q43" s="118">
        <v>4323795</v>
      </c>
      <c r="R43" s="139">
        <v>2137.5</v>
      </c>
      <c r="S43" s="123">
        <v>45899</v>
      </c>
      <c r="T43" s="118">
        <v>3166</v>
      </c>
      <c r="U43" s="130" t="s">
        <v>190</v>
      </c>
      <c r="V43" s="118" t="s">
        <v>71</v>
      </c>
      <c r="W43" s="118" t="s">
        <v>23</v>
      </c>
      <c r="X43" s="129">
        <v>2137.5</v>
      </c>
      <c r="Y43" s="121">
        <v>45962</v>
      </c>
      <c r="Z43" s="140">
        <v>45965</v>
      </c>
      <c r="AA43" s="125" t="s">
        <v>39</v>
      </c>
      <c r="AB43" s="118"/>
      <c r="AC43" s="126">
        <f t="shared" si="0"/>
        <v>0</v>
      </c>
    </row>
    <row r="44" spans="2:29" ht="45" customHeight="1" x14ac:dyDescent="0.25">
      <c r="B44" s="118">
        <v>41</v>
      </c>
      <c r="C44" s="117" t="s">
        <v>186</v>
      </c>
      <c r="D44" s="118" t="s">
        <v>107</v>
      </c>
      <c r="E44" s="118">
        <v>36069</v>
      </c>
      <c r="F44" s="119" t="s">
        <v>191</v>
      </c>
      <c r="G44" s="118">
        <v>4669</v>
      </c>
      <c r="H44" s="118">
        <v>242</v>
      </c>
      <c r="I44" s="118" t="s">
        <v>33</v>
      </c>
      <c r="J44" s="118">
        <v>384</v>
      </c>
      <c r="K44" s="118">
        <v>79953</v>
      </c>
      <c r="L44" s="118">
        <v>6</v>
      </c>
      <c r="M44" s="118" t="s">
        <v>35</v>
      </c>
      <c r="N44" s="118" t="s">
        <v>35</v>
      </c>
      <c r="O44" s="118">
        <v>4233040</v>
      </c>
      <c r="P44" s="121">
        <v>45905</v>
      </c>
      <c r="Q44" s="118">
        <v>4349842</v>
      </c>
      <c r="R44" s="122">
        <v>4788.8</v>
      </c>
      <c r="S44" s="123">
        <v>45971</v>
      </c>
      <c r="T44" s="118">
        <v>3167</v>
      </c>
      <c r="U44" s="130" t="s">
        <v>192</v>
      </c>
      <c r="V44" s="118" t="s">
        <v>71</v>
      </c>
      <c r="W44" s="118" t="s">
        <v>23</v>
      </c>
      <c r="X44" s="122">
        <v>4788.8</v>
      </c>
      <c r="Y44" s="121">
        <v>45962</v>
      </c>
      <c r="Z44" s="121">
        <v>45966</v>
      </c>
      <c r="AA44" s="125" t="s">
        <v>39</v>
      </c>
      <c r="AB44" s="118"/>
      <c r="AC44" s="126">
        <f t="shared" si="0"/>
        <v>0</v>
      </c>
    </row>
    <row r="45" spans="2:29" ht="45" customHeight="1" x14ac:dyDescent="0.25">
      <c r="B45" s="118">
        <v>42</v>
      </c>
      <c r="C45" s="117" t="s">
        <v>186</v>
      </c>
      <c r="D45" s="118" t="s">
        <v>107</v>
      </c>
      <c r="E45" s="118">
        <v>34945</v>
      </c>
      <c r="F45" s="119" t="s">
        <v>193</v>
      </c>
      <c r="G45" s="118">
        <v>4669</v>
      </c>
      <c r="H45" s="118">
        <v>242</v>
      </c>
      <c r="I45" s="118" t="s">
        <v>33</v>
      </c>
      <c r="J45" s="118">
        <v>381</v>
      </c>
      <c r="K45" s="118">
        <v>80971</v>
      </c>
      <c r="L45" s="118">
        <v>6</v>
      </c>
      <c r="M45" s="118" t="s">
        <v>35</v>
      </c>
      <c r="N45" s="118" t="s">
        <v>35</v>
      </c>
      <c r="O45" s="118">
        <v>4250909</v>
      </c>
      <c r="P45" s="121">
        <v>45914</v>
      </c>
      <c r="Q45" s="118">
        <v>4366560</v>
      </c>
      <c r="R45" s="122">
        <v>1102</v>
      </c>
      <c r="S45" s="123">
        <v>45930</v>
      </c>
      <c r="T45" s="118"/>
      <c r="U45" s="130" t="s">
        <v>190</v>
      </c>
      <c r="V45" s="118"/>
      <c r="W45" s="118"/>
      <c r="X45" s="129"/>
      <c r="Y45" s="121"/>
      <c r="Z45" s="121"/>
      <c r="AA45" s="118" t="s">
        <v>48</v>
      </c>
      <c r="AB45" s="118"/>
      <c r="AC45" s="126">
        <f t="shared" si="0"/>
        <v>1102</v>
      </c>
    </row>
    <row r="46" spans="2:29" ht="45" customHeight="1" x14ac:dyDescent="0.25">
      <c r="B46" s="118">
        <v>43</v>
      </c>
      <c r="C46" s="117" t="s">
        <v>186</v>
      </c>
      <c r="D46" s="118" t="s">
        <v>194</v>
      </c>
      <c r="E46" s="118" t="s">
        <v>35</v>
      </c>
      <c r="F46" s="127" t="s">
        <v>195</v>
      </c>
      <c r="G46" s="120">
        <v>5345</v>
      </c>
      <c r="H46" s="120">
        <v>242</v>
      </c>
      <c r="I46" s="118" t="s">
        <v>33</v>
      </c>
      <c r="J46" s="118" t="s">
        <v>196</v>
      </c>
      <c r="K46" s="118">
        <v>81713</v>
      </c>
      <c r="L46" s="118">
        <v>2</v>
      </c>
      <c r="M46" s="118" t="s">
        <v>197</v>
      </c>
      <c r="N46" s="118" t="s">
        <v>35</v>
      </c>
      <c r="O46" s="118">
        <v>4245590</v>
      </c>
      <c r="P46" s="121">
        <v>45918</v>
      </c>
      <c r="Q46" s="118">
        <v>4364191</v>
      </c>
      <c r="R46" s="122">
        <v>3664</v>
      </c>
      <c r="S46" s="123">
        <v>45924</v>
      </c>
      <c r="T46" s="118">
        <v>6570</v>
      </c>
      <c r="U46" s="118" t="s">
        <v>35</v>
      </c>
      <c r="V46" s="118" t="s">
        <v>71</v>
      </c>
      <c r="W46" s="118" t="s">
        <v>38</v>
      </c>
      <c r="X46" s="124">
        <v>3664</v>
      </c>
      <c r="Y46" s="121">
        <v>45945</v>
      </c>
      <c r="Z46" s="121">
        <v>45950</v>
      </c>
      <c r="AA46" s="125" t="s">
        <v>39</v>
      </c>
      <c r="AB46" s="118"/>
      <c r="AC46" s="126">
        <f t="shared" si="0"/>
        <v>0</v>
      </c>
    </row>
    <row r="47" spans="2:29" ht="45" customHeight="1" x14ac:dyDescent="0.25">
      <c r="B47" s="118">
        <v>44</v>
      </c>
      <c r="C47" s="117" t="s">
        <v>186</v>
      </c>
      <c r="D47" s="118" t="s">
        <v>117</v>
      </c>
      <c r="E47" s="118" t="s">
        <v>35</v>
      </c>
      <c r="F47" s="119" t="s">
        <v>198</v>
      </c>
      <c r="G47" s="120">
        <v>4588</v>
      </c>
      <c r="H47" s="120">
        <v>242</v>
      </c>
      <c r="I47" s="118" t="s">
        <v>33</v>
      </c>
      <c r="J47" s="118" t="s">
        <v>199</v>
      </c>
      <c r="K47" s="118">
        <v>84946</v>
      </c>
      <c r="L47" s="118">
        <v>5</v>
      </c>
      <c r="M47" s="118" t="s">
        <v>200</v>
      </c>
      <c r="N47" s="118" t="s">
        <v>37</v>
      </c>
      <c r="O47" s="118">
        <v>4268442</v>
      </c>
      <c r="P47" s="121">
        <v>45943</v>
      </c>
      <c r="Q47" s="118">
        <v>4387720</v>
      </c>
      <c r="R47" s="122">
        <v>12535.8</v>
      </c>
      <c r="S47" s="123">
        <v>45940</v>
      </c>
      <c r="T47" s="118">
        <v>279</v>
      </c>
      <c r="U47" s="118" t="s">
        <v>201</v>
      </c>
      <c r="V47" s="118" t="s">
        <v>71</v>
      </c>
      <c r="W47" s="118" t="s">
        <v>38</v>
      </c>
      <c r="X47" s="124">
        <v>12535.8</v>
      </c>
      <c r="Y47" s="121">
        <v>45947</v>
      </c>
      <c r="Z47" s="121">
        <v>45953</v>
      </c>
      <c r="AA47" s="125" t="s">
        <v>39</v>
      </c>
      <c r="AB47" s="118"/>
      <c r="AC47" s="126">
        <f t="shared" si="0"/>
        <v>0</v>
      </c>
    </row>
    <row r="48" spans="2:29" ht="45" customHeight="1" x14ac:dyDescent="0.25">
      <c r="B48" s="118">
        <v>45</v>
      </c>
      <c r="C48" s="117" t="s">
        <v>186</v>
      </c>
      <c r="D48" s="118" t="s">
        <v>117</v>
      </c>
      <c r="E48" s="118" t="s">
        <v>35</v>
      </c>
      <c r="F48" s="119" t="s">
        <v>202</v>
      </c>
      <c r="G48" s="120">
        <v>2275</v>
      </c>
      <c r="H48" s="120">
        <v>242</v>
      </c>
      <c r="I48" s="118" t="s">
        <v>33</v>
      </c>
      <c r="J48" s="118" t="s">
        <v>203</v>
      </c>
      <c r="K48" s="118">
        <v>84952</v>
      </c>
      <c r="L48" s="118">
        <v>5</v>
      </c>
      <c r="M48" s="118" t="s">
        <v>204</v>
      </c>
      <c r="N48" s="118" t="s">
        <v>37</v>
      </c>
      <c r="O48" s="118">
        <v>4265189</v>
      </c>
      <c r="P48" s="121">
        <v>45938</v>
      </c>
      <c r="Q48" s="118">
        <v>4387013</v>
      </c>
      <c r="R48" s="122">
        <v>965</v>
      </c>
      <c r="S48" s="123">
        <v>45940</v>
      </c>
      <c r="T48" s="118">
        <v>278</v>
      </c>
      <c r="U48" s="118" t="s">
        <v>205</v>
      </c>
      <c r="V48" s="118" t="s">
        <v>71</v>
      </c>
      <c r="W48" s="118" t="s">
        <v>38</v>
      </c>
      <c r="X48" s="124">
        <v>965</v>
      </c>
      <c r="Y48" s="121">
        <v>45947</v>
      </c>
      <c r="Z48" s="121">
        <v>45951</v>
      </c>
      <c r="AA48" s="125" t="s">
        <v>39</v>
      </c>
      <c r="AB48" s="118"/>
      <c r="AC48" s="126">
        <f t="shared" si="0"/>
        <v>0</v>
      </c>
    </row>
    <row r="49" spans="2:29" ht="45" customHeight="1" x14ac:dyDescent="0.25">
      <c r="B49" s="118">
        <v>46</v>
      </c>
      <c r="C49" s="117" t="s">
        <v>186</v>
      </c>
      <c r="D49" s="118" t="s">
        <v>107</v>
      </c>
      <c r="E49" s="118">
        <v>34258</v>
      </c>
      <c r="F49" s="119" t="s">
        <v>206</v>
      </c>
      <c r="G49" s="120">
        <v>2291</v>
      </c>
      <c r="H49" s="120">
        <v>242</v>
      </c>
      <c r="I49" s="118" t="s">
        <v>33</v>
      </c>
      <c r="J49" s="118" t="s">
        <v>207</v>
      </c>
      <c r="K49" s="118">
        <v>84967</v>
      </c>
      <c r="L49" s="118">
        <v>6</v>
      </c>
      <c r="M49" s="118" t="s">
        <v>35</v>
      </c>
      <c r="N49" s="118" t="s">
        <v>35</v>
      </c>
      <c r="O49" s="118">
        <v>4263391</v>
      </c>
      <c r="P49" s="121">
        <v>45937</v>
      </c>
      <c r="Q49" s="118">
        <v>4381613</v>
      </c>
      <c r="R49" s="122">
        <v>2280</v>
      </c>
      <c r="S49" s="123">
        <v>45947</v>
      </c>
      <c r="T49" s="118">
        <v>3137</v>
      </c>
      <c r="U49" s="118" t="s">
        <v>208</v>
      </c>
      <c r="V49" s="118" t="s">
        <v>71</v>
      </c>
      <c r="W49" s="118" t="s">
        <v>125</v>
      </c>
      <c r="X49" s="124">
        <v>2280</v>
      </c>
      <c r="Y49" s="121">
        <v>45940</v>
      </c>
      <c r="Z49" s="121">
        <v>45950</v>
      </c>
      <c r="AA49" s="125" t="s">
        <v>39</v>
      </c>
      <c r="AB49" s="118"/>
      <c r="AC49" s="126">
        <f t="shared" si="0"/>
        <v>0</v>
      </c>
    </row>
    <row r="50" spans="2:29" ht="45" customHeight="1" x14ac:dyDescent="0.25">
      <c r="B50" s="118">
        <v>47</v>
      </c>
      <c r="C50" s="117" t="s">
        <v>186</v>
      </c>
      <c r="D50" s="118" t="s">
        <v>107</v>
      </c>
      <c r="E50" s="118">
        <v>36938</v>
      </c>
      <c r="F50" s="119" t="s">
        <v>209</v>
      </c>
      <c r="G50" s="120">
        <v>5345</v>
      </c>
      <c r="H50" s="120">
        <v>242</v>
      </c>
      <c r="I50" s="118" t="s">
        <v>33</v>
      </c>
      <c r="J50" s="118" t="s">
        <v>210</v>
      </c>
      <c r="K50" s="118">
        <v>84963</v>
      </c>
      <c r="L50" s="118">
        <v>6</v>
      </c>
      <c r="M50" s="118" t="s">
        <v>35</v>
      </c>
      <c r="N50" s="118" t="s">
        <v>35</v>
      </c>
      <c r="O50" s="118">
        <v>4263394</v>
      </c>
      <c r="P50" s="121">
        <v>45937</v>
      </c>
      <c r="Q50" s="118">
        <v>4381615</v>
      </c>
      <c r="R50" s="122">
        <v>1377.5</v>
      </c>
      <c r="S50" s="123">
        <v>45950</v>
      </c>
      <c r="T50" s="118">
        <v>3136</v>
      </c>
      <c r="U50" s="118" t="s">
        <v>211</v>
      </c>
      <c r="V50" s="118" t="s">
        <v>71</v>
      </c>
      <c r="W50" s="118" t="s">
        <v>125</v>
      </c>
      <c r="X50" s="124">
        <v>1377.5</v>
      </c>
      <c r="Y50" s="121">
        <v>45940</v>
      </c>
      <c r="Z50" s="121">
        <v>45950</v>
      </c>
      <c r="AA50" s="125" t="s">
        <v>39</v>
      </c>
      <c r="AB50" s="118"/>
      <c r="AC50" s="126">
        <f t="shared" si="0"/>
        <v>0</v>
      </c>
    </row>
    <row r="51" spans="2:29" ht="45" customHeight="1" x14ac:dyDescent="0.25">
      <c r="B51" s="118">
        <v>48</v>
      </c>
      <c r="C51" s="117" t="s">
        <v>186</v>
      </c>
      <c r="D51" s="118" t="s">
        <v>212</v>
      </c>
      <c r="E51" s="118">
        <v>33876</v>
      </c>
      <c r="F51" s="127" t="s">
        <v>213</v>
      </c>
      <c r="G51" s="120">
        <v>2291</v>
      </c>
      <c r="H51" s="120">
        <v>242</v>
      </c>
      <c r="I51" s="118" t="s">
        <v>33</v>
      </c>
      <c r="J51" s="118" t="s">
        <v>214</v>
      </c>
      <c r="K51" s="118">
        <v>84991</v>
      </c>
      <c r="L51" s="118">
        <v>6</v>
      </c>
      <c r="M51" s="118" t="s">
        <v>35</v>
      </c>
      <c r="N51" s="118" t="s">
        <v>35</v>
      </c>
      <c r="O51" s="118">
        <v>4263398</v>
      </c>
      <c r="P51" s="121">
        <v>45937</v>
      </c>
      <c r="Q51" s="118">
        <v>4381620</v>
      </c>
      <c r="R51" s="122">
        <v>1205.4000000000001</v>
      </c>
      <c r="S51" s="123">
        <v>45960</v>
      </c>
      <c r="T51" s="118">
        <v>5067</v>
      </c>
      <c r="U51" s="130" t="s">
        <v>215</v>
      </c>
      <c r="V51" s="118" t="s">
        <v>71</v>
      </c>
      <c r="W51" s="118" t="s">
        <v>38</v>
      </c>
      <c r="X51" s="124">
        <v>1205.4000000000001</v>
      </c>
      <c r="Y51" s="121">
        <v>45943</v>
      </c>
      <c r="Z51" s="121">
        <v>45950</v>
      </c>
      <c r="AA51" s="125" t="s">
        <v>39</v>
      </c>
      <c r="AB51" s="118"/>
      <c r="AC51" s="126">
        <f t="shared" si="0"/>
        <v>0</v>
      </c>
    </row>
    <row r="52" spans="2:29" ht="45" customHeight="1" x14ac:dyDescent="0.25">
      <c r="B52" s="118">
        <v>49</v>
      </c>
      <c r="C52" s="117" t="s">
        <v>186</v>
      </c>
      <c r="D52" s="118" t="s">
        <v>212</v>
      </c>
      <c r="E52" s="118">
        <v>34823</v>
      </c>
      <c r="F52" s="127" t="s">
        <v>216</v>
      </c>
      <c r="G52" s="120">
        <v>2291</v>
      </c>
      <c r="H52" s="120">
        <v>242</v>
      </c>
      <c r="I52" s="118" t="s">
        <v>33</v>
      </c>
      <c r="J52" s="118" t="s">
        <v>217</v>
      </c>
      <c r="K52" s="118">
        <v>84985</v>
      </c>
      <c r="L52" s="118">
        <v>6</v>
      </c>
      <c r="M52" s="118" t="s">
        <v>35</v>
      </c>
      <c r="N52" s="118" t="s">
        <v>35</v>
      </c>
      <c r="O52" s="118">
        <v>4263404</v>
      </c>
      <c r="P52" s="121">
        <v>45937</v>
      </c>
      <c r="Q52" s="118">
        <v>4381628</v>
      </c>
      <c r="R52" s="122">
        <v>892.78</v>
      </c>
      <c r="S52" s="123">
        <v>45962</v>
      </c>
      <c r="T52" s="118">
        <v>5075</v>
      </c>
      <c r="U52" s="130" t="s">
        <v>218</v>
      </c>
      <c r="V52" s="118" t="s">
        <v>71</v>
      </c>
      <c r="W52" s="118" t="s">
        <v>125</v>
      </c>
      <c r="X52" s="124">
        <v>892.78</v>
      </c>
      <c r="Y52" s="121">
        <v>45950</v>
      </c>
      <c r="Z52" s="121">
        <v>45953</v>
      </c>
      <c r="AA52" s="125" t="s">
        <v>39</v>
      </c>
      <c r="AB52" s="118"/>
      <c r="AC52" s="126">
        <f t="shared" si="0"/>
        <v>0</v>
      </c>
    </row>
    <row r="53" spans="2:29" ht="45" customHeight="1" x14ac:dyDescent="0.25">
      <c r="B53" s="118">
        <v>50</v>
      </c>
      <c r="C53" s="117" t="s">
        <v>186</v>
      </c>
      <c r="D53" s="118" t="s">
        <v>212</v>
      </c>
      <c r="E53" s="118">
        <v>36982</v>
      </c>
      <c r="F53" s="127" t="s">
        <v>219</v>
      </c>
      <c r="G53" s="120">
        <v>2283</v>
      </c>
      <c r="H53" s="120">
        <v>242</v>
      </c>
      <c r="I53" s="118" t="s">
        <v>33</v>
      </c>
      <c r="J53" s="118" t="s">
        <v>220</v>
      </c>
      <c r="K53" s="118">
        <v>84983</v>
      </c>
      <c r="L53" s="118">
        <v>6</v>
      </c>
      <c r="M53" s="118" t="s">
        <v>35</v>
      </c>
      <c r="N53" s="118" t="s">
        <v>35</v>
      </c>
      <c r="O53" s="118">
        <v>4263408</v>
      </c>
      <c r="P53" s="121">
        <v>45937</v>
      </c>
      <c r="Q53" s="118">
        <v>4381634</v>
      </c>
      <c r="R53" s="122">
        <v>1079.96</v>
      </c>
      <c r="S53" s="123">
        <v>45962</v>
      </c>
      <c r="T53" s="118">
        <v>5076</v>
      </c>
      <c r="U53" s="118" t="s">
        <v>221</v>
      </c>
      <c r="V53" s="118" t="s">
        <v>71</v>
      </c>
      <c r="W53" s="118" t="s">
        <v>125</v>
      </c>
      <c r="X53" s="124">
        <v>1079.96</v>
      </c>
      <c r="Y53" s="121">
        <v>45950</v>
      </c>
      <c r="Z53" s="121">
        <v>45953</v>
      </c>
      <c r="AA53" s="125" t="s">
        <v>39</v>
      </c>
      <c r="AB53" s="118"/>
      <c r="AC53" s="126">
        <f t="shared" si="0"/>
        <v>0</v>
      </c>
    </row>
    <row r="54" spans="2:29" ht="45" customHeight="1" x14ac:dyDescent="0.25">
      <c r="B54" s="118">
        <v>51</v>
      </c>
      <c r="C54" s="117" t="s">
        <v>186</v>
      </c>
      <c r="D54" s="118" t="s">
        <v>222</v>
      </c>
      <c r="E54" s="118" t="s">
        <v>35</v>
      </c>
      <c r="F54" s="127" t="s">
        <v>223</v>
      </c>
      <c r="G54" s="118">
        <v>2291</v>
      </c>
      <c r="H54" s="118">
        <v>242</v>
      </c>
      <c r="I54" s="118" t="s">
        <v>33</v>
      </c>
      <c r="J54" s="118" t="s">
        <v>224</v>
      </c>
      <c r="K54" s="118">
        <v>86110</v>
      </c>
      <c r="L54" s="118">
        <v>2</v>
      </c>
      <c r="M54" s="118" t="s">
        <v>225</v>
      </c>
      <c r="N54" s="118" t="s">
        <v>35</v>
      </c>
      <c r="O54" s="118">
        <v>4268451</v>
      </c>
      <c r="P54" s="121">
        <v>45943</v>
      </c>
      <c r="Q54" s="118">
        <v>4384366</v>
      </c>
      <c r="R54" s="122">
        <v>16000</v>
      </c>
      <c r="S54" s="123">
        <v>45960</v>
      </c>
      <c r="T54" s="118"/>
      <c r="U54" s="118"/>
      <c r="V54" s="118"/>
      <c r="W54" s="118"/>
      <c r="X54" s="129"/>
      <c r="Y54" s="121"/>
      <c r="Z54" s="121"/>
      <c r="AA54" s="118" t="s">
        <v>48</v>
      </c>
      <c r="AB54" s="118"/>
      <c r="AC54" s="126">
        <f t="shared" si="0"/>
        <v>16000</v>
      </c>
    </row>
    <row r="55" spans="2:29" ht="45" customHeight="1" x14ac:dyDescent="0.25">
      <c r="B55" s="118">
        <v>52</v>
      </c>
      <c r="C55" s="118" t="s">
        <v>226</v>
      </c>
      <c r="D55" s="118" t="s">
        <v>227</v>
      </c>
      <c r="E55" s="118" t="s">
        <v>35</v>
      </c>
      <c r="F55" s="127" t="s">
        <v>228</v>
      </c>
      <c r="G55" s="118">
        <v>2488</v>
      </c>
      <c r="H55" s="118">
        <v>5</v>
      </c>
      <c r="I55" s="118" t="s">
        <v>33</v>
      </c>
      <c r="J55" s="118" t="s">
        <v>229</v>
      </c>
      <c r="K55" s="118">
        <v>65821</v>
      </c>
      <c r="L55" s="118">
        <v>1</v>
      </c>
      <c r="M55" s="118" t="s">
        <v>35</v>
      </c>
      <c r="N55" s="118" t="s">
        <v>35</v>
      </c>
      <c r="O55" s="118">
        <v>4195109</v>
      </c>
      <c r="P55" s="121">
        <v>45868</v>
      </c>
      <c r="Q55" s="118">
        <v>4324342</v>
      </c>
      <c r="R55" s="122">
        <v>341273.47</v>
      </c>
      <c r="S55" s="128"/>
      <c r="T55" s="118">
        <v>122</v>
      </c>
      <c r="U55" s="118" t="s">
        <v>35</v>
      </c>
      <c r="V55" s="118" t="s">
        <v>71</v>
      </c>
      <c r="W55" s="118" t="s">
        <v>125</v>
      </c>
      <c r="X55" s="124">
        <v>113757.82</v>
      </c>
      <c r="Y55" s="121">
        <v>45946</v>
      </c>
      <c r="Z55" s="121">
        <v>45950</v>
      </c>
      <c r="AA55" s="118" t="s">
        <v>39</v>
      </c>
      <c r="AB55" s="118"/>
      <c r="AC55" s="126">
        <v>58757.83</v>
      </c>
    </row>
    <row r="56" spans="2:29" ht="45" customHeight="1" x14ac:dyDescent="0.25">
      <c r="B56" s="118">
        <v>53</v>
      </c>
      <c r="C56" s="118" t="s">
        <v>226</v>
      </c>
      <c r="D56" s="118" t="s">
        <v>227</v>
      </c>
      <c r="E56" s="118" t="s">
        <v>35</v>
      </c>
      <c r="F56" s="127" t="s">
        <v>228</v>
      </c>
      <c r="G56" s="118">
        <v>2488</v>
      </c>
      <c r="H56" s="118">
        <v>5</v>
      </c>
      <c r="I56" s="118" t="s">
        <v>33</v>
      </c>
      <c r="J56" s="118" t="s">
        <v>229</v>
      </c>
      <c r="K56" s="118">
        <v>65821</v>
      </c>
      <c r="L56" s="118">
        <v>1</v>
      </c>
      <c r="M56" s="118" t="s">
        <v>35</v>
      </c>
      <c r="N56" s="118" t="s">
        <v>35</v>
      </c>
      <c r="O56" s="118">
        <v>4195109</v>
      </c>
      <c r="P56" s="121">
        <v>45868</v>
      </c>
      <c r="Q56" s="118">
        <v>4324342</v>
      </c>
      <c r="R56" s="122">
        <v>227515.64999999997</v>
      </c>
      <c r="S56" s="128"/>
      <c r="T56" s="118">
        <v>123</v>
      </c>
      <c r="U56" s="118" t="s">
        <v>35</v>
      </c>
      <c r="V56" s="118" t="s">
        <v>71</v>
      </c>
      <c r="W56" s="118" t="s">
        <v>125</v>
      </c>
      <c r="X56" s="124">
        <v>55000</v>
      </c>
      <c r="Y56" s="121">
        <v>45957</v>
      </c>
      <c r="Z56" s="121">
        <v>45957</v>
      </c>
      <c r="AA56" s="118" t="s">
        <v>39</v>
      </c>
      <c r="AB56" s="118"/>
      <c r="AC56" s="126">
        <v>0</v>
      </c>
    </row>
    <row r="57" spans="2:29" ht="45" customHeight="1" x14ac:dyDescent="0.25">
      <c r="B57" s="118">
        <v>54</v>
      </c>
      <c r="C57" s="118" t="s">
        <v>226</v>
      </c>
      <c r="D57" s="118" t="s">
        <v>230</v>
      </c>
      <c r="E57" s="118" t="s">
        <v>35</v>
      </c>
      <c r="F57" s="127" t="s">
        <v>231</v>
      </c>
      <c r="G57" s="120" t="s">
        <v>232</v>
      </c>
      <c r="H57" s="120">
        <v>242</v>
      </c>
      <c r="I57" s="118" t="s">
        <v>33</v>
      </c>
      <c r="J57" s="118" t="s">
        <v>233</v>
      </c>
      <c r="K57" s="118">
        <v>72881</v>
      </c>
      <c r="L57" s="118">
        <v>1</v>
      </c>
      <c r="M57" s="118" t="s">
        <v>35</v>
      </c>
      <c r="N57" s="118" t="s">
        <v>35</v>
      </c>
      <c r="O57" s="118">
        <v>4187850</v>
      </c>
      <c r="P57" s="121">
        <v>45861</v>
      </c>
      <c r="Q57" s="118">
        <v>4315808</v>
      </c>
      <c r="R57" s="122">
        <v>4945</v>
      </c>
      <c r="S57" s="123">
        <v>45931</v>
      </c>
      <c r="T57" s="136" t="s">
        <v>234</v>
      </c>
      <c r="U57" s="118" t="s">
        <v>35</v>
      </c>
      <c r="V57" s="118" t="s">
        <v>71</v>
      </c>
      <c r="W57" s="118" t="s">
        <v>125</v>
      </c>
      <c r="X57" s="124">
        <v>4945</v>
      </c>
      <c r="Y57" s="121">
        <v>45944</v>
      </c>
      <c r="Z57" s="121">
        <v>45950</v>
      </c>
      <c r="AA57" s="125" t="s">
        <v>39</v>
      </c>
      <c r="AB57" s="118"/>
      <c r="AC57" s="126">
        <f>R57-X57</f>
        <v>0</v>
      </c>
    </row>
    <row r="58" spans="2:29" ht="45" customHeight="1" x14ac:dyDescent="0.25">
      <c r="B58" s="118">
        <v>55</v>
      </c>
      <c r="C58" s="118" t="s">
        <v>235</v>
      </c>
      <c r="D58" s="118" t="s">
        <v>236</v>
      </c>
      <c r="E58" s="118" t="s">
        <v>35</v>
      </c>
      <c r="F58" s="127" t="s">
        <v>237</v>
      </c>
      <c r="G58" s="118">
        <v>2224</v>
      </c>
      <c r="H58" s="118">
        <v>242</v>
      </c>
      <c r="I58" s="118" t="s">
        <v>33</v>
      </c>
      <c r="J58" s="118" t="s">
        <v>238</v>
      </c>
      <c r="K58" s="118">
        <v>54394</v>
      </c>
      <c r="L58" s="118">
        <v>1</v>
      </c>
      <c r="M58" s="118" t="s">
        <v>35</v>
      </c>
      <c r="N58" s="118" t="s">
        <v>35</v>
      </c>
      <c r="O58" s="118">
        <v>4099059</v>
      </c>
      <c r="P58" s="121">
        <v>45777</v>
      </c>
      <c r="Q58" s="118">
        <v>4225251</v>
      </c>
      <c r="R58" s="122">
        <v>21000</v>
      </c>
      <c r="S58" s="128"/>
      <c r="T58" s="118">
        <v>1461</v>
      </c>
      <c r="U58" s="118" t="s">
        <v>35</v>
      </c>
      <c r="V58" s="118" t="s">
        <v>71</v>
      </c>
      <c r="W58" s="118" t="s">
        <v>86</v>
      </c>
      <c r="X58" s="124">
        <v>21000</v>
      </c>
      <c r="Y58" s="121">
        <v>45980</v>
      </c>
      <c r="Z58" s="121">
        <v>45985</v>
      </c>
      <c r="AA58" s="118" t="s">
        <v>39</v>
      </c>
      <c r="AB58" s="118"/>
      <c r="AC58" s="126">
        <f t="shared" si="0"/>
        <v>0</v>
      </c>
    </row>
    <row r="59" spans="2:29" ht="45" customHeight="1" x14ac:dyDescent="0.25">
      <c r="B59" s="118">
        <v>56</v>
      </c>
      <c r="C59" s="118" t="s">
        <v>239</v>
      </c>
      <c r="D59" s="118" t="s">
        <v>240</v>
      </c>
      <c r="E59" s="118" t="s">
        <v>35</v>
      </c>
      <c r="F59" s="127" t="s">
        <v>241</v>
      </c>
      <c r="G59" s="118">
        <v>2488</v>
      </c>
      <c r="H59" s="118">
        <v>242</v>
      </c>
      <c r="I59" s="118" t="s">
        <v>33</v>
      </c>
      <c r="J59" s="118" t="s">
        <v>242</v>
      </c>
      <c r="K59" s="118">
        <v>66823</v>
      </c>
      <c r="L59" s="118">
        <v>29</v>
      </c>
      <c r="M59" s="118" t="s">
        <v>243</v>
      </c>
      <c r="N59" s="118" t="s">
        <v>35</v>
      </c>
      <c r="O59" s="118">
        <v>4157512</v>
      </c>
      <c r="P59" s="121">
        <v>45833</v>
      </c>
      <c r="Q59" s="118">
        <v>4278499</v>
      </c>
      <c r="R59" s="122">
        <v>11775.9</v>
      </c>
      <c r="S59" s="123">
        <v>45930</v>
      </c>
      <c r="T59" s="118">
        <v>215</v>
      </c>
      <c r="U59" s="118" t="s">
        <v>35</v>
      </c>
      <c r="V59" s="118" t="s">
        <v>37</v>
      </c>
      <c r="W59" s="118" t="s">
        <v>64</v>
      </c>
      <c r="X59" s="124">
        <v>11775.9</v>
      </c>
      <c r="Y59" s="141">
        <v>45980</v>
      </c>
      <c r="Z59" s="121">
        <v>46000</v>
      </c>
      <c r="AA59" s="118" t="s">
        <v>39</v>
      </c>
      <c r="AB59" s="118"/>
      <c r="AC59" s="126">
        <f t="shared" si="0"/>
        <v>0</v>
      </c>
    </row>
    <row r="60" spans="2:29" ht="45" customHeight="1" x14ac:dyDescent="0.25">
      <c r="B60" s="118">
        <v>57</v>
      </c>
      <c r="C60" s="118" t="s">
        <v>43</v>
      </c>
      <c r="D60" s="118" t="s">
        <v>244</v>
      </c>
      <c r="E60" s="118" t="s">
        <v>35</v>
      </c>
      <c r="F60" s="127" t="s">
        <v>245</v>
      </c>
      <c r="G60" s="118">
        <v>2330</v>
      </c>
      <c r="H60" s="118">
        <v>242</v>
      </c>
      <c r="I60" s="118" t="s">
        <v>33</v>
      </c>
      <c r="J60" s="118" t="s">
        <v>246</v>
      </c>
      <c r="K60" s="118">
        <v>67861</v>
      </c>
      <c r="L60" s="118">
        <v>1</v>
      </c>
      <c r="M60" s="118" t="s">
        <v>35</v>
      </c>
      <c r="N60" s="118" t="s">
        <v>35</v>
      </c>
      <c r="O60" s="118">
        <v>4150210</v>
      </c>
      <c r="P60" s="121">
        <v>45826</v>
      </c>
      <c r="Q60" s="118">
        <v>4277118</v>
      </c>
      <c r="R60" s="122">
        <v>43000</v>
      </c>
      <c r="S60" s="123">
        <v>45839</v>
      </c>
      <c r="T60" s="118"/>
      <c r="U60" s="118"/>
      <c r="V60" s="118"/>
      <c r="W60" s="118"/>
      <c r="X60" s="129"/>
      <c r="Y60" s="121"/>
      <c r="Z60" s="121"/>
      <c r="AA60" s="118" t="s">
        <v>48</v>
      </c>
      <c r="AB60" s="118"/>
      <c r="AC60" s="126">
        <f t="shared" si="0"/>
        <v>43000</v>
      </c>
    </row>
    <row r="61" spans="2:29" ht="45" customHeight="1" x14ac:dyDescent="0.25">
      <c r="B61" s="118">
        <v>58</v>
      </c>
      <c r="C61" s="118" t="s">
        <v>247</v>
      </c>
      <c r="D61" s="118" t="s">
        <v>248</v>
      </c>
      <c r="E61" s="118" t="s">
        <v>35</v>
      </c>
      <c r="F61" s="127" t="s">
        <v>249</v>
      </c>
      <c r="G61" s="118">
        <v>2224</v>
      </c>
      <c r="H61" s="118">
        <v>242</v>
      </c>
      <c r="I61" s="118" t="s">
        <v>33</v>
      </c>
      <c r="J61" s="118" t="s">
        <v>250</v>
      </c>
      <c r="K61" s="118">
        <v>69984</v>
      </c>
      <c r="L61" s="118">
        <v>29</v>
      </c>
      <c r="M61" s="118" t="s">
        <v>251</v>
      </c>
      <c r="N61" s="118" t="s">
        <v>35</v>
      </c>
      <c r="O61" s="118">
        <v>4167151</v>
      </c>
      <c r="P61" s="121">
        <v>45841</v>
      </c>
      <c r="Q61" s="118">
        <v>4288337</v>
      </c>
      <c r="R61" s="122">
        <v>106.99</v>
      </c>
      <c r="S61" s="123">
        <v>45901</v>
      </c>
      <c r="T61" s="118"/>
      <c r="U61" s="118"/>
      <c r="V61" s="118"/>
      <c r="W61" s="118"/>
      <c r="X61" s="129"/>
      <c r="Y61" s="121"/>
      <c r="Z61" s="121"/>
      <c r="AA61" s="118" t="s">
        <v>154</v>
      </c>
      <c r="AB61" s="118"/>
      <c r="AC61" s="126">
        <f t="shared" si="0"/>
        <v>106.99</v>
      </c>
    </row>
    <row r="62" spans="2:29" ht="45" customHeight="1" x14ac:dyDescent="0.25">
      <c r="B62" s="118">
        <v>59</v>
      </c>
      <c r="C62" s="118" t="s">
        <v>247</v>
      </c>
      <c r="D62" s="118" t="s">
        <v>252</v>
      </c>
      <c r="E62" s="118" t="s">
        <v>35</v>
      </c>
      <c r="F62" s="127" t="s">
        <v>253</v>
      </c>
      <c r="G62" s="118">
        <v>2224</v>
      </c>
      <c r="H62" s="118">
        <v>242</v>
      </c>
      <c r="I62" s="118" t="s">
        <v>33</v>
      </c>
      <c r="J62" s="118" t="s">
        <v>254</v>
      </c>
      <c r="K62" s="118">
        <v>70196</v>
      </c>
      <c r="L62" s="118">
        <v>29</v>
      </c>
      <c r="M62" s="118" t="s">
        <v>255</v>
      </c>
      <c r="N62" s="118" t="s">
        <v>35</v>
      </c>
      <c r="O62" s="136" t="s">
        <v>256</v>
      </c>
      <c r="P62" s="121">
        <v>45842</v>
      </c>
      <c r="Q62" s="118">
        <v>4292561</v>
      </c>
      <c r="R62" s="122">
        <v>338.2</v>
      </c>
      <c r="S62" s="123">
        <v>45856</v>
      </c>
      <c r="T62" s="118">
        <v>1595</v>
      </c>
      <c r="U62" s="118" t="s">
        <v>35</v>
      </c>
      <c r="V62" s="118" t="s">
        <v>71</v>
      </c>
      <c r="W62" s="118" t="s">
        <v>125</v>
      </c>
      <c r="X62" s="124">
        <v>338.2</v>
      </c>
      <c r="Y62" s="121">
        <v>45946</v>
      </c>
      <c r="Z62" s="121">
        <v>45959</v>
      </c>
      <c r="AA62" s="125" t="s">
        <v>39</v>
      </c>
      <c r="AB62" s="118"/>
      <c r="AC62" s="126">
        <f t="shared" si="0"/>
        <v>0</v>
      </c>
    </row>
    <row r="63" spans="2:29" ht="45" customHeight="1" x14ac:dyDescent="0.25">
      <c r="B63" s="118">
        <v>60</v>
      </c>
      <c r="C63" s="118" t="s">
        <v>257</v>
      </c>
      <c r="D63" s="118" t="s">
        <v>258</v>
      </c>
      <c r="E63" s="118" t="s">
        <v>35</v>
      </c>
      <c r="F63" s="127" t="s">
        <v>259</v>
      </c>
      <c r="G63" s="118">
        <v>1210</v>
      </c>
      <c r="H63" s="118">
        <v>242</v>
      </c>
      <c r="I63" s="118" t="s">
        <v>33</v>
      </c>
      <c r="J63" s="118" t="s">
        <v>260</v>
      </c>
      <c r="K63" s="118">
        <v>72195</v>
      </c>
      <c r="L63" s="118">
        <v>29</v>
      </c>
      <c r="M63" s="118" t="s">
        <v>261</v>
      </c>
      <c r="N63" s="118" t="s">
        <v>35</v>
      </c>
      <c r="O63" s="118">
        <v>4182860</v>
      </c>
      <c r="P63" s="121">
        <v>45856</v>
      </c>
      <c r="Q63" s="118">
        <v>4309483</v>
      </c>
      <c r="R63" s="122">
        <v>13812.71</v>
      </c>
      <c r="S63" s="123">
        <v>45870</v>
      </c>
      <c r="T63" s="118"/>
      <c r="U63" s="118"/>
      <c r="V63" s="118"/>
      <c r="W63" s="118"/>
      <c r="X63" s="129"/>
      <c r="Y63" s="121"/>
      <c r="Z63" s="121"/>
      <c r="AA63" s="118" t="s">
        <v>262</v>
      </c>
      <c r="AB63" s="118"/>
      <c r="AC63" s="126">
        <f t="shared" si="0"/>
        <v>13812.71</v>
      </c>
    </row>
    <row r="64" spans="2:29" ht="45" customHeight="1" x14ac:dyDescent="0.25">
      <c r="B64" s="118">
        <v>61</v>
      </c>
      <c r="C64" s="118" t="s">
        <v>226</v>
      </c>
      <c r="D64" s="118" t="s">
        <v>222</v>
      </c>
      <c r="E64" s="118" t="s">
        <v>35</v>
      </c>
      <c r="F64" s="127" t="s">
        <v>263</v>
      </c>
      <c r="G64" s="118" t="s">
        <v>264</v>
      </c>
      <c r="H64" s="118">
        <v>5</v>
      </c>
      <c r="I64" s="118" t="s">
        <v>33</v>
      </c>
      <c r="J64" s="118" t="s">
        <v>265</v>
      </c>
      <c r="K64" s="118">
        <v>72619</v>
      </c>
      <c r="L64" s="118">
        <v>1</v>
      </c>
      <c r="M64" s="118" t="s">
        <v>35</v>
      </c>
      <c r="N64" s="118" t="s">
        <v>35</v>
      </c>
      <c r="O64" s="118">
        <v>4186036</v>
      </c>
      <c r="P64" s="121">
        <v>45860</v>
      </c>
      <c r="Q64" s="118">
        <v>4315803</v>
      </c>
      <c r="R64" s="122">
        <v>55000</v>
      </c>
      <c r="S64" s="123" t="s">
        <v>35</v>
      </c>
      <c r="T64" s="132" t="s">
        <v>266</v>
      </c>
      <c r="U64" s="118" t="s">
        <v>35</v>
      </c>
      <c r="V64" s="118" t="s">
        <v>71</v>
      </c>
      <c r="W64" s="118" t="s">
        <v>86</v>
      </c>
      <c r="X64" s="124">
        <v>55000</v>
      </c>
      <c r="Y64" s="121">
        <v>45992</v>
      </c>
      <c r="Z64" s="121">
        <v>45993</v>
      </c>
      <c r="AA64" s="118" t="s">
        <v>39</v>
      </c>
      <c r="AB64" s="118"/>
      <c r="AC64" s="126">
        <f t="shared" si="0"/>
        <v>0</v>
      </c>
    </row>
    <row r="65" spans="2:29" ht="45" customHeight="1" x14ac:dyDescent="0.25">
      <c r="B65" s="118">
        <v>62</v>
      </c>
      <c r="C65" s="118" t="s">
        <v>267</v>
      </c>
      <c r="D65" s="118" t="s">
        <v>268</v>
      </c>
      <c r="E65" s="118" t="s">
        <v>35</v>
      </c>
      <c r="F65" s="127" t="s">
        <v>269</v>
      </c>
      <c r="G65" s="118">
        <v>1228</v>
      </c>
      <c r="H65" s="118">
        <v>242</v>
      </c>
      <c r="I65" s="118" t="s">
        <v>33</v>
      </c>
      <c r="J65" s="118" t="s">
        <v>270</v>
      </c>
      <c r="K65" s="118">
        <v>72953</v>
      </c>
      <c r="L65" s="118">
        <v>2</v>
      </c>
      <c r="M65" s="118" t="s">
        <v>271</v>
      </c>
      <c r="N65" s="118" t="s">
        <v>35</v>
      </c>
      <c r="O65" s="118">
        <v>4187859</v>
      </c>
      <c r="P65" s="121">
        <v>45861</v>
      </c>
      <c r="Q65" s="118">
        <v>4310873</v>
      </c>
      <c r="R65" s="122">
        <v>31927.52</v>
      </c>
      <c r="S65" s="123">
        <v>45864</v>
      </c>
      <c r="T65" s="118">
        <v>167</v>
      </c>
      <c r="U65" s="118" t="s">
        <v>35</v>
      </c>
      <c r="V65" s="118" t="s">
        <v>71</v>
      </c>
      <c r="W65" s="118" t="s">
        <v>23</v>
      </c>
      <c r="X65" s="129">
        <v>31927.52</v>
      </c>
      <c r="Y65" s="121">
        <v>45982</v>
      </c>
      <c r="Z65" s="140">
        <v>45987</v>
      </c>
      <c r="AA65" s="118" t="s">
        <v>39</v>
      </c>
      <c r="AB65" s="118"/>
      <c r="AC65" s="126">
        <f t="shared" si="0"/>
        <v>0</v>
      </c>
    </row>
    <row r="66" spans="2:29" ht="45" customHeight="1" x14ac:dyDescent="0.25">
      <c r="B66" s="118">
        <v>63</v>
      </c>
      <c r="C66" s="118" t="s">
        <v>43</v>
      </c>
      <c r="D66" s="118" t="s">
        <v>272</v>
      </c>
      <c r="E66" s="118" t="s">
        <v>35</v>
      </c>
      <c r="F66" s="127" t="s">
        <v>273</v>
      </c>
      <c r="G66" s="118">
        <v>5345</v>
      </c>
      <c r="H66" s="118">
        <v>242</v>
      </c>
      <c r="I66" s="118" t="s">
        <v>33</v>
      </c>
      <c r="J66" s="118" t="s">
        <v>274</v>
      </c>
      <c r="K66" s="118">
        <v>73049</v>
      </c>
      <c r="L66" s="118">
        <v>2</v>
      </c>
      <c r="M66" s="118" t="s">
        <v>275</v>
      </c>
      <c r="N66" s="118" t="s">
        <v>35</v>
      </c>
      <c r="O66" s="136" t="s">
        <v>276</v>
      </c>
      <c r="P66" s="121">
        <v>45863</v>
      </c>
      <c r="Q66" s="118">
        <v>4312973</v>
      </c>
      <c r="R66" s="122">
        <v>34350</v>
      </c>
      <c r="S66" s="123">
        <v>45839</v>
      </c>
      <c r="T66" s="118"/>
      <c r="U66" s="118"/>
      <c r="V66" s="118"/>
      <c r="W66" s="118"/>
      <c r="X66" s="129"/>
      <c r="Y66" s="121"/>
      <c r="Z66" s="121"/>
      <c r="AA66" s="118" t="s">
        <v>262</v>
      </c>
      <c r="AB66" s="118"/>
      <c r="AC66" s="126">
        <f t="shared" si="0"/>
        <v>34350</v>
      </c>
    </row>
    <row r="67" spans="2:29" ht="45" customHeight="1" x14ac:dyDescent="0.25">
      <c r="B67" s="118">
        <v>64</v>
      </c>
      <c r="C67" s="118" t="s">
        <v>257</v>
      </c>
      <c r="D67" s="118" t="s">
        <v>277</v>
      </c>
      <c r="E67" s="118" t="s">
        <v>35</v>
      </c>
      <c r="F67" s="127" t="s">
        <v>278</v>
      </c>
      <c r="G67" s="118">
        <v>1236</v>
      </c>
      <c r="H67" s="118">
        <v>242</v>
      </c>
      <c r="I67" s="118" t="s">
        <v>33</v>
      </c>
      <c r="J67" s="118" t="s">
        <v>279</v>
      </c>
      <c r="K67" s="118">
        <v>73466</v>
      </c>
      <c r="L67" s="118">
        <v>29</v>
      </c>
      <c r="M67" s="118" t="s">
        <v>280</v>
      </c>
      <c r="N67" s="118" t="s">
        <v>35</v>
      </c>
      <c r="O67" s="118">
        <v>4199618</v>
      </c>
      <c r="P67" s="121">
        <v>45873</v>
      </c>
      <c r="Q67" s="118">
        <v>4320393</v>
      </c>
      <c r="R67" s="122">
        <v>142306.59</v>
      </c>
      <c r="S67" s="128"/>
      <c r="T67" s="118"/>
      <c r="U67" s="118"/>
      <c r="V67" s="118"/>
      <c r="W67" s="118"/>
      <c r="X67" s="129"/>
      <c r="Y67" s="121"/>
      <c r="Z67" s="121"/>
      <c r="AA67" s="118" t="s">
        <v>48</v>
      </c>
      <c r="AB67" s="118"/>
      <c r="AC67" s="126">
        <f t="shared" si="0"/>
        <v>142306.59</v>
      </c>
    </row>
    <row r="68" spans="2:29" ht="45" customHeight="1" x14ac:dyDescent="0.25">
      <c r="B68" s="118">
        <v>65</v>
      </c>
      <c r="C68" s="118" t="s">
        <v>257</v>
      </c>
      <c r="D68" s="118" t="s">
        <v>281</v>
      </c>
      <c r="E68" s="118" t="s">
        <v>35</v>
      </c>
      <c r="F68" s="127" t="s">
        <v>282</v>
      </c>
      <c r="G68" s="118">
        <v>1210</v>
      </c>
      <c r="H68" s="118">
        <v>242</v>
      </c>
      <c r="I68" s="118" t="s">
        <v>33</v>
      </c>
      <c r="J68" s="118" t="s">
        <v>283</v>
      </c>
      <c r="K68" s="118">
        <v>73626</v>
      </c>
      <c r="L68" s="118">
        <v>29</v>
      </c>
      <c r="M68" s="118" t="s">
        <v>284</v>
      </c>
      <c r="N68" s="118" t="s">
        <v>35</v>
      </c>
      <c r="O68" s="118">
        <v>4193291</v>
      </c>
      <c r="P68" s="121">
        <v>45867</v>
      </c>
      <c r="Q68" s="118">
        <v>4315670</v>
      </c>
      <c r="R68" s="122">
        <v>5500</v>
      </c>
      <c r="S68" s="123">
        <v>45870</v>
      </c>
      <c r="T68" s="118"/>
      <c r="U68" s="118"/>
      <c r="V68" s="118"/>
      <c r="W68" s="118"/>
      <c r="X68" s="129"/>
      <c r="Y68" s="121"/>
      <c r="Z68" s="121"/>
      <c r="AA68" s="118" t="s">
        <v>160</v>
      </c>
      <c r="AB68" s="118" t="s">
        <v>285</v>
      </c>
      <c r="AC68" s="126">
        <f t="shared" ref="AC68:AC140" si="1">R68-X68</f>
        <v>5500</v>
      </c>
    </row>
    <row r="69" spans="2:29" ht="45" customHeight="1" x14ac:dyDescent="0.25">
      <c r="B69" s="118">
        <v>66</v>
      </c>
      <c r="C69" s="118" t="s">
        <v>257</v>
      </c>
      <c r="D69" s="118" t="s">
        <v>240</v>
      </c>
      <c r="E69" s="118" t="s">
        <v>35</v>
      </c>
      <c r="F69" s="127" t="s">
        <v>286</v>
      </c>
      <c r="G69" s="118">
        <v>1210</v>
      </c>
      <c r="H69" s="118">
        <v>242</v>
      </c>
      <c r="I69" s="118" t="s">
        <v>33</v>
      </c>
      <c r="J69" s="118" t="s">
        <v>287</v>
      </c>
      <c r="K69" s="118">
        <v>73646</v>
      </c>
      <c r="L69" s="118">
        <v>1</v>
      </c>
      <c r="M69" s="118" t="s">
        <v>35</v>
      </c>
      <c r="N69" s="118" t="s">
        <v>35</v>
      </c>
      <c r="O69" s="118">
        <v>4193310</v>
      </c>
      <c r="P69" s="121">
        <v>45867</v>
      </c>
      <c r="Q69" s="118">
        <v>4323306</v>
      </c>
      <c r="R69" s="122">
        <v>55485.94</v>
      </c>
      <c r="S69" s="123">
        <v>45870</v>
      </c>
      <c r="T69" s="118"/>
      <c r="U69" s="118"/>
      <c r="V69" s="118"/>
      <c r="W69" s="118"/>
      <c r="X69" s="129"/>
      <c r="Y69" s="121"/>
      <c r="Z69" s="121"/>
      <c r="AA69" s="118" t="s">
        <v>48</v>
      </c>
      <c r="AB69" s="118"/>
      <c r="AC69" s="126">
        <f t="shared" si="1"/>
        <v>55485.94</v>
      </c>
    </row>
    <row r="70" spans="2:29" ht="45" customHeight="1" x14ac:dyDescent="0.25">
      <c r="B70" s="118">
        <v>67</v>
      </c>
      <c r="C70" s="118" t="s">
        <v>226</v>
      </c>
      <c r="D70" s="118" t="s">
        <v>288</v>
      </c>
      <c r="E70" s="118" t="s">
        <v>35</v>
      </c>
      <c r="F70" s="127" t="s">
        <v>289</v>
      </c>
      <c r="G70" s="118">
        <v>2224</v>
      </c>
      <c r="H70" s="118">
        <v>242</v>
      </c>
      <c r="I70" s="118" t="s">
        <v>33</v>
      </c>
      <c r="J70" s="118" t="s">
        <v>290</v>
      </c>
      <c r="K70" s="118">
        <v>74573</v>
      </c>
      <c r="L70" s="118">
        <v>29</v>
      </c>
      <c r="M70" s="118" t="s">
        <v>291</v>
      </c>
      <c r="N70" s="118" t="s">
        <v>35</v>
      </c>
      <c r="O70" s="118">
        <v>4201787</v>
      </c>
      <c r="P70" s="121">
        <v>45874</v>
      </c>
      <c r="Q70" s="118">
        <v>4329160</v>
      </c>
      <c r="R70" s="122">
        <v>14890</v>
      </c>
      <c r="S70" s="123">
        <v>45884</v>
      </c>
      <c r="T70" s="118"/>
      <c r="U70" s="118"/>
      <c r="V70" s="118"/>
      <c r="W70" s="118"/>
      <c r="X70" s="129"/>
      <c r="Y70" s="121"/>
      <c r="Z70" s="121"/>
      <c r="AA70" s="118" t="s">
        <v>48</v>
      </c>
      <c r="AB70" s="118"/>
      <c r="AC70" s="126">
        <f t="shared" si="1"/>
        <v>14890</v>
      </c>
    </row>
    <row r="71" spans="2:29" ht="45" customHeight="1" x14ac:dyDescent="0.25">
      <c r="B71" s="118">
        <v>68</v>
      </c>
      <c r="C71" s="118" t="s">
        <v>292</v>
      </c>
      <c r="D71" s="118" t="s">
        <v>31</v>
      </c>
      <c r="E71" s="118" t="s">
        <v>35</v>
      </c>
      <c r="F71" s="127" t="s">
        <v>293</v>
      </c>
      <c r="G71" s="118">
        <v>2330</v>
      </c>
      <c r="H71" s="118">
        <v>5</v>
      </c>
      <c r="I71" s="118" t="s">
        <v>33</v>
      </c>
      <c r="J71" s="118" t="s">
        <v>294</v>
      </c>
      <c r="K71" s="118">
        <v>75032</v>
      </c>
      <c r="L71" s="118">
        <v>2</v>
      </c>
      <c r="M71" s="118" t="s">
        <v>295</v>
      </c>
      <c r="N71" s="118" t="s">
        <v>35</v>
      </c>
      <c r="O71" s="118">
        <v>4201796</v>
      </c>
      <c r="P71" s="121">
        <v>45874</v>
      </c>
      <c r="Q71" s="118">
        <v>4320929</v>
      </c>
      <c r="R71" s="122">
        <v>50318.080000000002</v>
      </c>
      <c r="S71" s="123">
        <v>45870</v>
      </c>
      <c r="T71" s="118">
        <v>19565</v>
      </c>
      <c r="U71" s="118" t="s">
        <v>35</v>
      </c>
      <c r="V71" s="118" t="s">
        <v>71</v>
      </c>
      <c r="W71" s="118" t="s">
        <v>64</v>
      </c>
      <c r="X71" s="124">
        <v>50318.080000000002</v>
      </c>
      <c r="Y71" s="121">
        <v>45964</v>
      </c>
      <c r="Z71" s="121">
        <v>45965</v>
      </c>
      <c r="AA71" s="125" t="s">
        <v>39</v>
      </c>
      <c r="AB71" s="118"/>
      <c r="AC71" s="126">
        <f t="shared" si="1"/>
        <v>0</v>
      </c>
    </row>
    <row r="72" spans="2:29" ht="45" customHeight="1" x14ac:dyDescent="0.25">
      <c r="B72" s="118">
        <v>69</v>
      </c>
      <c r="C72" s="118" t="s">
        <v>226</v>
      </c>
      <c r="D72" s="118" t="s">
        <v>296</v>
      </c>
      <c r="E72" s="118" t="s">
        <v>35</v>
      </c>
      <c r="F72" s="127" t="s">
        <v>297</v>
      </c>
      <c r="G72" s="118">
        <v>2224</v>
      </c>
      <c r="H72" s="118">
        <v>327</v>
      </c>
      <c r="I72" s="118" t="s">
        <v>33</v>
      </c>
      <c r="J72" s="118" t="s">
        <v>298</v>
      </c>
      <c r="K72" s="118">
        <v>75804</v>
      </c>
      <c r="L72" s="118">
        <v>1</v>
      </c>
      <c r="M72" s="118" t="s">
        <v>35</v>
      </c>
      <c r="N72" s="118" t="s">
        <v>35</v>
      </c>
      <c r="O72" s="118">
        <v>4209039</v>
      </c>
      <c r="P72" s="121">
        <v>45882</v>
      </c>
      <c r="Q72" s="136" t="s">
        <v>299</v>
      </c>
      <c r="R72" s="122">
        <v>226662.37</v>
      </c>
      <c r="S72" s="128"/>
      <c r="T72" s="118">
        <v>1260</v>
      </c>
      <c r="U72" s="118" t="s">
        <v>35</v>
      </c>
      <c r="V72" s="118" t="s">
        <v>71</v>
      </c>
      <c r="W72" s="118" t="s">
        <v>64</v>
      </c>
      <c r="X72" s="129">
        <v>95185.77</v>
      </c>
      <c r="Y72" s="121">
        <v>45992</v>
      </c>
      <c r="Z72" s="121">
        <v>46002</v>
      </c>
      <c r="AA72" s="118" t="s">
        <v>262</v>
      </c>
      <c r="AB72" s="118"/>
      <c r="AC72" s="126">
        <f t="shared" si="1"/>
        <v>131476.59999999998</v>
      </c>
    </row>
    <row r="73" spans="2:29" ht="45" customHeight="1" x14ac:dyDescent="0.25">
      <c r="B73" s="118">
        <v>70</v>
      </c>
      <c r="C73" s="118" t="s">
        <v>300</v>
      </c>
      <c r="D73" s="118" t="s">
        <v>301</v>
      </c>
      <c r="E73" s="118" t="s">
        <v>35</v>
      </c>
      <c r="F73" s="127" t="s">
        <v>302</v>
      </c>
      <c r="G73" s="118">
        <v>2291</v>
      </c>
      <c r="H73" s="118">
        <v>242</v>
      </c>
      <c r="I73" s="118" t="s">
        <v>33</v>
      </c>
      <c r="J73" s="118" t="s">
        <v>303</v>
      </c>
      <c r="K73" s="118">
        <v>77410</v>
      </c>
      <c r="L73" s="118">
        <v>29</v>
      </c>
      <c r="M73" s="118" t="s">
        <v>304</v>
      </c>
      <c r="N73" s="118" t="s">
        <v>35</v>
      </c>
      <c r="O73" s="118">
        <v>4214651</v>
      </c>
      <c r="P73" s="121">
        <v>45888</v>
      </c>
      <c r="Q73" s="118">
        <v>4336280</v>
      </c>
      <c r="R73" s="122">
        <v>30120</v>
      </c>
      <c r="S73" s="128"/>
      <c r="T73" s="118"/>
      <c r="U73" s="118"/>
      <c r="V73" s="118"/>
      <c r="W73" s="118"/>
      <c r="X73" s="129"/>
      <c r="Y73" s="121"/>
      <c r="Z73" s="121"/>
      <c r="AA73" s="118" t="s">
        <v>48</v>
      </c>
      <c r="AB73" s="118"/>
      <c r="AC73" s="126">
        <f t="shared" si="1"/>
        <v>30120</v>
      </c>
    </row>
    <row r="74" spans="2:29" ht="45" customHeight="1" x14ac:dyDescent="0.25">
      <c r="B74" s="118">
        <v>71</v>
      </c>
      <c r="C74" s="118" t="s">
        <v>292</v>
      </c>
      <c r="D74" s="118" t="s">
        <v>44</v>
      </c>
      <c r="E74" s="118">
        <v>32847</v>
      </c>
      <c r="F74" s="127" t="s">
        <v>305</v>
      </c>
      <c r="G74" s="118">
        <v>2330</v>
      </c>
      <c r="H74" s="118">
        <v>242</v>
      </c>
      <c r="I74" s="118" t="s">
        <v>33</v>
      </c>
      <c r="J74" s="118" t="s">
        <v>306</v>
      </c>
      <c r="K74" s="118">
        <v>87399</v>
      </c>
      <c r="L74" s="118">
        <v>6</v>
      </c>
      <c r="M74" s="118" t="s">
        <v>35</v>
      </c>
      <c r="N74" s="118" t="s">
        <v>35</v>
      </c>
      <c r="O74" s="132" t="s">
        <v>307</v>
      </c>
      <c r="P74" s="121">
        <v>45986</v>
      </c>
      <c r="Q74" s="118">
        <v>4430547</v>
      </c>
      <c r="R74" s="122">
        <v>53200</v>
      </c>
      <c r="S74" s="123">
        <v>45992</v>
      </c>
      <c r="T74" s="118"/>
      <c r="U74" s="118"/>
      <c r="V74" s="118"/>
      <c r="W74" s="118"/>
      <c r="X74" s="129"/>
      <c r="Y74" s="121"/>
      <c r="Z74" s="121"/>
      <c r="AA74" s="118" t="s">
        <v>48</v>
      </c>
      <c r="AB74" s="135"/>
      <c r="AC74" s="126">
        <f t="shared" si="1"/>
        <v>53200</v>
      </c>
    </row>
    <row r="75" spans="2:29" ht="45" customHeight="1" x14ac:dyDescent="0.25">
      <c r="B75" s="118">
        <v>72</v>
      </c>
      <c r="C75" s="117" t="s">
        <v>150</v>
      </c>
      <c r="D75" s="118" t="s">
        <v>107</v>
      </c>
      <c r="E75" s="118">
        <v>39250</v>
      </c>
      <c r="F75" s="119" t="s">
        <v>308</v>
      </c>
      <c r="G75" s="118">
        <v>2224</v>
      </c>
      <c r="H75" s="118">
        <v>242</v>
      </c>
      <c r="I75" s="118" t="s">
        <v>33</v>
      </c>
      <c r="J75" s="118" t="s">
        <v>309</v>
      </c>
      <c r="K75" s="118">
        <v>87841</v>
      </c>
      <c r="L75" s="118">
        <v>6</v>
      </c>
      <c r="M75" s="118" t="s">
        <v>35</v>
      </c>
      <c r="N75" s="118" t="s">
        <v>35</v>
      </c>
      <c r="O75" s="118">
        <v>4279162</v>
      </c>
      <c r="P75" s="121">
        <v>45953</v>
      </c>
      <c r="Q75" s="118">
        <v>4395891</v>
      </c>
      <c r="R75" s="142">
        <v>2188.8000000000002</v>
      </c>
      <c r="S75" s="123">
        <v>45962</v>
      </c>
      <c r="T75" s="118">
        <v>3196</v>
      </c>
      <c r="U75" s="118" t="s">
        <v>310</v>
      </c>
      <c r="V75" s="118" t="s">
        <v>71</v>
      </c>
      <c r="W75" s="118" t="s">
        <v>86</v>
      </c>
      <c r="X75" s="124">
        <v>2188.8000000000002</v>
      </c>
      <c r="Y75" s="121">
        <v>45992</v>
      </c>
      <c r="Z75" s="121">
        <v>45993</v>
      </c>
      <c r="AA75" s="118" t="s">
        <v>39</v>
      </c>
      <c r="AB75" s="118"/>
      <c r="AC75" s="126">
        <f t="shared" si="1"/>
        <v>0</v>
      </c>
    </row>
    <row r="76" spans="2:29" ht="45" customHeight="1" x14ac:dyDescent="0.25">
      <c r="B76" s="118">
        <v>73</v>
      </c>
      <c r="C76" s="117" t="s">
        <v>150</v>
      </c>
      <c r="D76" s="118" t="s">
        <v>107</v>
      </c>
      <c r="E76" s="118">
        <v>38346</v>
      </c>
      <c r="F76" s="119" t="s">
        <v>311</v>
      </c>
      <c r="G76" s="118">
        <v>5345</v>
      </c>
      <c r="H76" s="118">
        <v>242</v>
      </c>
      <c r="I76" s="118" t="s">
        <v>33</v>
      </c>
      <c r="J76" s="118" t="s">
        <v>312</v>
      </c>
      <c r="K76" s="118">
        <v>88096</v>
      </c>
      <c r="L76" s="118">
        <v>6</v>
      </c>
      <c r="M76" s="118" t="s">
        <v>35</v>
      </c>
      <c r="N76" s="118" t="s">
        <v>35</v>
      </c>
      <c r="O76" s="118">
        <v>4279977</v>
      </c>
      <c r="P76" s="121">
        <v>45953</v>
      </c>
      <c r="Q76" s="118">
        <v>4395892</v>
      </c>
      <c r="R76" s="122">
        <v>655.5</v>
      </c>
      <c r="S76" s="123">
        <v>45962</v>
      </c>
      <c r="T76" s="118">
        <v>3175</v>
      </c>
      <c r="U76" s="118" t="s">
        <v>313</v>
      </c>
      <c r="V76" s="118" t="s">
        <v>71</v>
      </c>
      <c r="W76" s="118" t="s">
        <v>23</v>
      </c>
      <c r="X76" s="124">
        <v>655.5</v>
      </c>
      <c r="Y76" s="121">
        <v>45965</v>
      </c>
      <c r="Z76" s="121">
        <v>45966</v>
      </c>
      <c r="AA76" s="125" t="s">
        <v>39</v>
      </c>
      <c r="AB76" s="118"/>
      <c r="AC76" s="126">
        <f t="shared" si="1"/>
        <v>0</v>
      </c>
    </row>
    <row r="77" spans="2:29" ht="45" customHeight="1" x14ac:dyDescent="0.25">
      <c r="B77" s="118">
        <v>74</v>
      </c>
      <c r="C77" s="118" t="s">
        <v>226</v>
      </c>
      <c r="D77" s="118" t="s">
        <v>314</v>
      </c>
      <c r="E77" s="118" t="s">
        <v>35</v>
      </c>
      <c r="F77" s="127" t="s">
        <v>315</v>
      </c>
      <c r="G77" s="118">
        <v>2348</v>
      </c>
      <c r="H77" s="118">
        <v>287</v>
      </c>
      <c r="I77" s="118" t="s">
        <v>188</v>
      </c>
      <c r="J77" s="118" t="s">
        <v>316</v>
      </c>
      <c r="K77" s="118">
        <v>76289</v>
      </c>
      <c r="L77" s="118">
        <v>29</v>
      </c>
      <c r="M77" s="118" t="s">
        <v>317</v>
      </c>
      <c r="N77" s="118" t="s">
        <v>35</v>
      </c>
      <c r="O77" s="118">
        <v>4240115</v>
      </c>
      <c r="P77" s="121">
        <v>45912</v>
      </c>
      <c r="Q77" s="118">
        <v>4366924</v>
      </c>
      <c r="R77" s="139">
        <v>24658</v>
      </c>
      <c r="S77" s="123">
        <v>45901</v>
      </c>
      <c r="T77" s="118">
        <v>932</v>
      </c>
      <c r="U77" s="118" t="s">
        <v>35</v>
      </c>
      <c r="V77" s="118" t="s">
        <v>37</v>
      </c>
      <c r="W77" s="118" t="s">
        <v>64</v>
      </c>
      <c r="X77" s="129">
        <v>24658</v>
      </c>
      <c r="Y77" s="121">
        <v>46009</v>
      </c>
      <c r="Z77" s="121">
        <v>46009</v>
      </c>
      <c r="AA77" s="118" t="s">
        <v>39</v>
      </c>
      <c r="AB77" s="118"/>
      <c r="AC77" s="126">
        <f t="shared" si="1"/>
        <v>0</v>
      </c>
    </row>
    <row r="78" spans="2:29" ht="45" customHeight="1" x14ac:dyDescent="0.25">
      <c r="B78" s="118">
        <v>75</v>
      </c>
      <c r="C78" s="118" t="s">
        <v>43</v>
      </c>
      <c r="D78" s="118" t="s">
        <v>117</v>
      </c>
      <c r="E78" s="118" t="s">
        <v>35</v>
      </c>
      <c r="F78" s="127" t="s">
        <v>318</v>
      </c>
      <c r="G78" s="118">
        <v>2330</v>
      </c>
      <c r="H78" s="118">
        <v>242</v>
      </c>
      <c r="I78" s="118" t="s">
        <v>188</v>
      </c>
      <c r="J78" s="118" t="s">
        <v>319</v>
      </c>
      <c r="K78" s="118">
        <v>78710</v>
      </c>
      <c r="L78" s="118">
        <v>1</v>
      </c>
      <c r="M78" s="118" t="s">
        <v>35</v>
      </c>
      <c r="N78" s="118" t="s">
        <v>35</v>
      </c>
      <c r="O78" s="118">
        <v>4225517</v>
      </c>
      <c r="P78" s="121">
        <v>45898</v>
      </c>
      <c r="Q78" s="118">
        <v>4350050</v>
      </c>
      <c r="R78" s="139">
        <v>7460</v>
      </c>
      <c r="S78" s="123" t="s">
        <v>35</v>
      </c>
      <c r="T78" s="118">
        <v>433</v>
      </c>
      <c r="U78" s="118"/>
      <c r="V78" s="118" t="s">
        <v>37</v>
      </c>
      <c r="W78" s="118" t="s">
        <v>320</v>
      </c>
      <c r="X78" s="129">
        <v>7460</v>
      </c>
      <c r="Y78" s="121">
        <v>45992</v>
      </c>
      <c r="Z78" s="121">
        <v>45993</v>
      </c>
      <c r="AA78" s="118" t="s">
        <v>39</v>
      </c>
      <c r="AB78" s="118"/>
      <c r="AC78" s="126">
        <f t="shared" si="1"/>
        <v>0</v>
      </c>
    </row>
    <row r="79" spans="2:29" ht="45" customHeight="1" x14ac:dyDescent="0.25">
      <c r="B79" s="118">
        <v>76</v>
      </c>
      <c r="C79" s="118" t="s">
        <v>247</v>
      </c>
      <c r="D79" s="118" t="s">
        <v>248</v>
      </c>
      <c r="E79" s="118" t="s">
        <v>35</v>
      </c>
      <c r="F79" s="127" t="s">
        <v>321</v>
      </c>
      <c r="G79" s="118">
        <v>4120</v>
      </c>
      <c r="H79" s="118">
        <v>242</v>
      </c>
      <c r="I79" s="118" t="s">
        <v>188</v>
      </c>
      <c r="J79" s="118" t="s">
        <v>322</v>
      </c>
      <c r="K79" s="118">
        <v>79688</v>
      </c>
      <c r="L79" s="118">
        <v>29</v>
      </c>
      <c r="M79" s="118" t="s">
        <v>323</v>
      </c>
      <c r="N79" s="118" t="s">
        <v>35</v>
      </c>
      <c r="O79" s="118">
        <v>4239840</v>
      </c>
      <c r="P79" s="121">
        <v>45903</v>
      </c>
      <c r="Q79" s="118">
        <v>4361479</v>
      </c>
      <c r="R79" s="149">
        <v>5660.95</v>
      </c>
      <c r="S79" s="123">
        <v>45962</v>
      </c>
      <c r="T79" s="118"/>
      <c r="U79" s="118"/>
      <c r="V79" s="118"/>
      <c r="W79" s="118"/>
      <c r="X79" s="129"/>
      <c r="Y79" s="121"/>
      <c r="Z79" s="121"/>
      <c r="AA79" s="118" t="s">
        <v>48</v>
      </c>
      <c r="AB79" s="118"/>
      <c r="AC79" s="126">
        <f t="shared" si="1"/>
        <v>5660.95</v>
      </c>
    </row>
    <row r="80" spans="2:29" ht="45" customHeight="1" x14ac:dyDescent="0.25">
      <c r="B80" s="118">
        <v>77</v>
      </c>
      <c r="C80" s="118" t="s">
        <v>292</v>
      </c>
      <c r="D80" s="118" t="s">
        <v>222</v>
      </c>
      <c r="E80" s="118" t="s">
        <v>35</v>
      </c>
      <c r="F80" s="127" t="s">
        <v>324</v>
      </c>
      <c r="G80" s="118" t="s">
        <v>325</v>
      </c>
      <c r="H80" s="118">
        <v>5</v>
      </c>
      <c r="I80" s="118" t="s">
        <v>188</v>
      </c>
      <c r="J80" s="118" t="s">
        <v>326</v>
      </c>
      <c r="K80" s="118">
        <v>80856</v>
      </c>
      <c r="L80" s="118">
        <v>2</v>
      </c>
      <c r="M80" s="118" t="s">
        <v>35</v>
      </c>
      <c r="N80" s="118" t="s">
        <v>35</v>
      </c>
      <c r="O80" s="118">
        <v>4240290</v>
      </c>
      <c r="P80" s="121">
        <v>45912</v>
      </c>
      <c r="Q80" s="118">
        <v>4358579</v>
      </c>
      <c r="R80" s="139">
        <v>67000</v>
      </c>
      <c r="S80" s="123">
        <v>45901</v>
      </c>
      <c r="T80" s="118">
        <v>724</v>
      </c>
      <c r="U80" s="125"/>
      <c r="V80" s="118" t="s">
        <v>71</v>
      </c>
      <c r="W80" s="118" t="s">
        <v>23</v>
      </c>
      <c r="X80" s="129">
        <v>33500</v>
      </c>
      <c r="Y80" s="121">
        <v>45966</v>
      </c>
      <c r="Z80" s="121">
        <v>45967</v>
      </c>
      <c r="AA80" s="118" t="s">
        <v>262</v>
      </c>
      <c r="AB80" s="118"/>
      <c r="AC80" s="126">
        <f>R80-X80</f>
        <v>33500</v>
      </c>
    </row>
    <row r="81" spans="2:29" ht="45" customHeight="1" x14ac:dyDescent="0.25">
      <c r="B81" s="118">
        <v>78</v>
      </c>
      <c r="C81" s="118" t="s">
        <v>292</v>
      </c>
      <c r="D81" s="118" t="s">
        <v>327</v>
      </c>
      <c r="E81" s="118" t="s">
        <v>35</v>
      </c>
      <c r="F81" s="127" t="s">
        <v>328</v>
      </c>
      <c r="G81" s="118">
        <v>4472</v>
      </c>
      <c r="H81" s="118">
        <v>5</v>
      </c>
      <c r="I81" s="118" t="s">
        <v>188</v>
      </c>
      <c r="J81" s="118" t="s">
        <v>329</v>
      </c>
      <c r="K81" s="118">
        <v>80918</v>
      </c>
      <c r="L81" s="118">
        <v>29</v>
      </c>
      <c r="M81" s="118" t="s">
        <v>330</v>
      </c>
      <c r="N81" s="118" t="s">
        <v>35</v>
      </c>
      <c r="O81" s="118">
        <v>4241136</v>
      </c>
      <c r="P81" s="121">
        <v>45915</v>
      </c>
      <c r="Q81" s="118">
        <v>4364857</v>
      </c>
      <c r="R81" s="139">
        <v>14600</v>
      </c>
      <c r="S81" s="123">
        <v>45901</v>
      </c>
      <c r="T81" s="118">
        <v>336</v>
      </c>
      <c r="U81" s="125"/>
      <c r="V81" s="118" t="s">
        <v>71</v>
      </c>
      <c r="W81" s="118" t="s">
        <v>23</v>
      </c>
      <c r="X81" s="129">
        <v>14600</v>
      </c>
      <c r="Y81" s="121">
        <v>45965</v>
      </c>
      <c r="Z81" s="121">
        <v>45965</v>
      </c>
      <c r="AA81" s="125" t="s">
        <v>39</v>
      </c>
      <c r="AB81" s="118"/>
      <c r="AC81" s="126">
        <f t="shared" si="1"/>
        <v>0</v>
      </c>
    </row>
    <row r="82" spans="2:29" ht="45" customHeight="1" x14ac:dyDescent="0.25">
      <c r="B82" s="118">
        <v>79</v>
      </c>
      <c r="C82" s="118" t="s">
        <v>292</v>
      </c>
      <c r="D82" s="118" t="s">
        <v>331</v>
      </c>
      <c r="E82" s="118" t="s">
        <v>35</v>
      </c>
      <c r="F82" s="127" t="s">
        <v>332</v>
      </c>
      <c r="G82" s="118" t="s">
        <v>333</v>
      </c>
      <c r="H82" s="118">
        <v>5</v>
      </c>
      <c r="I82" s="118" t="s">
        <v>188</v>
      </c>
      <c r="J82" s="118" t="s">
        <v>334</v>
      </c>
      <c r="K82" s="118">
        <v>81289</v>
      </c>
      <c r="L82" s="118">
        <v>2</v>
      </c>
      <c r="M82" s="118" t="s">
        <v>335</v>
      </c>
      <c r="N82" s="118" t="s">
        <v>35</v>
      </c>
      <c r="O82" s="118">
        <v>4242546</v>
      </c>
      <c r="P82" s="121">
        <v>45916</v>
      </c>
      <c r="Q82" s="118">
        <v>4365080</v>
      </c>
      <c r="R82" s="139">
        <v>52500</v>
      </c>
      <c r="S82" s="123">
        <v>45901</v>
      </c>
      <c r="T82" s="118">
        <v>375</v>
      </c>
      <c r="U82" s="118"/>
      <c r="V82" s="118" t="s">
        <v>37</v>
      </c>
      <c r="W82" s="118" t="s">
        <v>23</v>
      </c>
      <c r="X82" s="129">
        <v>23970</v>
      </c>
      <c r="Y82" s="121">
        <v>45994</v>
      </c>
      <c r="Z82" s="121">
        <v>45999</v>
      </c>
      <c r="AA82" s="118" t="s">
        <v>262</v>
      </c>
      <c r="AB82" s="118"/>
      <c r="AC82" s="126"/>
    </row>
    <row r="83" spans="2:29" ht="45" customHeight="1" x14ac:dyDescent="0.25">
      <c r="B83" s="118">
        <v>80</v>
      </c>
      <c r="C83" s="118" t="s">
        <v>292</v>
      </c>
      <c r="D83" s="118" t="s">
        <v>331</v>
      </c>
      <c r="E83" s="118" t="s">
        <v>35</v>
      </c>
      <c r="F83" s="127" t="s">
        <v>332</v>
      </c>
      <c r="G83" s="118" t="s">
        <v>333</v>
      </c>
      <c r="H83" s="118">
        <v>5</v>
      </c>
      <c r="I83" s="118" t="s">
        <v>188</v>
      </c>
      <c r="J83" s="118" t="s">
        <v>334</v>
      </c>
      <c r="K83" s="118">
        <v>81289</v>
      </c>
      <c r="L83" s="118">
        <v>2</v>
      </c>
      <c r="M83" s="118" t="s">
        <v>335</v>
      </c>
      <c r="N83" s="118" t="s">
        <v>35</v>
      </c>
      <c r="O83" s="118">
        <v>4242546</v>
      </c>
      <c r="P83" s="121">
        <v>45916</v>
      </c>
      <c r="Q83" s="118">
        <v>4365080</v>
      </c>
      <c r="R83" s="139">
        <v>52500</v>
      </c>
      <c r="S83" s="123">
        <v>45901</v>
      </c>
      <c r="T83" s="118">
        <v>368</v>
      </c>
      <c r="U83" s="125"/>
      <c r="V83" s="118" t="s">
        <v>71</v>
      </c>
      <c r="W83" s="118" t="s">
        <v>23</v>
      </c>
      <c r="X83" s="129">
        <v>4074</v>
      </c>
      <c r="Y83" s="121">
        <v>45966</v>
      </c>
      <c r="Z83" s="140">
        <v>45972</v>
      </c>
      <c r="AA83" s="118" t="s">
        <v>262</v>
      </c>
      <c r="AB83" s="118"/>
      <c r="AC83" s="126"/>
    </row>
    <row r="84" spans="2:29" ht="45" customHeight="1" x14ac:dyDescent="0.25">
      <c r="B84" s="118">
        <v>81</v>
      </c>
      <c r="C84" s="118" t="s">
        <v>292</v>
      </c>
      <c r="D84" s="118" t="s">
        <v>331</v>
      </c>
      <c r="E84" s="118" t="s">
        <v>35</v>
      </c>
      <c r="F84" s="127" t="s">
        <v>332</v>
      </c>
      <c r="G84" s="118" t="s">
        <v>333</v>
      </c>
      <c r="H84" s="118">
        <v>5</v>
      </c>
      <c r="I84" s="118" t="s">
        <v>188</v>
      </c>
      <c r="J84" s="118" t="s">
        <v>334</v>
      </c>
      <c r="K84" s="118">
        <v>81289</v>
      </c>
      <c r="L84" s="118">
        <v>2</v>
      </c>
      <c r="M84" s="118" t="s">
        <v>335</v>
      </c>
      <c r="N84" s="118" t="s">
        <v>35</v>
      </c>
      <c r="O84" s="118">
        <v>4242546</v>
      </c>
      <c r="P84" s="121">
        <v>45916</v>
      </c>
      <c r="Q84" s="118">
        <v>4365080</v>
      </c>
      <c r="R84" s="139">
        <v>52500</v>
      </c>
      <c r="S84" s="123">
        <v>45901</v>
      </c>
      <c r="T84" s="118">
        <v>392</v>
      </c>
      <c r="U84" s="125"/>
      <c r="V84" s="118" t="s">
        <v>71</v>
      </c>
      <c r="W84" s="118" t="s">
        <v>23</v>
      </c>
      <c r="X84" s="129">
        <v>16900</v>
      </c>
      <c r="Y84" s="121">
        <v>46029</v>
      </c>
      <c r="Z84" s="140"/>
      <c r="AA84" s="118" t="s">
        <v>336</v>
      </c>
      <c r="AB84" s="118" t="s">
        <v>337</v>
      </c>
      <c r="AC84" s="126">
        <f>R84-X82-X83-X84</f>
        <v>7556</v>
      </c>
    </row>
    <row r="85" spans="2:29" ht="45" customHeight="1" x14ac:dyDescent="0.25">
      <c r="B85" s="118">
        <v>82</v>
      </c>
      <c r="C85" s="118" t="s">
        <v>226</v>
      </c>
      <c r="D85" s="118" t="s">
        <v>338</v>
      </c>
      <c r="E85" s="118" t="s">
        <v>35</v>
      </c>
      <c r="F85" s="127" t="s">
        <v>339</v>
      </c>
      <c r="G85" s="118">
        <v>2330</v>
      </c>
      <c r="H85" s="118">
        <v>5</v>
      </c>
      <c r="I85" s="118" t="s">
        <v>340</v>
      </c>
      <c r="J85" s="118" t="s">
        <v>341</v>
      </c>
      <c r="K85" s="118">
        <v>81645</v>
      </c>
      <c r="L85" s="118">
        <v>1</v>
      </c>
      <c r="M85" s="118" t="s">
        <v>35</v>
      </c>
      <c r="N85" s="118" t="s">
        <v>35</v>
      </c>
      <c r="O85" s="118">
        <v>4246376</v>
      </c>
      <c r="P85" s="121">
        <v>45919</v>
      </c>
      <c r="Q85" s="118">
        <v>4368513</v>
      </c>
      <c r="R85" s="139">
        <v>6270</v>
      </c>
      <c r="S85" s="123">
        <v>45931</v>
      </c>
      <c r="T85" s="118">
        <v>2038</v>
      </c>
      <c r="U85" s="118">
        <v>45945</v>
      </c>
      <c r="V85" s="118" t="s">
        <v>71</v>
      </c>
      <c r="W85" s="118" t="s">
        <v>38</v>
      </c>
      <c r="X85" s="139">
        <v>6270</v>
      </c>
      <c r="Y85" s="121">
        <v>45944</v>
      </c>
      <c r="Z85" s="121">
        <v>45945</v>
      </c>
      <c r="AA85" s="125" t="s">
        <v>39</v>
      </c>
      <c r="AB85" s="118"/>
      <c r="AC85" s="126">
        <f t="shared" si="1"/>
        <v>0</v>
      </c>
    </row>
    <row r="86" spans="2:29" ht="45" customHeight="1" x14ac:dyDescent="0.25">
      <c r="B86" s="118">
        <v>83</v>
      </c>
      <c r="C86" s="118" t="s">
        <v>226</v>
      </c>
      <c r="D86" s="118" t="s">
        <v>222</v>
      </c>
      <c r="E86" s="118" t="s">
        <v>35</v>
      </c>
      <c r="F86" s="127" t="s">
        <v>342</v>
      </c>
      <c r="G86" s="118" t="s">
        <v>343</v>
      </c>
      <c r="H86" s="118">
        <v>242</v>
      </c>
      <c r="I86" s="118" t="s">
        <v>188</v>
      </c>
      <c r="J86" s="118" t="s">
        <v>344</v>
      </c>
      <c r="K86" s="118">
        <v>81599</v>
      </c>
      <c r="L86" s="118">
        <v>1</v>
      </c>
      <c r="M86" s="118" t="s">
        <v>35</v>
      </c>
      <c r="N86" s="118" t="s">
        <v>35</v>
      </c>
      <c r="O86" s="118">
        <v>4246433</v>
      </c>
      <c r="P86" s="121">
        <v>45919</v>
      </c>
      <c r="Q86" s="118">
        <v>4372878</v>
      </c>
      <c r="R86" s="139">
        <v>41292</v>
      </c>
      <c r="S86" s="123">
        <v>45901</v>
      </c>
      <c r="T86" s="118">
        <v>723</v>
      </c>
      <c r="U86" s="125"/>
      <c r="V86" s="118" t="s">
        <v>71</v>
      </c>
      <c r="W86" s="118" t="s">
        <v>23</v>
      </c>
      <c r="X86" s="129">
        <v>41292</v>
      </c>
      <c r="Y86" s="121">
        <v>45966</v>
      </c>
      <c r="Z86" s="121">
        <v>45967</v>
      </c>
      <c r="AA86" s="125" t="s">
        <v>39</v>
      </c>
      <c r="AB86" s="118"/>
      <c r="AC86" s="126">
        <f t="shared" si="1"/>
        <v>0</v>
      </c>
    </row>
    <row r="87" spans="2:29" ht="45" customHeight="1" x14ac:dyDescent="0.25">
      <c r="B87" s="118">
        <v>84</v>
      </c>
      <c r="C87" s="118" t="s">
        <v>226</v>
      </c>
      <c r="D87" s="118" t="s">
        <v>345</v>
      </c>
      <c r="E87" s="118" t="s">
        <v>35</v>
      </c>
      <c r="F87" s="127" t="s">
        <v>346</v>
      </c>
      <c r="G87" s="118" t="s">
        <v>347</v>
      </c>
      <c r="H87" s="118">
        <v>242</v>
      </c>
      <c r="I87" s="118" t="s">
        <v>188</v>
      </c>
      <c r="J87" s="118" t="s">
        <v>348</v>
      </c>
      <c r="K87" s="118">
        <v>80618</v>
      </c>
      <c r="L87" s="118">
        <v>1</v>
      </c>
      <c r="M87" s="118" t="s">
        <v>35</v>
      </c>
      <c r="N87" s="118" t="s">
        <v>35</v>
      </c>
      <c r="O87" s="118">
        <v>4248126</v>
      </c>
      <c r="P87" s="121">
        <v>45922</v>
      </c>
      <c r="Q87" s="118">
        <v>4379008</v>
      </c>
      <c r="R87" s="139">
        <v>48636</v>
      </c>
      <c r="S87" s="123">
        <v>45931</v>
      </c>
      <c r="T87" s="136" t="s">
        <v>349</v>
      </c>
      <c r="U87" s="138" t="s">
        <v>35</v>
      </c>
      <c r="V87" s="118" t="s">
        <v>71</v>
      </c>
      <c r="W87" s="118" t="s">
        <v>23</v>
      </c>
      <c r="X87" s="129">
        <v>11196.82</v>
      </c>
      <c r="Y87" s="121">
        <v>45992</v>
      </c>
      <c r="Z87" s="140" t="s">
        <v>350</v>
      </c>
      <c r="AA87" s="118" t="s">
        <v>39</v>
      </c>
      <c r="AB87" s="118"/>
      <c r="AC87" s="126">
        <f t="shared" si="1"/>
        <v>37439.18</v>
      </c>
    </row>
    <row r="88" spans="2:29" ht="45" customHeight="1" x14ac:dyDescent="0.25">
      <c r="B88" s="118">
        <v>85</v>
      </c>
      <c r="C88" s="118" t="s">
        <v>351</v>
      </c>
      <c r="D88" s="118" t="s">
        <v>352</v>
      </c>
      <c r="E88" s="118" t="s">
        <v>35</v>
      </c>
      <c r="F88" s="127" t="s">
        <v>353</v>
      </c>
      <c r="G88" s="118">
        <v>1236</v>
      </c>
      <c r="H88" s="118">
        <v>242</v>
      </c>
      <c r="I88" s="118" t="s">
        <v>354</v>
      </c>
      <c r="J88" s="118" t="s">
        <v>355</v>
      </c>
      <c r="K88" s="118">
        <v>83063</v>
      </c>
      <c r="L88" s="118">
        <v>29</v>
      </c>
      <c r="M88" s="118" t="s">
        <v>356</v>
      </c>
      <c r="N88" s="118" t="s">
        <v>35</v>
      </c>
      <c r="O88" s="118">
        <v>4252468</v>
      </c>
      <c r="P88" s="121">
        <v>45925</v>
      </c>
      <c r="Q88" s="118">
        <v>4377346</v>
      </c>
      <c r="R88" s="139">
        <v>10279.379999999999</v>
      </c>
      <c r="S88" s="123">
        <v>45931</v>
      </c>
      <c r="T88" s="118">
        <v>390</v>
      </c>
      <c r="U88" s="125"/>
      <c r="V88" s="118" t="s">
        <v>71</v>
      </c>
      <c r="W88" s="118" t="s">
        <v>23</v>
      </c>
      <c r="X88" s="129">
        <v>10279.379999999999</v>
      </c>
      <c r="Y88" s="121">
        <v>45965</v>
      </c>
      <c r="Z88" s="140">
        <v>45967</v>
      </c>
      <c r="AA88" s="125" t="s">
        <v>39</v>
      </c>
      <c r="AB88" s="118"/>
      <c r="AC88" s="126">
        <f t="shared" si="1"/>
        <v>0</v>
      </c>
    </row>
    <row r="89" spans="2:29" ht="45" customHeight="1" x14ac:dyDescent="0.25">
      <c r="B89" s="118">
        <v>86</v>
      </c>
      <c r="C89" s="118" t="s">
        <v>226</v>
      </c>
      <c r="D89" s="118" t="s">
        <v>357</v>
      </c>
      <c r="E89" s="118">
        <v>37124</v>
      </c>
      <c r="F89" s="127" t="s">
        <v>358</v>
      </c>
      <c r="G89" s="118">
        <v>1210</v>
      </c>
      <c r="H89" s="118">
        <v>242</v>
      </c>
      <c r="I89" s="118" t="s">
        <v>354</v>
      </c>
      <c r="J89" s="118" t="s">
        <v>359</v>
      </c>
      <c r="K89" s="118">
        <v>83064</v>
      </c>
      <c r="L89" s="118">
        <v>6</v>
      </c>
      <c r="M89" s="118" t="s">
        <v>35</v>
      </c>
      <c r="N89" s="118" t="s">
        <v>35</v>
      </c>
      <c r="O89" s="118">
        <v>4252496</v>
      </c>
      <c r="P89" s="121">
        <v>45925</v>
      </c>
      <c r="Q89" s="118">
        <v>4370282</v>
      </c>
      <c r="R89" s="149">
        <v>26982.57</v>
      </c>
      <c r="S89" s="123">
        <v>45931</v>
      </c>
      <c r="T89" s="118"/>
      <c r="U89" s="118"/>
      <c r="V89" s="118"/>
      <c r="W89" s="118"/>
      <c r="X89" s="129"/>
      <c r="Y89" s="121"/>
      <c r="Z89" s="121"/>
      <c r="AA89" s="118" t="s">
        <v>48</v>
      </c>
      <c r="AB89" s="118"/>
      <c r="AC89" s="126">
        <f t="shared" si="1"/>
        <v>26982.57</v>
      </c>
    </row>
    <row r="90" spans="2:29" ht="45" customHeight="1" x14ac:dyDescent="0.25">
      <c r="B90" s="118">
        <v>87</v>
      </c>
      <c r="C90" s="118" t="s">
        <v>351</v>
      </c>
      <c r="D90" s="118" t="s">
        <v>360</v>
      </c>
      <c r="E90" s="118" t="s">
        <v>35</v>
      </c>
      <c r="F90" s="127" t="s">
        <v>361</v>
      </c>
      <c r="G90" s="118">
        <v>2313</v>
      </c>
      <c r="H90" s="118">
        <v>5</v>
      </c>
      <c r="I90" s="118" t="s">
        <v>354</v>
      </c>
      <c r="J90" s="118" t="s">
        <v>362</v>
      </c>
      <c r="K90" s="118">
        <v>83033</v>
      </c>
      <c r="L90" s="118">
        <v>29</v>
      </c>
      <c r="M90" s="118" t="s">
        <v>363</v>
      </c>
      <c r="N90" s="118" t="s">
        <v>35</v>
      </c>
      <c r="O90" s="118">
        <v>4257039</v>
      </c>
      <c r="P90" s="121">
        <v>45925</v>
      </c>
      <c r="Q90" s="118">
        <v>4383638</v>
      </c>
      <c r="R90" s="149">
        <v>45714.68</v>
      </c>
      <c r="S90" s="123">
        <v>45931</v>
      </c>
      <c r="T90" s="118"/>
      <c r="U90" s="118"/>
      <c r="V90" s="118"/>
      <c r="W90" s="118"/>
      <c r="X90" s="143"/>
      <c r="Y90" s="121"/>
      <c r="Z90" s="121"/>
      <c r="AA90" s="118" t="s">
        <v>48</v>
      </c>
      <c r="AB90" s="118"/>
      <c r="AC90" s="126">
        <f t="shared" si="1"/>
        <v>45714.68</v>
      </c>
    </row>
    <row r="91" spans="2:29" ht="45" customHeight="1" x14ac:dyDescent="0.25">
      <c r="B91" s="118">
        <v>88</v>
      </c>
      <c r="C91" s="118" t="s">
        <v>226</v>
      </c>
      <c r="D91" s="118" t="s">
        <v>31</v>
      </c>
      <c r="E91" s="118">
        <v>37566</v>
      </c>
      <c r="F91" s="127" t="s">
        <v>364</v>
      </c>
      <c r="G91" s="118">
        <v>2313</v>
      </c>
      <c r="H91" s="118">
        <v>242</v>
      </c>
      <c r="I91" s="118" t="s">
        <v>340</v>
      </c>
      <c r="J91" s="118" t="s">
        <v>365</v>
      </c>
      <c r="K91" s="118">
        <v>83463</v>
      </c>
      <c r="L91" s="118">
        <v>6</v>
      </c>
      <c r="M91" s="118" t="s">
        <v>35</v>
      </c>
      <c r="N91" s="118" t="s">
        <v>35</v>
      </c>
      <c r="O91" s="118">
        <v>4254808</v>
      </c>
      <c r="P91" s="121">
        <v>45929</v>
      </c>
      <c r="Q91" s="118">
        <v>4372806</v>
      </c>
      <c r="R91" s="139">
        <v>8497.2000000000007</v>
      </c>
      <c r="S91" s="123">
        <v>45931</v>
      </c>
      <c r="T91" s="118">
        <v>19676</v>
      </c>
      <c r="U91" s="118" t="s">
        <v>366</v>
      </c>
      <c r="V91" s="118" t="s">
        <v>37</v>
      </c>
      <c r="W91" s="118" t="s">
        <v>64</v>
      </c>
      <c r="X91" s="129">
        <v>8497.2000000000007</v>
      </c>
      <c r="Y91" s="144">
        <v>45992</v>
      </c>
      <c r="Z91" s="121">
        <v>45993</v>
      </c>
      <c r="AA91" s="118" t="s">
        <v>39</v>
      </c>
      <c r="AB91" s="118"/>
      <c r="AC91" s="126">
        <f t="shared" si="1"/>
        <v>0</v>
      </c>
    </row>
    <row r="92" spans="2:29" ht="45" customHeight="1" x14ac:dyDescent="0.25">
      <c r="B92" s="118">
        <v>89</v>
      </c>
      <c r="C92" s="118" t="s">
        <v>267</v>
      </c>
      <c r="D92" s="118" t="s">
        <v>367</v>
      </c>
      <c r="E92" s="118" t="s">
        <v>35</v>
      </c>
      <c r="F92" s="127" t="s">
        <v>368</v>
      </c>
      <c r="G92" s="118">
        <v>1295</v>
      </c>
      <c r="H92" s="118">
        <v>242</v>
      </c>
      <c r="I92" s="118" t="s">
        <v>188</v>
      </c>
      <c r="J92" s="118" t="s">
        <v>369</v>
      </c>
      <c r="K92" s="118">
        <v>84211</v>
      </c>
      <c r="L92" s="118">
        <v>1</v>
      </c>
      <c r="M92" s="118" t="s">
        <v>35</v>
      </c>
      <c r="N92" s="118" t="s">
        <v>35</v>
      </c>
      <c r="O92" s="118">
        <v>4257737</v>
      </c>
      <c r="P92" s="121">
        <v>45931</v>
      </c>
      <c r="Q92" s="118">
        <v>4378444</v>
      </c>
      <c r="R92" s="139">
        <v>154870.39999999999</v>
      </c>
      <c r="S92" s="123">
        <v>45931</v>
      </c>
      <c r="T92" s="118">
        <v>100</v>
      </c>
      <c r="U92" s="118" t="s">
        <v>35</v>
      </c>
      <c r="V92" s="118" t="s">
        <v>71</v>
      </c>
      <c r="W92" s="118" t="s">
        <v>86</v>
      </c>
      <c r="X92" s="145">
        <v>30974.080000000002</v>
      </c>
      <c r="Y92" s="144">
        <v>46006</v>
      </c>
      <c r="Z92" s="121">
        <v>46008</v>
      </c>
      <c r="AA92" s="118" t="s">
        <v>262</v>
      </c>
      <c r="AB92" s="118"/>
      <c r="AC92" s="126"/>
    </row>
    <row r="93" spans="2:29" ht="45" customHeight="1" x14ac:dyDescent="0.25">
      <c r="B93" s="118">
        <v>90</v>
      </c>
      <c r="C93" s="118" t="s">
        <v>267</v>
      </c>
      <c r="D93" s="118" t="s">
        <v>367</v>
      </c>
      <c r="E93" s="118" t="s">
        <v>35</v>
      </c>
      <c r="F93" s="127" t="s">
        <v>368</v>
      </c>
      <c r="G93" s="118">
        <v>1295</v>
      </c>
      <c r="H93" s="118">
        <v>242</v>
      </c>
      <c r="I93" s="118" t="s">
        <v>188</v>
      </c>
      <c r="J93" s="118" t="s">
        <v>369</v>
      </c>
      <c r="K93" s="118">
        <v>84211</v>
      </c>
      <c r="L93" s="118">
        <v>1</v>
      </c>
      <c r="M93" s="118" t="s">
        <v>35</v>
      </c>
      <c r="N93" s="118" t="s">
        <v>35</v>
      </c>
      <c r="O93" s="118">
        <v>4257737</v>
      </c>
      <c r="P93" s="121">
        <v>45931</v>
      </c>
      <c r="Q93" s="118">
        <v>4378444</v>
      </c>
      <c r="R93" s="139">
        <v>154870.39999999999</v>
      </c>
      <c r="S93" s="123">
        <v>45931</v>
      </c>
      <c r="T93" s="118">
        <v>93</v>
      </c>
      <c r="U93" s="118" t="s">
        <v>35</v>
      </c>
      <c r="V93" s="118" t="s">
        <v>37</v>
      </c>
      <c r="W93" s="118" t="s">
        <v>86</v>
      </c>
      <c r="X93" s="145">
        <v>30974.080000000002</v>
      </c>
      <c r="Y93" s="121">
        <v>45975</v>
      </c>
      <c r="Z93" s="140">
        <v>45980</v>
      </c>
      <c r="AA93" s="118" t="s">
        <v>262</v>
      </c>
      <c r="AB93" s="118"/>
      <c r="AC93" s="126">
        <f t="shared" si="1"/>
        <v>123896.31999999999</v>
      </c>
    </row>
    <row r="94" spans="2:29" ht="45" customHeight="1" x14ac:dyDescent="0.25">
      <c r="B94" s="118">
        <v>91</v>
      </c>
      <c r="C94" s="118" t="s">
        <v>43</v>
      </c>
      <c r="D94" s="118" t="s">
        <v>370</v>
      </c>
      <c r="E94" s="118">
        <v>36375</v>
      </c>
      <c r="F94" s="127" t="s">
        <v>371</v>
      </c>
      <c r="G94" s="118">
        <v>2232</v>
      </c>
      <c r="H94" s="118">
        <v>242</v>
      </c>
      <c r="I94" s="118" t="s">
        <v>354</v>
      </c>
      <c r="J94" s="118" t="s">
        <v>372</v>
      </c>
      <c r="K94" s="118">
        <v>83065</v>
      </c>
      <c r="L94" s="118">
        <v>6</v>
      </c>
      <c r="M94" s="118" t="s">
        <v>35</v>
      </c>
      <c r="N94" s="118" t="s">
        <v>35</v>
      </c>
      <c r="O94" s="118">
        <v>4261942</v>
      </c>
      <c r="P94" s="121">
        <v>45936</v>
      </c>
      <c r="Q94" s="118">
        <v>4379074</v>
      </c>
      <c r="R94" s="139">
        <v>24900.87</v>
      </c>
      <c r="S94" s="123">
        <v>45931</v>
      </c>
      <c r="T94" s="118">
        <v>3784</v>
      </c>
      <c r="U94" s="130" t="s">
        <v>373</v>
      </c>
      <c r="V94" s="118" t="s">
        <v>37</v>
      </c>
      <c r="W94" s="118" t="s">
        <v>38</v>
      </c>
      <c r="X94" s="129">
        <v>24900.87</v>
      </c>
      <c r="Y94" s="121">
        <v>45954</v>
      </c>
      <c r="Z94" s="121">
        <v>45954</v>
      </c>
      <c r="AA94" s="125" t="s">
        <v>39</v>
      </c>
      <c r="AB94" s="118"/>
      <c r="AC94" s="126">
        <f t="shared" si="1"/>
        <v>0</v>
      </c>
    </row>
    <row r="95" spans="2:29" ht="45" customHeight="1" x14ac:dyDescent="0.25">
      <c r="B95" s="118">
        <v>92</v>
      </c>
      <c r="C95" s="118" t="s">
        <v>292</v>
      </c>
      <c r="D95" s="118" t="s">
        <v>374</v>
      </c>
      <c r="E95" s="118" t="s">
        <v>35</v>
      </c>
      <c r="F95" s="127" t="s">
        <v>375</v>
      </c>
      <c r="G95" s="118">
        <v>4472</v>
      </c>
      <c r="H95" s="118">
        <v>242</v>
      </c>
      <c r="I95" s="118" t="s">
        <v>354</v>
      </c>
      <c r="J95" s="118" t="s">
        <v>376</v>
      </c>
      <c r="K95" s="118">
        <v>83316</v>
      </c>
      <c r="L95" s="118">
        <v>1</v>
      </c>
      <c r="M95" s="118" t="s">
        <v>35</v>
      </c>
      <c r="N95" s="118" t="s">
        <v>35</v>
      </c>
      <c r="O95" s="118">
        <v>4260198</v>
      </c>
      <c r="P95" s="121">
        <v>45932</v>
      </c>
      <c r="Q95" s="118">
        <v>4379125</v>
      </c>
      <c r="R95" s="139">
        <v>9000</v>
      </c>
      <c r="S95" s="123">
        <v>45931</v>
      </c>
      <c r="T95" s="118">
        <v>78</v>
      </c>
      <c r="U95" s="118" t="s">
        <v>35</v>
      </c>
      <c r="V95" s="118" t="s">
        <v>37</v>
      </c>
      <c r="W95" s="118" t="s">
        <v>23</v>
      </c>
      <c r="X95" s="129">
        <v>9000</v>
      </c>
      <c r="Y95" s="121">
        <v>45971</v>
      </c>
      <c r="Z95" s="140">
        <v>45972</v>
      </c>
      <c r="AA95" s="125" t="s">
        <v>39</v>
      </c>
      <c r="AB95" s="125" t="s">
        <v>377</v>
      </c>
      <c r="AC95" s="126">
        <f t="shared" si="1"/>
        <v>0</v>
      </c>
    </row>
    <row r="96" spans="2:29" ht="45" customHeight="1" x14ac:dyDescent="0.25">
      <c r="B96" s="118">
        <v>93</v>
      </c>
      <c r="C96" s="118" t="s">
        <v>292</v>
      </c>
      <c r="D96" s="118" t="s">
        <v>378</v>
      </c>
      <c r="E96" s="118" t="s">
        <v>35</v>
      </c>
      <c r="F96" s="127" t="s">
        <v>379</v>
      </c>
      <c r="G96" s="118">
        <v>1180</v>
      </c>
      <c r="H96" s="118">
        <v>5</v>
      </c>
      <c r="I96" s="118" t="s">
        <v>354</v>
      </c>
      <c r="J96" s="118" t="s">
        <v>380</v>
      </c>
      <c r="K96" s="118" t="s">
        <v>381</v>
      </c>
      <c r="L96" s="118">
        <v>29</v>
      </c>
      <c r="M96" s="118" t="s">
        <v>382</v>
      </c>
      <c r="N96" s="118" t="s">
        <v>35</v>
      </c>
      <c r="O96" s="118">
        <v>4274350</v>
      </c>
      <c r="P96" s="121">
        <v>45936</v>
      </c>
      <c r="Q96" s="138">
        <v>4402989</v>
      </c>
      <c r="R96" s="149">
        <v>340</v>
      </c>
      <c r="S96" s="123">
        <v>45931</v>
      </c>
      <c r="T96" s="118"/>
      <c r="U96" s="118"/>
      <c r="V96" s="118"/>
      <c r="W96" s="118"/>
      <c r="X96" s="129"/>
      <c r="Y96" s="121"/>
      <c r="Z96" s="121"/>
      <c r="AA96" s="118" t="s">
        <v>48</v>
      </c>
      <c r="AB96" s="118"/>
      <c r="AC96" s="126">
        <f t="shared" si="1"/>
        <v>340</v>
      </c>
    </row>
    <row r="97" spans="2:29" ht="45" customHeight="1" x14ac:dyDescent="0.25">
      <c r="B97" s="118">
        <v>94</v>
      </c>
      <c r="C97" s="118" t="s">
        <v>226</v>
      </c>
      <c r="D97" s="118" t="s">
        <v>222</v>
      </c>
      <c r="E97" s="118" t="s">
        <v>35</v>
      </c>
      <c r="F97" s="127" t="s">
        <v>383</v>
      </c>
      <c r="G97" s="118" t="s">
        <v>384</v>
      </c>
      <c r="H97" s="118">
        <v>242</v>
      </c>
      <c r="I97" s="118" t="s">
        <v>354</v>
      </c>
      <c r="J97" s="118" t="s">
        <v>385</v>
      </c>
      <c r="K97" s="118">
        <v>85156</v>
      </c>
      <c r="L97" s="118">
        <v>1</v>
      </c>
      <c r="M97" s="118" t="s">
        <v>35</v>
      </c>
      <c r="N97" s="118" t="s">
        <v>35</v>
      </c>
      <c r="O97" s="118">
        <v>4263784</v>
      </c>
      <c r="P97" s="121">
        <v>45937</v>
      </c>
      <c r="Q97" s="118">
        <v>4383058</v>
      </c>
      <c r="R97" s="139">
        <v>14400</v>
      </c>
      <c r="S97" s="123">
        <v>45962</v>
      </c>
      <c r="T97" s="136" t="s">
        <v>386</v>
      </c>
      <c r="U97" s="118" t="s">
        <v>35</v>
      </c>
      <c r="V97" s="118" t="s">
        <v>71</v>
      </c>
      <c r="W97" s="118" t="s">
        <v>86</v>
      </c>
      <c r="X97" s="129">
        <v>14400</v>
      </c>
      <c r="Y97" s="121">
        <v>46010</v>
      </c>
      <c r="Z97" s="121">
        <v>46010</v>
      </c>
      <c r="AA97" s="118" t="s">
        <v>39</v>
      </c>
      <c r="AB97" s="118"/>
      <c r="AC97" s="126">
        <f t="shared" si="1"/>
        <v>0</v>
      </c>
    </row>
    <row r="98" spans="2:29" ht="45" customHeight="1" x14ac:dyDescent="0.25">
      <c r="B98" s="118">
        <v>95</v>
      </c>
      <c r="C98" s="118" t="s">
        <v>226</v>
      </c>
      <c r="D98" s="118" t="s">
        <v>345</v>
      </c>
      <c r="E98" s="118" t="s">
        <v>35</v>
      </c>
      <c r="F98" s="127" t="s">
        <v>387</v>
      </c>
      <c r="G98" s="118" t="s">
        <v>384</v>
      </c>
      <c r="H98" s="118">
        <v>242</v>
      </c>
      <c r="I98" s="118" t="s">
        <v>354</v>
      </c>
      <c r="J98" s="118" t="s">
        <v>388</v>
      </c>
      <c r="K98" s="118">
        <v>85158</v>
      </c>
      <c r="L98" s="118">
        <v>1</v>
      </c>
      <c r="M98" s="118" t="s">
        <v>35</v>
      </c>
      <c r="N98" s="118" t="s">
        <v>35</v>
      </c>
      <c r="O98" s="118">
        <v>4263821</v>
      </c>
      <c r="P98" s="121">
        <v>45937</v>
      </c>
      <c r="Q98" s="118">
        <v>4384406</v>
      </c>
      <c r="R98" s="139">
        <v>13600</v>
      </c>
      <c r="S98" s="123">
        <v>45962</v>
      </c>
      <c r="T98" s="118">
        <v>377</v>
      </c>
      <c r="U98" s="118"/>
      <c r="V98" s="118" t="s">
        <v>71</v>
      </c>
      <c r="W98" s="118" t="s">
        <v>23</v>
      </c>
      <c r="X98" s="143">
        <v>5351</v>
      </c>
      <c r="Y98" s="121">
        <v>45992</v>
      </c>
      <c r="Z98" s="121">
        <v>45996</v>
      </c>
      <c r="AA98" s="118" t="s">
        <v>39</v>
      </c>
      <c r="AB98" s="118"/>
      <c r="AC98" s="126"/>
    </row>
    <row r="99" spans="2:29" ht="45" customHeight="1" x14ac:dyDescent="0.25">
      <c r="B99" s="118">
        <v>96</v>
      </c>
      <c r="C99" s="118" t="s">
        <v>226</v>
      </c>
      <c r="D99" s="118" t="s">
        <v>345</v>
      </c>
      <c r="E99" s="118" t="s">
        <v>35</v>
      </c>
      <c r="F99" s="127" t="s">
        <v>387</v>
      </c>
      <c r="G99" s="118" t="s">
        <v>384</v>
      </c>
      <c r="H99" s="118">
        <v>242</v>
      </c>
      <c r="I99" s="118" t="s">
        <v>354</v>
      </c>
      <c r="J99" s="118" t="s">
        <v>388</v>
      </c>
      <c r="K99" s="118">
        <v>85158</v>
      </c>
      <c r="L99" s="118">
        <v>1</v>
      </c>
      <c r="M99" s="118" t="s">
        <v>35</v>
      </c>
      <c r="N99" s="118" t="s">
        <v>35</v>
      </c>
      <c r="O99" s="118">
        <v>4263821</v>
      </c>
      <c r="P99" s="121">
        <v>45937</v>
      </c>
      <c r="Q99" s="118">
        <v>4384406</v>
      </c>
      <c r="R99" s="139">
        <v>13600</v>
      </c>
      <c r="S99" s="123">
        <v>45962</v>
      </c>
      <c r="T99" s="118">
        <v>360</v>
      </c>
      <c r="U99" s="118" t="s">
        <v>35</v>
      </c>
      <c r="V99" s="118" t="s">
        <v>37</v>
      </c>
      <c r="W99" s="118" t="s">
        <v>23</v>
      </c>
      <c r="X99" s="143">
        <v>8249</v>
      </c>
      <c r="Y99" s="121">
        <v>45979</v>
      </c>
      <c r="Z99" s="140">
        <v>45980</v>
      </c>
      <c r="AA99" s="118" t="s">
        <v>39</v>
      </c>
      <c r="AB99" s="118"/>
      <c r="AC99" s="126">
        <f t="shared" si="1"/>
        <v>5351</v>
      </c>
    </row>
    <row r="100" spans="2:29" ht="45" customHeight="1" x14ac:dyDescent="0.25">
      <c r="B100" s="118">
        <v>97</v>
      </c>
      <c r="C100" s="118" t="s">
        <v>292</v>
      </c>
      <c r="D100" s="118" t="s">
        <v>389</v>
      </c>
      <c r="E100" s="118" t="s">
        <v>35</v>
      </c>
      <c r="F100" s="127" t="s">
        <v>332</v>
      </c>
      <c r="G100" s="118" t="s">
        <v>333</v>
      </c>
      <c r="H100" s="118">
        <v>5</v>
      </c>
      <c r="I100" s="118" t="s">
        <v>188</v>
      </c>
      <c r="J100" s="118" t="s">
        <v>390</v>
      </c>
      <c r="K100" s="118">
        <v>85080</v>
      </c>
      <c r="L100" s="118">
        <v>1</v>
      </c>
      <c r="M100" s="118" t="s">
        <v>35</v>
      </c>
      <c r="N100" s="118" t="s">
        <v>35</v>
      </c>
      <c r="O100" s="118">
        <v>4264629</v>
      </c>
      <c r="P100" s="121">
        <v>45938</v>
      </c>
      <c r="Q100" s="118">
        <v>4386727</v>
      </c>
      <c r="R100" s="139">
        <v>58000</v>
      </c>
      <c r="S100" s="123">
        <v>45931</v>
      </c>
      <c r="T100" s="118" t="s">
        <v>391</v>
      </c>
      <c r="U100" s="118"/>
      <c r="V100" s="118" t="s">
        <v>71</v>
      </c>
      <c r="W100" s="146" t="s">
        <v>23</v>
      </c>
      <c r="X100" s="129">
        <v>23876.6</v>
      </c>
      <c r="Y100" s="144">
        <v>45995</v>
      </c>
      <c r="Z100" s="140">
        <v>45996</v>
      </c>
      <c r="AA100" s="118" t="s">
        <v>39</v>
      </c>
      <c r="AB100" s="118"/>
      <c r="AC100" s="126"/>
    </row>
    <row r="101" spans="2:29" ht="45" customHeight="1" x14ac:dyDescent="0.25">
      <c r="B101" s="118">
        <v>98</v>
      </c>
      <c r="C101" s="118" t="s">
        <v>292</v>
      </c>
      <c r="D101" s="118" t="s">
        <v>389</v>
      </c>
      <c r="E101" s="118" t="s">
        <v>35</v>
      </c>
      <c r="F101" s="127" t="s">
        <v>332</v>
      </c>
      <c r="G101" s="118" t="s">
        <v>333</v>
      </c>
      <c r="H101" s="118">
        <v>5</v>
      </c>
      <c r="I101" s="118" t="s">
        <v>188</v>
      </c>
      <c r="J101" s="118" t="s">
        <v>390</v>
      </c>
      <c r="K101" s="118">
        <v>85080</v>
      </c>
      <c r="L101" s="118">
        <v>1</v>
      </c>
      <c r="M101" s="118" t="s">
        <v>35</v>
      </c>
      <c r="N101" s="118" t="s">
        <v>35</v>
      </c>
      <c r="O101" s="118">
        <v>4264629</v>
      </c>
      <c r="P101" s="121">
        <v>45938</v>
      </c>
      <c r="Q101" s="118">
        <v>4386727</v>
      </c>
      <c r="R101" s="139">
        <v>58000</v>
      </c>
      <c r="S101" s="123">
        <v>45931</v>
      </c>
      <c r="T101" s="118">
        <v>631</v>
      </c>
      <c r="U101" s="118" t="s">
        <v>35</v>
      </c>
      <c r="V101" s="118" t="s">
        <v>71</v>
      </c>
      <c r="W101" s="118" t="s">
        <v>125</v>
      </c>
      <c r="X101" s="145">
        <v>34123.4</v>
      </c>
      <c r="Y101" s="121">
        <v>45947</v>
      </c>
      <c r="Z101" s="121">
        <v>45954</v>
      </c>
      <c r="AA101" s="118" t="s">
        <v>39</v>
      </c>
      <c r="AB101" s="118"/>
      <c r="AC101" s="126">
        <f t="shared" si="1"/>
        <v>23876.6</v>
      </c>
    </row>
    <row r="102" spans="2:29" ht="45" customHeight="1" x14ac:dyDescent="0.25">
      <c r="B102" s="118">
        <v>99</v>
      </c>
      <c r="C102" s="118" t="s">
        <v>351</v>
      </c>
      <c r="D102" s="118" t="s">
        <v>392</v>
      </c>
      <c r="E102" s="118">
        <v>38507</v>
      </c>
      <c r="F102" s="127" t="s">
        <v>393</v>
      </c>
      <c r="G102" s="118">
        <v>2330</v>
      </c>
      <c r="H102" s="118">
        <v>5</v>
      </c>
      <c r="I102" s="118" t="s">
        <v>354</v>
      </c>
      <c r="J102" s="118" t="s">
        <v>394</v>
      </c>
      <c r="K102" s="118">
        <v>86254</v>
      </c>
      <c r="L102" s="118">
        <v>6</v>
      </c>
      <c r="M102" s="118" t="s">
        <v>35</v>
      </c>
      <c r="N102" s="118" t="s">
        <v>35</v>
      </c>
      <c r="O102" s="118">
        <v>4275744</v>
      </c>
      <c r="P102" s="121">
        <v>45943</v>
      </c>
      <c r="Q102" s="138">
        <v>4396019</v>
      </c>
      <c r="R102" s="139">
        <v>24560</v>
      </c>
      <c r="S102" s="123">
        <v>45962</v>
      </c>
      <c r="T102" s="118">
        <v>1553</v>
      </c>
      <c r="U102" s="147" t="s">
        <v>395</v>
      </c>
      <c r="V102" s="118" t="s">
        <v>71</v>
      </c>
      <c r="W102" s="118" t="s">
        <v>23</v>
      </c>
      <c r="X102" s="129">
        <v>24560</v>
      </c>
      <c r="Y102" s="121">
        <v>45962</v>
      </c>
      <c r="Z102" s="140">
        <v>45964</v>
      </c>
      <c r="AA102" s="125" t="s">
        <v>39</v>
      </c>
      <c r="AB102" s="118"/>
      <c r="AC102" s="126">
        <f t="shared" si="1"/>
        <v>0</v>
      </c>
    </row>
    <row r="103" spans="2:29" ht="45" customHeight="1" x14ac:dyDescent="0.25">
      <c r="B103" s="118">
        <v>100</v>
      </c>
      <c r="C103" s="118" t="s">
        <v>226</v>
      </c>
      <c r="D103" s="118" t="s">
        <v>222</v>
      </c>
      <c r="E103" s="118" t="s">
        <v>35</v>
      </c>
      <c r="F103" s="127" t="s">
        <v>396</v>
      </c>
      <c r="G103" s="118">
        <v>5345</v>
      </c>
      <c r="H103" s="118">
        <v>242</v>
      </c>
      <c r="I103" s="118" t="s">
        <v>354</v>
      </c>
      <c r="J103" s="118" t="s">
        <v>397</v>
      </c>
      <c r="K103" s="118">
        <v>86622</v>
      </c>
      <c r="L103" s="118">
        <v>6</v>
      </c>
      <c r="M103" s="118" t="s">
        <v>35</v>
      </c>
      <c r="N103" s="118" t="s">
        <v>35</v>
      </c>
      <c r="O103" s="118">
        <v>4270560</v>
      </c>
      <c r="P103" s="121">
        <v>45944</v>
      </c>
      <c r="Q103" s="118">
        <v>4390885</v>
      </c>
      <c r="R103" s="139">
        <v>12700</v>
      </c>
      <c r="S103" s="123">
        <v>45931</v>
      </c>
      <c r="T103" s="118">
        <v>731</v>
      </c>
      <c r="U103" s="118" t="s">
        <v>35</v>
      </c>
      <c r="V103" s="118" t="s">
        <v>71</v>
      </c>
      <c r="W103" s="118" t="s">
        <v>23</v>
      </c>
      <c r="X103" s="129">
        <v>12700</v>
      </c>
      <c r="Y103" s="121">
        <v>45978</v>
      </c>
      <c r="Z103" s="121">
        <v>45978</v>
      </c>
      <c r="AA103" s="125" t="s">
        <v>39</v>
      </c>
      <c r="AB103" s="118"/>
      <c r="AC103" s="126">
        <f t="shared" si="1"/>
        <v>0</v>
      </c>
    </row>
    <row r="104" spans="2:29" ht="45" customHeight="1" x14ac:dyDescent="0.25">
      <c r="B104" s="118">
        <v>101</v>
      </c>
      <c r="C104" s="118" t="s">
        <v>398</v>
      </c>
      <c r="D104" s="118" t="s">
        <v>399</v>
      </c>
      <c r="E104" s="118" t="s">
        <v>35</v>
      </c>
      <c r="F104" s="127" t="s">
        <v>400</v>
      </c>
      <c r="G104" s="118">
        <v>2321</v>
      </c>
      <c r="H104" s="118">
        <v>242</v>
      </c>
      <c r="I104" s="118" t="s">
        <v>354</v>
      </c>
      <c r="J104" s="118" t="s">
        <v>401</v>
      </c>
      <c r="K104" s="118">
        <v>86600</v>
      </c>
      <c r="L104" s="118">
        <v>29</v>
      </c>
      <c r="M104" s="118" t="s">
        <v>402</v>
      </c>
      <c r="N104" s="118" t="s">
        <v>35</v>
      </c>
      <c r="O104" s="136" t="s">
        <v>403</v>
      </c>
      <c r="P104" s="121">
        <v>45944</v>
      </c>
      <c r="Q104" s="118">
        <v>4408346</v>
      </c>
      <c r="R104" s="149">
        <v>2060</v>
      </c>
      <c r="S104" s="123">
        <v>45931</v>
      </c>
      <c r="T104" s="118"/>
      <c r="U104" s="118"/>
      <c r="V104" s="118"/>
      <c r="W104" s="118"/>
      <c r="X104" s="129"/>
      <c r="Y104" s="121"/>
      <c r="Z104" s="121"/>
      <c r="AA104" s="118" t="s">
        <v>48</v>
      </c>
      <c r="AB104" s="118"/>
      <c r="AC104" s="126">
        <f t="shared" si="1"/>
        <v>2060</v>
      </c>
    </row>
    <row r="105" spans="2:29" ht="45" customHeight="1" x14ac:dyDescent="0.25">
      <c r="B105" s="118">
        <v>102</v>
      </c>
      <c r="C105" s="118" t="s">
        <v>300</v>
      </c>
      <c r="D105" s="118" t="s">
        <v>404</v>
      </c>
      <c r="E105" s="118" t="s">
        <v>35</v>
      </c>
      <c r="F105" s="127" t="s">
        <v>405</v>
      </c>
      <c r="G105" s="118">
        <v>2291</v>
      </c>
      <c r="H105" s="118">
        <v>242</v>
      </c>
      <c r="I105" s="118" t="s">
        <v>188</v>
      </c>
      <c r="J105" s="118" t="s">
        <v>406</v>
      </c>
      <c r="K105" s="118">
        <v>86824</v>
      </c>
      <c r="L105" s="118">
        <v>29</v>
      </c>
      <c r="M105" s="118" t="s">
        <v>407</v>
      </c>
      <c r="N105" s="118" t="s">
        <v>35</v>
      </c>
      <c r="O105" s="118">
        <v>4271140</v>
      </c>
      <c r="P105" s="121">
        <v>45945</v>
      </c>
      <c r="Q105" s="118">
        <v>4390655</v>
      </c>
      <c r="R105" s="139">
        <v>4298.9399999999996</v>
      </c>
      <c r="S105" s="123">
        <v>45931</v>
      </c>
      <c r="T105" s="118">
        <v>318</v>
      </c>
      <c r="U105" s="125"/>
      <c r="V105" s="118" t="s">
        <v>71</v>
      </c>
      <c r="W105" s="118" t="s">
        <v>23</v>
      </c>
      <c r="X105" s="129">
        <v>4298.9399999999996</v>
      </c>
      <c r="Y105" s="121">
        <v>45965</v>
      </c>
      <c r="Z105" s="140">
        <v>45968</v>
      </c>
      <c r="AA105" s="125" t="s">
        <v>39</v>
      </c>
      <c r="AB105" s="118"/>
      <c r="AC105" s="126">
        <f t="shared" si="1"/>
        <v>0</v>
      </c>
    </row>
    <row r="106" spans="2:29" ht="45" customHeight="1" x14ac:dyDescent="0.25">
      <c r="B106" s="118">
        <v>103</v>
      </c>
      <c r="C106" s="118" t="s">
        <v>300</v>
      </c>
      <c r="D106" s="118" t="s">
        <v>404</v>
      </c>
      <c r="E106" s="118" t="s">
        <v>35</v>
      </c>
      <c r="F106" s="127" t="s">
        <v>408</v>
      </c>
      <c r="G106" s="118">
        <v>2291</v>
      </c>
      <c r="H106" s="118">
        <v>242</v>
      </c>
      <c r="I106" s="118" t="s">
        <v>188</v>
      </c>
      <c r="J106" s="118" t="s">
        <v>409</v>
      </c>
      <c r="K106" s="118">
        <v>86833</v>
      </c>
      <c r="L106" s="118">
        <v>29</v>
      </c>
      <c r="M106" s="118" t="s">
        <v>410</v>
      </c>
      <c r="N106" s="118" t="s">
        <v>35</v>
      </c>
      <c r="O106" s="118">
        <v>4271154</v>
      </c>
      <c r="P106" s="121">
        <v>45945</v>
      </c>
      <c r="Q106" s="118">
        <v>4390653</v>
      </c>
      <c r="R106" s="139">
        <v>8100.19</v>
      </c>
      <c r="S106" s="123">
        <v>45931</v>
      </c>
      <c r="T106" s="118">
        <v>319</v>
      </c>
      <c r="U106" s="125"/>
      <c r="V106" s="118" t="s">
        <v>71</v>
      </c>
      <c r="W106" s="118" t="s">
        <v>23</v>
      </c>
      <c r="X106" s="129">
        <v>8100.19</v>
      </c>
      <c r="Y106" s="121">
        <v>45965</v>
      </c>
      <c r="Z106" s="140">
        <v>45968</v>
      </c>
      <c r="AA106" s="125" t="s">
        <v>39</v>
      </c>
      <c r="AB106" s="118"/>
      <c r="AC106" s="126">
        <f t="shared" si="1"/>
        <v>0</v>
      </c>
    </row>
    <row r="107" spans="2:29" ht="45" customHeight="1" x14ac:dyDescent="0.25">
      <c r="B107" s="118">
        <v>104</v>
      </c>
      <c r="C107" s="118" t="s">
        <v>351</v>
      </c>
      <c r="D107" s="118" t="s">
        <v>107</v>
      </c>
      <c r="E107" s="118">
        <v>38252</v>
      </c>
      <c r="F107" s="119" t="s">
        <v>411</v>
      </c>
      <c r="G107" s="118">
        <v>2330</v>
      </c>
      <c r="H107" s="118">
        <v>242</v>
      </c>
      <c r="I107" s="118" t="s">
        <v>354</v>
      </c>
      <c r="J107" s="118" t="s">
        <v>412</v>
      </c>
      <c r="K107" s="118">
        <v>87016</v>
      </c>
      <c r="L107" s="118">
        <v>6</v>
      </c>
      <c r="M107" s="118" t="s">
        <v>35</v>
      </c>
      <c r="N107" s="118" t="s">
        <v>35</v>
      </c>
      <c r="O107" s="136" t="s">
        <v>413</v>
      </c>
      <c r="P107" s="121">
        <v>45946</v>
      </c>
      <c r="Q107" s="118">
        <v>4389682</v>
      </c>
      <c r="R107" s="139">
        <v>3990</v>
      </c>
      <c r="S107" s="123">
        <v>45931</v>
      </c>
      <c r="T107" s="118">
        <v>3168</v>
      </c>
      <c r="U107" s="140" t="s">
        <v>414</v>
      </c>
      <c r="V107" s="118" t="s">
        <v>71</v>
      </c>
      <c r="W107" s="118" t="s">
        <v>23</v>
      </c>
      <c r="X107" s="129">
        <v>3990</v>
      </c>
      <c r="Y107" s="121">
        <v>45962</v>
      </c>
      <c r="Z107" s="140">
        <v>45967</v>
      </c>
      <c r="AA107" s="125" t="s">
        <v>39</v>
      </c>
      <c r="AB107" s="118"/>
      <c r="AC107" s="126">
        <f t="shared" si="1"/>
        <v>0</v>
      </c>
    </row>
    <row r="108" spans="2:29" ht="45" customHeight="1" x14ac:dyDescent="0.25">
      <c r="B108" s="118">
        <v>105</v>
      </c>
      <c r="C108" s="118" t="s">
        <v>351</v>
      </c>
      <c r="D108" s="118" t="s">
        <v>415</v>
      </c>
      <c r="E108" s="118">
        <v>39251</v>
      </c>
      <c r="F108" s="127" t="s">
        <v>416</v>
      </c>
      <c r="G108" s="118">
        <v>2119</v>
      </c>
      <c r="H108" s="118">
        <v>242</v>
      </c>
      <c r="I108" s="118" t="s">
        <v>354</v>
      </c>
      <c r="J108" s="118" t="s">
        <v>415</v>
      </c>
      <c r="K108" s="118">
        <v>87018</v>
      </c>
      <c r="L108" s="118">
        <v>6</v>
      </c>
      <c r="M108" s="118" t="s">
        <v>35</v>
      </c>
      <c r="N108" s="118" t="s">
        <v>35</v>
      </c>
      <c r="O108" s="136" t="s">
        <v>417</v>
      </c>
      <c r="P108" s="121">
        <v>45946</v>
      </c>
      <c r="Q108" s="125"/>
      <c r="R108" s="139">
        <v>445</v>
      </c>
      <c r="S108" s="123">
        <v>45931</v>
      </c>
      <c r="T108" s="118"/>
      <c r="U108" s="118"/>
      <c r="V108" s="118"/>
      <c r="W108" s="118"/>
      <c r="X108" s="129"/>
      <c r="Y108" s="121"/>
      <c r="Z108" s="121"/>
      <c r="AA108" s="118" t="s">
        <v>160</v>
      </c>
      <c r="AB108" s="118" t="s">
        <v>418</v>
      </c>
      <c r="AC108" s="126">
        <f t="shared" si="1"/>
        <v>445</v>
      </c>
    </row>
    <row r="109" spans="2:29" ht="45" customHeight="1" x14ac:dyDescent="0.25">
      <c r="B109" s="118">
        <v>106</v>
      </c>
      <c r="C109" s="118" t="s">
        <v>351</v>
      </c>
      <c r="D109" s="118" t="s">
        <v>419</v>
      </c>
      <c r="E109" s="118" t="s">
        <v>35</v>
      </c>
      <c r="F109" s="127" t="s">
        <v>420</v>
      </c>
      <c r="G109" s="118">
        <v>2330</v>
      </c>
      <c r="H109" s="118">
        <v>242</v>
      </c>
      <c r="I109" s="118" t="s">
        <v>354</v>
      </c>
      <c r="J109" s="118" t="s">
        <v>421</v>
      </c>
      <c r="K109" s="118">
        <v>87031</v>
      </c>
      <c r="L109" s="118">
        <v>29</v>
      </c>
      <c r="M109" s="118" t="s">
        <v>422</v>
      </c>
      <c r="N109" s="118" t="s">
        <v>35</v>
      </c>
      <c r="O109" s="118">
        <v>4275816</v>
      </c>
      <c r="P109" s="121">
        <v>45946</v>
      </c>
      <c r="Q109" s="138">
        <v>4400095</v>
      </c>
      <c r="R109" s="139">
        <v>2777.5</v>
      </c>
      <c r="S109" s="123">
        <v>45962</v>
      </c>
      <c r="T109" s="118">
        <v>12004</v>
      </c>
      <c r="U109" s="118" t="s">
        <v>35</v>
      </c>
      <c r="V109" s="118" t="s">
        <v>37</v>
      </c>
      <c r="W109" s="118" t="s">
        <v>38</v>
      </c>
      <c r="X109" s="129">
        <v>2777.5</v>
      </c>
      <c r="Y109" s="121">
        <v>45974</v>
      </c>
      <c r="Z109" s="140">
        <v>45975</v>
      </c>
      <c r="AA109" s="125" t="s">
        <v>39</v>
      </c>
      <c r="AB109" s="118"/>
      <c r="AC109" s="126">
        <f t="shared" si="1"/>
        <v>0</v>
      </c>
    </row>
    <row r="110" spans="2:29" ht="45" customHeight="1" x14ac:dyDescent="0.25">
      <c r="B110" s="118">
        <v>107</v>
      </c>
      <c r="C110" s="118" t="s">
        <v>300</v>
      </c>
      <c r="D110" s="118" t="s">
        <v>404</v>
      </c>
      <c r="E110" s="118" t="s">
        <v>35</v>
      </c>
      <c r="F110" s="127" t="s">
        <v>423</v>
      </c>
      <c r="G110" s="118">
        <v>2291</v>
      </c>
      <c r="H110" s="118">
        <v>242</v>
      </c>
      <c r="I110" s="118" t="s">
        <v>354</v>
      </c>
      <c r="J110" s="118" t="s">
        <v>424</v>
      </c>
      <c r="K110" s="118">
        <v>86826</v>
      </c>
      <c r="L110" s="118">
        <v>29</v>
      </c>
      <c r="M110" s="118" t="s">
        <v>425</v>
      </c>
      <c r="N110" s="118" t="s">
        <v>35</v>
      </c>
      <c r="O110" s="118">
        <v>4274405</v>
      </c>
      <c r="P110" s="121">
        <v>45947</v>
      </c>
      <c r="Q110" s="138">
        <v>4399765</v>
      </c>
      <c r="R110" s="139">
        <v>12085</v>
      </c>
      <c r="S110" s="123">
        <v>45931</v>
      </c>
      <c r="T110" s="118">
        <v>320</v>
      </c>
      <c r="U110" s="125"/>
      <c r="V110" s="118" t="s">
        <v>71</v>
      </c>
      <c r="W110" s="118" t="s">
        <v>23</v>
      </c>
      <c r="X110" s="129">
        <v>12085</v>
      </c>
      <c r="Y110" s="121">
        <v>45965</v>
      </c>
      <c r="Z110" s="140">
        <v>45968</v>
      </c>
      <c r="AA110" s="125" t="s">
        <v>39</v>
      </c>
      <c r="AB110" s="118"/>
      <c r="AC110" s="126">
        <f t="shared" si="1"/>
        <v>0</v>
      </c>
    </row>
    <row r="111" spans="2:29" ht="45" customHeight="1" x14ac:dyDescent="0.25">
      <c r="B111" s="118">
        <v>108</v>
      </c>
      <c r="C111" s="118" t="s">
        <v>300</v>
      </c>
      <c r="D111" s="118" t="s">
        <v>404</v>
      </c>
      <c r="E111" s="118" t="s">
        <v>35</v>
      </c>
      <c r="F111" s="127" t="s">
        <v>426</v>
      </c>
      <c r="G111" s="118">
        <v>5345</v>
      </c>
      <c r="H111" s="118">
        <v>242</v>
      </c>
      <c r="I111" s="118" t="s">
        <v>354</v>
      </c>
      <c r="J111" s="118" t="s">
        <v>427</v>
      </c>
      <c r="K111" s="118">
        <v>87008</v>
      </c>
      <c r="L111" s="118">
        <v>29</v>
      </c>
      <c r="M111" s="118" t="s">
        <v>428</v>
      </c>
      <c r="N111" s="118" t="s">
        <v>35</v>
      </c>
      <c r="O111" s="118">
        <v>4274431</v>
      </c>
      <c r="P111" s="121">
        <v>45947</v>
      </c>
      <c r="Q111" s="138">
        <v>4399761</v>
      </c>
      <c r="R111" s="139">
        <v>1913.2</v>
      </c>
      <c r="S111" s="123">
        <v>45962</v>
      </c>
      <c r="T111" s="118">
        <v>317</v>
      </c>
      <c r="U111" s="125"/>
      <c r="V111" s="118" t="s">
        <v>71</v>
      </c>
      <c r="W111" s="118" t="s">
        <v>23</v>
      </c>
      <c r="X111" s="129">
        <v>1913.2</v>
      </c>
      <c r="Y111" s="121">
        <v>45965</v>
      </c>
      <c r="Z111" s="140">
        <v>45968</v>
      </c>
      <c r="AA111" s="125" t="s">
        <v>39</v>
      </c>
      <c r="AB111" s="118"/>
      <c r="AC111" s="126">
        <f t="shared" si="1"/>
        <v>0</v>
      </c>
    </row>
    <row r="112" spans="2:29" ht="45" customHeight="1" x14ac:dyDescent="0.25">
      <c r="B112" s="118">
        <v>109</v>
      </c>
      <c r="C112" s="118" t="s">
        <v>351</v>
      </c>
      <c r="D112" s="118" t="s">
        <v>429</v>
      </c>
      <c r="E112" s="118" t="s">
        <v>35</v>
      </c>
      <c r="F112" s="119" t="s">
        <v>430</v>
      </c>
      <c r="G112" s="118">
        <v>2488</v>
      </c>
      <c r="H112" s="118">
        <v>242</v>
      </c>
      <c r="I112" s="118" t="s">
        <v>354</v>
      </c>
      <c r="J112" s="118" t="s">
        <v>431</v>
      </c>
      <c r="K112" s="118">
        <v>86260</v>
      </c>
      <c r="L112" s="118">
        <v>5</v>
      </c>
      <c r="M112" s="118" t="s">
        <v>432</v>
      </c>
      <c r="N112" s="118" t="s">
        <v>35</v>
      </c>
      <c r="O112" s="118">
        <v>4275848</v>
      </c>
      <c r="P112" s="121">
        <v>45950</v>
      </c>
      <c r="Q112" s="138">
        <v>4398395</v>
      </c>
      <c r="R112" s="139">
        <v>1760</v>
      </c>
      <c r="S112" s="123">
        <v>45931</v>
      </c>
      <c r="T112" s="118">
        <v>34</v>
      </c>
      <c r="U112" s="125"/>
      <c r="V112" s="118" t="s">
        <v>71</v>
      </c>
      <c r="W112" s="118" t="s">
        <v>23</v>
      </c>
      <c r="X112" s="129">
        <v>1760</v>
      </c>
      <c r="Y112" s="121">
        <v>45962</v>
      </c>
      <c r="Z112" s="140">
        <v>45967</v>
      </c>
      <c r="AA112" s="125" t="s">
        <v>39</v>
      </c>
      <c r="AB112" s="118"/>
      <c r="AC112" s="126">
        <f t="shared" si="1"/>
        <v>0</v>
      </c>
    </row>
    <row r="113" spans="2:29" ht="45" customHeight="1" x14ac:dyDescent="0.25">
      <c r="B113" s="118">
        <v>110</v>
      </c>
      <c r="C113" s="118" t="s">
        <v>300</v>
      </c>
      <c r="D113" s="118" t="s">
        <v>433</v>
      </c>
      <c r="E113" s="118">
        <v>38855</v>
      </c>
      <c r="F113" s="127" t="s">
        <v>434</v>
      </c>
      <c r="G113" s="118">
        <v>2291</v>
      </c>
      <c r="H113" s="118">
        <v>242</v>
      </c>
      <c r="I113" s="118" t="s">
        <v>354</v>
      </c>
      <c r="J113" s="118" t="s">
        <v>435</v>
      </c>
      <c r="K113" s="118">
        <v>87661</v>
      </c>
      <c r="L113" s="118">
        <v>6</v>
      </c>
      <c r="M113" s="118" t="s">
        <v>35</v>
      </c>
      <c r="N113" s="118" t="s">
        <v>35</v>
      </c>
      <c r="O113" s="118">
        <v>4277080</v>
      </c>
      <c r="P113" s="121">
        <v>45950</v>
      </c>
      <c r="Q113" s="138">
        <v>4395163</v>
      </c>
      <c r="R113" s="139">
        <v>2290</v>
      </c>
      <c r="S113" s="123">
        <v>45931</v>
      </c>
      <c r="T113" s="118">
        <v>1366</v>
      </c>
      <c r="U113" s="121" t="s">
        <v>436</v>
      </c>
      <c r="V113" s="118" t="s">
        <v>71</v>
      </c>
      <c r="W113" s="118" t="s">
        <v>23</v>
      </c>
      <c r="X113" s="129">
        <v>2290</v>
      </c>
      <c r="Y113" s="121">
        <v>45964</v>
      </c>
      <c r="Z113" s="140">
        <v>45968</v>
      </c>
      <c r="AA113" s="125" t="s">
        <v>39</v>
      </c>
      <c r="AB113" s="118"/>
      <c r="AC113" s="126">
        <f t="shared" si="1"/>
        <v>0</v>
      </c>
    </row>
    <row r="114" spans="2:29" ht="45" customHeight="1" x14ac:dyDescent="0.25">
      <c r="B114" s="118">
        <v>111</v>
      </c>
      <c r="C114" s="118" t="s">
        <v>351</v>
      </c>
      <c r="D114" s="118" t="s">
        <v>437</v>
      </c>
      <c r="E114" s="118">
        <v>39251</v>
      </c>
      <c r="F114" s="127" t="s">
        <v>438</v>
      </c>
      <c r="G114" s="118">
        <v>2089</v>
      </c>
      <c r="H114" s="118">
        <v>242</v>
      </c>
      <c r="I114" s="118" t="s">
        <v>354</v>
      </c>
      <c r="J114" s="118" t="s">
        <v>439</v>
      </c>
      <c r="K114" s="118">
        <v>87524</v>
      </c>
      <c r="L114" s="118">
        <v>6</v>
      </c>
      <c r="M114" s="118" t="s">
        <v>35</v>
      </c>
      <c r="N114" s="118" t="s">
        <v>35</v>
      </c>
      <c r="O114" s="118">
        <v>4277327</v>
      </c>
      <c r="P114" s="121">
        <v>45951</v>
      </c>
      <c r="Q114" s="125"/>
      <c r="R114" s="139">
        <v>6200</v>
      </c>
      <c r="S114" s="123"/>
      <c r="T114" s="118"/>
      <c r="U114" s="118"/>
      <c r="V114" s="118"/>
      <c r="W114" s="118"/>
      <c r="X114" s="129"/>
      <c r="Y114" s="121"/>
      <c r="Z114" s="121"/>
      <c r="AA114" s="118" t="s">
        <v>160</v>
      </c>
      <c r="AB114" s="148" t="s">
        <v>440</v>
      </c>
      <c r="AC114" s="126">
        <f t="shared" si="1"/>
        <v>6200</v>
      </c>
    </row>
    <row r="115" spans="2:29" ht="45" customHeight="1" x14ac:dyDescent="0.25">
      <c r="B115" s="118">
        <v>112</v>
      </c>
      <c r="C115" s="118" t="s">
        <v>247</v>
      </c>
      <c r="D115" s="118" t="s">
        <v>248</v>
      </c>
      <c r="E115" s="118" t="s">
        <v>35</v>
      </c>
      <c r="F115" s="127" t="s">
        <v>441</v>
      </c>
      <c r="G115" s="118">
        <v>4120</v>
      </c>
      <c r="H115" s="118">
        <v>242</v>
      </c>
      <c r="I115" s="118" t="s">
        <v>188</v>
      </c>
      <c r="J115" s="118" t="s">
        <v>442</v>
      </c>
      <c r="K115" s="118">
        <v>87649</v>
      </c>
      <c r="L115" s="118">
        <v>29</v>
      </c>
      <c r="M115" s="118" t="s">
        <v>35</v>
      </c>
      <c r="N115" s="118" t="s">
        <v>35</v>
      </c>
      <c r="O115" s="118">
        <v>4277371</v>
      </c>
      <c r="P115" s="121">
        <v>45951</v>
      </c>
      <c r="Q115" s="118">
        <v>4398993</v>
      </c>
      <c r="R115" s="149">
        <v>9141.8799999999992</v>
      </c>
      <c r="S115" s="123"/>
      <c r="T115" s="118"/>
      <c r="U115" s="118"/>
      <c r="V115" s="118"/>
      <c r="W115" s="118"/>
      <c r="X115" s="129"/>
      <c r="Y115" s="121"/>
      <c r="Z115" s="121"/>
      <c r="AA115" s="118" t="s">
        <v>48</v>
      </c>
      <c r="AB115" s="118"/>
      <c r="AC115" s="126">
        <f t="shared" si="1"/>
        <v>9141.8799999999992</v>
      </c>
    </row>
    <row r="116" spans="2:29" ht="45" customHeight="1" x14ac:dyDescent="0.25">
      <c r="B116" s="118">
        <v>113</v>
      </c>
      <c r="C116" s="118" t="s">
        <v>247</v>
      </c>
      <c r="D116" s="118" t="s">
        <v>443</v>
      </c>
      <c r="E116" s="118" t="s">
        <v>35</v>
      </c>
      <c r="F116" s="127" t="s">
        <v>444</v>
      </c>
      <c r="G116" s="118">
        <v>2275</v>
      </c>
      <c r="H116" s="118">
        <v>242</v>
      </c>
      <c r="I116" s="118" t="s">
        <v>188</v>
      </c>
      <c r="J116" s="118" t="s">
        <v>443</v>
      </c>
      <c r="K116" s="118">
        <v>87645</v>
      </c>
      <c r="L116" s="118">
        <v>29</v>
      </c>
      <c r="M116" s="118" t="s">
        <v>35</v>
      </c>
      <c r="N116" s="118" t="s">
        <v>35</v>
      </c>
      <c r="O116" s="118">
        <v>4277381</v>
      </c>
      <c r="P116" s="121">
        <v>45951</v>
      </c>
      <c r="Q116" s="118">
        <v>4403258</v>
      </c>
      <c r="R116" s="188">
        <v>1472.8</v>
      </c>
      <c r="S116" s="123"/>
      <c r="T116" s="118">
        <v>8201</v>
      </c>
      <c r="U116" s="118" t="s">
        <v>35</v>
      </c>
      <c r="V116" s="118" t="s">
        <v>71</v>
      </c>
      <c r="W116" s="118" t="s">
        <v>64</v>
      </c>
      <c r="X116" s="129">
        <v>8049.74</v>
      </c>
      <c r="Y116" s="121">
        <v>46002</v>
      </c>
      <c r="Z116" s="121">
        <v>46006</v>
      </c>
      <c r="AA116" s="118" t="s">
        <v>39</v>
      </c>
      <c r="AB116" s="118"/>
      <c r="AC116" s="126">
        <f t="shared" si="1"/>
        <v>-6576.94</v>
      </c>
    </row>
    <row r="117" spans="2:29" ht="45" customHeight="1" x14ac:dyDescent="0.25">
      <c r="B117" s="118">
        <v>114</v>
      </c>
      <c r="C117" s="118" t="s">
        <v>43</v>
      </c>
      <c r="D117" s="118" t="s">
        <v>445</v>
      </c>
      <c r="E117" s="118">
        <v>35938</v>
      </c>
      <c r="F117" s="127" t="s">
        <v>446</v>
      </c>
      <c r="G117" s="118">
        <v>1244</v>
      </c>
      <c r="H117" s="118">
        <v>242</v>
      </c>
      <c r="I117" s="118" t="s">
        <v>188</v>
      </c>
      <c r="J117" s="118" t="s">
        <v>447</v>
      </c>
      <c r="K117" s="118">
        <v>87696</v>
      </c>
      <c r="L117" s="118">
        <v>6</v>
      </c>
      <c r="M117" s="118" t="s">
        <v>35</v>
      </c>
      <c r="N117" s="118" t="s">
        <v>35</v>
      </c>
      <c r="O117" s="118">
        <v>4280579</v>
      </c>
      <c r="P117" s="121">
        <v>45952</v>
      </c>
      <c r="Q117" s="125"/>
      <c r="R117" s="139">
        <v>5864.1</v>
      </c>
      <c r="S117" s="123"/>
      <c r="T117" s="118"/>
      <c r="U117" s="118"/>
      <c r="V117" s="118"/>
      <c r="W117" s="118"/>
      <c r="X117" s="129"/>
      <c r="Y117" s="121"/>
      <c r="Z117" s="121"/>
      <c r="AA117" s="118" t="s">
        <v>160</v>
      </c>
      <c r="AB117" s="118" t="s">
        <v>448</v>
      </c>
      <c r="AC117" s="126">
        <f t="shared" si="1"/>
        <v>5864.1</v>
      </c>
    </row>
    <row r="118" spans="2:29" ht="45" customHeight="1" x14ac:dyDescent="0.25">
      <c r="B118" s="118">
        <v>115</v>
      </c>
      <c r="C118" s="118" t="s">
        <v>267</v>
      </c>
      <c r="D118" s="118" t="s">
        <v>449</v>
      </c>
      <c r="E118" s="118" t="s">
        <v>35</v>
      </c>
      <c r="F118" s="127" t="s">
        <v>450</v>
      </c>
      <c r="G118" s="118">
        <v>1244</v>
      </c>
      <c r="H118" s="118">
        <v>242</v>
      </c>
      <c r="I118" s="118" t="s">
        <v>188</v>
      </c>
      <c r="J118" s="118" t="s">
        <v>449</v>
      </c>
      <c r="K118" s="118" t="s">
        <v>451</v>
      </c>
      <c r="L118" s="118">
        <v>29</v>
      </c>
      <c r="M118" s="118" t="s">
        <v>35</v>
      </c>
      <c r="N118" s="118" t="s">
        <v>35</v>
      </c>
      <c r="O118" s="132" t="s">
        <v>452</v>
      </c>
      <c r="P118" s="121">
        <v>45953</v>
      </c>
      <c r="Q118" s="125"/>
      <c r="R118" s="139">
        <v>970</v>
      </c>
      <c r="S118" s="123"/>
      <c r="T118" s="118"/>
      <c r="U118" s="118"/>
      <c r="V118" s="118"/>
      <c r="W118" s="118"/>
      <c r="X118" s="129"/>
      <c r="Y118" s="121"/>
      <c r="Z118" s="121"/>
      <c r="AA118" s="118" t="s">
        <v>160</v>
      </c>
      <c r="AB118" s="118" t="s">
        <v>453</v>
      </c>
      <c r="AC118" s="126">
        <f t="shared" si="1"/>
        <v>970</v>
      </c>
    </row>
    <row r="119" spans="2:29" ht="45" customHeight="1" x14ac:dyDescent="0.25">
      <c r="B119" s="118">
        <v>116</v>
      </c>
      <c r="C119" s="118" t="s">
        <v>351</v>
      </c>
      <c r="D119" s="118" t="s">
        <v>454</v>
      </c>
      <c r="E119" s="118">
        <v>37380</v>
      </c>
      <c r="F119" s="127" t="s">
        <v>455</v>
      </c>
      <c r="G119" s="118">
        <v>1228</v>
      </c>
      <c r="H119" s="118">
        <v>242</v>
      </c>
      <c r="I119" s="118" t="s">
        <v>354</v>
      </c>
      <c r="J119" s="118" t="s">
        <v>456</v>
      </c>
      <c r="K119" s="118">
        <v>88086</v>
      </c>
      <c r="L119" s="118">
        <v>6</v>
      </c>
      <c r="M119" s="118" t="s">
        <v>35</v>
      </c>
      <c r="N119" s="118" t="s">
        <v>35</v>
      </c>
      <c r="O119" s="118">
        <v>4280038</v>
      </c>
      <c r="P119" s="121">
        <v>45953</v>
      </c>
      <c r="Q119" s="138">
        <v>4398995</v>
      </c>
      <c r="R119" s="139">
        <v>2861</v>
      </c>
      <c r="S119" s="123"/>
      <c r="T119" s="118">
        <v>7</v>
      </c>
      <c r="U119" s="125"/>
      <c r="V119" s="118" t="s">
        <v>71</v>
      </c>
      <c r="W119" s="118" t="s">
        <v>23</v>
      </c>
      <c r="X119" s="129">
        <v>2861</v>
      </c>
      <c r="Y119" s="121">
        <v>45966</v>
      </c>
      <c r="Z119" s="140">
        <v>45978</v>
      </c>
      <c r="AA119" s="125" t="s">
        <v>39</v>
      </c>
      <c r="AB119" s="118"/>
      <c r="AC119" s="126">
        <f t="shared" si="1"/>
        <v>0</v>
      </c>
    </row>
    <row r="120" spans="2:29" ht="45" customHeight="1" x14ac:dyDescent="0.25">
      <c r="B120" s="118">
        <v>117</v>
      </c>
      <c r="C120" s="118" t="s">
        <v>226</v>
      </c>
      <c r="D120" s="118" t="s">
        <v>457</v>
      </c>
      <c r="E120" s="118" t="s">
        <v>35</v>
      </c>
      <c r="F120" s="127" t="s">
        <v>458</v>
      </c>
      <c r="G120" s="118">
        <v>4502</v>
      </c>
      <c r="H120" s="118">
        <v>326</v>
      </c>
      <c r="I120" s="118" t="s">
        <v>188</v>
      </c>
      <c r="J120" s="118" t="s">
        <v>459</v>
      </c>
      <c r="K120" s="118" t="s">
        <v>35</v>
      </c>
      <c r="L120" s="118">
        <v>1</v>
      </c>
      <c r="M120" s="118" t="s">
        <v>35</v>
      </c>
      <c r="N120" s="118" t="s">
        <v>35</v>
      </c>
      <c r="O120" s="118">
        <v>4225878</v>
      </c>
      <c r="P120" s="121">
        <v>45898</v>
      </c>
      <c r="Q120" s="118">
        <v>4350173</v>
      </c>
      <c r="R120" s="139">
        <v>1600000</v>
      </c>
      <c r="S120" s="123" t="s">
        <v>35</v>
      </c>
      <c r="T120" s="118">
        <v>497</v>
      </c>
      <c r="U120" s="118" t="s">
        <v>35</v>
      </c>
      <c r="V120" s="118" t="s">
        <v>71</v>
      </c>
      <c r="W120" s="118" t="s">
        <v>38</v>
      </c>
      <c r="X120" s="129">
        <v>211979.02</v>
      </c>
      <c r="Y120" s="121">
        <v>45954</v>
      </c>
      <c r="Z120" s="121">
        <v>45957</v>
      </c>
      <c r="AA120" s="118" t="s">
        <v>262</v>
      </c>
      <c r="AB120" s="118"/>
      <c r="AC120" s="126">
        <v>487982.87</v>
      </c>
    </row>
    <row r="121" spans="2:29" ht="45" customHeight="1" x14ac:dyDescent="0.25">
      <c r="B121" s="118">
        <v>118</v>
      </c>
      <c r="C121" s="118" t="s">
        <v>226</v>
      </c>
      <c r="D121" s="118" t="s">
        <v>457</v>
      </c>
      <c r="E121" s="118" t="s">
        <v>35</v>
      </c>
      <c r="F121" s="127" t="s">
        <v>458</v>
      </c>
      <c r="G121" s="118">
        <v>4502</v>
      </c>
      <c r="H121" s="118">
        <v>326</v>
      </c>
      <c r="I121" s="118" t="s">
        <v>188</v>
      </c>
      <c r="J121" s="118" t="s">
        <v>459</v>
      </c>
      <c r="K121" s="118" t="s">
        <v>35</v>
      </c>
      <c r="L121" s="118">
        <v>1</v>
      </c>
      <c r="M121" s="118" t="s">
        <v>35</v>
      </c>
      <c r="N121" s="118" t="s">
        <v>35</v>
      </c>
      <c r="O121" s="118">
        <v>4225878</v>
      </c>
      <c r="P121" s="121">
        <v>45898</v>
      </c>
      <c r="Q121" s="118">
        <v>4350173</v>
      </c>
      <c r="R121" s="139">
        <v>1021452.68</v>
      </c>
      <c r="S121" s="123" t="s">
        <v>35</v>
      </c>
      <c r="T121" s="118">
        <v>508</v>
      </c>
      <c r="U121" s="118" t="s">
        <v>35</v>
      </c>
      <c r="V121" s="118" t="s">
        <v>460</v>
      </c>
      <c r="W121" s="118" t="s">
        <v>38</v>
      </c>
      <c r="X121" s="129">
        <v>392755.44</v>
      </c>
      <c r="Y121" s="121">
        <v>45986</v>
      </c>
      <c r="Z121" s="121">
        <v>45986</v>
      </c>
      <c r="AA121" s="118" t="s">
        <v>262</v>
      </c>
      <c r="AB121" s="118"/>
      <c r="AC121" s="126">
        <v>487982.87</v>
      </c>
    </row>
    <row r="122" spans="2:29" ht="45" customHeight="1" x14ac:dyDescent="0.25">
      <c r="B122" s="118">
        <v>119</v>
      </c>
      <c r="C122" s="117" t="s">
        <v>150</v>
      </c>
      <c r="D122" s="118" t="s">
        <v>117</v>
      </c>
      <c r="E122" s="118" t="s">
        <v>35</v>
      </c>
      <c r="F122" s="119" t="s">
        <v>461</v>
      </c>
      <c r="G122" s="118">
        <v>2232</v>
      </c>
      <c r="H122" s="118">
        <v>242</v>
      </c>
      <c r="I122" s="118" t="s">
        <v>33</v>
      </c>
      <c r="J122" s="118" t="s">
        <v>462</v>
      </c>
      <c r="K122" s="118">
        <v>88105</v>
      </c>
      <c r="L122" s="118">
        <v>5</v>
      </c>
      <c r="M122" s="118" t="s">
        <v>463</v>
      </c>
      <c r="N122" s="118" t="s">
        <v>37</v>
      </c>
      <c r="O122" s="118">
        <v>4308405</v>
      </c>
      <c r="P122" s="121">
        <v>45983</v>
      </c>
      <c r="Q122" s="118">
        <v>4431058</v>
      </c>
      <c r="R122" s="122">
        <v>695</v>
      </c>
      <c r="S122" s="123">
        <v>45962</v>
      </c>
      <c r="T122" s="118"/>
      <c r="U122" s="118">
        <v>100</v>
      </c>
      <c r="V122" s="118"/>
      <c r="W122" s="118"/>
      <c r="X122" s="129"/>
      <c r="Y122" s="121"/>
      <c r="Z122" s="121"/>
      <c r="AA122" s="118" t="s">
        <v>48</v>
      </c>
      <c r="AB122" s="118"/>
      <c r="AC122" s="126">
        <f t="shared" si="1"/>
        <v>695</v>
      </c>
    </row>
    <row r="123" spans="2:29" ht="45" customHeight="1" x14ac:dyDescent="0.25">
      <c r="B123" s="118">
        <v>120</v>
      </c>
      <c r="C123" s="117" t="s">
        <v>150</v>
      </c>
      <c r="D123" s="118" t="s">
        <v>117</v>
      </c>
      <c r="E123" s="118" t="s">
        <v>35</v>
      </c>
      <c r="F123" s="119" t="s">
        <v>464</v>
      </c>
      <c r="G123" s="118">
        <v>2470</v>
      </c>
      <c r="H123" s="118">
        <v>242</v>
      </c>
      <c r="I123" s="118" t="s">
        <v>33</v>
      </c>
      <c r="J123" s="118" t="s">
        <v>465</v>
      </c>
      <c r="K123" s="118">
        <v>88117</v>
      </c>
      <c r="L123" s="118">
        <v>5</v>
      </c>
      <c r="M123" s="118" t="s">
        <v>466</v>
      </c>
      <c r="N123" s="118" t="s">
        <v>37</v>
      </c>
      <c r="O123" s="118">
        <v>4306480</v>
      </c>
      <c r="P123" s="121">
        <v>45981</v>
      </c>
      <c r="Q123" s="118">
        <v>4425736</v>
      </c>
      <c r="R123" s="122">
        <v>2985</v>
      </c>
      <c r="S123" s="123">
        <v>45962</v>
      </c>
      <c r="T123" s="118"/>
      <c r="U123" s="118" t="s">
        <v>467</v>
      </c>
      <c r="V123" s="118"/>
      <c r="W123" s="118"/>
      <c r="X123" s="129"/>
      <c r="Y123" s="121"/>
      <c r="Z123" s="121"/>
      <c r="AA123" s="118" t="s">
        <v>48</v>
      </c>
      <c r="AB123" s="118" t="s">
        <v>468</v>
      </c>
      <c r="AC123" s="126">
        <f t="shared" si="1"/>
        <v>2985</v>
      </c>
    </row>
    <row r="124" spans="2:29" ht="45" customHeight="1" x14ac:dyDescent="0.25">
      <c r="B124" s="118">
        <v>121</v>
      </c>
      <c r="C124" s="118" t="s">
        <v>49</v>
      </c>
      <c r="D124" s="118" t="s">
        <v>469</v>
      </c>
      <c r="E124" s="118" t="s">
        <v>35</v>
      </c>
      <c r="F124" s="127" t="s">
        <v>470</v>
      </c>
      <c r="G124" s="118">
        <v>5345</v>
      </c>
      <c r="H124" s="118">
        <v>153</v>
      </c>
      <c r="I124" s="118" t="s">
        <v>33</v>
      </c>
      <c r="J124" s="118" t="s">
        <v>471</v>
      </c>
      <c r="K124" s="118">
        <v>88229</v>
      </c>
      <c r="L124" s="118">
        <v>5</v>
      </c>
      <c r="M124" s="118" t="s">
        <v>472</v>
      </c>
      <c r="N124" s="118" t="s">
        <v>71</v>
      </c>
      <c r="O124" s="118">
        <v>4281839</v>
      </c>
      <c r="P124" s="121">
        <v>45957</v>
      </c>
      <c r="Q124" s="118">
        <v>4401614</v>
      </c>
      <c r="R124" s="122">
        <v>1500</v>
      </c>
      <c r="S124" s="123">
        <v>45931</v>
      </c>
      <c r="T124" s="118">
        <v>290</v>
      </c>
      <c r="U124" s="118" t="s">
        <v>473</v>
      </c>
      <c r="V124" s="118" t="s">
        <v>37</v>
      </c>
      <c r="W124" s="118" t="s">
        <v>64</v>
      </c>
      <c r="X124" s="129">
        <v>1500</v>
      </c>
      <c r="Y124" s="141">
        <v>45964</v>
      </c>
      <c r="Z124" s="121">
        <v>46008</v>
      </c>
      <c r="AA124" s="118" t="s">
        <v>39</v>
      </c>
      <c r="AB124" s="118"/>
      <c r="AC124" s="126">
        <f t="shared" si="1"/>
        <v>0</v>
      </c>
    </row>
    <row r="125" spans="2:29" ht="45" customHeight="1" x14ac:dyDescent="0.25">
      <c r="B125" s="118">
        <v>122</v>
      </c>
      <c r="C125" s="117" t="s">
        <v>49</v>
      </c>
      <c r="D125" s="118" t="s">
        <v>469</v>
      </c>
      <c r="E125" s="118" t="s">
        <v>35</v>
      </c>
      <c r="F125" s="127" t="s">
        <v>474</v>
      </c>
      <c r="G125" s="118">
        <v>5345</v>
      </c>
      <c r="H125" s="118">
        <v>242</v>
      </c>
      <c r="I125" s="118" t="s">
        <v>33</v>
      </c>
      <c r="J125" s="118" t="s">
        <v>475</v>
      </c>
      <c r="K125" s="118">
        <v>88232</v>
      </c>
      <c r="L125" s="118">
        <v>29</v>
      </c>
      <c r="M125" s="118" t="s">
        <v>476</v>
      </c>
      <c r="N125" s="118" t="s">
        <v>35</v>
      </c>
      <c r="O125" s="118">
        <v>4281851</v>
      </c>
      <c r="P125" s="121">
        <v>45957</v>
      </c>
      <c r="Q125" s="118">
        <v>4403057</v>
      </c>
      <c r="R125" s="122">
        <v>1755</v>
      </c>
      <c r="S125" s="123">
        <v>45962</v>
      </c>
      <c r="T125" s="118"/>
      <c r="U125" s="118"/>
      <c r="V125" s="118"/>
      <c r="W125" s="118"/>
      <c r="X125" s="129"/>
      <c r="Y125" s="121"/>
      <c r="Z125" s="121"/>
      <c r="AA125" s="118" t="s">
        <v>48</v>
      </c>
      <c r="AB125" s="118"/>
      <c r="AC125" s="126">
        <f t="shared" si="1"/>
        <v>1755</v>
      </c>
    </row>
    <row r="126" spans="2:29" ht="45" customHeight="1" x14ac:dyDescent="0.25">
      <c r="B126" s="118">
        <v>123</v>
      </c>
      <c r="C126" s="117" t="s">
        <v>49</v>
      </c>
      <c r="D126" s="118" t="s">
        <v>82</v>
      </c>
      <c r="E126" s="118">
        <v>38714</v>
      </c>
      <c r="F126" s="127" t="s">
        <v>477</v>
      </c>
      <c r="G126" s="118">
        <v>4057</v>
      </c>
      <c r="H126" s="118">
        <v>242</v>
      </c>
      <c r="I126" s="118" t="s">
        <v>33</v>
      </c>
      <c r="J126" s="118" t="s">
        <v>478</v>
      </c>
      <c r="K126" s="118">
        <v>88280</v>
      </c>
      <c r="L126" s="118">
        <v>6</v>
      </c>
      <c r="M126" s="118" t="s">
        <v>35</v>
      </c>
      <c r="N126" s="118" t="s">
        <v>35</v>
      </c>
      <c r="O126" s="118">
        <v>4281766</v>
      </c>
      <c r="P126" s="121">
        <v>45957</v>
      </c>
      <c r="Q126" s="118">
        <v>4402571</v>
      </c>
      <c r="R126" s="124">
        <v>3525.4</v>
      </c>
      <c r="S126" s="123">
        <v>45962</v>
      </c>
      <c r="T126" s="118">
        <v>149</v>
      </c>
      <c r="U126" s="118" t="s">
        <v>479</v>
      </c>
      <c r="V126" s="118" t="s">
        <v>37</v>
      </c>
      <c r="W126" s="118" t="s">
        <v>86</v>
      </c>
      <c r="X126" s="124">
        <v>3525.4</v>
      </c>
      <c r="Y126" s="121">
        <v>45994</v>
      </c>
      <c r="Z126" s="121">
        <v>46008</v>
      </c>
      <c r="AA126" s="118" t="s">
        <v>39</v>
      </c>
      <c r="AB126" s="118"/>
      <c r="AC126" s="126">
        <f t="shared" si="1"/>
        <v>0</v>
      </c>
    </row>
    <row r="127" spans="2:29" ht="45" customHeight="1" x14ac:dyDescent="0.25">
      <c r="B127" s="118">
        <v>124</v>
      </c>
      <c r="C127" s="118" t="s">
        <v>292</v>
      </c>
      <c r="D127" s="118" t="s">
        <v>480</v>
      </c>
      <c r="E127" s="118" t="s">
        <v>35</v>
      </c>
      <c r="F127" s="127" t="s">
        <v>481</v>
      </c>
      <c r="G127" s="118">
        <v>2330</v>
      </c>
      <c r="H127" s="118">
        <v>5</v>
      </c>
      <c r="I127" s="118" t="s">
        <v>188</v>
      </c>
      <c r="J127" s="118" t="s">
        <v>482</v>
      </c>
      <c r="K127" s="118">
        <v>88462</v>
      </c>
      <c r="L127" s="118">
        <v>2</v>
      </c>
      <c r="M127" s="118" t="s">
        <v>483</v>
      </c>
      <c r="N127" s="118" t="s">
        <v>35</v>
      </c>
      <c r="O127" s="136" t="s">
        <v>484</v>
      </c>
      <c r="P127" s="121">
        <v>45964</v>
      </c>
      <c r="Q127" s="138">
        <v>4413670</v>
      </c>
      <c r="R127" s="149">
        <v>7903.91</v>
      </c>
      <c r="S127" s="123">
        <v>45931</v>
      </c>
      <c r="T127" s="118">
        <v>2152</v>
      </c>
      <c r="U127" s="118" t="s">
        <v>35</v>
      </c>
      <c r="V127" s="118" t="s">
        <v>460</v>
      </c>
      <c r="W127" s="118" t="s">
        <v>38</v>
      </c>
      <c r="X127" s="129">
        <v>7903.91</v>
      </c>
      <c r="Y127" s="121">
        <v>45975</v>
      </c>
      <c r="Z127" s="140">
        <v>45978</v>
      </c>
      <c r="AA127" s="125" t="s">
        <v>39</v>
      </c>
      <c r="AB127" s="118"/>
      <c r="AC127" s="126">
        <f t="shared" si="1"/>
        <v>0</v>
      </c>
    </row>
    <row r="128" spans="2:29" ht="45" customHeight="1" x14ac:dyDescent="0.25">
      <c r="B128" s="118">
        <v>125</v>
      </c>
      <c r="C128" s="118" t="s">
        <v>226</v>
      </c>
      <c r="D128" s="118" t="s">
        <v>485</v>
      </c>
      <c r="E128" s="118">
        <v>39091</v>
      </c>
      <c r="F128" s="127" t="s">
        <v>486</v>
      </c>
      <c r="G128" s="118">
        <v>2313</v>
      </c>
      <c r="H128" s="118">
        <v>242</v>
      </c>
      <c r="I128" s="118" t="s">
        <v>188</v>
      </c>
      <c r="J128" s="118" t="s">
        <v>487</v>
      </c>
      <c r="K128" s="118">
        <v>87798</v>
      </c>
      <c r="L128" s="118">
        <v>6</v>
      </c>
      <c r="M128" s="118" t="s">
        <v>35</v>
      </c>
      <c r="N128" s="118" t="s">
        <v>35</v>
      </c>
      <c r="O128" s="118">
        <v>4281993</v>
      </c>
      <c r="P128" s="121">
        <v>45957</v>
      </c>
      <c r="Q128" s="118">
        <v>4399673</v>
      </c>
      <c r="R128" s="149">
        <v>10500</v>
      </c>
      <c r="S128" s="123">
        <v>45981</v>
      </c>
      <c r="T128" s="118"/>
      <c r="U128" s="118"/>
      <c r="V128" s="118"/>
      <c r="W128" s="118"/>
      <c r="X128" s="129"/>
      <c r="Y128" s="121"/>
      <c r="Z128" s="121"/>
      <c r="AA128" s="118" t="s">
        <v>48</v>
      </c>
      <c r="AB128" s="118"/>
      <c r="AC128" s="126">
        <f t="shared" si="1"/>
        <v>10500</v>
      </c>
    </row>
    <row r="129" spans="2:29" ht="45" customHeight="1" x14ac:dyDescent="0.25">
      <c r="B129" s="118">
        <v>126</v>
      </c>
      <c r="C129" s="118" t="s">
        <v>300</v>
      </c>
      <c r="D129" s="118" t="s">
        <v>117</v>
      </c>
      <c r="E129" s="118" t="s">
        <v>35</v>
      </c>
      <c r="F129" s="119" t="s">
        <v>488</v>
      </c>
      <c r="G129" s="118">
        <v>2291</v>
      </c>
      <c r="H129" s="118">
        <v>242</v>
      </c>
      <c r="I129" s="118" t="s">
        <v>188</v>
      </c>
      <c r="J129" s="118" t="s">
        <v>489</v>
      </c>
      <c r="K129" s="118">
        <v>87782</v>
      </c>
      <c r="L129" s="118">
        <v>2</v>
      </c>
      <c r="M129" s="118" t="s">
        <v>490</v>
      </c>
      <c r="N129" s="118" t="s">
        <v>35</v>
      </c>
      <c r="O129" s="118">
        <v>4282004</v>
      </c>
      <c r="P129" s="121">
        <v>45957</v>
      </c>
      <c r="Q129" s="138">
        <v>4399466</v>
      </c>
      <c r="R129" s="149">
        <v>2980.3</v>
      </c>
      <c r="S129" s="123">
        <v>45931</v>
      </c>
      <c r="T129" s="118">
        <v>319</v>
      </c>
      <c r="U129" s="125"/>
      <c r="V129" s="118" t="s">
        <v>71</v>
      </c>
      <c r="W129" s="118" t="s">
        <v>38</v>
      </c>
      <c r="X129" s="129">
        <v>2980.3</v>
      </c>
      <c r="Y129" s="121">
        <v>45962</v>
      </c>
      <c r="Z129" s="140">
        <v>45965</v>
      </c>
      <c r="AA129" s="125" t="s">
        <v>39</v>
      </c>
      <c r="AB129" s="118" t="s">
        <v>491</v>
      </c>
      <c r="AC129" s="126">
        <f t="shared" si="1"/>
        <v>0</v>
      </c>
    </row>
    <row r="130" spans="2:29" ht="45" customHeight="1" x14ac:dyDescent="0.25">
      <c r="B130" s="118">
        <v>127</v>
      </c>
      <c r="C130" s="118" t="s">
        <v>351</v>
      </c>
      <c r="D130" s="118" t="s">
        <v>445</v>
      </c>
      <c r="E130" s="118">
        <v>35938</v>
      </c>
      <c r="F130" s="127" t="s">
        <v>492</v>
      </c>
      <c r="G130" s="118">
        <v>1228</v>
      </c>
      <c r="H130" s="118">
        <v>242</v>
      </c>
      <c r="I130" s="118" t="s">
        <v>188</v>
      </c>
      <c r="J130" s="118" t="s">
        <v>493</v>
      </c>
      <c r="K130" s="118">
        <v>85621</v>
      </c>
      <c r="L130" s="118">
        <v>6</v>
      </c>
      <c r="M130" s="118" t="s">
        <v>35</v>
      </c>
      <c r="N130" s="118" t="s">
        <v>35</v>
      </c>
      <c r="O130" s="118">
        <v>4267620</v>
      </c>
      <c r="P130" s="121">
        <v>45940</v>
      </c>
      <c r="Q130" s="118">
        <v>4385255</v>
      </c>
      <c r="R130" s="149">
        <v>5570.9</v>
      </c>
      <c r="S130" s="123">
        <v>45962</v>
      </c>
      <c r="T130" s="118">
        <v>2371</v>
      </c>
      <c r="U130" s="150" t="s">
        <v>494</v>
      </c>
      <c r="V130" s="118" t="s">
        <v>37</v>
      </c>
      <c r="W130" s="118" t="s">
        <v>38</v>
      </c>
      <c r="X130" s="129">
        <v>5570.9</v>
      </c>
      <c r="Y130" s="121">
        <v>45953</v>
      </c>
      <c r="Z130" s="121">
        <v>45957</v>
      </c>
      <c r="AA130" s="125" t="s">
        <v>39</v>
      </c>
      <c r="AB130" s="118"/>
      <c r="AC130" s="126">
        <f t="shared" si="1"/>
        <v>0</v>
      </c>
    </row>
    <row r="131" spans="2:29" ht="45" customHeight="1" x14ac:dyDescent="0.25">
      <c r="B131" s="118">
        <v>128</v>
      </c>
      <c r="C131" s="118" t="s">
        <v>106</v>
      </c>
      <c r="D131" s="118" t="s">
        <v>495</v>
      </c>
      <c r="E131" s="118">
        <v>39361</v>
      </c>
      <c r="F131" s="127" t="s">
        <v>496</v>
      </c>
      <c r="G131" s="118">
        <v>2488</v>
      </c>
      <c r="H131" s="118">
        <v>170</v>
      </c>
      <c r="I131" s="118" t="s">
        <v>33</v>
      </c>
      <c r="J131" s="118" t="s">
        <v>497</v>
      </c>
      <c r="K131" s="118">
        <v>88468</v>
      </c>
      <c r="L131" s="118">
        <v>6</v>
      </c>
      <c r="M131" s="118" t="s">
        <v>35</v>
      </c>
      <c r="N131" s="118" t="s">
        <v>35</v>
      </c>
      <c r="O131" s="118">
        <v>4282673</v>
      </c>
      <c r="P131" s="121">
        <v>45957</v>
      </c>
      <c r="Q131" s="118">
        <v>4399684</v>
      </c>
      <c r="R131" s="124">
        <v>2400</v>
      </c>
      <c r="S131" s="123">
        <v>45962</v>
      </c>
      <c r="T131" s="118">
        <v>4278</v>
      </c>
      <c r="U131" s="118" t="s">
        <v>498</v>
      </c>
      <c r="V131" s="118" t="s">
        <v>37</v>
      </c>
      <c r="W131" s="118" t="s">
        <v>23</v>
      </c>
      <c r="X131" s="129">
        <v>2400</v>
      </c>
      <c r="Y131" s="121">
        <v>45965</v>
      </c>
      <c r="Z131" s="121">
        <v>45977</v>
      </c>
      <c r="AA131" s="125" t="s">
        <v>39</v>
      </c>
      <c r="AB131" s="118"/>
      <c r="AC131" s="126">
        <f>R131-X131</f>
        <v>0</v>
      </c>
    </row>
    <row r="132" spans="2:29" ht="45" customHeight="1" x14ac:dyDescent="0.25">
      <c r="B132" s="118">
        <v>129</v>
      </c>
      <c r="C132" s="118" t="s">
        <v>257</v>
      </c>
      <c r="D132" s="118" t="s">
        <v>499</v>
      </c>
      <c r="E132" s="118" t="s">
        <v>35</v>
      </c>
      <c r="F132" s="127" t="s">
        <v>500</v>
      </c>
      <c r="G132" s="118">
        <v>1210</v>
      </c>
      <c r="H132" s="118">
        <v>242</v>
      </c>
      <c r="I132" s="118" t="s">
        <v>188</v>
      </c>
      <c r="J132" s="118" t="s">
        <v>501</v>
      </c>
      <c r="K132" s="118">
        <v>76865</v>
      </c>
      <c r="L132" s="118">
        <v>29</v>
      </c>
      <c r="M132" s="118" t="s">
        <v>502</v>
      </c>
      <c r="N132" s="118" t="s">
        <v>35</v>
      </c>
      <c r="O132" s="118">
        <v>4218847</v>
      </c>
      <c r="P132" s="121">
        <v>45888</v>
      </c>
      <c r="Q132" s="118">
        <v>4341460</v>
      </c>
      <c r="R132" s="149">
        <v>11998.96</v>
      </c>
      <c r="S132" s="123">
        <v>45901</v>
      </c>
      <c r="T132" s="118" t="s">
        <v>503</v>
      </c>
      <c r="U132" s="150">
        <v>45922</v>
      </c>
      <c r="V132" s="118" t="s">
        <v>37</v>
      </c>
      <c r="W132" s="118" t="s">
        <v>38</v>
      </c>
      <c r="X132" s="151" t="s">
        <v>504</v>
      </c>
      <c r="Y132" s="121" t="s">
        <v>505</v>
      </c>
      <c r="Z132" s="121">
        <v>45979</v>
      </c>
      <c r="AA132" s="118" t="s">
        <v>154</v>
      </c>
      <c r="AB132" s="118" t="s">
        <v>506</v>
      </c>
      <c r="AC132" s="126" t="e">
        <f t="shared" si="1"/>
        <v>#VALUE!</v>
      </c>
    </row>
    <row r="133" spans="2:29" ht="45" customHeight="1" x14ac:dyDescent="0.25">
      <c r="B133" s="118">
        <v>130</v>
      </c>
      <c r="C133" s="118" t="s">
        <v>257</v>
      </c>
      <c r="D133" s="118" t="s">
        <v>499</v>
      </c>
      <c r="E133" s="118" t="s">
        <v>35</v>
      </c>
      <c r="F133" s="127" t="s">
        <v>507</v>
      </c>
      <c r="G133" s="118">
        <v>2054</v>
      </c>
      <c r="H133" s="118">
        <v>242</v>
      </c>
      <c r="I133" s="118" t="s">
        <v>188</v>
      </c>
      <c r="J133" s="118" t="s">
        <v>508</v>
      </c>
      <c r="K133" s="118">
        <v>77453</v>
      </c>
      <c r="L133" s="118">
        <v>29</v>
      </c>
      <c r="M133" s="118" t="s">
        <v>509</v>
      </c>
      <c r="N133" s="118" t="s">
        <v>35</v>
      </c>
      <c r="O133" s="118">
        <v>4214425</v>
      </c>
      <c r="P133" s="121">
        <v>45888</v>
      </c>
      <c r="Q133" s="118">
        <v>4341459</v>
      </c>
      <c r="R133" s="149">
        <v>13484.94</v>
      </c>
      <c r="S133" s="123">
        <v>45901</v>
      </c>
      <c r="T133" s="118">
        <v>18280</v>
      </c>
      <c r="U133" s="150">
        <v>45930</v>
      </c>
      <c r="V133" s="118" t="s">
        <v>37</v>
      </c>
      <c r="W133" s="118" t="s">
        <v>38</v>
      </c>
      <c r="X133" s="129" t="s">
        <v>510</v>
      </c>
      <c r="Y133" s="121" t="s">
        <v>511</v>
      </c>
      <c r="Z133" s="121">
        <v>45979</v>
      </c>
      <c r="AA133" s="118" t="s">
        <v>154</v>
      </c>
      <c r="AB133" s="118" t="s">
        <v>506</v>
      </c>
      <c r="AC133" s="126" t="e">
        <f t="shared" si="1"/>
        <v>#VALUE!</v>
      </c>
    </row>
    <row r="134" spans="2:29" ht="45" customHeight="1" x14ac:dyDescent="0.25">
      <c r="B134" s="118">
        <v>131</v>
      </c>
      <c r="C134" s="118" t="s">
        <v>257</v>
      </c>
      <c r="D134" s="118" t="s">
        <v>512</v>
      </c>
      <c r="E134" s="118">
        <v>33130</v>
      </c>
      <c r="F134" s="127" t="s">
        <v>513</v>
      </c>
      <c r="G134" s="118">
        <v>2330</v>
      </c>
      <c r="H134" s="118">
        <v>242</v>
      </c>
      <c r="I134" s="118" t="s">
        <v>188</v>
      </c>
      <c r="J134" s="118" t="s">
        <v>514</v>
      </c>
      <c r="K134" s="118">
        <v>77839</v>
      </c>
      <c r="L134" s="118">
        <v>6</v>
      </c>
      <c r="M134" s="118" t="s">
        <v>35</v>
      </c>
      <c r="N134" s="118" t="s">
        <v>35</v>
      </c>
      <c r="O134" s="118">
        <v>4219286</v>
      </c>
      <c r="P134" s="121">
        <v>45891</v>
      </c>
      <c r="Q134" s="118">
        <v>4339322</v>
      </c>
      <c r="R134" s="149">
        <v>13339.2</v>
      </c>
      <c r="S134" s="123">
        <v>45901</v>
      </c>
      <c r="T134" s="118">
        <v>11583</v>
      </c>
      <c r="U134" s="118" t="s">
        <v>515</v>
      </c>
      <c r="V134" s="118" t="s">
        <v>71</v>
      </c>
      <c r="W134" s="118" t="s">
        <v>38</v>
      </c>
      <c r="X134" s="129">
        <v>13339.2</v>
      </c>
      <c r="Y134" s="121">
        <v>45964</v>
      </c>
      <c r="Z134" s="140">
        <v>45971</v>
      </c>
      <c r="AA134" s="125" t="s">
        <v>39</v>
      </c>
      <c r="AB134" s="118"/>
      <c r="AC134" s="126">
        <f t="shared" si="1"/>
        <v>0</v>
      </c>
    </row>
    <row r="135" spans="2:29" ht="45" customHeight="1" x14ac:dyDescent="0.25">
      <c r="B135" s="118">
        <v>132</v>
      </c>
      <c r="C135" s="118" t="s">
        <v>257</v>
      </c>
      <c r="D135" s="118" t="s">
        <v>516</v>
      </c>
      <c r="E135" s="118">
        <v>35700</v>
      </c>
      <c r="F135" s="127" t="s">
        <v>517</v>
      </c>
      <c r="G135" s="118">
        <v>1210</v>
      </c>
      <c r="H135" s="118">
        <v>242</v>
      </c>
      <c r="I135" s="118" t="s">
        <v>188</v>
      </c>
      <c r="J135" s="118" t="s">
        <v>516</v>
      </c>
      <c r="K135" s="118">
        <v>79165</v>
      </c>
      <c r="L135" s="118">
        <v>6</v>
      </c>
      <c r="M135" s="118" t="s">
        <v>35</v>
      </c>
      <c r="N135" s="118" t="s">
        <v>35</v>
      </c>
      <c r="O135" s="118">
        <v>4228570</v>
      </c>
      <c r="P135" s="121">
        <v>45901</v>
      </c>
      <c r="Q135" s="118">
        <v>4345815</v>
      </c>
      <c r="R135" s="149">
        <v>6400</v>
      </c>
      <c r="S135" s="123">
        <v>45901</v>
      </c>
      <c r="T135" s="118">
        <v>3127</v>
      </c>
      <c r="U135" s="138" t="s">
        <v>518</v>
      </c>
      <c r="V135" s="118" t="s">
        <v>71</v>
      </c>
      <c r="W135" s="118" t="s">
        <v>38</v>
      </c>
      <c r="X135" s="129">
        <v>6400</v>
      </c>
      <c r="Y135" s="121">
        <v>45971</v>
      </c>
      <c r="Z135" s="140">
        <v>45975</v>
      </c>
      <c r="AA135" s="125" t="s">
        <v>39</v>
      </c>
      <c r="AB135" s="118"/>
      <c r="AC135" s="126">
        <f t="shared" si="1"/>
        <v>0</v>
      </c>
    </row>
    <row r="136" spans="2:29" ht="45" customHeight="1" x14ac:dyDescent="0.25">
      <c r="B136" s="118">
        <v>133</v>
      </c>
      <c r="C136" s="118" t="s">
        <v>257</v>
      </c>
      <c r="D136" s="118" t="s">
        <v>499</v>
      </c>
      <c r="E136" s="118" t="s">
        <v>35</v>
      </c>
      <c r="F136" s="127" t="s">
        <v>519</v>
      </c>
      <c r="G136" s="118">
        <v>2054</v>
      </c>
      <c r="H136" s="118">
        <v>242</v>
      </c>
      <c r="I136" s="118" t="s">
        <v>188</v>
      </c>
      <c r="J136" s="118" t="s">
        <v>520</v>
      </c>
      <c r="K136" s="118">
        <v>79324</v>
      </c>
      <c r="L136" s="118">
        <v>29</v>
      </c>
      <c r="M136" s="118" t="s">
        <v>521</v>
      </c>
      <c r="N136" s="118" t="s">
        <v>35</v>
      </c>
      <c r="O136" s="118">
        <v>4230540</v>
      </c>
      <c r="P136" s="121">
        <v>45903</v>
      </c>
      <c r="Q136" s="118">
        <v>4348203</v>
      </c>
      <c r="R136" s="149">
        <v>20821.27</v>
      </c>
      <c r="S136" s="123">
        <v>45901</v>
      </c>
      <c r="T136" s="118"/>
      <c r="U136" s="118"/>
      <c r="V136" s="118"/>
      <c r="W136" s="118"/>
      <c r="X136" s="129"/>
      <c r="Y136" s="121"/>
      <c r="Z136" s="121"/>
      <c r="AA136" s="118" t="s">
        <v>48</v>
      </c>
      <c r="AB136" s="118"/>
      <c r="AC136" s="126">
        <f t="shared" ref="AC136:AC200" si="2">R136-X136</f>
        <v>20821.27</v>
      </c>
    </row>
    <row r="137" spans="2:29" ht="45" customHeight="1" x14ac:dyDescent="0.25">
      <c r="B137" s="118">
        <v>134</v>
      </c>
      <c r="C137" s="118" t="s">
        <v>257</v>
      </c>
      <c r="D137" s="118" t="s">
        <v>392</v>
      </c>
      <c r="E137" s="118">
        <v>38584</v>
      </c>
      <c r="F137" s="127" t="s">
        <v>522</v>
      </c>
      <c r="G137" s="118">
        <v>1236</v>
      </c>
      <c r="H137" s="118">
        <v>242</v>
      </c>
      <c r="I137" s="118" t="s">
        <v>188</v>
      </c>
      <c r="J137" s="118" t="s">
        <v>523</v>
      </c>
      <c r="K137" s="118">
        <v>79900</v>
      </c>
      <c r="L137" s="118">
        <v>6</v>
      </c>
      <c r="M137" s="118" t="s">
        <v>35</v>
      </c>
      <c r="N137" s="118" t="s">
        <v>35</v>
      </c>
      <c r="O137" s="118">
        <v>4244650</v>
      </c>
      <c r="P137" s="121">
        <v>45908</v>
      </c>
      <c r="Q137" s="118">
        <v>4361916</v>
      </c>
      <c r="R137" s="149">
        <v>22684</v>
      </c>
      <c r="S137" s="123">
        <v>45901</v>
      </c>
      <c r="T137" s="118">
        <v>1559</v>
      </c>
      <c r="U137" s="147" t="s">
        <v>524</v>
      </c>
      <c r="V137" s="118" t="s">
        <v>71</v>
      </c>
      <c r="W137" s="118" t="s">
        <v>23</v>
      </c>
      <c r="X137" s="129">
        <v>22684</v>
      </c>
      <c r="Y137" s="121">
        <v>45962</v>
      </c>
      <c r="Z137" s="140">
        <v>45964</v>
      </c>
      <c r="AA137" s="125" t="s">
        <v>39</v>
      </c>
      <c r="AB137" s="118"/>
      <c r="AC137" s="126">
        <f t="shared" si="1"/>
        <v>0</v>
      </c>
    </row>
    <row r="138" spans="2:29" ht="45" customHeight="1" x14ac:dyDescent="0.25">
      <c r="B138" s="118">
        <v>135</v>
      </c>
      <c r="C138" s="118" t="s">
        <v>257</v>
      </c>
      <c r="D138" s="118" t="s">
        <v>525</v>
      </c>
      <c r="E138" s="118" t="s">
        <v>35</v>
      </c>
      <c r="F138" s="127" t="s">
        <v>526</v>
      </c>
      <c r="G138" s="118">
        <v>2488</v>
      </c>
      <c r="H138" s="118">
        <v>5</v>
      </c>
      <c r="I138" s="118" t="s">
        <v>188</v>
      </c>
      <c r="J138" s="118" t="s">
        <v>527</v>
      </c>
      <c r="K138" s="118">
        <v>79719</v>
      </c>
      <c r="L138" s="118">
        <v>29</v>
      </c>
      <c r="M138" s="118" t="s">
        <v>528</v>
      </c>
      <c r="N138" s="118" t="s">
        <v>35</v>
      </c>
      <c r="O138" s="118">
        <v>4234767</v>
      </c>
      <c r="P138" s="121">
        <v>45908</v>
      </c>
      <c r="Q138" s="118">
        <v>4359414</v>
      </c>
      <c r="R138" s="149">
        <v>11200</v>
      </c>
      <c r="S138" s="123">
        <v>45901</v>
      </c>
      <c r="T138" s="118"/>
      <c r="U138" s="118"/>
      <c r="V138" s="118"/>
      <c r="W138" s="118"/>
      <c r="X138" s="129"/>
      <c r="Y138" s="121"/>
      <c r="Z138" s="121"/>
      <c r="AA138" s="118" t="s">
        <v>48</v>
      </c>
      <c r="AB138" s="118"/>
      <c r="AC138" s="126">
        <f t="shared" si="2"/>
        <v>11200</v>
      </c>
    </row>
    <row r="139" spans="2:29" ht="45" customHeight="1" x14ac:dyDescent="0.25">
      <c r="B139" s="118">
        <v>136</v>
      </c>
      <c r="C139" s="118" t="s">
        <v>529</v>
      </c>
      <c r="D139" s="118" t="s">
        <v>530</v>
      </c>
      <c r="E139" s="118" t="s">
        <v>35</v>
      </c>
      <c r="F139" s="127" t="s">
        <v>531</v>
      </c>
      <c r="G139" s="118">
        <v>2101</v>
      </c>
      <c r="H139" s="118">
        <v>392</v>
      </c>
      <c r="I139" s="118" t="s">
        <v>188</v>
      </c>
      <c r="J139" s="118" t="s">
        <v>530</v>
      </c>
      <c r="K139" s="118">
        <v>80560</v>
      </c>
      <c r="L139" s="118">
        <v>1</v>
      </c>
      <c r="M139" s="118" t="s">
        <v>35</v>
      </c>
      <c r="N139" s="118" t="s">
        <v>35</v>
      </c>
      <c r="O139" s="118">
        <v>4239360</v>
      </c>
      <c r="P139" s="121">
        <v>45912</v>
      </c>
      <c r="Q139" s="118">
        <v>4361309</v>
      </c>
      <c r="R139" s="149">
        <v>8000</v>
      </c>
      <c r="S139" s="123">
        <v>45901</v>
      </c>
      <c r="T139" s="118">
        <v>53</v>
      </c>
      <c r="U139" s="118" t="s">
        <v>35</v>
      </c>
      <c r="V139" s="118" t="s">
        <v>125</v>
      </c>
      <c r="W139" s="118" t="s">
        <v>23</v>
      </c>
      <c r="X139" s="129">
        <v>8000</v>
      </c>
      <c r="Y139" s="121">
        <v>45964</v>
      </c>
      <c r="Z139" s="121">
        <v>45965</v>
      </c>
      <c r="AA139" s="125" t="s">
        <v>39</v>
      </c>
      <c r="AB139" s="118"/>
      <c r="AC139" s="126">
        <f t="shared" si="1"/>
        <v>0</v>
      </c>
    </row>
    <row r="140" spans="2:29" ht="45" customHeight="1" x14ac:dyDescent="0.25">
      <c r="B140" s="118">
        <v>137</v>
      </c>
      <c r="C140" s="118" t="s">
        <v>351</v>
      </c>
      <c r="D140" s="118" t="s">
        <v>419</v>
      </c>
      <c r="E140" s="118">
        <v>38584</v>
      </c>
      <c r="F140" s="127" t="s">
        <v>532</v>
      </c>
      <c r="G140" s="118">
        <v>1759</v>
      </c>
      <c r="H140" s="118">
        <v>242</v>
      </c>
      <c r="I140" s="118" t="s">
        <v>354</v>
      </c>
      <c r="J140" s="118" t="s">
        <v>533</v>
      </c>
      <c r="K140" s="118">
        <v>88590</v>
      </c>
      <c r="L140" s="118">
        <v>6</v>
      </c>
      <c r="M140" s="118" t="s">
        <v>35</v>
      </c>
      <c r="N140" s="118" t="s">
        <v>35</v>
      </c>
      <c r="O140" s="118">
        <v>4283840</v>
      </c>
      <c r="P140" s="121">
        <v>45958</v>
      </c>
      <c r="Q140" s="138">
        <v>4400039</v>
      </c>
      <c r="R140" s="149">
        <v>1335</v>
      </c>
      <c r="S140" s="123">
        <v>45982</v>
      </c>
      <c r="T140" s="118">
        <v>12003</v>
      </c>
      <c r="U140" s="118" t="s">
        <v>534</v>
      </c>
      <c r="V140" s="118" t="s">
        <v>125</v>
      </c>
      <c r="W140" s="118" t="s">
        <v>38</v>
      </c>
      <c r="X140" s="129">
        <v>1335</v>
      </c>
      <c r="Y140" s="121">
        <v>45974</v>
      </c>
      <c r="Z140" s="140">
        <v>45975</v>
      </c>
      <c r="AA140" s="125" t="s">
        <v>39</v>
      </c>
      <c r="AB140" s="118"/>
      <c r="AC140" s="126">
        <f t="shared" si="1"/>
        <v>0</v>
      </c>
    </row>
    <row r="141" spans="2:29" ht="45" customHeight="1" x14ac:dyDescent="0.25">
      <c r="B141" s="118">
        <v>138</v>
      </c>
      <c r="C141" s="118" t="s">
        <v>351</v>
      </c>
      <c r="D141" s="118" t="s">
        <v>512</v>
      </c>
      <c r="E141" s="118">
        <v>38348</v>
      </c>
      <c r="F141" s="127" t="s">
        <v>535</v>
      </c>
      <c r="G141" s="118">
        <v>1210</v>
      </c>
      <c r="H141" s="118">
        <v>242</v>
      </c>
      <c r="I141" s="118" t="s">
        <v>354</v>
      </c>
      <c r="J141" s="118" t="s">
        <v>536</v>
      </c>
      <c r="K141" s="118">
        <v>88607</v>
      </c>
      <c r="L141" s="118">
        <v>6</v>
      </c>
      <c r="M141" s="118" t="s">
        <v>35</v>
      </c>
      <c r="N141" s="118" t="s">
        <v>35</v>
      </c>
      <c r="O141" s="118">
        <v>4283871</v>
      </c>
      <c r="P141" s="121">
        <v>45958</v>
      </c>
      <c r="Q141" s="118">
        <v>4400459</v>
      </c>
      <c r="R141" s="149">
        <v>17520.75</v>
      </c>
      <c r="S141" s="123">
        <v>45993</v>
      </c>
      <c r="T141" s="118"/>
      <c r="U141" s="118"/>
      <c r="V141" s="118"/>
      <c r="W141" s="118"/>
      <c r="X141" s="129"/>
      <c r="Y141" s="121"/>
      <c r="Z141" s="121"/>
      <c r="AA141" s="118" t="s">
        <v>48</v>
      </c>
      <c r="AB141" s="118"/>
      <c r="AC141" s="126">
        <f t="shared" si="2"/>
        <v>17520.75</v>
      </c>
    </row>
    <row r="142" spans="2:29" ht="45" customHeight="1" x14ac:dyDescent="0.25">
      <c r="B142" s="118">
        <v>139</v>
      </c>
      <c r="C142" s="118" t="s">
        <v>292</v>
      </c>
      <c r="D142" s="118" t="s">
        <v>156</v>
      </c>
      <c r="E142" s="118" t="s">
        <v>35</v>
      </c>
      <c r="F142" s="190" t="s">
        <v>537</v>
      </c>
      <c r="G142" s="118">
        <v>2330</v>
      </c>
      <c r="H142" s="118">
        <v>242</v>
      </c>
      <c r="I142" s="118" t="s">
        <v>188</v>
      </c>
      <c r="J142" s="118" t="s">
        <v>538</v>
      </c>
      <c r="K142" s="118">
        <v>82972</v>
      </c>
      <c r="L142" s="118">
        <v>5</v>
      </c>
      <c r="M142" s="118" t="s">
        <v>539</v>
      </c>
      <c r="N142" s="118" t="s">
        <v>35</v>
      </c>
      <c r="O142" s="118">
        <v>4269178</v>
      </c>
      <c r="P142" s="121">
        <v>45943</v>
      </c>
      <c r="Q142" s="118">
        <v>4387723</v>
      </c>
      <c r="R142" s="149">
        <v>18697.580000000002</v>
      </c>
      <c r="S142" s="123">
        <v>45901</v>
      </c>
      <c r="T142" s="118">
        <v>318</v>
      </c>
      <c r="U142" s="125"/>
      <c r="V142" s="118" t="s">
        <v>71</v>
      </c>
      <c r="W142" s="118" t="s">
        <v>38</v>
      </c>
      <c r="X142" s="129">
        <v>18697.580000000002</v>
      </c>
      <c r="Y142" s="121">
        <v>45962</v>
      </c>
      <c r="Z142" s="140">
        <v>45965</v>
      </c>
      <c r="AA142" s="125" t="s">
        <v>39</v>
      </c>
      <c r="AB142" s="118"/>
      <c r="AC142" s="126">
        <f>R142-X142</f>
        <v>0</v>
      </c>
    </row>
    <row r="143" spans="2:29" ht="45" customHeight="1" x14ac:dyDescent="0.25">
      <c r="B143" s="118">
        <v>140</v>
      </c>
      <c r="C143" s="118" t="s">
        <v>126</v>
      </c>
      <c r="D143" s="118" t="s">
        <v>540</v>
      </c>
      <c r="E143" s="118" t="s">
        <v>35</v>
      </c>
      <c r="F143" s="169" t="s">
        <v>541</v>
      </c>
      <c r="G143" s="118">
        <v>5345</v>
      </c>
      <c r="H143" s="118">
        <v>5</v>
      </c>
      <c r="I143" s="118" t="s">
        <v>188</v>
      </c>
      <c r="J143" s="125"/>
      <c r="K143" s="118">
        <v>87722</v>
      </c>
      <c r="L143" s="118">
        <v>1</v>
      </c>
      <c r="M143" s="118" t="s">
        <v>35</v>
      </c>
      <c r="N143" s="118" t="s">
        <v>35</v>
      </c>
      <c r="O143" s="118">
        <v>4278892</v>
      </c>
      <c r="P143" s="121">
        <v>45953</v>
      </c>
      <c r="Q143" s="152">
        <v>4402470</v>
      </c>
      <c r="R143" s="153">
        <v>2900</v>
      </c>
      <c r="S143" s="123">
        <v>45982</v>
      </c>
      <c r="T143" s="118">
        <v>79</v>
      </c>
      <c r="U143" s="118" t="s">
        <v>35</v>
      </c>
      <c r="V143" s="118" t="s">
        <v>460</v>
      </c>
      <c r="W143" s="118" t="s">
        <v>23</v>
      </c>
      <c r="X143" s="129">
        <v>2900</v>
      </c>
      <c r="Y143" s="121">
        <v>45975</v>
      </c>
      <c r="Z143" s="140">
        <v>45980</v>
      </c>
      <c r="AA143" s="125" t="s">
        <v>39</v>
      </c>
      <c r="AB143" s="118"/>
      <c r="AC143" s="126">
        <f>R143-X143</f>
        <v>0</v>
      </c>
    </row>
    <row r="144" spans="2:29" ht="45" customHeight="1" x14ac:dyDescent="0.25">
      <c r="B144" s="118">
        <v>141</v>
      </c>
      <c r="C144" s="118" t="s">
        <v>49</v>
      </c>
      <c r="D144" s="118" t="s">
        <v>82</v>
      </c>
      <c r="E144" s="118">
        <v>38714</v>
      </c>
      <c r="F144" s="169" t="s">
        <v>542</v>
      </c>
      <c r="G144" s="118">
        <v>4057</v>
      </c>
      <c r="H144" s="118">
        <v>242</v>
      </c>
      <c r="I144" s="118" t="s">
        <v>33</v>
      </c>
      <c r="J144" s="118" t="s">
        <v>543</v>
      </c>
      <c r="K144" s="118">
        <v>88622</v>
      </c>
      <c r="L144" s="118">
        <v>6</v>
      </c>
      <c r="M144" s="118" t="s">
        <v>35</v>
      </c>
      <c r="N144" s="118" t="s">
        <v>35</v>
      </c>
      <c r="O144" s="118">
        <v>4284907</v>
      </c>
      <c r="P144" s="121">
        <v>45959</v>
      </c>
      <c r="Q144" s="118">
        <v>4404967</v>
      </c>
      <c r="R144" s="124">
        <v>4500</v>
      </c>
      <c r="S144" s="123">
        <v>45982</v>
      </c>
      <c r="T144" s="118">
        <v>142</v>
      </c>
      <c r="U144" s="118" t="s">
        <v>544</v>
      </c>
      <c r="V144" s="118" t="s">
        <v>37</v>
      </c>
      <c r="W144" s="118" t="s">
        <v>86</v>
      </c>
      <c r="X144" s="124">
        <v>4500</v>
      </c>
      <c r="Y144" s="121">
        <v>45979</v>
      </c>
      <c r="Z144" s="121">
        <v>45987</v>
      </c>
      <c r="AA144" s="118" t="s">
        <v>39</v>
      </c>
      <c r="AB144" s="118"/>
      <c r="AC144" s="126">
        <f t="shared" si="2"/>
        <v>0</v>
      </c>
    </row>
    <row r="145" spans="2:29" ht="45" customHeight="1" x14ac:dyDescent="0.25">
      <c r="B145" s="118">
        <v>142</v>
      </c>
      <c r="C145" s="118" t="s">
        <v>545</v>
      </c>
      <c r="D145" s="118" t="s">
        <v>546</v>
      </c>
      <c r="E145" s="118" t="s">
        <v>35</v>
      </c>
      <c r="F145" s="169" t="s">
        <v>547</v>
      </c>
      <c r="G145" s="118">
        <v>2321</v>
      </c>
      <c r="H145" s="118">
        <v>242</v>
      </c>
      <c r="I145" s="118" t="s">
        <v>188</v>
      </c>
      <c r="J145" s="118" t="s">
        <v>548</v>
      </c>
      <c r="K145" s="118">
        <v>88657</v>
      </c>
      <c r="L145" s="118">
        <v>29</v>
      </c>
      <c r="M145" s="118" t="s">
        <v>549</v>
      </c>
      <c r="N145" s="118" t="s">
        <v>35</v>
      </c>
      <c r="O145" s="136" t="s">
        <v>550</v>
      </c>
      <c r="P145" s="121">
        <v>45959</v>
      </c>
      <c r="Q145" s="118">
        <v>4413082</v>
      </c>
      <c r="R145" s="149">
        <v>10170.200000000001</v>
      </c>
      <c r="S145" s="123">
        <v>45971</v>
      </c>
      <c r="T145" s="118"/>
      <c r="U145" s="118"/>
      <c r="V145" s="118"/>
      <c r="W145" s="118"/>
      <c r="X145" s="129"/>
      <c r="Y145" s="121"/>
      <c r="Z145" s="121"/>
      <c r="AA145" s="118" t="s">
        <v>48</v>
      </c>
      <c r="AB145" s="118"/>
      <c r="AC145" s="126">
        <f t="shared" si="2"/>
        <v>10170.200000000001</v>
      </c>
    </row>
    <row r="146" spans="2:29" ht="45" customHeight="1" x14ac:dyDescent="0.25">
      <c r="B146" s="118">
        <v>143</v>
      </c>
      <c r="C146" s="118" t="s">
        <v>300</v>
      </c>
      <c r="D146" s="118" t="s">
        <v>551</v>
      </c>
      <c r="E146" s="118" t="s">
        <v>35</v>
      </c>
      <c r="F146" s="169" t="s">
        <v>552</v>
      </c>
      <c r="G146" s="118">
        <v>5345</v>
      </c>
      <c r="H146" s="118">
        <v>242</v>
      </c>
      <c r="I146" s="118" t="s">
        <v>188</v>
      </c>
      <c r="J146" s="118" t="s">
        <v>553</v>
      </c>
      <c r="K146" s="118">
        <v>88639</v>
      </c>
      <c r="L146" s="118">
        <v>29</v>
      </c>
      <c r="M146" s="118" t="s">
        <v>554</v>
      </c>
      <c r="N146" s="118" t="s">
        <v>35</v>
      </c>
      <c r="O146" s="136" t="s">
        <v>555</v>
      </c>
      <c r="P146" s="121">
        <v>45959</v>
      </c>
      <c r="Q146" s="138">
        <v>4408524</v>
      </c>
      <c r="R146" s="149">
        <v>10617.86</v>
      </c>
      <c r="S146" s="123">
        <v>45962</v>
      </c>
      <c r="T146" s="118">
        <v>325</v>
      </c>
      <c r="U146" s="118" t="s">
        <v>35</v>
      </c>
      <c r="V146" s="118" t="s">
        <v>460</v>
      </c>
      <c r="W146" s="118" t="s">
        <v>23</v>
      </c>
      <c r="X146" s="129">
        <v>10617.86</v>
      </c>
      <c r="Y146" s="121">
        <v>45971</v>
      </c>
      <c r="Z146" s="140">
        <v>45978</v>
      </c>
      <c r="AA146" s="125" t="s">
        <v>39</v>
      </c>
      <c r="AB146" s="118"/>
      <c r="AC146" s="126">
        <f t="shared" si="2"/>
        <v>0</v>
      </c>
    </row>
    <row r="147" spans="2:29" ht="45" customHeight="1" x14ac:dyDescent="0.25">
      <c r="B147" s="118">
        <v>144</v>
      </c>
      <c r="C147" s="118" t="s">
        <v>106</v>
      </c>
      <c r="D147" s="118" t="s">
        <v>230</v>
      </c>
      <c r="E147" s="118" t="s">
        <v>35</v>
      </c>
      <c r="F147" s="169" t="s">
        <v>556</v>
      </c>
      <c r="G147" s="118" t="s">
        <v>557</v>
      </c>
      <c r="H147" s="118">
        <v>153</v>
      </c>
      <c r="I147" s="118" t="s">
        <v>33</v>
      </c>
      <c r="J147" s="118" t="s">
        <v>558</v>
      </c>
      <c r="K147" s="118">
        <v>88815</v>
      </c>
      <c r="L147" s="118">
        <v>29</v>
      </c>
      <c r="M147" s="118" t="s">
        <v>559</v>
      </c>
      <c r="N147" s="118" t="s">
        <v>35</v>
      </c>
      <c r="O147" s="118">
        <v>4286239</v>
      </c>
      <c r="P147" s="121">
        <v>45960</v>
      </c>
      <c r="Q147" s="138">
        <v>4404736</v>
      </c>
      <c r="R147" s="124">
        <v>4400</v>
      </c>
      <c r="S147" s="123">
        <v>45962</v>
      </c>
      <c r="T147" s="132" t="s">
        <v>560</v>
      </c>
      <c r="U147" s="118" t="s">
        <v>35</v>
      </c>
      <c r="V147" s="118" t="s">
        <v>71</v>
      </c>
      <c r="W147" s="118" t="s">
        <v>86</v>
      </c>
      <c r="X147" s="129">
        <v>4400</v>
      </c>
      <c r="Y147" s="121">
        <v>45967</v>
      </c>
      <c r="Z147" s="121">
        <v>45985</v>
      </c>
      <c r="AA147" s="118" t="s">
        <v>39</v>
      </c>
      <c r="AB147" s="118"/>
      <c r="AC147" s="126">
        <f>R147-X147</f>
        <v>0</v>
      </c>
    </row>
    <row r="148" spans="2:29" ht="45" customHeight="1" x14ac:dyDescent="0.25">
      <c r="B148" s="118">
        <v>145</v>
      </c>
      <c r="C148" s="117" t="s">
        <v>561</v>
      </c>
      <c r="D148" s="118" t="s">
        <v>117</v>
      </c>
      <c r="E148" s="118" t="s">
        <v>35</v>
      </c>
      <c r="F148" s="190" t="s">
        <v>562</v>
      </c>
      <c r="G148" s="118">
        <v>2232</v>
      </c>
      <c r="H148" s="118">
        <v>242</v>
      </c>
      <c r="I148" s="118" t="s">
        <v>33</v>
      </c>
      <c r="J148" s="118" t="s">
        <v>563</v>
      </c>
      <c r="K148" s="118">
        <v>88914</v>
      </c>
      <c r="L148" s="118">
        <v>5</v>
      </c>
      <c r="M148" s="118" t="s">
        <v>564</v>
      </c>
      <c r="N148" s="118" t="s">
        <v>71</v>
      </c>
      <c r="O148" s="118">
        <v>4286253</v>
      </c>
      <c r="P148" s="121">
        <v>45960</v>
      </c>
      <c r="Q148" s="138">
        <v>4402829</v>
      </c>
      <c r="R148" s="124">
        <v>1280</v>
      </c>
      <c r="S148" s="123">
        <v>45962</v>
      </c>
      <c r="T148" s="118">
        <v>337</v>
      </c>
      <c r="U148" s="118" t="s">
        <v>565</v>
      </c>
      <c r="V148" s="118" t="s">
        <v>37</v>
      </c>
      <c r="W148" s="118" t="s">
        <v>64</v>
      </c>
      <c r="X148" s="124">
        <v>1280</v>
      </c>
      <c r="Y148" s="121">
        <v>45965</v>
      </c>
      <c r="Z148" s="121">
        <v>45967</v>
      </c>
      <c r="AA148" s="125" t="s">
        <v>39</v>
      </c>
      <c r="AB148" s="118"/>
      <c r="AC148" s="126">
        <f>R148-X148</f>
        <v>0</v>
      </c>
    </row>
    <row r="149" spans="2:29" ht="45" customHeight="1" x14ac:dyDescent="0.25">
      <c r="B149" s="118">
        <v>146</v>
      </c>
      <c r="C149" s="117" t="s">
        <v>106</v>
      </c>
      <c r="D149" s="118" t="s">
        <v>107</v>
      </c>
      <c r="E149" s="118">
        <v>39791</v>
      </c>
      <c r="F149" s="190" t="s">
        <v>566</v>
      </c>
      <c r="G149" s="118">
        <v>2224</v>
      </c>
      <c r="H149" s="118">
        <v>242</v>
      </c>
      <c r="I149" s="118" t="s">
        <v>33</v>
      </c>
      <c r="J149" s="118" t="s">
        <v>567</v>
      </c>
      <c r="K149" s="118">
        <v>88995</v>
      </c>
      <c r="L149" s="118">
        <v>6</v>
      </c>
      <c r="M149" s="118" t="s">
        <v>35</v>
      </c>
      <c r="N149" s="118" t="s">
        <v>35</v>
      </c>
      <c r="O149" s="118">
        <v>4286324</v>
      </c>
      <c r="P149" s="121">
        <v>45960</v>
      </c>
      <c r="Q149" s="118">
        <v>4402640</v>
      </c>
      <c r="R149" s="124">
        <v>1824</v>
      </c>
      <c r="S149" s="123">
        <v>45962</v>
      </c>
      <c r="T149" s="118">
        <v>3174</v>
      </c>
      <c r="U149" s="118" t="s">
        <v>568</v>
      </c>
      <c r="V149" s="118" t="s">
        <v>71</v>
      </c>
      <c r="W149" s="118" t="s">
        <v>23</v>
      </c>
      <c r="X149" s="124">
        <v>1824</v>
      </c>
      <c r="Y149" s="121">
        <v>45965</v>
      </c>
      <c r="Z149" s="121">
        <v>45971</v>
      </c>
      <c r="AA149" s="125" t="s">
        <v>39</v>
      </c>
      <c r="AB149" s="118"/>
      <c r="AC149" s="126">
        <f>R149-X149</f>
        <v>0</v>
      </c>
    </row>
    <row r="150" spans="2:29" ht="45" customHeight="1" x14ac:dyDescent="0.25">
      <c r="B150" s="118">
        <v>147</v>
      </c>
      <c r="C150" s="125" t="s">
        <v>106</v>
      </c>
      <c r="D150" s="118" t="s">
        <v>107</v>
      </c>
      <c r="E150" s="118">
        <v>39794</v>
      </c>
      <c r="F150" s="190" t="s">
        <v>569</v>
      </c>
      <c r="G150" s="118">
        <v>2488</v>
      </c>
      <c r="H150" s="118">
        <v>242</v>
      </c>
      <c r="I150" s="118" t="s">
        <v>33</v>
      </c>
      <c r="J150" s="118" t="s">
        <v>570</v>
      </c>
      <c r="K150" s="118">
        <v>89026</v>
      </c>
      <c r="L150" s="118">
        <v>6</v>
      </c>
      <c r="M150" s="118" t="s">
        <v>35</v>
      </c>
      <c r="N150" s="118" t="s">
        <v>35</v>
      </c>
      <c r="O150" s="118">
        <v>4286735</v>
      </c>
      <c r="P150" s="121">
        <v>45960</v>
      </c>
      <c r="Q150" s="118">
        <v>4402644</v>
      </c>
      <c r="R150" s="124">
        <v>1653</v>
      </c>
      <c r="S150" s="123">
        <v>45962</v>
      </c>
      <c r="T150" s="118">
        <v>3194</v>
      </c>
      <c r="U150" s="118" t="s">
        <v>571</v>
      </c>
      <c r="V150" s="118" t="s">
        <v>71</v>
      </c>
      <c r="W150" s="118" t="s">
        <v>86</v>
      </c>
      <c r="X150" s="124">
        <v>1653</v>
      </c>
      <c r="Y150" s="121">
        <v>45992</v>
      </c>
      <c r="Z150" s="121">
        <v>46000</v>
      </c>
      <c r="AA150" s="118" t="s">
        <v>39</v>
      </c>
      <c r="AB150" s="118"/>
      <c r="AC150" s="126">
        <f t="shared" si="2"/>
        <v>0</v>
      </c>
    </row>
    <row r="151" spans="2:29" ht="45" customHeight="1" x14ac:dyDescent="0.25">
      <c r="B151" s="118">
        <v>148</v>
      </c>
      <c r="C151" s="118" t="s">
        <v>351</v>
      </c>
      <c r="D151" s="118" t="s">
        <v>415</v>
      </c>
      <c r="E151" s="118">
        <v>38724</v>
      </c>
      <c r="F151" s="169" t="s">
        <v>416</v>
      </c>
      <c r="G151" s="118">
        <v>2119</v>
      </c>
      <c r="H151" s="118">
        <v>242</v>
      </c>
      <c r="I151" s="118" t="s">
        <v>354</v>
      </c>
      <c r="J151" s="118" t="s">
        <v>415</v>
      </c>
      <c r="K151" s="118">
        <v>87018</v>
      </c>
      <c r="L151" s="118">
        <v>6</v>
      </c>
      <c r="M151" s="118" t="s">
        <v>35</v>
      </c>
      <c r="N151" s="118" t="s">
        <v>35</v>
      </c>
      <c r="O151" s="118">
        <v>4286821</v>
      </c>
      <c r="P151" s="121">
        <v>45960</v>
      </c>
      <c r="Q151" s="118">
        <v>4405766</v>
      </c>
      <c r="R151" s="149">
        <v>445</v>
      </c>
      <c r="S151" s="123">
        <v>45964</v>
      </c>
      <c r="T151" s="118">
        <v>112</v>
      </c>
      <c r="U151" s="147" t="s">
        <v>572</v>
      </c>
      <c r="V151" s="118" t="s">
        <v>71</v>
      </c>
      <c r="W151" s="118" t="s">
        <v>23</v>
      </c>
      <c r="X151" s="129">
        <v>445</v>
      </c>
      <c r="Y151" s="121">
        <v>45967</v>
      </c>
      <c r="Z151" s="140">
        <v>45978</v>
      </c>
      <c r="AA151" s="125" t="s">
        <v>39</v>
      </c>
      <c r="AB151" s="118"/>
      <c r="AC151" s="126">
        <f t="shared" si="2"/>
        <v>0</v>
      </c>
    </row>
    <row r="152" spans="2:29" ht="45" customHeight="1" x14ac:dyDescent="0.25">
      <c r="B152" s="118">
        <v>149</v>
      </c>
      <c r="C152" s="118" t="s">
        <v>529</v>
      </c>
      <c r="D152" s="118" t="s">
        <v>573</v>
      </c>
      <c r="E152" s="118">
        <v>38840</v>
      </c>
      <c r="F152" s="169" t="s">
        <v>574</v>
      </c>
      <c r="G152" s="118" t="s">
        <v>575</v>
      </c>
      <c r="H152" s="118">
        <v>7</v>
      </c>
      <c r="I152" s="118" t="s">
        <v>340</v>
      </c>
      <c r="J152" s="118" t="s">
        <v>576</v>
      </c>
      <c r="K152" s="118">
        <v>89141</v>
      </c>
      <c r="L152" s="118">
        <v>6</v>
      </c>
      <c r="M152" s="118" t="s">
        <v>35</v>
      </c>
      <c r="N152" s="118" t="s">
        <v>35</v>
      </c>
      <c r="O152" s="118">
        <v>4286851</v>
      </c>
      <c r="P152" s="121">
        <v>45960</v>
      </c>
      <c r="Q152" s="118">
        <v>4408281</v>
      </c>
      <c r="R152" s="149">
        <v>2010</v>
      </c>
      <c r="S152" s="123">
        <v>45976</v>
      </c>
      <c r="T152" s="118">
        <v>66</v>
      </c>
      <c r="U152" s="118" t="s">
        <v>577</v>
      </c>
      <c r="V152" s="118" t="s">
        <v>125</v>
      </c>
      <c r="W152" s="118" t="s">
        <v>23</v>
      </c>
      <c r="X152" s="129">
        <v>2010</v>
      </c>
      <c r="Y152" s="121">
        <v>45972</v>
      </c>
      <c r="Z152" s="121">
        <v>45980</v>
      </c>
      <c r="AA152" s="125" t="s">
        <v>39</v>
      </c>
      <c r="AB152" s="118"/>
      <c r="AC152" s="126">
        <f t="shared" si="2"/>
        <v>0</v>
      </c>
    </row>
    <row r="153" spans="2:29" ht="45" customHeight="1" x14ac:dyDescent="0.25">
      <c r="B153" s="118">
        <v>150</v>
      </c>
      <c r="C153" s="118" t="s">
        <v>529</v>
      </c>
      <c r="D153" s="118" t="s">
        <v>578</v>
      </c>
      <c r="E153" s="118">
        <v>39059</v>
      </c>
      <c r="F153" s="169" t="s">
        <v>579</v>
      </c>
      <c r="G153" s="118">
        <v>2101</v>
      </c>
      <c r="H153" s="118">
        <v>242</v>
      </c>
      <c r="I153" s="118" t="s">
        <v>340</v>
      </c>
      <c r="J153" s="154" t="s">
        <v>580</v>
      </c>
      <c r="K153" s="118">
        <v>87776</v>
      </c>
      <c r="L153" s="118">
        <v>6</v>
      </c>
      <c r="M153" s="118" t="s">
        <v>35</v>
      </c>
      <c r="N153" s="118" t="s">
        <v>35</v>
      </c>
      <c r="O153" s="118">
        <v>4277660</v>
      </c>
      <c r="P153" s="121">
        <v>45952</v>
      </c>
      <c r="Q153" s="118">
        <v>4395247</v>
      </c>
      <c r="R153" s="149">
        <v>1303</v>
      </c>
      <c r="S153" s="123">
        <v>45971</v>
      </c>
      <c r="T153" s="118">
        <v>14</v>
      </c>
      <c r="U153" s="118" t="s">
        <v>581</v>
      </c>
      <c r="V153" s="118" t="s">
        <v>71</v>
      </c>
      <c r="W153" s="118" t="s">
        <v>23</v>
      </c>
      <c r="X153" s="129">
        <v>1213</v>
      </c>
      <c r="Y153" s="121">
        <v>45971</v>
      </c>
      <c r="Z153" s="121">
        <v>45972</v>
      </c>
      <c r="AA153" s="118" t="s">
        <v>39</v>
      </c>
      <c r="AB153" s="118"/>
      <c r="AC153" s="126">
        <f t="shared" si="2"/>
        <v>90</v>
      </c>
    </row>
    <row r="154" spans="2:29" ht="45" customHeight="1" x14ac:dyDescent="0.25">
      <c r="B154" s="118">
        <v>151</v>
      </c>
      <c r="C154" s="118" t="s">
        <v>186</v>
      </c>
      <c r="D154" s="118" t="s">
        <v>582</v>
      </c>
      <c r="E154" s="118">
        <v>39324</v>
      </c>
      <c r="F154" s="169" t="s">
        <v>583</v>
      </c>
      <c r="G154" s="118">
        <v>4472</v>
      </c>
      <c r="H154" s="118">
        <v>242</v>
      </c>
      <c r="I154" s="146" t="s">
        <v>340</v>
      </c>
      <c r="J154" s="154">
        <v>80223</v>
      </c>
      <c r="K154" s="155">
        <v>89444</v>
      </c>
      <c r="L154" s="118">
        <v>6</v>
      </c>
      <c r="M154" s="118" t="s">
        <v>35</v>
      </c>
      <c r="N154" s="118" t="s">
        <v>35</v>
      </c>
      <c r="O154" s="118">
        <v>4287592</v>
      </c>
      <c r="P154" s="121">
        <v>45961</v>
      </c>
      <c r="Q154" s="118">
        <v>4405027</v>
      </c>
      <c r="R154" s="149">
        <v>1785.2</v>
      </c>
      <c r="S154" s="123">
        <v>45976</v>
      </c>
      <c r="T154" s="118">
        <v>151</v>
      </c>
      <c r="U154" s="118"/>
      <c r="V154" s="118" t="s">
        <v>86</v>
      </c>
      <c r="W154" s="118" t="s">
        <v>23</v>
      </c>
      <c r="X154" s="129">
        <v>1710</v>
      </c>
      <c r="Y154" s="121">
        <v>46027</v>
      </c>
      <c r="Z154" s="121"/>
      <c r="AA154" s="118" t="s">
        <v>584</v>
      </c>
      <c r="AB154" s="118" t="s">
        <v>585</v>
      </c>
      <c r="AC154" s="126">
        <f t="shared" si="2"/>
        <v>75.200000000000045</v>
      </c>
    </row>
    <row r="155" spans="2:29" ht="45" customHeight="1" x14ac:dyDescent="0.25">
      <c r="B155" s="118">
        <v>152</v>
      </c>
      <c r="C155" s="118" t="s">
        <v>186</v>
      </c>
      <c r="D155" s="118" t="s">
        <v>582</v>
      </c>
      <c r="E155" s="118">
        <v>39324</v>
      </c>
      <c r="F155" s="169" t="s">
        <v>586</v>
      </c>
      <c r="G155" s="118">
        <v>4057</v>
      </c>
      <c r="H155" s="118">
        <v>242</v>
      </c>
      <c r="I155" s="146" t="s">
        <v>340</v>
      </c>
      <c r="J155" s="154">
        <v>80224</v>
      </c>
      <c r="K155" s="155">
        <v>89445</v>
      </c>
      <c r="L155" s="118">
        <v>6</v>
      </c>
      <c r="M155" s="154" t="s">
        <v>35</v>
      </c>
      <c r="N155" s="118" t="s">
        <v>35</v>
      </c>
      <c r="O155" s="118">
        <v>4287597</v>
      </c>
      <c r="P155" s="121">
        <v>45961</v>
      </c>
      <c r="Q155" s="118">
        <v>4405032</v>
      </c>
      <c r="R155" s="149">
        <v>5958.3</v>
      </c>
      <c r="S155" s="123">
        <v>45976</v>
      </c>
      <c r="T155" s="118">
        <v>150</v>
      </c>
      <c r="U155" s="118" t="s">
        <v>587</v>
      </c>
      <c r="V155" s="118" t="s">
        <v>71</v>
      </c>
      <c r="W155" s="118" t="s">
        <v>86</v>
      </c>
      <c r="X155" s="129">
        <v>5710</v>
      </c>
      <c r="Y155" s="121">
        <v>46013</v>
      </c>
      <c r="Z155" s="121">
        <v>46013</v>
      </c>
      <c r="AA155" s="118" t="s">
        <v>39</v>
      </c>
      <c r="AB155" s="118"/>
      <c r="AC155" s="126">
        <f t="shared" si="2"/>
        <v>248.30000000000018</v>
      </c>
    </row>
    <row r="156" spans="2:29" ht="45" customHeight="1" x14ac:dyDescent="0.25">
      <c r="B156" s="118">
        <v>153</v>
      </c>
      <c r="C156" s="118" t="s">
        <v>186</v>
      </c>
      <c r="D156" s="118" t="s">
        <v>582</v>
      </c>
      <c r="E156" s="118">
        <v>39324</v>
      </c>
      <c r="F156" s="169" t="s">
        <v>588</v>
      </c>
      <c r="G156" s="118">
        <v>4588</v>
      </c>
      <c r="H156" s="118">
        <v>242</v>
      </c>
      <c r="I156" s="156" t="s">
        <v>340</v>
      </c>
      <c r="J156" s="154">
        <v>80225</v>
      </c>
      <c r="K156" s="155">
        <v>89446</v>
      </c>
      <c r="L156" s="146">
        <v>6</v>
      </c>
      <c r="M156" s="157" t="s">
        <v>35</v>
      </c>
      <c r="N156" s="155" t="s">
        <v>35</v>
      </c>
      <c r="O156" s="118">
        <v>4287605</v>
      </c>
      <c r="P156" s="121">
        <v>45961</v>
      </c>
      <c r="Q156" s="118">
        <v>4405321</v>
      </c>
      <c r="R156" s="149">
        <v>5996.9</v>
      </c>
      <c r="S156" s="123">
        <v>45976</v>
      </c>
      <c r="T156" s="118">
        <v>147</v>
      </c>
      <c r="U156" s="118"/>
      <c r="V156" s="118" t="s">
        <v>37</v>
      </c>
      <c r="W156" s="118" t="s">
        <v>23</v>
      </c>
      <c r="X156" s="129">
        <v>5750</v>
      </c>
      <c r="Y156" s="121">
        <v>45992</v>
      </c>
      <c r="Z156" s="121">
        <v>45996</v>
      </c>
      <c r="AA156" s="118" t="s">
        <v>39</v>
      </c>
      <c r="AB156" s="118"/>
      <c r="AC156" s="126">
        <f t="shared" si="2"/>
        <v>246.89999999999964</v>
      </c>
    </row>
    <row r="157" spans="2:29" ht="45" customHeight="1" x14ac:dyDescent="0.25">
      <c r="B157" s="118">
        <v>154</v>
      </c>
      <c r="C157" s="118" t="s">
        <v>186</v>
      </c>
      <c r="D157" s="118" t="s">
        <v>582</v>
      </c>
      <c r="E157" s="118">
        <v>39324</v>
      </c>
      <c r="F157" s="169" t="s">
        <v>589</v>
      </c>
      <c r="G157" s="118">
        <v>2283</v>
      </c>
      <c r="H157" s="146">
        <v>242</v>
      </c>
      <c r="I157" s="157" t="s">
        <v>340</v>
      </c>
      <c r="J157" s="157">
        <v>80226</v>
      </c>
      <c r="K157" s="155">
        <v>89448</v>
      </c>
      <c r="L157" s="118">
        <v>6</v>
      </c>
      <c r="M157" s="158" t="s">
        <v>35</v>
      </c>
      <c r="N157" s="118" t="s">
        <v>35</v>
      </c>
      <c r="O157" s="118">
        <v>4288066</v>
      </c>
      <c r="P157" s="121">
        <v>45961</v>
      </c>
      <c r="Q157" s="118">
        <v>4405323</v>
      </c>
      <c r="R157" s="149">
        <v>895.2</v>
      </c>
      <c r="S157" s="123">
        <v>45976</v>
      </c>
      <c r="T157" s="118">
        <v>143</v>
      </c>
      <c r="U157" s="118"/>
      <c r="V157" s="118" t="s">
        <v>37</v>
      </c>
      <c r="W157" s="118" t="s">
        <v>86</v>
      </c>
      <c r="X157" s="129">
        <v>850</v>
      </c>
      <c r="Y157" s="121">
        <v>45979</v>
      </c>
      <c r="Z157" s="121">
        <v>45987</v>
      </c>
      <c r="AA157" s="118" t="s">
        <v>39</v>
      </c>
      <c r="AB157" s="118"/>
      <c r="AC157" s="126">
        <f t="shared" si="2"/>
        <v>45.200000000000045</v>
      </c>
    </row>
    <row r="158" spans="2:29" ht="45" customHeight="1" x14ac:dyDescent="0.25">
      <c r="B158" s="118">
        <v>155</v>
      </c>
      <c r="C158" s="118" t="s">
        <v>267</v>
      </c>
      <c r="D158" s="118" t="s">
        <v>449</v>
      </c>
      <c r="E158" s="118" t="s">
        <v>35</v>
      </c>
      <c r="F158" s="169" t="s">
        <v>450</v>
      </c>
      <c r="G158" s="118">
        <v>1244</v>
      </c>
      <c r="H158" s="118">
        <v>242</v>
      </c>
      <c r="I158" s="158" t="s">
        <v>188</v>
      </c>
      <c r="J158" s="158" t="s">
        <v>449</v>
      </c>
      <c r="K158" s="118">
        <v>89476</v>
      </c>
      <c r="L158" s="118">
        <v>5</v>
      </c>
      <c r="M158" s="118" t="s">
        <v>590</v>
      </c>
      <c r="N158" s="118" t="s">
        <v>35</v>
      </c>
      <c r="O158" s="118">
        <v>4287613</v>
      </c>
      <c r="P158" s="121">
        <v>45961</v>
      </c>
      <c r="Q158" s="118">
        <v>4410586</v>
      </c>
      <c r="R158" s="149">
        <v>970</v>
      </c>
      <c r="S158" s="123">
        <v>45931</v>
      </c>
      <c r="T158" s="118">
        <v>2691</v>
      </c>
      <c r="U158" s="118" t="s">
        <v>35</v>
      </c>
      <c r="V158" s="118" t="s">
        <v>460</v>
      </c>
      <c r="W158" s="118" t="s">
        <v>23</v>
      </c>
      <c r="X158" s="129">
        <v>970</v>
      </c>
      <c r="Y158" s="121">
        <v>45974</v>
      </c>
      <c r="Z158" s="140">
        <v>45978</v>
      </c>
      <c r="AA158" s="125" t="s">
        <v>39</v>
      </c>
      <c r="AB158" s="118"/>
      <c r="AC158" s="126">
        <f t="shared" si="2"/>
        <v>0</v>
      </c>
    </row>
    <row r="159" spans="2:29" ht="45" customHeight="1" x14ac:dyDescent="0.25">
      <c r="B159" s="118">
        <v>156</v>
      </c>
      <c r="C159" s="118" t="s">
        <v>186</v>
      </c>
      <c r="D159" s="118" t="s">
        <v>591</v>
      </c>
      <c r="E159" s="118">
        <v>39793</v>
      </c>
      <c r="F159" s="190" t="s">
        <v>592</v>
      </c>
      <c r="G159" s="118">
        <v>4669</v>
      </c>
      <c r="H159" s="118">
        <v>242</v>
      </c>
      <c r="I159" s="118" t="s">
        <v>340</v>
      </c>
      <c r="J159" s="118">
        <v>415</v>
      </c>
      <c r="K159" s="118">
        <v>89451</v>
      </c>
      <c r="L159" s="118">
        <v>6</v>
      </c>
      <c r="M159" s="118" t="s">
        <v>35</v>
      </c>
      <c r="N159" s="118" t="s">
        <v>35</v>
      </c>
      <c r="O159" s="118">
        <v>4287665</v>
      </c>
      <c r="P159" s="121">
        <v>45961</v>
      </c>
      <c r="Q159" s="118">
        <v>4404983</v>
      </c>
      <c r="R159" s="149">
        <v>275.5</v>
      </c>
      <c r="S159" s="123">
        <v>45976</v>
      </c>
      <c r="T159" s="118">
        <v>3179</v>
      </c>
      <c r="U159" s="118" t="s">
        <v>593</v>
      </c>
      <c r="V159" s="118" t="s">
        <v>460</v>
      </c>
      <c r="W159" s="118" t="s">
        <v>23</v>
      </c>
      <c r="X159" s="129">
        <v>275.5</v>
      </c>
      <c r="Y159" s="121">
        <v>45966</v>
      </c>
      <c r="Z159" s="121">
        <v>45971</v>
      </c>
      <c r="AA159" s="125" t="s">
        <v>39</v>
      </c>
      <c r="AB159" s="118"/>
      <c r="AC159" s="126">
        <f t="shared" si="2"/>
        <v>0</v>
      </c>
    </row>
    <row r="160" spans="2:29" ht="45" customHeight="1" x14ac:dyDescent="0.25">
      <c r="B160" s="118">
        <v>157</v>
      </c>
      <c r="C160" s="118" t="s">
        <v>106</v>
      </c>
      <c r="D160" s="118" t="s">
        <v>495</v>
      </c>
      <c r="E160" s="118">
        <v>39447</v>
      </c>
      <c r="F160" s="169" t="s">
        <v>594</v>
      </c>
      <c r="G160" s="118">
        <v>2224</v>
      </c>
      <c r="H160" s="118">
        <v>170</v>
      </c>
      <c r="I160" s="118" t="s">
        <v>340</v>
      </c>
      <c r="J160" s="118">
        <v>10</v>
      </c>
      <c r="K160" s="118">
        <v>89461</v>
      </c>
      <c r="L160" s="118">
        <v>6</v>
      </c>
      <c r="M160" s="118" t="s">
        <v>35</v>
      </c>
      <c r="N160" s="118" t="s">
        <v>35</v>
      </c>
      <c r="O160" s="118">
        <v>4287691</v>
      </c>
      <c r="P160" s="121">
        <v>45961</v>
      </c>
      <c r="Q160" s="118">
        <v>4405280</v>
      </c>
      <c r="R160" s="149">
        <v>480</v>
      </c>
      <c r="S160" s="123">
        <v>45966</v>
      </c>
      <c r="T160" s="118">
        <v>4281</v>
      </c>
      <c r="U160" s="118" t="s">
        <v>595</v>
      </c>
      <c r="V160" s="118" t="s">
        <v>71</v>
      </c>
      <c r="W160" s="118" t="s">
        <v>23</v>
      </c>
      <c r="X160" s="149">
        <v>480</v>
      </c>
      <c r="Y160" s="121">
        <v>45966</v>
      </c>
      <c r="Z160" s="121">
        <v>45977</v>
      </c>
      <c r="AA160" s="125" t="s">
        <v>39</v>
      </c>
      <c r="AB160" s="118"/>
      <c r="AC160" s="126">
        <f t="shared" si="2"/>
        <v>0</v>
      </c>
    </row>
    <row r="161" spans="2:29" ht="45" customHeight="1" x14ac:dyDescent="0.25">
      <c r="B161" s="118">
        <v>158</v>
      </c>
      <c r="C161" s="118" t="s">
        <v>106</v>
      </c>
      <c r="D161" s="118" t="s">
        <v>596</v>
      </c>
      <c r="E161" s="118" t="s">
        <v>35</v>
      </c>
      <c r="F161" s="190" t="s">
        <v>597</v>
      </c>
      <c r="G161" s="118">
        <v>2224</v>
      </c>
      <c r="H161" s="118">
        <v>242</v>
      </c>
      <c r="I161" s="118" t="s">
        <v>340</v>
      </c>
      <c r="J161" s="118">
        <v>591</v>
      </c>
      <c r="K161" s="118">
        <v>89471</v>
      </c>
      <c r="L161" s="118">
        <v>5</v>
      </c>
      <c r="M161" s="118" t="s">
        <v>598</v>
      </c>
      <c r="N161" s="118" t="s">
        <v>35</v>
      </c>
      <c r="O161" s="118">
        <v>4290581</v>
      </c>
      <c r="P161" s="121">
        <v>45965</v>
      </c>
      <c r="Q161" s="118">
        <v>4409531</v>
      </c>
      <c r="R161" s="149">
        <v>695</v>
      </c>
      <c r="S161" s="123">
        <v>45955</v>
      </c>
      <c r="T161" s="118">
        <v>357</v>
      </c>
      <c r="U161" s="118"/>
      <c r="V161" s="118" t="s">
        <v>37</v>
      </c>
      <c r="W161" s="118" t="s">
        <v>64</v>
      </c>
      <c r="X161" s="129">
        <v>695</v>
      </c>
      <c r="Y161" s="121">
        <v>45972</v>
      </c>
      <c r="Z161" s="121">
        <v>45977</v>
      </c>
      <c r="AA161" s="125" t="s">
        <v>39</v>
      </c>
      <c r="AB161" s="118"/>
      <c r="AC161" s="126">
        <f t="shared" si="2"/>
        <v>0</v>
      </c>
    </row>
    <row r="162" spans="2:29" ht="45" customHeight="1" x14ac:dyDescent="0.25">
      <c r="B162" s="118">
        <v>159</v>
      </c>
      <c r="C162" s="118" t="s">
        <v>150</v>
      </c>
      <c r="D162" s="118" t="s">
        <v>107</v>
      </c>
      <c r="E162" s="118">
        <v>39949</v>
      </c>
      <c r="F162" s="190" t="s">
        <v>599</v>
      </c>
      <c r="G162" s="118">
        <v>2488</v>
      </c>
      <c r="H162" s="118">
        <v>242</v>
      </c>
      <c r="I162" s="118" t="s">
        <v>340</v>
      </c>
      <c r="J162" s="118">
        <v>412</v>
      </c>
      <c r="K162" s="118">
        <v>89598</v>
      </c>
      <c r="L162" s="118">
        <v>6</v>
      </c>
      <c r="M162" s="118" t="s">
        <v>35</v>
      </c>
      <c r="N162" s="118" t="s">
        <v>35</v>
      </c>
      <c r="O162" s="118">
        <v>4289570</v>
      </c>
      <c r="P162" s="121">
        <v>45965</v>
      </c>
      <c r="Q162" s="118">
        <v>4405476</v>
      </c>
      <c r="R162" s="149">
        <v>9280</v>
      </c>
      <c r="S162" s="123">
        <v>45975</v>
      </c>
      <c r="T162" s="118">
        <v>3207</v>
      </c>
      <c r="U162" s="118" t="s">
        <v>600</v>
      </c>
      <c r="V162" s="118" t="s">
        <v>37</v>
      </c>
      <c r="W162" s="118" t="s">
        <v>23</v>
      </c>
      <c r="X162" s="159">
        <v>8816</v>
      </c>
      <c r="Y162" s="121">
        <v>45995</v>
      </c>
      <c r="Z162" s="121">
        <v>45999</v>
      </c>
      <c r="AA162" s="118" t="s">
        <v>39</v>
      </c>
      <c r="AB162" s="118"/>
      <c r="AC162" s="126">
        <f t="shared" si="2"/>
        <v>464</v>
      </c>
    </row>
    <row r="163" spans="2:29" ht="45" customHeight="1" x14ac:dyDescent="0.25">
      <c r="B163" s="118">
        <v>160</v>
      </c>
      <c r="C163" s="118" t="s">
        <v>150</v>
      </c>
      <c r="D163" s="118" t="s">
        <v>117</v>
      </c>
      <c r="E163" s="118" t="s">
        <v>35</v>
      </c>
      <c r="F163" s="190" t="s">
        <v>601</v>
      </c>
      <c r="G163" s="118">
        <v>5345</v>
      </c>
      <c r="H163" s="118">
        <v>242</v>
      </c>
      <c r="I163" s="118" t="s">
        <v>340</v>
      </c>
      <c r="J163" s="118">
        <v>598</v>
      </c>
      <c r="K163" s="118">
        <v>89599</v>
      </c>
      <c r="L163" s="118">
        <v>5</v>
      </c>
      <c r="M163" s="118" t="s">
        <v>602</v>
      </c>
      <c r="N163" s="118" t="s">
        <v>35</v>
      </c>
      <c r="O163" s="118">
        <v>4290603</v>
      </c>
      <c r="P163" s="121">
        <v>45965</v>
      </c>
      <c r="Q163" s="118">
        <v>4409533</v>
      </c>
      <c r="R163" s="149">
        <v>980</v>
      </c>
      <c r="S163" s="123">
        <v>45975</v>
      </c>
      <c r="T163" s="118">
        <v>356</v>
      </c>
      <c r="U163" s="118">
        <v>108</v>
      </c>
      <c r="V163" s="118" t="s">
        <v>71</v>
      </c>
      <c r="W163" s="118" t="s">
        <v>38</v>
      </c>
      <c r="X163" s="129">
        <v>980</v>
      </c>
      <c r="Y163" s="121">
        <v>45972</v>
      </c>
      <c r="Z163" s="121">
        <v>45974</v>
      </c>
      <c r="AA163" s="125" t="s">
        <v>39</v>
      </c>
      <c r="AB163" s="118"/>
      <c r="AC163" s="126">
        <f t="shared" si="2"/>
        <v>0</v>
      </c>
    </row>
    <row r="164" spans="2:29" ht="45" customHeight="1" x14ac:dyDescent="0.25">
      <c r="B164" s="118">
        <v>161</v>
      </c>
      <c r="C164" s="118" t="s">
        <v>545</v>
      </c>
      <c r="D164" s="118" t="s">
        <v>603</v>
      </c>
      <c r="E164" s="118" t="s">
        <v>35</v>
      </c>
      <c r="F164" s="190" t="s">
        <v>604</v>
      </c>
      <c r="G164" s="118">
        <v>2321</v>
      </c>
      <c r="H164" s="118">
        <v>5</v>
      </c>
      <c r="I164" s="118" t="s">
        <v>605</v>
      </c>
      <c r="J164" s="118">
        <v>82</v>
      </c>
      <c r="K164" s="118">
        <v>81393</v>
      </c>
      <c r="L164" s="118">
        <v>1</v>
      </c>
      <c r="M164" s="118" t="s">
        <v>35</v>
      </c>
      <c r="N164" s="118" t="s">
        <v>35</v>
      </c>
      <c r="O164" s="118">
        <v>4242540</v>
      </c>
      <c r="P164" s="121">
        <v>45916</v>
      </c>
      <c r="Q164" s="118">
        <v>4367126</v>
      </c>
      <c r="R164" s="149">
        <v>2437.21</v>
      </c>
      <c r="S164" s="123">
        <v>45962</v>
      </c>
      <c r="T164" s="118">
        <v>35</v>
      </c>
      <c r="U164" s="125"/>
      <c r="V164" s="118" t="s">
        <v>71</v>
      </c>
      <c r="W164" s="118" t="s">
        <v>23</v>
      </c>
      <c r="X164" s="129">
        <v>2437.21</v>
      </c>
      <c r="Y164" s="121">
        <v>45962</v>
      </c>
      <c r="Z164" s="140">
        <v>45965</v>
      </c>
      <c r="AA164" s="125" t="s">
        <v>39</v>
      </c>
      <c r="AB164" s="118"/>
      <c r="AC164" s="126">
        <f t="shared" si="2"/>
        <v>0</v>
      </c>
    </row>
    <row r="165" spans="2:29" ht="45" customHeight="1" x14ac:dyDescent="0.25">
      <c r="B165" s="118">
        <v>162</v>
      </c>
      <c r="C165" s="118" t="s">
        <v>257</v>
      </c>
      <c r="D165" s="118" t="s">
        <v>606</v>
      </c>
      <c r="E165" s="118" t="s">
        <v>35</v>
      </c>
      <c r="F165" s="169" t="s">
        <v>607</v>
      </c>
      <c r="G165" s="118">
        <v>1210</v>
      </c>
      <c r="H165" s="118">
        <v>242</v>
      </c>
      <c r="I165" s="118" t="s">
        <v>188</v>
      </c>
      <c r="J165" s="118">
        <v>231</v>
      </c>
      <c r="K165" s="118">
        <v>77460</v>
      </c>
      <c r="L165" s="118">
        <v>29</v>
      </c>
      <c r="M165" s="118" t="s">
        <v>608</v>
      </c>
      <c r="N165" s="118" t="s">
        <v>35</v>
      </c>
      <c r="O165" s="118">
        <v>4214446</v>
      </c>
      <c r="P165" s="121">
        <v>45888</v>
      </c>
      <c r="Q165" s="118">
        <v>4336027</v>
      </c>
      <c r="R165" s="149">
        <v>130000</v>
      </c>
      <c r="S165" s="123">
        <v>45901</v>
      </c>
      <c r="T165" s="118">
        <v>1089</v>
      </c>
      <c r="U165" s="125"/>
      <c r="V165" s="118" t="s">
        <v>37</v>
      </c>
      <c r="W165" s="118" t="s">
        <v>64</v>
      </c>
      <c r="X165" s="159">
        <v>30000</v>
      </c>
      <c r="Y165" s="121">
        <v>45992</v>
      </c>
      <c r="Z165" s="140">
        <v>45993</v>
      </c>
      <c r="AA165" s="125" t="s">
        <v>39</v>
      </c>
      <c r="AB165" s="118"/>
      <c r="AC165" s="126"/>
    </row>
    <row r="166" spans="2:29" ht="45" customHeight="1" x14ac:dyDescent="0.25">
      <c r="B166" s="118">
        <v>163</v>
      </c>
      <c r="C166" s="118" t="s">
        <v>257</v>
      </c>
      <c r="D166" s="118" t="s">
        <v>606</v>
      </c>
      <c r="E166" s="118" t="s">
        <v>35</v>
      </c>
      <c r="F166" s="169" t="s">
        <v>607</v>
      </c>
      <c r="G166" s="118">
        <v>1210</v>
      </c>
      <c r="H166" s="118">
        <v>242</v>
      </c>
      <c r="I166" s="118" t="s">
        <v>188</v>
      </c>
      <c r="J166" s="118">
        <v>231</v>
      </c>
      <c r="K166" s="118">
        <v>77460</v>
      </c>
      <c r="L166" s="118">
        <v>29</v>
      </c>
      <c r="M166" s="118" t="s">
        <v>608</v>
      </c>
      <c r="N166" s="118" t="s">
        <v>35</v>
      </c>
      <c r="O166" s="118">
        <v>4214446</v>
      </c>
      <c r="P166" s="121">
        <v>45888</v>
      </c>
      <c r="Q166" s="118">
        <v>4336027</v>
      </c>
      <c r="R166" s="149">
        <v>130000</v>
      </c>
      <c r="S166" s="123">
        <v>45901</v>
      </c>
      <c r="T166" s="118">
        <v>1067</v>
      </c>
      <c r="U166" s="125"/>
      <c r="V166" s="118" t="s">
        <v>71</v>
      </c>
      <c r="W166" s="118" t="s">
        <v>38</v>
      </c>
      <c r="X166" s="129">
        <v>50000</v>
      </c>
      <c r="Y166" s="121">
        <v>45964</v>
      </c>
      <c r="Z166" s="140">
        <v>45964</v>
      </c>
      <c r="AA166" s="118" t="s">
        <v>39</v>
      </c>
      <c r="AB166" s="118"/>
      <c r="AC166" s="126">
        <f t="shared" si="2"/>
        <v>80000</v>
      </c>
    </row>
    <row r="167" spans="2:29" ht="45" customHeight="1" x14ac:dyDescent="0.25">
      <c r="B167" s="118">
        <v>164</v>
      </c>
      <c r="C167" s="118" t="s">
        <v>351</v>
      </c>
      <c r="D167" s="118" t="s">
        <v>609</v>
      </c>
      <c r="E167" s="118" t="s">
        <v>35</v>
      </c>
      <c r="F167" s="169" t="s">
        <v>610</v>
      </c>
      <c r="G167" s="118">
        <v>2321</v>
      </c>
      <c r="H167" s="118">
        <v>242</v>
      </c>
      <c r="I167" s="118" t="s">
        <v>354</v>
      </c>
      <c r="J167" s="118" t="s">
        <v>540</v>
      </c>
      <c r="K167" s="118">
        <v>89554</v>
      </c>
      <c r="L167" s="118">
        <v>1</v>
      </c>
      <c r="M167" s="118" t="s">
        <v>35</v>
      </c>
      <c r="N167" s="118" t="s">
        <v>35</v>
      </c>
      <c r="O167" s="118">
        <v>4289945</v>
      </c>
      <c r="P167" s="121">
        <v>45964</v>
      </c>
      <c r="Q167" s="118">
        <v>4408638</v>
      </c>
      <c r="R167" s="149">
        <v>4735</v>
      </c>
      <c r="S167" s="123">
        <v>45993</v>
      </c>
      <c r="T167" s="118">
        <v>706</v>
      </c>
      <c r="U167" s="118"/>
      <c r="V167" s="118" t="s">
        <v>460</v>
      </c>
      <c r="W167" s="118" t="s">
        <v>23</v>
      </c>
      <c r="X167" s="129">
        <v>2335</v>
      </c>
      <c r="Y167" s="121">
        <v>45993</v>
      </c>
      <c r="Z167" s="121">
        <v>45994</v>
      </c>
      <c r="AA167" s="118" t="s">
        <v>39</v>
      </c>
      <c r="AB167" s="118"/>
      <c r="AC167" s="126">
        <f t="shared" si="2"/>
        <v>2400</v>
      </c>
    </row>
    <row r="168" spans="2:29" ht="45" customHeight="1" x14ac:dyDescent="0.25">
      <c r="B168" s="118">
        <v>165</v>
      </c>
      <c r="C168" s="118" t="s">
        <v>226</v>
      </c>
      <c r="D168" s="118" t="s">
        <v>227</v>
      </c>
      <c r="E168" s="118" t="s">
        <v>35</v>
      </c>
      <c r="F168" s="127" t="s">
        <v>228</v>
      </c>
      <c r="G168" s="118">
        <v>2488</v>
      </c>
      <c r="H168" s="118">
        <v>5</v>
      </c>
      <c r="I168" s="118" t="s">
        <v>33</v>
      </c>
      <c r="J168" s="118" t="s">
        <v>229</v>
      </c>
      <c r="K168" s="118">
        <v>65821</v>
      </c>
      <c r="L168" s="118">
        <v>1</v>
      </c>
      <c r="M168" s="118" t="s">
        <v>35</v>
      </c>
      <c r="N168" s="118" t="s">
        <v>35</v>
      </c>
      <c r="O168" s="118">
        <v>4195109</v>
      </c>
      <c r="P168" s="121">
        <v>45868</v>
      </c>
      <c r="Q168" s="118">
        <v>4324342</v>
      </c>
      <c r="R168" s="122">
        <v>58757.83</v>
      </c>
      <c r="S168" s="128"/>
      <c r="T168" s="118">
        <v>125</v>
      </c>
      <c r="U168" s="118" t="s">
        <v>35</v>
      </c>
      <c r="V168" s="118" t="s">
        <v>37</v>
      </c>
      <c r="W168" s="118" t="s">
        <v>86</v>
      </c>
      <c r="X168" s="124">
        <v>58757.83</v>
      </c>
      <c r="Y168" s="121">
        <v>45994</v>
      </c>
      <c r="Z168" s="121">
        <v>46000</v>
      </c>
      <c r="AA168" s="118" t="s">
        <v>39</v>
      </c>
      <c r="AB168" s="118"/>
      <c r="AC168" s="126">
        <f>R168-X168</f>
        <v>0</v>
      </c>
    </row>
    <row r="169" spans="2:29" ht="45" customHeight="1" x14ac:dyDescent="0.25">
      <c r="B169" s="118">
        <v>166</v>
      </c>
      <c r="C169" s="118" t="s">
        <v>226</v>
      </c>
      <c r="D169" s="118" t="s">
        <v>227</v>
      </c>
      <c r="E169" s="118" t="s">
        <v>35</v>
      </c>
      <c r="F169" s="127" t="s">
        <v>228</v>
      </c>
      <c r="G169" s="118">
        <v>2488</v>
      </c>
      <c r="H169" s="118">
        <v>5</v>
      </c>
      <c r="I169" s="118" t="s">
        <v>340</v>
      </c>
      <c r="J169" s="118" t="s">
        <v>229</v>
      </c>
      <c r="K169" s="118">
        <v>65821</v>
      </c>
      <c r="L169" s="118">
        <v>1</v>
      </c>
      <c r="M169" s="118" t="s">
        <v>35</v>
      </c>
      <c r="N169" s="118" t="s">
        <v>35</v>
      </c>
      <c r="O169" s="118">
        <v>4195109</v>
      </c>
      <c r="P169" s="121">
        <v>45868</v>
      </c>
      <c r="Q169" s="118">
        <v>4324342</v>
      </c>
      <c r="R169" s="149">
        <v>172515.65</v>
      </c>
      <c r="S169" s="128"/>
      <c r="T169" s="118">
        <v>124</v>
      </c>
      <c r="U169" s="118" t="s">
        <v>35</v>
      </c>
      <c r="V169" s="118" t="s">
        <v>71</v>
      </c>
      <c r="W169" s="118" t="s">
        <v>23</v>
      </c>
      <c r="X169" s="129">
        <v>113757.82</v>
      </c>
      <c r="Y169" s="121">
        <v>45964</v>
      </c>
      <c r="Z169" s="121">
        <v>45964</v>
      </c>
      <c r="AA169" s="118" t="s">
        <v>39</v>
      </c>
      <c r="AB169" s="118"/>
      <c r="AC169" s="126">
        <v>0</v>
      </c>
    </row>
    <row r="170" spans="2:29" ht="45" customHeight="1" x14ac:dyDescent="0.25">
      <c r="B170" s="118">
        <v>167</v>
      </c>
      <c r="C170" s="118" t="s">
        <v>126</v>
      </c>
      <c r="D170" s="118" t="s">
        <v>611</v>
      </c>
      <c r="E170" s="118" t="s">
        <v>35</v>
      </c>
      <c r="F170" s="190" t="s">
        <v>612</v>
      </c>
      <c r="G170" s="118">
        <v>5345</v>
      </c>
      <c r="H170" s="118">
        <v>242</v>
      </c>
      <c r="I170" s="118" t="s">
        <v>340</v>
      </c>
      <c r="J170" s="118">
        <v>6</v>
      </c>
      <c r="K170" s="118">
        <v>89882</v>
      </c>
      <c r="L170" s="118">
        <v>5</v>
      </c>
      <c r="M170" s="118" t="s">
        <v>613</v>
      </c>
      <c r="N170" s="118" t="s">
        <v>35</v>
      </c>
      <c r="O170" s="118">
        <v>4290628</v>
      </c>
      <c r="P170" s="121">
        <v>45965</v>
      </c>
      <c r="Q170" s="118">
        <v>4409534</v>
      </c>
      <c r="R170" s="149">
        <v>4369.8999999999996</v>
      </c>
      <c r="S170" s="123" t="s">
        <v>35</v>
      </c>
      <c r="T170" s="118">
        <v>1789</v>
      </c>
      <c r="U170" s="118" t="s">
        <v>35</v>
      </c>
      <c r="V170" s="118" t="s">
        <v>71</v>
      </c>
      <c r="W170" s="118" t="s">
        <v>23</v>
      </c>
      <c r="X170" s="129">
        <v>4369.8999999999996</v>
      </c>
      <c r="Y170" s="121">
        <v>45974</v>
      </c>
      <c r="Z170" s="121">
        <v>45978</v>
      </c>
      <c r="AA170" s="125" t="s">
        <v>39</v>
      </c>
      <c r="AB170" s="118"/>
      <c r="AC170" s="126">
        <f t="shared" si="2"/>
        <v>0</v>
      </c>
    </row>
    <row r="171" spans="2:29" ht="45" customHeight="1" x14ac:dyDescent="0.25">
      <c r="B171" s="118">
        <v>168</v>
      </c>
      <c r="C171" s="118" t="s">
        <v>292</v>
      </c>
      <c r="D171" s="118" t="s">
        <v>54</v>
      </c>
      <c r="E171" s="118" t="s">
        <v>35</v>
      </c>
      <c r="F171" s="169" t="s">
        <v>614</v>
      </c>
      <c r="G171" s="118">
        <v>2488</v>
      </c>
      <c r="H171" s="118">
        <v>5</v>
      </c>
      <c r="I171" s="118" t="s">
        <v>188</v>
      </c>
      <c r="J171" s="118">
        <v>3313</v>
      </c>
      <c r="K171" s="118">
        <v>81733</v>
      </c>
      <c r="L171" s="118">
        <v>2</v>
      </c>
      <c r="M171" s="118" t="s">
        <v>615</v>
      </c>
      <c r="N171" s="118" t="s">
        <v>35</v>
      </c>
      <c r="O171" s="118">
        <v>4245628</v>
      </c>
      <c r="P171" s="121">
        <v>45918</v>
      </c>
      <c r="Q171" s="118">
        <v>4365089</v>
      </c>
      <c r="R171" s="149">
        <v>18590</v>
      </c>
      <c r="S171" s="123">
        <v>45931</v>
      </c>
      <c r="T171" s="118">
        <v>2049</v>
      </c>
      <c r="U171" s="118" t="s">
        <v>35</v>
      </c>
      <c r="V171" s="118" t="s">
        <v>71</v>
      </c>
      <c r="W171" s="118" t="s">
        <v>38</v>
      </c>
      <c r="X171" s="129">
        <v>18590</v>
      </c>
      <c r="Y171" s="121">
        <v>45964</v>
      </c>
      <c r="Z171" s="140">
        <v>45967</v>
      </c>
      <c r="AA171" s="125" t="s">
        <v>39</v>
      </c>
      <c r="AB171" s="118"/>
      <c r="AC171" s="126">
        <f t="shared" si="2"/>
        <v>0</v>
      </c>
    </row>
    <row r="172" spans="2:29" ht="45" customHeight="1" x14ac:dyDescent="0.25">
      <c r="B172" s="118">
        <v>169</v>
      </c>
      <c r="C172" s="118" t="s">
        <v>351</v>
      </c>
      <c r="D172" s="118" t="s">
        <v>516</v>
      </c>
      <c r="E172" s="118">
        <v>38026</v>
      </c>
      <c r="F172" s="169" t="s">
        <v>616</v>
      </c>
      <c r="G172" s="118">
        <v>2321</v>
      </c>
      <c r="H172" s="118">
        <v>242</v>
      </c>
      <c r="I172" s="118" t="s">
        <v>354</v>
      </c>
      <c r="J172" s="118">
        <v>11943</v>
      </c>
      <c r="K172" s="118">
        <v>89686</v>
      </c>
      <c r="L172" s="118">
        <v>6</v>
      </c>
      <c r="M172" s="118" t="s">
        <v>35</v>
      </c>
      <c r="N172" s="118" t="s">
        <v>35</v>
      </c>
      <c r="O172" s="118">
        <v>4291256</v>
      </c>
      <c r="P172" s="121">
        <v>45965</v>
      </c>
      <c r="Q172" s="118">
        <v>4406381</v>
      </c>
      <c r="R172" s="149">
        <v>8180</v>
      </c>
      <c r="S172" s="123">
        <v>45992</v>
      </c>
      <c r="T172" s="118">
        <v>3131</v>
      </c>
      <c r="U172" s="150" t="s">
        <v>617</v>
      </c>
      <c r="V172" s="118" t="s">
        <v>71</v>
      </c>
      <c r="W172" s="118" t="s">
        <v>64</v>
      </c>
      <c r="X172" s="129">
        <v>8180</v>
      </c>
      <c r="Y172" s="121">
        <v>45971</v>
      </c>
      <c r="Z172" s="121">
        <v>45979</v>
      </c>
      <c r="AA172" s="125" t="s">
        <v>39</v>
      </c>
      <c r="AB172" s="118"/>
      <c r="AC172" s="126">
        <f t="shared" si="2"/>
        <v>0</v>
      </c>
    </row>
    <row r="173" spans="2:29" ht="45" customHeight="1" x14ac:dyDescent="0.25">
      <c r="B173" s="118">
        <v>170</v>
      </c>
      <c r="C173" s="118" t="s">
        <v>267</v>
      </c>
      <c r="D173" s="118" t="s">
        <v>618</v>
      </c>
      <c r="E173" s="118" t="s">
        <v>35</v>
      </c>
      <c r="F173" s="169" t="s">
        <v>619</v>
      </c>
      <c r="G173" s="118">
        <v>1295</v>
      </c>
      <c r="H173" s="118">
        <v>242</v>
      </c>
      <c r="I173" s="118" t="s">
        <v>340</v>
      </c>
      <c r="J173" s="118" t="s">
        <v>620</v>
      </c>
      <c r="K173" s="160">
        <v>23624</v>
      </c>
      <c r="L173" s="118">
        <v>1</v>
      </c>
      <c r="M173" s="118" t="s">
        <v>35</v>
      </c>
      <c r="N173" s="118" t="s">
        <v>35</v>
      </c>
      <c r="O173" s="118">
        <v>3845839</v>
      </c>
      <c r="P173" s="121">
        <v>45525</v>
      </c>
      <c r="Q173" s="118">
        <v>3985320</v>
      </c>
      <c r="R173" s="149">
        <v>132000</v>
      </c>
      <c r="S173" s="123" t="s">
        <v>35</v>
      </c>
      <c r="T173" s="118">
        <v>2956</v>
      </c>
      <c r="U173" s="118" t="s">
        <v>35</v>
      </c>
      <c r="V173" s="118" t="s">
        <v>71</v>
      </c>
      <c r="W173" s="118" t="s">
        <v>64</v>
      </c>
      <c r="X173" s="129">
        <v>123990</v>
      </c>
      <c r="Y173" s="121">
        <v>45965</v>
      </c>
      <c r="Z173" s="121">
        <v>45965</v>
      </c>
      <c r="AA173" s="118" t="s">
        <v>154</v>
      </c>
      <c r="AB173" s="118" t="s">
        <v>621</v>
      </c>
      <c r="AC173" s="126">
        <f>R173-X173</f>
        <v>8010</v>
      </c>
    </row>
    <row r="174" spans="2:29" ht="45" customHeight="1" x14ac:dyDescent="0.25">
      <c r="B174" s="118">
        <v>171</v>
      </c>
      <c r="C174" s="118" t="s">
        <v>150</v>
      </c>
      <c r="D174" s="118" t="s">
        <v>117</v>
      </c>
      <c r="E174" s="118" t="s">
        <v>35</v>
      </c>
      <c r="F174" s="190" t="s">
        <v>622</v>
      </c>
      <c r="G174" s="118">
        <v>2224</v>
      </c>
      <c r="H174" s="118">
        <v>242</v>
      </c>
      <c r="I174" s="118" t="s">
        <v>340</v>
      </c>
      <c r="J174" s="118">
        <v>487</v>
      </c>
      <c r="K174" s="118">
        <v>89972</v>
      </c>
      <c r="L174" s="118">
        <v>2</v>
      </c>
      <c r="M174" s="118" t="s">
        <v>623</v>
      </c>
      <c r="N174" s="118" t="s">
        <v>35</v>
      </c>
      <c r="O174" s="118">
        <v>4291643</v>
      </c>
      <c r="P174" s="121">
        <v>45965</v>
      </c>
      <c r="Q174" s="118">
        <v>4407055</v>
      </c>
      <c r="R174" s="149">
        <v>3600</v>
      </c>
      <c r="S174" s="123">
        <v>45962</v>
      </c>
      <c r="T174" s="118">
        <v>355</v>
      </c>
      <c r="U174" s="118"/>
      <c r="V174" s="118" t="s">
        <v>37</v>
      </c>
      <c r="W174" s="118" t="s">
        <v>64</v>
      </c>
      <c r="X174" s="129">
        <v>3600</v>
      </c>
      <c r="Y174" s="121">
        <v>45968</v>
      </c>
      <c r="Z174" s="121">
        <v>45972</v>
      </c>
      <c r="AA174" s="125" t="s">
        <v>39</v>
      </c>
      <c r="AB174" s="118"/>
      <c r="AC174" s="126">
        <f t="shared" si="2"/>
        <v>0</v>
      </c>
    </row>
    <row r="175" spans="2:29" ht="45" customHeight="1" x14ac:dyDescent="0.25">
      <c r="B175" s="118">
        <v>172</v>
      </c>
      <c r="C175" s="118" t="s">
        <v>150</v>
      </c>
      <c r="D175" s="118" t="s">
        <v>624</v>
      </c>
      <c r="E175" s="118">
        <v>39950</v>
      </c>
      <c r="F175" s="190" t="s">
        <v>625</v>
      </c>
      <c r="G175" s="118">
        <v>5525</v>
      </c>
      <c r="H175" s="118">
        <v>242</v>
      </c>
      <c r="I175" s="118" t="s">
        <v>340</v>
      </c>
      <c r="J175" s="118">
        <v>418</v>
      </c>
      <c r="K175" s="118">
        <v>89980</v>
      </c>
      <c r="L175" s="118">
        <v>6</v>
      </c>
      <c r="M175" s="118" t="s">
        <v>35</v>
      </c>
      <c r="N175" s="118" t="s">
        <v>35</v>
      </c>
      <c r="O175" s="118">
        <v>4291999</v>
      </c>
      <c r="P175" s="121">
        <v>45966</v>
      </c>
      <c r="Q175" s="118">
        <v>4406438</v>
      </c>
      <c r="R175" s="149">
        <v>4303.5</v>
      </c>
      <c r="S175" s="123">
        <v>45992</v>
      </c>
      <c r="T175" s="118">
        <v>3184</v>
      </c>
      <c r="U175" s="118" t="s">
        <v>626</v>
      </c>
      <c r="V175" s="118" t="s">
        <v>71</v>
      </c>
      <c r="W175" s="118" t="s">
        <v>23</v>
      </c>
      <c r="X175" s="129">
        <v>4303.5</v>
      </c>
      <c r="Y175" s="121">
        <v>45973</v>
      </c>
      <c r="Z175" s="121">
        <v>45974</v>
      </c>
      <c r="AA175" s="125" t="s">
        <v>39</v>
      </c>
      <c r="AB175" s="118"/>
      <c r="AC175" s="126">
        <f t="shared" si="2"/>
        <v>0</v>
      </c>
    </row>
    <row r="176" spans="2:29" ht="45" customHeight="1" x14ac:dyDescent="0.25">
      <c r="B176" s="118">
        <v>173</v>
      </c>
      <c r="C176" s="118" t="s">
        <v>30</v>
      </c>
      <c r="D176" s="118" t="s">
        <v>627</v>
      </c>
      <c r="E176" s="118">
        <v>38879</v>
      </c>
      <c r="F176" s="169" t="s">
        <v>628</v>
      </c>
      <c r="G176" s="118">
        <v>5345</v>
      </c>
      <c r="H176" s="118">
        <v>242</v>
      </c>
      <c r="I176" s="118" t="s">
        <v>340</v>
      </c>
      <c r="J176" s="118">
        <v>255612</v>
      </c>
      <c r="K176" s="118">
        <v>90102</v>
      </c>
      <c r="L176" s="118">
        <v>6</v>
      </c>
      <c r="M176" s="118" t="s">
        <v>35</v>
      </c>
      <c r="N176" s="118" t="s">
        <v>35</v>
      </c>
      <c r="O176" s="118">
        <v>4292013</v>
      </c>
      <c r="P176" s="121">
        <v>45966</v>
      </c>
      <c r="Q176" s="118">
        <v>4408235</v>
      </c>
      <c r="R176" s="149">
        <v>1950</v>
      </c>
      <c r="S176" s="123">
        <v>45981</v>
      </c>
      <c r="T176" s="118">
        <v>1358</v>
      </c>
      <c r="U176" s="118" t="s">
        <v>629</v>
      </c>
      <c r="V176" s="118" t="s">
        <v>71</v>
      </c>
      <c r="W176" s="118" t="s">
        <v>64</v>
      </c>
      <c r="X176" s="149">
        <v>1950</v>
      </c>
      <c r="Y176" s="121">
        <v>45980</v>
      </c>
      <c r="Z176" s="121">
        <v>45985</v>
      </c>
      <c r="AA176" s="118" t="s">
        <v>39</v>
      </c>
      <c r="AB176" s="118"/>
      <c r="AC176" s="126">
        <f t="shared" si="2"/>
        <v>0</v>
      </c>
    </row>
    <row r="177" spans="2:29" ht="45" customHeight="1" x14ac:dyDescent="0.25">
      <c r="B177" s="118">
        <v>174</v>
      </c>
      <c r="C177" s="118" t="s">
        <v>30</v>
      </c>
      <c r="D177" s="118" t="s">
        <v>611</v>
      </c>
      <c r="E177" s="118">
        <v>40064</v>
      </c>
      <c r="F177" s="190" t="s">
        <v>630</v>
      </c>
      <c r="G177" s="118">
        <v>5345</v>
      </c>
      <c r="H177" s="118">
        <v>242</v>
      </c>
      <c r="I177" s="118" t="s">
        <v>340</v>
      </c>
      <c r="J177" s="118">
        <v>7</v>
      </c>
      <c r="K177" s="118">
        <v>90104</v>
      </c>
      <c r="L177" s="118">
        <v>6</v>
      </c>
      <c r="M177" s="118" t="s">
        <v>35</v>
      </c>
      <c r="N177" s="118" t="s">
        <v>35</v>
      </c>
      <c r="O177" s="118">
        <v>4293172</v>
      </c>
      <c r="P177" s="121">
        <v>45966</v>
      </c>
      <c r="Q177" s="118">
        <v>4408825</v>
      </c>
      <c r="R177" s="149">
        <v>10519.8</v>
      </c>
      <c r="S177" s="123">
        <v>45981</v>
      </c>
      <c r="T177" s="118">
        <v>1803</v>
      </c>
      <c r="U177" s="118" t="s">
        <v>631</v>
      </c>
      <c r="V177" s="118" t="s">
        <v>37</v>
      </c>
      <c r="W177" s="118" t="s">
        <v>86</v>
      </c>
      <c r="X177" s="124">
        <v>10519.8</v>
      </c>
      <c r="Y177" s="121">
        <v>46002</v>
      </c>
      <c r="Z177" s="121">
        <v>46013</v>
      </c>
      <c r="AA177" s="118" t="s">
        <v>39</v>
      </c>
      <c r="AB177" s="118"/>
      <c r="AC177" s="126">
        <f t="shared" si="2"/>
        <v>0</v>
      </c>
    </row>
    <row r="178" spans="2:29" ht="45" customHeight="1" x14ac:dyDescent="0.25">
      <c r="B178" s="118">
        <v>175</v>
      </c>
      <c r="C178" s="118" t="s">
        <v>30</v>
      </c>
      <c r="D178" s="118" t="s">
        <v>624</v>
      </c>
      <c r="E178" s="118" t="s">
        <v>632</v>
      </c>
      <c r="F178" s="190" t="s">
        <v>633</v>
      </c>
      <c r="G178" s="118">
        <v>5345</v>
      </c>
      <c r="H178" s="118">
        <v>242</v>
      </c>
      <c r="I178" s="118" t="s">
        <v>340</v>
      </c>
      <c r="J178" s="118">
        <v>402</v>
      </c>
      <c r="K178" s="118">
        <v>90105</v>
      </c>
      <c r="L178" s="118">
        <v>6</v>
      </c>
      <c r="M178" s="118" t="s">
        <v>35</v>
      </c>
      <c r="N178" s="118" t="s">
        <v>35</v>
      </c>
      <c r="O178" s="125"/>
      <c r="P178" s="125"/>
      <c r="Q178" s="125"/>
      <c r="R178" s="149">
        <v>4940</v>
      </c>
      <c r="S178" s="123">
        <v>45981</v>
      </c>
      <c r="T178" s="118"/>
      <c r="U178" s="118"/>
      <c r="V178" s="118"/>
      <c r="W178" s="118"/>
      <c r="X178" s="129"/>
      <c r="Y178" s="121"/>
      <c r="Z178" s="121"/>
      <c r="AA178" s="118" t="s">
        <v>634</v>
      </c>
      <c r="AB178" s="118"/>
      <c r="AC178" s="126">
        <f t="shared" si="2"/>
        <v>4940</v>
      </c>
    </row>
    <row r="179" spans="2:29" ht="45" customHeight="1" x14ac:dyDescent="0.25">
      <c r="B179" s="118">
        <v>176</v>
      </c>
      <c r="C179" s="118" t="s">
        <v>150</v>
      </c>
      <c r="D179" s="118" t="s">
        <v>117</v>
      </c>
      <c r="E179" s="118" t="s">
        <v>35</v>
      </c>
      <c r="F179" s="169" t="s">
        <v>635</v>
      </c>
      <c r="G179" s="118">
        <v>2313</v>
      </c>
      <c r="H179" s="118">
        <v>242</v>
      </c>
      <c r="I179" s="118" t="s">
        <v>340</v>
      </c>
      <c r="J179" s="118">
        <v>635</v>
      </c>
      <c r="K179" s="118">
        <v>90190</v>
      </c>
      <c r="L179" s="118">
        <v>5</v>
      </c>
      <c r="M179" s="118" t="s">
        <v>636</v>
      </c>
      <c r="N179" s="118" t="s">
        <v>35</v>
      </c>
      <c r="O179" s="118">
        <v>4293189</v>
      </c>
      <c r="P179" s="121">
        <v>45967</v>
      </c>
      <c r="Q179" s="118">
        <v>4409745</v>
      </c>
      <c r="R179" s="149">
        <v>3890</v>
      </c>
      <c r="S179" s="123" t="s">
        <v>35</v>
      </c>
      <c r="T179" s="118">
        <v>358</v>
      </c>
      <c r="U179" s="118"/>
      <c r="V179" s="118" t="s">
        <v>37</v>
      </c>
      <c r="W179" s="118" t="s">
        <v>64</v>
      </c>
      <c r="X179" s="129">
        <v>3890</v>
      </c>
      <c r="Y179" s="121">
        <v>45972</v>
      </c>
      <c r="Z179" s="121">
        <v>45974</v>
      </c>
      <c r="AA179" s="125" t="s">
        <v>39</v>
      </c>
      <c r="AB179" s="118"/>
      <c r="AC179" s="126">
        <f t="shared" si="2"/>
        <v>0</v>
      </c>
    </row>
    <row r="180" spans="2:29" ht="45" customHeight="1" x14ac:dyDescent="0.25">
      <c r="B180" s="118">
        <v>177</v>
      </c>
      <c r="C180" s="118" t="s">
        <v>351</v>
      </c>
      <c r="D180" s="118" t="s">
        <v>637</v>
      </c>
      <c r="E180" s="118">
        <v>39859</v>
      </c>
      <c r="F180" s="169" t="s">
        <v>638</v>
      </c>
      <c r="G180" s="118">
        <v>1236</v>
      </c>
      <c r="H180" s="118">
        <v>242</v>
      </c>
      <c r="I180" s="118" t="s">
        <v>354</v>
      </c>
      <c r="J180" s="118">
        <v>375</v>
      </c>
      <c r="K180" s="118">
        <v>88494</v>
      </c>
      <c r="L180" s="118">
        <v>6</v>
      </c>
      <c r="M180" s="118" t="s">
        <v>35</v>
      </c>
      <c r="N180" s="118" t="s">
        <v>35</v>
      </c>
      <c r="O180" s="118">
        <v>4293717</v>
      </c>
      <c r="P180" s="121">
        <v>45967</v>
      </c>
      <c r="Q180" s="118">
        <v>4410859</v>
      </c>
      <c r="R180" s="149">
        <v>5291.5</v>
      </c>
      <c r="S180" s="123">
        <v>45992</v>
      </c>
      <c r="T180" s="118">
        <v>4</v>
      </c>
      <c r="U180" s="150" t="s">
        <v>639</v>
      </c>
      <c r="V180" s="118" t="s">
        <v>71</v>
      </c>
      <c r="W180" s="118" t="s">
        <v>23</v>
      </c>
      <c r="X180" s="129">
        <v>5291.5</v>
      </c>
      <c r="Y180" s="121">
        <v>45973</v>
      </c>
      <c r="Z180" s="140">
        <v>45980</v>
      </c>
      <c r="AA180" s="125" t="s">
        <v>39</v>
      </c>
      <c r="AB180" s="118"/>
      <c r="AC180" s="126">
        <f t="shared" si="2"/>
        <v>0</v>
      </c>
    </row>
    <row r="181" spans="2:29" ht="45" customHeight="1" x14ac:dyDescent="0.25">
      <c r="B181" s="118">
        <v>178</v>
      </c>
      <c r="C181" s="118" t="s">
        <v>300</v>
      </c>
      <c r="D181" s="118" t="s">
        <v>640</v>
      </c>
      <c r="E181" s="118" t="s">
        <v>35</v>
      </c>
      <c r="F181" s="169" t="s">
        <v>641</v>
      </c>
      <c r="G181" s="118">
        <v>4057</v>
      </c>
      <c r="H181" s="118">
        <v>242</v>
      </c>
      <c r="I181" s="118" t="s">
        <v>188</v>
      </c>
      <c r="J181" s="118" t="s">
        <v>642</v>
      </c>
      <c r="K181" s="118">
        <v>90443</v>
      </c>
      <c r="L181" s="118">
        <v>29</v>
      </c>
      <c r="M181" s="118" t="s">
        <v>643</v>
      </c>
      <c r="N181" s="118" t="s">
        <v>35</v>
      </c>
      <c r="O181" s="118">
        <v>4294295</v>
      </c>
      <c r="P181" s="121">
        <v>45968</v>
      </c>
      <c r="Q181" s="118">
        <v>4412724</v>
      </c>
      <c r="R181" s="149">
        <v>12900</v>
      </c>
      <c r="S181" s="123">
        <v>45962</v>
      </c>
      <c r="T181" s="118"/>
      <c r="U181" s="118"/>
      <c r="V181" s="118"/>
      <c r="W181" s="118"/>
      <c r="X181" s="129"/>
      <c r="Y181" s="121"/>
      <c r="Z181" s="121"/>
      <c r="AA181" s="118" t="s">
        <v>48</v>
      </c>
      <c r="AB181" s="118"/>
      <c r="AC181" s="126">
        <f t="shared" si="2"/>
        <v>12900</v>
      </c>
    </row>
    <row r="182" spans="2:29" ht="45" customHeight="1" x14ac:dyDescent="0.25">
      <c r="B182" s="118">
        <v>179</v>
      </c>
      <c r="C182" s="118" t="s">
        <v>351</v>
      </c>
      <c r="D182" s="118" t="s">
        <v>644</v>
      </c>
      <c r="E182" s="118" t="s">
        <v>35</v>
      </c>
      <c r="F182" s="169" t="s">
        <v>645</v>
      </c>
      <c r="G182" s="118">
        <v>2089</v>
      </c>
      <c r="H182" s="118">
        <v>242</v>
      </c>
      <c r="I182" s="118" t="s">
        <v>188</v>
      </c>
      <c r="J182" s="118" t="s">
        <v>646</v>
      </c>
      <c r="K182" s="118">
        <v>87524</v>
      </c>
      <c r="L182" s="118">
        <v>29</v>
      </c>
      <c r="M182" s="118" t="s">
        <v>647</v>
      </c>
      <c r="N182" s="118" t="s">
        <v>35</v>
      </c>
      <c r="O182" s="135" t="s">
        <v>648</v>
      </c>
      <c r="P182" s="121">
        <v>45968</v>
      </c>
      <c r="Q182" s="125"/>
      <c r="R182" s="149">
        <v>9960.16</v>
      </c>
      <c r="S182" s="123">
        <v>45986</v>
      </c>
      <c r="T182" s="118"/>
      <c r="U182" s="118"/>
      <c r="V182" s="118"/>
      <c r="W182" s="118"/>
      <c r="X182" s="129"/>
      <c r="Y182" s="121"/>
      <c r="Z182" s="121"/>
      <c r="AA182" s="118" t="s">
        <v>160</v>
      </c>
      <c r="AB182" s="118" t="s">
        <v>649</v>
      </c>
      <c r="AC182" s="126">
        <f t="shared" si="2"/>
        <v>9960.16</v>
      </c>
    </row>
    <row r="183" spans="2:29" ht="45" customHeight="1" x14ac:dyDescent="0.25">
      <c r="B183" s="118">
        <v>180</v>
      </c>
      <c r="C183" s="118" t="s">
        <v>226</v>
      </c>
      <c r="D183" s="118" t="s">
        <v>650</v>
      </c>
      <c r="E183" s="118" t="s">
        <v>35</v>
      </c>
      <c r="F183" s="169" t="s">
        <v>651</v>
      </c>
      <c r="G183" s="118">
        <v>5345</v>
      </c>
      <c r="H183" s="118">
        <v>242</v>
      </c>
      <c r="I183" s="118" t="s">
        <v>188</v>
      </c>
      <c r="J183" s="118">
        <v>722672</v>
      </c>
      <c r="K183" s="118" t="s">
        <v>35</v>
      </c>
      <c r="L183" s="118">
        <v>8</v>
      </c>
      <c r="M183" s="118" t="s">
        <v>651</v>
      </c>
      <c r="N183" s="118" t="s">
        <v>35</v>
      </c>
      <c r="O183" s="118">
        <v>4294379</v>
      </c>
      <c r="P183" s="121">
        <v>45968</v>
      </c>
      <c r="Q183" s="138">
        <v>4407395</v>
      </c>
      <c r="R183" s="149">
        <v>1420</v>
      </c>
      <c r="S183" s="123">
        <v>45962</v>
      </c>
      <c r="T183" s="118">
        <v>6605</v>
      </c>
      <c r="U183" s="118" t="s">
        <v>35</v>
      </c>
      <c r="V183" s="118" t="s">
        <v>71</v>
      </c>
      <c r="W183" s="118" t="s">
        <v>38</v>
      </c>
      <c r="X183" s="129">
        <v>1420</v>
      </c>
      <c r="Y183" s="121">
        <v>45967</v>
      </c>
      <c r="Z183" s="140">
        <v>45968</v>
      </c>
      <c r="AA183" s="125" t="s">
        <v>39</v>
      </c>
      <c r="AB183" s="118"/>
      <c r="AC183" s="126">
        <f t="shared" si="2"/>
        <v>0</v>
      </c>
    </row>
    <row r="184" spans="2:29" ht="45" customHeight="1" x14ac:dyDescent="0.25">
      <c r="B184" s="118">
        <v>181</v>
      </c>
      <c r="C184" s="118" t="s">
        <v>545</v>
      </c>
      <c r="D184" s="118" t="s">
        <v>652</v>
      </c>
      <c r="E184" s="118" t="s">
        <v>35</v>
      </c>
      <c r="F184" s="169" t="s">
        <v>653</v>
      </c>
      <c r="G184" s="118">
        <v>2321</v>
      </c>
      <c r="H184" s="118">
        <v>242</v>
      </c>
      <c r="I184" s="118" t="s">
        <v>188</v>
      </c>
      <c r="J184" s="118">
        <v>700</v>
      </c>
      <c r="K184" s="118">
        <v>90368</v>
      </c>
      <c r="L184" s="118">
        <v>5</v>
      </c>
      <c r="M184" s="118" t="s">
        <v>654</v>
      </c>
      <c r="N184" s="118" t="s">
        <v>35</v>
      </c>
      <c r="O184" s="118">
        <v>4294458</v>
      </c>
      <c r="P184" s="121">
        <v>45968</v>
      </c>
      <c r="Q184" s="118">
        <v>4413212</v>
      </c>
      <c r="R184" s="149">
        <v>34226</v>
      </c>
      <c r="S184" s="123">
        <v>45962</v>
      </c>
      <c r="T184" s="118">
        <v>118</v>
      </c>
      <c r="U184" s="118"/>
      <c r="V184" s="118" t="s">
        <v>71</v>
      </c>
      <c r="W184" s="118" t="s">
        <v>23</v>
      </c>
      <c r="X184" s="129">
        <v>34226</v>
      </c>
      <c r="Y184" s="121">
        <v>45993</v>
      </c>
      <c r="Z184" s="121">
        <v>45999</v>
      </c>
      <c r="AA184" s="118" t="s">
        <v>39</v>
      </c>
      <c r="AB184" s="118"/>
      <c r="AC184" s="126">
        <f t="shared" si="2"/>
        <v>0</v>
      </c>
    </row>
    <row r="185" spans="2:29" ht="45" customHeight="1" x14ac:dyDescent="0.25">
      <c r="B185" s="118">
        <v>182</v>
      </c>
      <c r="C185" s="118" t="s">
        <v>351</v>
      </c>
      <c r="D185" s="118" t="s">
        <v>655</v>
      </c>
      <c r="E185" s="118">
        <v>39789</v>
      </c>
      <c r="F185" s="169" t="s">
        <v>656</v>
      </c>
      <c r="G185" s="118">
        <v>1228</v>
      </c>
      <c r="H185" s="118">
        <v>242</v>
      </c>
      <c r="I185" s="118" t="s">
        <v>354</v>
      </c>
      <c r="J185" s="118">
        <v>15264</v>
      </c>
      <c r="K185" s="118">
        <v>88594</v>
      </c>
      <c r="L185" s="118">
        <v>6</v>
      </c>
      <c r="M185" s="118" t="s">
        <v>35</v>
      </c>
      <c r="N185" s="118" t="s">
        <v>35</v>
      </c>
      <c r="O185" s="118">
        <v>4296446</v>
      </c>
      <c r="P185" s="121">
        <v>45971</v>
      </c>
      <c r="Q185" s="118">
        <v>4413255</v>
      </c>
      <c r="R185" s="149">
        <v>4549.6000000000004</v>
      </c>
      <c r="S185" s="123">
        <v>45999</v>
      </c>
      <c r="T185" s="132" t="s">
        <v>657</v>
      </c>
      <c r="U185" s="130" t="s">
        <v>658</v>
      </c>
      <c r="V185" s="118" t="s">
        <v>37</v>
      </c>
      <c r="W185" s="118" t="s">
        <v>64</v>
      </c>
      <c r="X185" s="129">
        <v>4322.12</v>
      </c>
      <c r="Y185" s="121">
        <v>45999</v>
      </c>
      <c r="Z185" s="121">
        <v>46000</v>
      </c>
      <c r="AA185" s="118" t="s">
        <v>39</v>
      </c>
      <c r="AB185" s="118"/>
      <c r="AC185" s="126">
        <f t="shared" si="2"/>
        <v>227.48000000000047</v>
      </c>
    </row>
    <row r="186" spans="2:29" ht="45" customHeight="1" x14ac:dyDescent="0.25">
      <c r="B186" s="118">
        <v>183</v>
      </c>
      <c r="C186" s="118" t="s">
        <v>300</v>
      </c>
      <c r="D186" s="118" t="s">
        <v>659</v>
      </c>
      <c r="E186" s="118" t="s">
        <v>35</v>
      </c>
      <c r="F186" s="169" t="s">
        <v>660</v>
      </c>
      <c r="G186" s="118">
        <v>5345</v>
      </c>
      <c r="H186" s="118">
        <v>242</v>
      </c>
      <c r="I186" s="118" t="s">
        <v>188</v>
      </c>
      <c r="J186" s="118" t="s">
        <v>661</v>
      </c>
      <c r="K186" s="118">
        <v>90496</v>
      </c>
      <c r="L186" s="118">
        <v>5</v>
      </c>
      <c r="M186" s="118" t="s">
        <v>662</v>
      </c>
      <c r="N186" s="118" t="s">
        <v>37</v>
      </c>
      <c r="O186" s="118">
        <v>4296561</v>
      </c>
      <c r="P186" s="121">
        <v>45971</v>
      </c>
      <c r="Q186" s="118">
        <v>4413697</v>
      </c>
      <c r="R186" s="149">
        <v>32191.75</v>
      </c>
      <c r="S186" s="123">
        <v>45962</v>
      </c>
      <c r="T186" s="118">
        <v>338</v>
      </c>
      <c r="U186" s="118"/>
      <c r="V186" s="118" t="s">
        <v>460</v>
      </c>
      <c r="W186" s="118" t="s">
        <v>23</v>
      </c>
      <c r="X186" s="149">
        <v>32191.75</v>
      </c>
      <c r="Y186" s="121">
        <v>45992</v>
      </c>
      <c r="Z186" s="121">
        <v>45993</v>
      </c>
      <c r="AA186" s="118" t="s">
        <v>39</v>
      </c>
      <c r="AB186" s="118"/>
      <c r="AC186" s="126">
        <f t="shared" si="2"/>
        <v>0</v>
      </c>
    </row>
    <row r="187" spans="2:29" ht="45" customHeight="1" x14ac:dyDescent="0.25">
      <c r="B187" s="118">
        <v>184</v>
      </c>
      <c r="C187" s="118" t="s">
        <v>106</v>
      </c>
      <c r="D187" s="162" t="s">
        <v>663</v>
      </c>
      <c r="E187" s="118" t="s">
        <v>35</v>
      </c>
      <c r="F187" s="169" t="s">
        <v>556</v>
      </c>
      <c r="G187" s="118" t="s">
        <v>664</v>
      </c>
      <c r="H187" s="118">
        <v>5</v>
      </c>
      <c r="I187" s="118" t="s">
        <v>340</v>
      </c>
      <c r="J187" s="118">
        <v>0</v>
      </c>
      <c r="K187" s="118">
        <v>90827</v>
      </c>
      <c r="L187" s="118">
        <v>29</v>
      </c>
      <c r="M187" s="118" t="s">
        <v>665</v>
      </c>
      <c r="N187" s="118" t="s">
        <v>35</v>
      </c>
      <c r="O187" s="136" t="s">
        <v>666</v>
      </c>
      <c r="P187" s="121">
        <v>45972</v>
      </c>
      <c r="Q187" s="123" t="s">
        <v>35</v>
      </c>
      <c r="R187" s="149">
        <v>1700</v>
      </c>
      <c r="S187" s="123" t="s">
        <v>35</v>
      </c>
      <c r="T187" s="118"/>
      <c r="U187" s="118"/>
      <c r="V187" s="118"/>
      <c r="W187" s="118"/>
      <c r="X187" s="129"/>
      <c r="Y187" s="121"/>
      <c r="Z187" s="121"/>
      <c r="AA187" s="118" t="s">
        <v>160</v>
      </c>
      <c r="AB187" s="118" t="s">
        <v>667</v>
      </c>
      <c r="AC187" s="126">
        <f t="shared" si="2"/>
        <v>1700</v>
      </c>
    </row>
    <row r="188" spans="2:29" ht="45" customHeight="1" x14ac:dyDescent="0.25">
      <c r="B188" s="118">
        <v>185</v>
      </c>
      <c r="C188" s="118" t="s">
        <v>300</v>
      </c>
      <c r="D188" s="118" t="s">
        <v>301</v>
      </c>
      <c r="E188" s="118" t="s">
        <v>35</v>
      </c>
      <c r="F188" s="169" t="s">
        <v>668</v>
      </c>
      <c r="G188" s="118">
        <v>2291</v>
      </c>
      <c r="H188" s="118">
        <v>242</v>
      </c>
      <c r="I188" s="118" t="s">
        <v>354</v>
      </c>
      <c r="J188" s="118">
        <v>113</v>
      </c>
      <c r="K188" s="118">
        <v>90932</v>
      </c>
      <c r="L188" s="118">
        <v>29</v>
      </c>
      <c r="M188" s="118" t="s">
        <v>669</v>
      </c>
      <c r="N188" s="118" t="s">
        <v>35</v>
      </c>
      <c r="O188" s="118">
        <v>4297998</v>
      </c>
      <c r="P188" s="121">
        <v>45972</v>
      </c>
      <c r="Q188" s="118">
        <v>4413854</v>
      </c>
      <c r="R188" s="149">
        <v>25320</v>
      </c>
      <c r="S188" s="123">
        <v>45980</v>
      </c>
      <c r="T188" s="118"/>
      <c r="U188" s="118"/>
      <c r="V188" s="118"/>
      <c r="W188" s="118"/>
      <c r="X188" s="129"/>
      <c r="Y188" s="121"/>
      <c r="Z188" s="121"/>
      <c r="AA188" s="118" t="s">
        <v>48</v>
      </c>
      <c r="AB188" s="118"/>
      <c r="AC188" s="126">
        <f t="shared" si="2"/>
        <v>25320</v>
      </c>
    </row>
    <row r="189" spans="2:29" ht="45" customHeight="1" x14ac:dyDescent="0.25">
      <c r="B189" s="118">
        <v>186</v>
      </c>
      <c r="C189" s="118" t="s">
        <v>300</v>
      </c>
      <c r="D189" s="118" t="s">
        <v>670</v>
      </c>
      <c r="E189" s="118" t="s">
        <v>35</v>
      </c>
      <c r="F189" s="169" t="s">
        <v>671</v>
      </c>
      <c r="G189" s="118">
        <v>5345</v>
      </c>
      <c r="H189" s="118">
        <v>242</v>
      </c>
      <c r="I189" s="118" t="s">
        <v>354</v>
      </c>
      <c r="J189" s="118" t="s">
        <v>672</v>
      </c>
      <c r="K189" s="118">
        <v>91042</v>
      </c>
      <c r="L189" s="118">
        <v>29</v>
      </c>
      <c r="M189" s="118" t="s">
        <v>673</v>
      </c>
      <c r="N189" s="118" t="s">
        <v>35</v>
      </c>
      <c r="O189" s="118">
        <v>4298167</v>
      </c>
      <c r="P189" s="121">
        <v>45972</v>
      </c>
      <c r="Q189" s="118">
        <v>4417448</v>
      </c>
      <c r="R189" s="149">
        <v>276749</v>
      </c>
      <c r="S189" s="123">
        <v>45980</v>
      </c>
      <c r="T189" s="118"/>
      <c r="U189" s="118"/>
      <c r="V189" s="118"/>
      <c r="W189" s="118"/>
      <c r="X189" s="129"/>
      <c r="Y189" s="121"/>
      <c r="Z189" s="121"/>
      <c r="AA189" s="118" t="s">
        <v>48</v>
      </c>
      <c r="AB189" s="118"/>
      <c r="AC189" s="126">
        <f t="shared" si="2"/>
        <v>276749</v>
      </c>
    </row>
    <row r="190" spans="2:29" ht="45" customHeight="1" x14ac:dyDescent="0.25">
      <c r="B190" s="118">
        <v>187</v>
      </c>
      <c r="C190" s="118" t="s">
        <v>150</v>
      </c>
      <c r="D190" s="118" t="s">
        <v>117</v>
      </c>
      <c r="E190" s="118">
        <v>38600</v>
      </c>
      <c r="F190" s="190" t="s">
        <v>674</v>
      </c>
      <c r="G190" s="118">
        <v>5525</v>
      </c>
      <c r="H190" s="118">
        <v>242</v>
      </c>
      <c r="I190" s="118" t="s">
        <v>340</v>
      </c>
      <c r="J190" s="118">
        <v>502</v>
      </c>
      <c r="K190" s="118">
        <v>91183</v>
      </c>
      <c r="L190" s="118">
        <v>6</v>
      </c>
      <c r="M190" s="118" t="s">
        <v>35</v>
      </c>
      <c r="N190" s="118" t="s">
        <v>35</v>
      </c>
      <c r="O190" s="118">
        <v>4299208</v>
      </c>
      <c r="P190" s="121">
        <v>45973</v>
      </c>
      <c r="Q190" s="118">
        <v>4413968</v>
      </c>
      <c r="R190" s="149">
        <v>785</v>
      </c>
      <c r="S190" s="123">
        <v>45992</v>
      </c>
      <c r="T190" s="132" t="s">
        <v>675</v>
      </c>
      <c r="U190" s="118" t="s">
        <v>676</v>
      </c>
      <c r="V190" s="118" t="s">
        <v>37</v>
      </c>
      <c r="W190" s="118" t="s">
        <v>64</v>
      </c>
      <c r="X190" s="129">
        <v>785</v>
      </c>
      <c r="Y190" s="121">
        <v>45962</v>
      </c>
      <c r="Z190" s="121">
        <v>45993</v>
      </c>
      <c r="AA190" s="118" t="s">
        <v>39</v>
      </c>
      <c r="AB190" s="118"/>
      <c r="AC190" s="126">
        <f t="shared" si="2"/>
        <v>0</v>
      </c>
    </row>
    <row r="191" spans="2:29" ht="45" customHeight="1" x14ac:dyDescent="0.25">
      <c r="B191" s="118">
        <v>188</v>
      </c>
      <c r="C191" s="118" t="s">
        <v>150</v>
      </c>
      <c r="D191" s="118" t="s">
        <v>117</v>
      </c>
      <c r="E191" s="118" t="s">
        <v>35</v>
      </c>
      <c r="F191" s="190" t="s">
        <v>677</v>
      </c>
      <c r="G191" s="118">
        <v>2224</v>
      </c>
      <c r="H191" s="118">
        <v>242</v>
      </c>
      <c r="I191" s="118" t="s">
        <v>340</v>
      </c>
      <c r="J191" s="118">
        <v>634</v>
      </c>
      <c r="K191" s="118">
        <v>91170</v>
      </c>
      <c r="L191" s="118">
        <v>5</v>
      </c>
      <c r="M191" s="118" t="s">
        <v>678</v>
      </c>
      <c r="N191" s="118"/>
      <c r="O191" s="118">
        <v>4299058</v>
      </c>
      <c r="P191" s="121">
        <v>45973</v>
      </c>
      <c r="Q191" s="118">
        <v>4415566</v>
      </c>
      <c r="R191" s="149">
        <v>8960</v>
      </c>
      <c r="S191" s="123"/>
      <c r="T191" s="132" t="s">
        <v>679</v>
      </c>
      <c r="U191" s="118"/>
      <c r="V191" s="118" t="s">
        <v>37</v>
      </c>
      <c r="W191" s="118" t="s">
        <v>38</v>
      </c>
      <c r="X191" s="129">
        <v>8960</v>
      </c>
      <c r="Y191" s="121">
        <v>45962</v>
      </c>
      <c r="Z191" s="121">
        <v>45993</v>
      </c>
      <c r="AA191" s="118" t="s">
        <v>39</v>
      </c>
      <c r="AB191" s="118"/>
      <c r="AC191" s="126">
        <f t="shared" si="2"/>
        <v>0</v>
      </c>
    </row>
    <row r="192" spans="2:29" ht="45" customHeight="1" x14ac:dyDescent="0.25">
      <c r="B192" s="118">
        <v>189</v>
      </c>
      <c r="C192" s="118" t="s">
        <v>150</v>
      </c>
      <c r="D192" s="118" t="s">
        <v>117</v>
      </c>
      <c r="E192" s="118" t="s">
        <v>35</v>
      </c>
      <c r="F192" s="190" t="s">
        <v>464</v>
      </c>
      <c r="G192" s="118">
        <v>2470</v>
      </c>
      <c r="H192" s="118">
        <v>242</v>
      </c>
      <c r="I192" s="118" t="s">
        <v>340</v>
      </c>
      <c r="J192" s="118">
        <v>339</v>
      </c>
      <c r="K192" s="118">
        <v>88117</v>
      </c>
      <c r="L192" s="118">
        <v>5</v>
      </c>
      <c r="M192" s="118" t="s">
        <v>680</v>
      </c>
      <c r="N192" s="118"/>
      <c r="O192" s="118">
        <v>4298985</v>
      </c>
      <c r="P192" s="121">
        <v>45973</v>
      </c>
      <c r="Q192" s="118">
        <v>4415564</v>
      </c>
      <c r="R192" s="149">
        <v>2985</v>
      </c>
      <c r="S192" s="123"/>
      <c r="T192" s="118">
        <v>377</v>
      </c>
      <c r="U192" s="118"/>
      <c r="V192" s="118" t="s">
        <v>71</v>
      </c>
      <c r="W192" s="118" t="s">
        <v>38</v>
      </c>
      <c r="X192" s="149">
        <v>2985</v>
      </c>
      <c r="Y192" s="121">
        <v>45978</v>
      </c>
      <c r="Z192" s="121">
        <v>45981</v>
      </c>
      <c r="AA192" s="118" t="s">
        <v>39</v>
      </c>
      <c r="AB192" s="118"/>
      <c r="AC192" s="126">
        <f t="shared" si="2"/>
        <v>0</v>
      </c>
    </row>
    <row r="193" spans="2:29" ht="45" customHeight="1" x14ac:dyDescent="0.25">
      <c r="B193" s="118">
        <v>190</v>
      </c>
      <c r="C193" s="118" t="s">
        <v>150</v>
      </c>
      <c r="D193" s="118" t="s">
        <v>117</v>
      </c>
      <c r="E193" s="118" t="s">
        <v>35</v>
      </c>
      <c r="F193" s="190" t="s">
        <v>681</v>
      </c>
      <c r="G193" s="118">
        <v>2488</v>
      </c>
      <c r="H193" s="118">
        <v>242</v>
      </c>
      <c r="I193" s="118" t="s">
        <v>340</v>
      </c>
      <c r="J193" s="118">
        <v>481</v>
      </c>
      <c r="K193" s="118">
        <v>91171</v>
      </c>
      <c r="L193" s="118">
        <v>5</v>
      </c>
      <c r="M193" s="118" t="s">
        <v>682</v>
      </c>
      <c r="N193" s="118"/>
      <c r="O193" s="118">
        <v>4298958</v>
      </c>
      <c r="P193" s="121">
        <v>45973</v>
      </c>
      <c r="Q193" s="118">
        <v>4415557</v>
      </c>
      <c r="R193" s="149">
        <v>985.75</v>
      </c>
      <c r="S193" s="123"/>
      <c r="T193" s="118">
        <v>382</v>
      </c>
      <c r="U193" s="118"/>
      <c r="V193" s="118" t="s">
        <v>71</v>
      </c>
      <c r="W193" s="118" t="s">
        <v>64</v>
      </c>
      <c r="X193" s="129">
        <v>985.75</v>
      </c>
      <c r="Y193" s="121">
        <v>45978</v>
      </c>
      <c r="Z193" s="121">
        <v>45981</v>
      </c>
      <c r="AA193" s="118" t="s">
        <v>39</v>
      </c>
      <c r="AB193" s="118"/>
      <c r="AC193" s="126">
        <f t="shared" si="2"/>
        <v>0</v>
      </c>
    </row>
    <row r="194" spans="2:29" ht="45" customHeight="1" x14ac:dyDescent="0.25">
      <c r="B194" s="118">
        <v>191</v>
      </c>
      <c r="C194" s="118" t="s">
        <v>150</v>
      </c>
      <c r="D194" s="118" t="s">
        <v>117</v>
      </c>
      <c r="E194" s="118" t="s">
        <v>35</v>
      </c>
      <c r="F194" s="190" t="s">
        <v>683</v>
      </c>
      <c r="G194" s="118">
        <v>2232</v>
      </c>
      <c r="H194" s="118">
        <v>242</v>
      </c>
      <c r="I194" s="118" t="s">
        <v>340</v>
      </c>
      <c r="J194" s="118">
        <v>478</v>
      </c>
      <c r="K194" s="118">
        <v>91179</v>
      </c>
      <c r="L194" s="118">
        <v>5</v>
      </c>
      <c r="M194" s="118" t="s">
        <v>684</v>
      </c>
      <c r="N194" s="118"/>
      <c r="O194" s="118">
        <v>4299065</v>
      </c>
      <c r="P194" s="121">
        <v>45973</v>
      </c>
      <c r="Q194" s="118">
        <v>4415567</v>
      </c>
      <c r="R194" s="149">
        <v>1985</v>
      </c>
      <c r="S194" s="123"/>
      <c r="T194" s="118">
        <v>379</v>
      </c>
      <c r="U194" s="118"/>
      <c r="V194" s="118" t="s">
        <v>37</v>
      </c>
      <c r="W194" s="118" t="s">
        <v>64</v>
      </c>
      <c r="X194" s="129">
        <v>1985</v>
      </c>
      <c r="Y194" s="121">
        <v>45978</v>
      </c>
      <c r="Z194" s="121">
        <v>45981</v>
      </c>
      <c r="AA194" s="118" t="s">
        <v>39</v>
      </c>
      <c r="AB194" s="118"/>
      <c r="AC194" s="126">
        <f t="shared" si="2"/>
        <v>0</v>
      </c>
    </row>
    <row r="195" spans="2:29" ht="45" customHeight="1" x14ac:dyDescent="0.25">
      <c r="B195" s="118">
        <v>192</v>
      </c>
      <c r="C195" s="118" t="s">
        <v>150</v>
      </c>
      <c r="D195" s="118" t="s">
        <v>117</v>
      </c>
      <c r="E195" s="118" t="s">
        <v>35</v>
      </c>
      <c r="F195" s="190" t="s">
        <v>685</v>
      </c>
      <c r="G195" s="118">
        <v>2224</v>
      </c>
      <c r="H195" s="118">
        <v>242</v>
      </c>
      <c r="I195" s="118" t="s">
        <v>340</v>
      </c>
      <c r="J195" s="118">
        <v>501</v>
      </c>
      <c r="K195" s="118">
        <v>91182</v>
      </c>
      <c r="L195" s="118">
        <v>5</v>
      </c>
      <c r="M195" s="118" t="s">
        <v>686</v>
      </c>
      <c r="N195" s="118"/>
      <c r="O195" s="118">
        <v>4299191</v>
      </c>
      <c r="P195" s="121">
        <v>45973</v>
      </c>
      <c r="Q195" s="118">
        <v>4415568</v>
      </c>
      <c r="R195" s="149">
        <v>1280</v>
      </c>
      <c r="S195" s="123"/>
      <c r="T195" s="118">
        <v>380</v>
      </c>
      <c r="U195" s="118"/>
      <c r="V195" s="118" t="s">
        <v>37</v>
      </c>
      <c r="W195" s="118" t="s">
        <v>64</v>
      </c>
      <c r="X195" s="149">
        <v>1280</v>
      </c>
      <c r="Y195" s="121">
        <v>45978</v>
      </c>
      <c r="Z195" s="121">
        <v>45981</v>
      </c>
      <c r="AA195" s="118" t="s">
        <v>39</v>
      </c>
      <c r="AB195" s="118"/>
      <c r="AC195" s="126">
        <f t="shared" si="2"/>
        <v>0</v>
      </c>
    </row>
    <row r="196" spans="2:29" ht="45" customHeight="1" x14ac:dyDescent="0.25">
      <c r="B196" s="118">
        <v>193</v>
      </c>
      <c r="C196" s="118" t="s">
        <v>150</v>
      </c>
      <c r="D196" s="118" t="s">
        <v>591</v>
      </c>
      <c r="E196" s="118">
        <v>40150</v>
      </c>
      <c r="F196" s="190" t="s">
        <v>687</v>
      </c>
      <c r="G196" s="118">
        <v>2291</v>
      </c>
      <c r="H196" s="118">
        <v>242</v>
      </c>
      <c r="I196" s="118" t="s">
        <v>340</v>
      </c>
      <c r="J196" s="118">
        <v>426</v>
      </c>
      <c r="K196" s="118">
        <v>91164</v>
      </c>
      <c r="L196" s="118">
        <v>6</v>
      </c>
      <c r="M196" s="118" t="s">
        <v>35</v>
      </c>
      <c r="N196" s="118"/>
      <c r="O196" s="118">
        <v>4299005</v>
      </c>
      <c r="P196" s="121">
        <v>45973</v>
      </c>
      <c r="Q196" s="118">
        <v>4413957</v>
      </c>
      <c r="R196" s="149">
        <v>2210</v>
      </c>
      <c r="S196" s="123"/>
      <c r="T196" s="118">
        <v>3210</v>
      </c>
      <c r="U196" s="118" t="s">
        <v>688</v>
      </c>
      <c r="V196" s="118" t="s">
        <v>37</v>
      </c>
      <c r="W196" s="118" t="s">
        <v>23</v>
      </c>
      <c r="X196" s="129">
        <v>2099.5</v>
      </c>
      <c r="Y196" s="121">
        <v>46001</v>
      </c>
      <c r="Z196" s="121">
        <v>46003</v>
      </c>
      <c r="AA196" s="118" t="s">
        <v>39</v>
      </c>
      <c r="AB196" s="118"/>
      <c r="AC196" s="126">
        <f t="shared" si="2"/>
        <v>110.5</v>
      </c>
    </row>
    <row r="197" spans="2:29" ht="45" customHeight="1" x14ac:dyDescent="0.25">
      <c r="B197" s="118">
        <v>194</v>
      </c>
      <c r="C197" s="118" t="s">
        <v>43</v>
      </c>
      <c r="D197" s="118" t="s">
        <v>107</v>
      </c>
      <c r="E197" s="118">
        <v>39919</v>
      </c>
      <c r="F197" s="190" t="s">
        <v>689</v>
      </c>
      <c r="G197" s="118">
        <v>2330</v>
      </c>
      <c r="H197" s="118">
        <v>242</v>
      </c>
      <c r="I197" s="118" t="s">
        <v>340</v>
      </c>
      <c r="J197" s="118">
        <v>419</v>
      </c>
      <c r="K197" s="118">
        <v>91288</v>
      </c>
      <c r="L197" s="118">
        <v>6</v>
      </c>
      <c r="M197" s="118" t="s">
        <v>35</v>
      </c>
      <c r="N197" s="118"/>
      <c r="O197" s="118">
        <v>4299199</v>
      </c>
      <c r="P197" s="121">
        <v>45973</v>
      </c>
      <c r="Q197" s="118">
        <v>4413962</v>
      </c>
      <c r="R197" s="149">
        <v>2050</v>
      </c>
      <c r="S197" s="123"/>
      <c r="T197" s="118">
        <v>3195</v>
      </c>
      <c r="U197" s="118" t="s">
        <v>690</v>
      </c>
      <c r="V197" s="118" t="s">
        <v>37</v>
      </c>
      <c r="W197" s="118" t="s">
        <v>23</v>
      </c>
      <c r="X197" s="159">
        <v>1988.5</v>
      </c>
      <c r="Y197" s="121">
        <v>45992</v>
      </c>
      <c r="Z197" s="121">
        <v>45993</v>
      </c>
      <c r="AA197" s="118" t="s">
        <v>39</v>
      </c>
      <c r="AB197" s="118"/>
      <c r="AC197" s="126">
        <f t="shared" si="2"/>
        <v>61.5</v>
      </c>
    </row>
    <row r="198" spans="2:29" ht="45" customHeight="1" x14ac:dyDescent="0.25">
      <c r="B198" s="118">
        <v>195</v>
      </c>
      <c r="C198" s="118" t="s">
        <v>186</v>
      </c>
      <c r="D198" s="118" t="s">
        <v>31</v>
      </c>
      <c r="E198" s="118" t="s">
        <v>35</v>
      </c>
      <c r="F198" s="169" t="s">
        <v>691</v>
      </c>
      <c r="G198" s="118">
        <v>2283</v>
      </c>
      <c r="H198" s="118">
        <v>242</v>
      </c>
      <c r="I198" s="118" t="s">
        <v>340</v>
      </c>
      <c r="J198" s="118">
        <v>94478</v>
      </c>
      <c r="K198" s="118">
        <v>91219</v>
      </c>
      <c r="L198" s="118">
        <v>5</v>
      </c>
      <c r="M198" s="118" t="s">
        <v>692</v>
      </c>
      <c r="N198" s="118"/>
      <c r="O198" s="118">
        <v>4299233</v>
      </c>
      <c r="P198" s="121">
        <v>45973</v>
      </c>
      <c r="Q198" s="118">
        <v>4415581</v>
      </c>
      <c r="R198" s="149">
        <v>3509.74</v>
      </c>
      <c r="S198" s="123"/>
      <c r="T198" s="118">
        <v>19677</v>
      </c>
      <c r="U198" s="118"/>
      <c r="V198" s="118" t="s">
        <v>37</v>
      </c>
      <c r="W198" s="118" t="s">
        <v>320</v>
      </c>
      <c r="X198" s="129">
        <v>3509.74</v>
      </c>
      <c r="Y198" s="121">
        <v>45992</v>
      </c>
      <c r="Z198" s="121">
        <v>45996</v>
      </c>
      <c r="AA198" s="118" t="s">
        <v>39</v>
      </c>
      <c r="AB198" s="118"/>
      <c r="AC198" s="126">
        <f t="shared" si="2"/>
        <v>0</v>
      </c>
    </row>
    <row r="199" spans="2:29" ht="45" customHeight="1" x14ac:dyDescent="0.25">
      <c r="B199" s="118">
        <v>196</v>
      </c>
      <c r="C199" s="118" t="s">
        <v>351</v>
      </c>
      <c r="D199" s="118" t="s">
        <v>693</v>
      </c>
      <c r="E199" s="118">
        <v>40196</v>
      </c>
      <c r="F199" s="169" t="s">
        <v>694</v>
      </c>
      <c r="G199" s="118">
        <v>1236</v>
      </c>
      <c r="H199" s="118">
        <v>242</v>
      </c>
      <c r="I199" s="118" t="s">
        <v>340</v>
      </c>
      <c r="J199" s="118">
        <v>244253</v>
      </c>
      <c r="K199" s="118">
        <v>89037</v>
      </c>
      <c r="L199" s="118">
        <v>6</v>
      </c>
      <c r="M199" s="118" t="s">
        <v>35</v>
      </c>
      <c r="N199" s="118" t="s">
        <v>35</v>
      </c>
      <c r="O199" s="118">
        <v>4299366</v>
      </c>
      <c r="P199" s="121">
        <v>45973</v>
      </c>
      <c r="Q199" s="118">
        <v>4413986</v>
      </c>
      <c r="R199" s="149">
        <v>7282.34</v>
      </c>
      <c r="S199" s="123"/>
      <c r="T199" s="136" t="s">
        <v>695</v>
      </c>
      <c r="U199" s="118" t="s">
        <v>696</v>
      </c>
      <c r="V199" s="118" t="s">
        <v>37</v>
      </c>
      <c r="W199" s="118" t="s">
        <v>64</v>
      </c>
      <c r="X199" s="149">
        <v>7282.34</v>
      </c>
      <c r="Y199" s="121">
        <v>45999</v>
      </c>
      <c r="Z199" s="121">
        <v>45999</v>
      </c>
      <c r="AA199" s="118" t="s">
        <v>39</v>
      </c>
      <c r="AB199" s="118"/>
      <c r="AC199" s="126">
        <f t="shared" si="2"/>
        <v>0</v>
      </c>
    </row>
    <row r="200" spans="2:29" ht="45" customHeight="1" x14ac:dyDescent="0.25">
      <c r="B200" s="118">
        <v>197</v>
      </c>
      <c r="C200" s="118" t="s">
        <v>43</v>
      </c>
      <c r="D200" s="118" t="s">
        <v>697</v>
      </c>
      <c r="E200" s="118">
        <v>40223</v>
      </c>
      <c r="F200" s="169" t="s">
        <v>698</v>
      </c>
      <c r="G200" s="118">
        <v>2488</v>
      </c>
      <c r="H200" s="118">
        <v>242</v>
      </c>
      <c r="I200" s="118" t="s">
        <v>340</v>
      </c>
      <c r="J200" s="118">
        <v>15203</v>
      </c>
      <c r="K200" s="118">
        <v>91312</v>
      </c>
      <c r="L200" s="118">
        <v>6</v>
      </c>
      <c r="M200" s="118"/>
      <c r="N200" s="118"/>
      <c r="O200" s="118">
        <v>4299409</v>
      </c>
      <c r="P200" s="121">
        <v>45973</v>
      </c>
      <c r="Q200" s="118">
        <v>4419988</v>
      </c>
      <c r="R200" s="149">
        <v>3800</v>
      </c>
      <c r="S200" s="123"/>
      <c r="T200" s="118">
        <v>2759</v>
      </c>
      <c r="U200" s="118" t="s">
        <v>699</v>
      </c>
      <c r="V200" s="118" t="s">
        <v>37</v>
      </c>
      <c r="W200" s="118" t="s">
        <v>23</v>
      </c>
      <c r="X200" s="129">
        <v>3800</v>
      </c>
      <c r="Y200" s="121">
        <v>45995</v>
      </c>
      <c r="Z200" s="121">
        <v>46000</v>
      </c>
      <c r="AA200" s="118" t="s">
        <v>39</v>
      </c>
      <c r="AB200" s="118"/>
      <c r="AC200" s="126">
        <f t="shared" si="2"/>
        <v>0</v>
      </c>
    </row>
    <row r="201" spans="2:29" ht="45" customHeight="1" x14ac:dyDescent="0.25">
      <c r="B201" s="118">
        <v>198</v>
      </c>
      <c r="C201" s="118" t="s">
        <v>529</v>
      </c>
      <c r="D201" s="118" t="s">
        <v>700</v>
      </c>
      <c r="E201" s="118">
        <v>39323</v>
      </c>
      <c r="F201" s="169" t="s">
        <v>701</v>
      </c>
      <c r="G201" s="118">
        <v>1244</v>
      </c>
      <c r="H201" s="118">
        <v>242</v>
      </c>
      <c r="I201" s="118" t="s">
        <v>340</v>
      </c>
      <c r="J201" s="118">
        <v>214085</v>
      </c>
      <c r="K201" s="118">
        <v>91397</v>
      </c>
      <c r="L201" s="118">
        <v>6</v>
      </c>
      <c r="M201" s="118"/>
      <c r="N201" s="118"/>
      <c r="O201" s="118">
        <v>4299447</v>
      </c>
      <c r="P201" s="121">
        <v>45973</v>
      </c>
      <c r="Q201" s="118">
        <v>4414004</v>
      </c>
      <c r="R201" s="149">
        <v>2288</v>
      </c>
      <c r="S201" s="123"/>
      <c r="T201" s="118"/>
      <c r="U201" s="118"/>
      <c r="V201" s="154"/>
      <c r="W201" s="154"/>
      <c r="X201" s="143"/>
      <c r="Y201" s="121"/>
      <c r="Z201" s="121"/>
      <c r="AA201" s="118" t="s">
        <v>48</v>
      </c>
      <c r="AB201" s="118"/>
      <c r="AC201" s="126">
        <f t="shared" ref="AC201:AC242" si="3">R201-X201</f>
        <v>2288</v>
      </c>
    </row>
    <row r="202" spans="2:29" ht="45" customHeight="1" x14ac:dyDescent="0.2">
      <c r="B202" s="118">
        <v>199</v>
      </c>
      <c r="C202" s="154" t="s">
        <v>561</v>
      </c>
      <c r="D202" s="154" t="s">
        <v>624</v>
      </c>
      <c r="E202" s="118">
        <v>40561</v>
      </c>
      <c r="F202" s="191" t="s">
        <v>702</v>
      </c>
      <c r="G202" s="154">
        <v>5525</v>
      </c>
      <c r="H202" s="154">
        <v>242</v>
      </c>
      <c r="I202" s="154" t="s">
        <v>340</v>
      </c>
      <c r="J202" s="154">
        <v>424</v>
      </c>
      <c r="K202" s="154">
        <v>91341</v>
      </c>
      <c r="L202" s="154">
        <v>6</v>
      </c>
      <c r="M202" s="154"/>
      <c r="N202" s="154"/>
      <c r="O202" s="154">
        <v>4299464</v>
      </c>
      <c r="P202" s="163">
        <v>45973</v>
      </c>
      <c r="Q202" s="118">
        <v>4413972</v>
      </c>
      <c r="R202" s="164">
        <v>1950</v>
      </c>
      <c r="S202" s="165"/>
      <c r="T202" s="154">
        <v>3190</v>
      </c>
      <c r="U202" s="156" t="s">
        <v>703</v>
      </c>
      <c r="V202" s="118" t="s">
        <v>37</v>
      </c>
      <c r="W202" s="118" t="s">
        <v>23</v>
      </c>
      <c r="X202" s="129">
        <v>1852.5</v>
      </c>
      <c r="Y202" s="167">
        <v>45992</v>
      </c>
      <c r="Z202" s="163">
        <v>45996</v>
      </c>
      <c r="AA202" s="118" t="s">
        <v>39</v>
      </c>
      <c r="AB202" s="154"/>
      <c r="AC202" s="126">
        <f t="shared" si="3"/>
        <v>97.5</v>
      </c>
    </row>
    <row r="203" spans="2:29" ht="45" customHeight="1" x14ac:dyDescent="0.25">
      <c r="B203" s="118">
        <v>200</v>
      </c>
      <c r="C203" s="118" t="s">
        <v>150</v>
      </c>
      <c r="D203" s="118" t="s">
        <v>117</v>
      </c>
      <c r="E203" s="118" t="s">
        <v>35</v>
      </c>
      <c r="F203" s="190" t="s">
        <v>704</v>
      </c>
      <c r="G203" s="118">
        <v>2232</v>
      </c>
      <c r="H203" s="118">
        <v>242</v>
      </c>
      <c r="I203" s="118" t="s">
        <v>340</v>
      </c>
      <c r="J203" s="118">
        <v>566</v>
      </c>
      <c r="K203" s="118">
        <v>88105</v>
      </c>
      <c r="L203" s="118">
        <v>5</v>
      </c>
      <c r="M203" s="118" t="s">
        <v>705</v>
      </c>
      <c r="N203" s="118"/>
      <c r="O203" s="118">
        <v>4299480</v>
      </c>
      <c r="P203" s="121">
        <v>45973</v>
      </c>
      <c r="Q203" s="118">
        <v>4415575</v>
      </c>
      <c r="R203" s="149">
        <v>695</v>
      </c>
      <c r="S203" s="123"/>
      <c r="T203" s="118">
        <v>381</v>
      </c>
      <c r="U203" s="118"/>
      <c r="V203" s="158" t="s">
        <v>37</v>
      </c>
      <c r="W203" s="158" t="s">
        <v>64</v>
      </c>
      <c r="X203" s="145">
        <v>695</v>
      </c>
      <c r="Y203" s="121">
        <v>45978</v>
      </c>
      <c r="Z203" s="121">
        <v>45981</v>
      </c>
      <c r="AA203" s="118" t="s">
        <v>39</v>
      </c>
      <c r="AB203" s="118"/>
      <c r="AC203" s="126">
        <f t="shared" si="3"/>
        <v>0</v>
      </c>
    </row>
    <row r="204" spans="2:29" ht="45" customHeight="1" x14ac:dyDescent="0.25">
      <c r="B204" s="118">
        <v>201</v>
      </c>
      <c r="C204" s="118" t="s">
        <v>300</v>
      </c>
      <c r="D204" s="118" t="s">
        <v>107</v>
      </c>
      <c r="E204" s="118">
        <v>39795</v>
      </c>
      <c r="F204" s="190" t="s">
        <v>706</v>
      </c>
      <c r="G204" s="118">
        <v>4600</v>
      </c>
      <c r="H204" s="118">
        <v>242</v>
      </c>
      <c r="I204" s="118" t="s">
        <v>188</v>
      </c>
      <c r="J204" s="118">
        <v>413</v>
      </c>
      <c r="K204" s="118">
        <v>89927</v>
      </c>
      <c r="L204" s="118">
        <v>6</v>
      </c>
      <c r="M204" s="118" t="s">
        <v>35</v>
      </c>
      <c r="N204" s="118" t="s">
        <v>35</v>
      </c>
      <c r="O204" s="118">
        <v>4300333</v>
      </c>
      <c r="P204" s="121">
        <v>45974</v>
      </c>
      <c r="Q204" s="118">
        <v>4416477</v>
      </c>
      <c r="R204" s="149">
        <v>1560</v>
      </c>
      <c r="S204" s="123">
        <v>46001</v>
      </c>
      <c r="T204" s="118">
        <v>3198</v>
      </c>
      <c r="U204" s="118" t="s">
        <v>707</v>
      </c>
      <c r="V204" s="166" t="s">
        <v>37</v>
      </c>
      <c r="W204" s="166" t="s">
        <v>23</v>
      </c>
      <c r="X204" s="129">
        <v>1482</v>
      </c>
      <c r="Y204" s="121">
        <v>45992</v>
      </c>
      <c r="Z204" s="121">
        <v>45996</v>
      </c>
      <c r="AA204" s="118" t="s">
        <v>39</v>
      </c>
      <c r="AB204" s="118"/>
      <c r="AC204" s="126">
        <f t="shared" si="3"/>
        <v>78</v>
      </c>
    </row>
    <row r="205" spans="2:29" ht="45" customHeight="1" x14ac:dyDescent="0.25">
      <c r="B205" s="118">
        <v>202</v>
      </c>
      <c r="C205" s="118" t="s">
        <v>43</v>
      </c>
      <c r="D205" s="118" t="s">
        <v>624</v>
      </c>
      <c r="E205" s="118">
        <v>40562</v>
      </c>
      <c r="F205" s="190" t="s">
        <v>708</v>
      </c>
      <c r="G205" s="118">
        <v>2224</v>
      </c>
      <c r="H205" s="118">
        <v>242</v>
      </c>
      <c r="I205" s="118" t="s">
        <v>340</v>
      </c>
      <c r="J205" s="118">
        <v>431</v>
      </c>
      <c r="K205" s="118">
        <v>91597</v>
      </c>
      <c r="L205" s="118">
        <v>6</v>
      </c>
      <c r="M205" s="118"/>
      <c r="N205" s="118"/>
      <c r="O205" s="118">
        <v>4300441</v>
      </c>
      <c r="P205" s="121">
        <v>45974</v>
      </c>
      <c r="Q205" s="118">
        <v>4416482</v>
      </c>
      <c r="R205" s="149">
        <v>3480</v>
      </c>
      <c r="S205" s="123">
        <v>46001</v>
      </c>
      <c r="T205" s="118"/>
      <c r="U205" s="118"/>
      <c r="V205" s="118"/>
      <c r="W205" s="118"/>
      <c r="X205" s="143"/>
      <c r="Y205" s="121"/>
      <c r="Z205" s="121"/>
      <c r="AA205" s="118" t="s">
        <v>48</v>
      </c>
      <c r="AB205" s="118"/>
      <c r="AC205" s="126">
        <f t="shared" si="3"/>
        <v>3480</v>
      </c>
    </row>
    <row r="206" spans="2:29" ht="45" customHeight="1" x14ac:dyDescent="0.25">
      <c r="B206" s="118">
        <v>203</v>
      </c>
      <c r="C206" s="118" t="s">
        <v>150</v>
      </c>
      <c r="D206" s="118" t="s">
        <v>624</v>
      </c>
      <c r="E206" s="118">
        <v>40563</v>
      </c>
      <c r="F206" s="190" t="s">
        <v>709</v>
      </c>
      <c r="G206" s="118">
        <v>2224</v>
      </c>
      <c r="H206" s="118">
        <v>242</v>
      </c>
      <c r="I206" s="118" t="s">
        <v>340</v>
      </c>
      <c r="J206" s="118">
        <v>425</v>
      </c>
      <c r="K206" s="118">
        <v>91419</v>
      </c>
      <c r="L206" s="118">
        <v>6</v>
      </c>
      <c r="M206" s="118"/>
      <c r="N206" s="118"/>
      <c r="O206" s="118">
        <v>4300459</v>
      </c>
      <c r="P206" s="121">
        <v>45974</v>
      </c>
      <c r="Q206" s="118">
        <v>4416484</v>
      </c>
      <c r="R206" s="149">
        <v>8885</v>
      </c>
      <c r="S206" s="123">
        <v>45992</v>
      </c>
      <c r="T206" s="118">
        <v>3197</v>
      </c>
      <c r="U206" s="118" t="s">
        <v>710</v>
      </c>
      <c r="V206" s="118" t="s">
        <v>37</v>
      </c>
      <c r="W206" s="146" t="s">
        <v>23</v>
      </c>
      <c r="X206" s="129">
        <v>8440.75</v>
      </c>
      <c r="Y206" s="144">
        <v>45992</v>
      </c>
      <c r="Z206" s="121">
        <v>45996</v>
      </c>
      <c r="AA206" s="118" t="s">
        <v>39</v>
      </c>
      <c r="AB206" s="118"/>
      <c r="AC206" s="126">
        <f t="shared" si="3"/>
        <v>444.25</v>
      </c>
    </row>
    <row r="207" spans="2:29" ht="45" customHeight="1" x14ac:dyDescent="0.25">
      <c r="B207" s="118">
        <v>204</v>
      </c>
      <c r="C207" s="118" t="s">
        <v>150</v>
      </c>
      <c r="D207" s="118" t="s">
        <v>107</v>
      </c>
      <c r="E207" s="118">
        <v>40293</v>
      </c>
      <c r="F207" s="190" t="s">
        <v>711</v>
      </c>
      <c r="G207" s="118">
        <v>2232</v>
      </c>
      <c r="H207" s="118">
        <v>242</v>
      </c>
      <c r="I207" s="118" t="s">
        <v>340</v>
      </c>
      <c r="J207" s="118">
        <v>429</v>
      </c>
      <c r="K207" s="118">
        <v>91727</v>
      </c>
      <c r="L207" s="118">
        <v>6</v>
      </c>
      <c r="M207" s="118"/>
      <c r="N207" s="118"/>
      <c r="O207" s="118">
        <v>4300581</v>
      </c>
      <c r="P207" s="121">
        <v>45974</v>
      </c>
      <c r="Q207" s="118">
        <v>4416486</v>
      </c>
      <c r="R207" s="149">
        <v>1180</v>
      </c>
      <c r="S207" s="123">
        <v>45992</v>
      </c>
      <c r="T207" s="118">
        <v>3193</v>
      </c>
      <c r="U207" s="118" t="s">
        <v>712</v>
      </c>
      <c r="V207" s="118" t="s">
        <v>37</v>
      </c>
      <c r="W207" s="146" t="s">
        <v>23</v>
      </c>
      <c r="X207" s="145">
        <v>1121</v>
      </c>
      <c r="Y207" s="121">
        <v>45992</v>
      </c>
      <c r="Z207" s="121">
        <v>45996</v>
      </c>
      <c r="AA207" s="118" t="s">
        <v>39</v>
      </c>
      <c r="AB207" s="118"/>
      <c r="AC207" s="126">
        <f t="shared" si="3"/>
        <v>59</v>
      </c>
    </row>
    <row r="208" spans="2:29" ht="45" customHeight="1" x14ac:dyDescent="0.25">
      <c r="B208" s="118">
        <v>205</v>
      </c>
      <c r="C208" s="118" t="s">
        <v>292</v>
      </c>
      <c r="D208" s="118" t="s">
        <v>54</v>
      </c>
      <c r="E208" s="118" t="s">
        <v>35</v>
      </c>
      <c r="F208" s="169" t="s">
        <v>713</v>
      </c>
      <c r="G208" s="118" t="s">
        <v>714</v>
      </c>
      <c r="H208" s="118">
        <v>5</v>
      </c>
      <c r="I208" s="118" t="s">
        <v>188</v>
      </c>
      <c r="J208" s="118" t="s">
        <v>540</v>
      </c>
      <c r="K208" s="118">
        <v>91149</v>
      </c>
      <c r="L208" s="118">
        <v>2</v>
      </c>
      <c r="M208" s="118" t="s">
        <v>715</v>
      </c>
      <c r="N208" s="118" t="s">
        <v>35</v>
      </c>
      <c r="O208" s="118">
        <v>4301497</v>
      </c>
      <c r="P208" s="121">
        <v>45975</v>
      </c>
      <c r="Q208" s="118">
        <v>4418371</v>
      </c>
      <c r="R208" s="149">
        <v>63500</v>
      </c>
      <c r="S208" s="123">
        <v>45962</v>
      </c>
      <c r="T208" s="132" t="s">
        <v>716</v>
      </c>
      <c r="U208" s="118"/>
      <c r="V208" s="118" t="s">
        <v>71</v>
      </c>
      <c r="W208" s="118" t="s">
        <v>320</v>
      </c>
      <c r="X208" s="129">
        <v>19428</v>
      </c>
      <c r="Y208" s="121">
        <v>45992</v>
      </c>
      <c r="Z208" s="121">
        <v>45994</v>
      </c>
      <c r="AA208" s="118" t="s">
        <v>262</v>
      </c>
      <c r="AB208" s="118"/>
      <c r="AC208" s="168">
        <v>19698</v>
      </c>
    </row>
    <row r="209" spans="2:29" ht="45" customHeight="1" x14ac:dyDescent="0.25">
      <c r="B209" s="118">
        <v>206</v>
      </c>
      <c r="C209" s="118" t="s">
        <v>43</v>
      </c>
      <c r="D209" s="118" t="s">
        <v>717</v>
      </c>
      <c r="E209" s="118">
        <v>40636</v>
      </c>
      <c r="F209" s="169" t="s">
        <v>718</v>
      </c>
      <c r="G209" s="118">
        <v>2224</v>
      </c>
      <c r="H209" s="118">
        <v>242</v>
      </c>
      <c r="I209" s="118" t="s">
        <v>188</v>
      </c>
      <c r="J209" s="118" t="s">
        <v>719</v>
      </c>
      <c r="K209" s="118">
        <v>91596</v>
      </c>
      <c r="L209" s="118">
        <v>6</v>
      </c>
      <c r="M209" s="118" t="s">
        <v>35</v>
      </c>
      <c r="N209" s="118" t="s">
        <v>35</v>
      </c>
      <c r="O209" s="118">
        <v>4301685</v>
      </c>
      <c r="P209" s="121">
        <v>45975</v>
      </c>
      <c r="Q209" s="118">
        <v>4416585</v>
      </c>
      <c r="R209" s="149">
        <v>15821.17</v>
      </c>
      <c r="S209" s="123">
        <v>45992</v>
      </c>
      <c r="T209" s="118">
        <v>1618</v>
      </c>
      <c r="U209" s="118"/>
      <c r="V209" s="118" t="s">
        <v>125</v>
      </c>
      <c r="W209" s="118" t="s">
        <v>720</v>
      </c>
      <c r="X209" s="129">
        <v>15346.53</v>
      </c>
      <c r="Y209" s="121">
        <v>46003</v>
      </c>
      <c r="Z209" s="121"/>
      <c r="AA209" s="118" t="s">
        <v>336</v>
      </c>
      <c r="AB209" s="118" t="s">
        <v>721</v>
      </c>
      <c r="AC209" s="126">
        <f t="shared" si="3"/>
        <v>474.63999999999942</v>
      </c>
    </row>
    <row r="210" spans="2:29" ht="45" customHeight="1" x14ac:dyDescent="0.25">
      <c r="B210" s="118">
        <v>207</v>
      </c>
      <c r="C210" s="118" t="s">
        <v>247</v>
      </c>
      <c r="D210" s="118" t="s">
        <v>722</v>
      </c>
      <c r="E210" s="118" t="s">
        <v>35</v>
      </c>
      <c r="F210" s="169" t="s">
        <v>723</v>
      </c>
      <c r="G210" s="118">
        <v>2151</v>
      </c>
      <c r="H210" s="118">
        <v>242</v>
      </c>
      <c r="I210" s="118" t="s">
        <v>354</v>
      </c>
      <c r="J210" s="118">
        <v>1291</v>
      </c>
      <c r="K210" s="118">
        <v>91694</v>
      </c>
      <c r="L210" s="118">
        <v>2</v>
      </c>
      <c r="M210" s="118" t="s">
        <v>724</v>
      </c>
      <c r="N210" s="118" t="s">
        <v>35</v>
      </c>
      <c r="O210" s="118">
        <v>4301709</v>
      </c>
      <c r="P210" s="121">
        <v>45975</v>
      </c>
      <c r="Q210" s="118">
        <v>4416677</v>
      </c>
      <c r="R210" s="149">
        <v>10340</v>
      </c>
      <c r="S210" s="123">
        <v>45981</v>
      </c>
      <c r="T210" s="118">
        <v>17359</v>
      </c>
      <c r="U210" s="118"/>
      <c r="V210" s="118" t="s">
        <v>460</v>
      </c>
      <c r="W210" s="118" t="s">
        <v>38</v>
      </c>
      <c r="X210" s="129">
        <v>8120</v>
      </c>
      <c r="Y210" s="121">
        <v>45994</v>
      </c>
      <c r="Z210" s="121">
        <v>45996</v>
      </c>
      <c r="AA210" s="118" t="s">
        <v>154</v>
      </c>
      <c r="AB210" s="118" t="s">
        <v>725</v>
      </c>
      <c r="AC210" s="126">
        <f t="shared" si="3"/>
        <v>2220</v>
      </c>
    </row>
    <row r="211" spans="2:29" ht="45" customHeight="1" x14ac:dyDescent="0.25">
      <c r="B211" s="118">
        <v>208</v>
      </c>
      <c r="C211" s="118" t="s">
        <v>300</v>
      </c>
      <c r="D211" s="118" t="s">
        <v>659</v>
      </c>
      <c r="E211" s="118" t="s">
        <v>35</v>
      </c>
      <c r="F211" s="169" t="s">
        <v>726</v>
      </c>
      <c r="G211" s="118">
        <v>5345</v>
      </c>
      <c r="H211" s="118">
        <v>242</v>
      </c>
      <c r="I211" s="118" t="s">
        <v>188</v>
      </c>
      <c r="J211" s="118">
        <v>22</v>
      </c>
      <c r="K211" s="118">
        <v>26751</v>
      </c>
      <c r="L211" s="118">
        <v>19</v>
      </c>
      <c r="M211" s="118" t="s">
        <v>35</v>
      </c>
      <c r="N211" s="118" t="s">
        <v>35</v>
      </c>
      <c r="O211" s="118">
        <v>3857992</v>
      </c>
      <c r="P211" s="121">
        <v>45902</v>
      </c>
      <c r="Q211" s="118">
        <v>3993405</v>
      </c>
      <c r="R211" s="149">
        <v>67000</v>
      </c>
      <c r="S211" s="123" t="s">
        <v>35</v>
      </c>
      <c r="T211" s="118">
        <v>327</v>
      </c>
      <c r="U211" s="118" t="s">
        <v>35</v>
      </c>
      <c r="V211" s="118" t="s">
        <v>71</v>
      </c>
      <c r="W211" s="118" t="s">
        <v>23</v>
      </c>
      <c r="X211" s="129">
        <v>11166.66</v>
      </c>
      <c r="Y211" s="121">
        <v>45973</v>
      </c>
      <c r="Z211" s="121">
        <v>45975</v>
      </c>
      <c r="AA211" s="118" t="s">
        <v>262</v>
      </c>
      <c r="AB211" s="118"/>
      <c r="AC211" s="126">
        <v>2365.0300000000002</v>
      </c>
    </row>
    <row r="212" spans="2:29" ht="45" customHeight="1" x14ac:dyDescent="0.25">
      <c r="B212" s="118">
        <v>209</v>
      </c>
      <c r="C212" s="118" t="s">
        <v>247</v>
      </c>
      <c r="D212" s="118" t="s">
        <v>727</v>
      </c>
      <c r="E212" s="118" t="s">
        <v>35</v>
      </c>
      <c r="F212" s="169" t="s">
        <v>723</v>
      </c>
      <c r="G212" s="118">
        <v>2151</v>
      </c>
      <c r="H212" s="118">
        <v>242</v>
      </c>
      <c r="I212" s="118" t="s">
        <v>340</v>
      </c>
      <c r="J212" s="118">
        <v>1291</v>
      </c>
      <c r="K212" s="118">
        <v>91694</v>
      </c>
      <c r="L212" s="118">
        <v>2</v>
      </c>
      <c r="M212" s="118" t="s">
        <v>728</v>
      </c>
      <c r="N212" s="118" t="s">
        <v>35</v>
      </c>
      <c r="O212" s="118">
        <v>4302328</v>
      </c>
      <c r="P212" s="121">
        <v>45977</v>
      </c>
      <c r="Q212" s="118"/>
      <c r="R212" s="149">
        <v>10340</v>
      </c>
      <c r="S212" s="123" t="s">
        <v>35</v>
      </c>
      <c r="T212" s="118"/>
      <c r="U212" s="118"/>
      <c r="V212" s="118"/>
      <c r="W212" s="118"/>
      <c r="X212" s="129"/>
      <c r="Y212" s="121"/>
      <c r="Z212" s="121"/>
      <c r="AA212" s="118" t="s">
        <v>160</v>
      </c>
      <c r="AB212" s="158" t="s">
        <v>729</v>
      </c>
      <c r="AC212" s="168">
        <f>R212-X212</f>
        <v>10340</v>
      </c>
    </row>
    <row r="213" spans="2:29" ht="45" customHeight="1" x14ac:dyDescent="0.25">
      <c r="B213" s="118">
        <v>210</v>
      </c>
      <c r="C213" s="118" t="s">
        <v>106</v>
      </c>
      <c r="D213" s="118" t="s">
        <v>107</v>
      </c>
      <c r="E213" s="118">
        <v>40604</v>
      </c>
      <c r="F213" s="190" t="s">
        <v>730</v>
      </c>
      <c r="G213" s="118">
        <v>2488</v>
      </c>
      <c r="H213" s="118">
        <v>242</v>
      </c>
      <c r="I213" s="118" t="s">
        <v>340</v>
      </c>
      <c r="J213" s="118">
        <v>428</v>
      </c>
      <c r="K213" s="118">
        <v>91957</v>
      </c>
      <c r="L213" s="118">
        <v>6</v>
      </c>
      <c r="M213" s="118" t="s">
        <v>35</v>
      </c>
      <c r="N213" s="118" t="s">
        <v>35</v>
      </c>
      <c r="O213" s="118">
        <v>4302329</v>
      </c>
      <c r="P213" s="121">
        <v>45977</v>
      </c>
      <c r="Q213" s="118">
        <v>4416580</v>
      </c>
      <c r="R213" s="149">
        <v>1790</v>
      </c>
      <c r="S213" s="123">
        <v>45996</v>
      </c>
      <c r="T213" s="118">
        <v>3219</v>
      </c>
      <c r="U213" s="118"/>
      <c r="V213" s="118" t="s">
        <v>125</v>
      </c>
      <c r="W213" s="118" t="s">
        <v>23</v>
      </c>
      <c r="X213" s="129">
        <v>1700.5</v>
      </c>
      <c r="Y213" s="121">
        <v>46023</v>
      </c>
      <c r="Z213" s="121">
        <v>46029</v>
      </c>
      <c r="AA213" s="118" t="s">
        <v>39</v>
      </c>
      <c r="AB213" s="118"/>
      <c r="AC213" s="168">
        <f>R213-X213</f>
        <v>89.5</v>
      </c>
    </row>
    <row r="214" spans="2:29" ht="45" customHeight="1" x14ac:dyDescent="0.25">
      <c r="B214" s="118">
        <v>211</v>
      </c>
      <c r="C214" s="118" t="s">
        <v>43</v>
      </c>
      <c r="D214" s="118" t="s">
        <v>117</v>
      </c>
      <c r="E214" s="118" t="s">
        <v>35</v>
      </c>
      <c r="F214" s="190" t="s">
        <v>731</v>
      </c>
      <c r="G214" s="118">
        <v>4057</v>
      </c>
      <c r="H214" s="118">
        <v>242</v>
      </c>
      <c r="I214" s="118" t="s">
        <v>340</v>
      </c>
      <c r="J214" s="118">
        <v>675</v>
      </c>
      <c r="K214" s="118">
        <v>91702</v>
      </c>
      <c r="L214" s="118">
        <v>5</v>
      </c>
      <c r="M214" s="118" t="s">
        <v>732</v>
      </c>
      <c r="N214" s="118" t="s">
        <v>35</v>
      </c>
      <c r="O214" s="118">
        <v>4302330</v>
      </c>
      <c r="P214" s="121">
        <v>45977</v>
      </c>
      <c r="Q214" s="118">
        <v>4417893</v>
      </c>
      <c r="R214" s="149">
        <v>2244</v>
      </c>
      <c r="S214" s="123" t="s">
        <v>35</v>
      </c>
      <c r="T214" s="118">
        <v>404</v>
      </c>
      <c r="U214" s="118" t="s">
        <v>35</v>
      </c>
      <c r="V214" s="118" t="s">
        <v>71</v>
      </c>
      <c r="W214" s="118" t="s">
        <v>38</v>
      </c>
      <c r="X214" s="129">
        <v>2244</v>
      </c>
      <c r="Y214" s="121">
        <v>45982</v>
      </c>
      <c r="Z214" s="121">
        <v>45986</v>
      </c>
      <c r="AA214" s="118" t="s">
        <v>39</v>
      </c>
      <c r="AB214" s="118"/>
      <c r="AC214" s="126">
        <f t="shared" si="3"/>
        <v>0</v>
      </c>
    </row>
    <row r="215" spans="2:29" ht="45" customHeight="1" x14ac:dyDescent="0.25">
      <c r="B215" s="118">
        <v>212</v>
      </c>
      <c r="C215" s="118" t="s">
        <v>292</v>
      </c>
      <c r="D215" s="118" t="s">
        <v>429</v>
      </c>
      <c r="E215" s="118" t="s">
        <v>35</v>
      </c>
      <c r="F215" s="169" t="s">
        <v>324</v>
      </c>
      <c r="G215" s="118" t="s">
        <v>733</v>
      </c>
      <c r="H215" s="118">
        <v>5</v>
      </c>
      <c r="I215" s="118" t="s">
        <v>354</v>
      </c>
      <c r="J215" s="118" t="s">
        <v>540</v>
      </c>
      <c r="K215" s="118">
        <v>91141</v>
      </c>
      <c r="L215" s="118">
        <v>2</v>
      </c>
      <c r="M215" s="118" t="s">
        <v>734</v>
      </c>
      <c r="N215" s="118" t="s">
        <v>35</v>
      </c>
      <c r="O215" s="118">
        <v>4303124</v>
      </c>
      <c r="P215" s="121">
        <v>45978</v>
      </c>
      <c r="Q215" s="118">
        <v>4421700</v>
      </c>
      <c r="R215" s="149">
        <v>67802.399999999994</v>
      </c>
      <c r="S215" s="123">
        <v>45985</v>
      </c>
      <c r="T215" s="118">
        <v>45</v>
      </c>
      <c r="U215" s="118"/>
      <c r="V215" s="118" t="s">
        <v>86</v>
      </c>
      <c r="W215" s="118" t="s">
        <v>23</v>
      </c>
      <c r="X215" s="129">
        <v>67802.399999999994</v>
      </c>
      <c r="Y215" s="121">
        <v>46024</v>
      </c>
      <c r="Z215" s="121">
        <v>46028</v>
      </c>
      <c r="AA215" s="118" t="s">
        <v>39</v>
      </c>
      <c r="AB215" s="118"/>
      <c r="AC215" s="126">
        <f t="shared" si="3"/>
        <v>0</v>
      </c>
    </row>
    <row r="216" spans="2:29" ht="45" customHeight="1" x14ac:dyDescent="0.25">
      <c r="B216" s="118">
        <v>213</v>
      </c>
      <c r="C216" s="118" t="s">
        <v>351</v>
      </c>
      <c r="D216" s="118" t="s">
        <v>499</v>
      </c>
      <c r="E216" s="118">
        <v>40136</v>
      </c>
      <c r="F216" s="169" t="s">
        <v>735</v>
      </c>
      <c r="G216" s="118">
        <v>1295</v>
      </c>
      <c r="H216" s="118">
        <v>242</v>
      </c>
      <c r="I216" s="118" t="s">
        <v>354</v>
      </c>
      <c r="J216" s="118">
        <v>20824501</v>
      </c>
      <c r="K216" s="118">
        <v>89935</v>
      </c>
      <c r="L216" s="118">
        <v>6</v>
      </c>
      <c r="M216" s="118" t="s">
        <v>35</v>
      </c>
      <c r="N216" s="118" t="s">
        <v>35</v>
      </c>
      <c r="O216" s="118">
        <v>4303417</v>
      </c>
      <c r="P216" s="121">
        <v>45978</v>
      </c>
      <c r="Q216" s="118">
        <v>4422324</v>
      </c>
      <c r="R216" s="149">
        <v>5024.67</v>
      </c>
      <c r="S216" s="123">
        <v>45989</v>
      </c>
      <c r="T216" s="118"/>
      <c r="U216" s="118"/>
      <c r="V216" s="118"/>
      <c r="W216" s="118"/>
      <c r="X216" s="129"/>
      <c r="Y216" s="121"/>
      <c r="Z216" s="121"/>
      <c r="AA216" s="118" t="s">
        <v>48</v>
      </c>
      <c r="AB216" s="118"/>
      <c r="AC216" s="126">
        <f t="shared" si="3"/>
        <v>5024.67</v>
      </c>
    </row>
    <row r="217" spans="2:29" ht="45" customHeight="1" x14ac:dyDescent="0.25">
      <c r="B217" s="118">
        <v>214</v>
      </c>
      <c r="C217" s="118" t="s">
        <v>292</v>
      </c>
      <c r="D217" s="118" t="s">
        <v>736</v>
      </c>
      <c r="E217" s="118" t="s">
        <v>35</v>
      </c>
      <c r="F217" s="169" t="s">
        <v>328</v>
      </c>
      <c r="G217" s="118">
        <v>4472</v>
      </c>
      <c r="H217" s="118">
        <v>5</v>
      </c>
      <c r="I217" s="118" t="s">
        <v>354</v>
      </c>
      <c r="J217" s="118">
        <v>797</v>
      </c>
      <c r="K217" s="118">
        <v>91925</v>
      </c>
      <c r="L217" s="118">
        <v>29</v>
      </c>
      <c r="M217" s="118" t="s">
        <v>737</v>
      </c>
      <c r="N217" s="118" t="s">
        <v>35</v>
      </c>
      <c r="O217" s="118">
        <v>4303197</v>
      </c>
      <c r="P217" s="121">
        <v>45978</v>
      </c>
      <c r="Q217" s="118">
        <v>4423013</v>
      </c>
      <c r="R217" s="149">
        <v>32240</v>
      </c>
      <c r="S217" s="123">
        <v>45962</v>
      </c>
      <c r="T217" s="118"/>
      <c r="U217" s="118"/>
      <c r="V217" s="118"/>
      <c r="W217" s="118"/>
      <c r="X217" s="129"/>
      <c r="Y217" s="121"/>
      <c r="Z217" s="121"/>
      <c r="AA217" s="118" t="s">
        <v>48</v>
      </c>
      <c r="AB217" s="118"/>
      <c r="AC217" s="126">
        <f t="shared" si="3"/>
        <v>32240</v>
      </c>
    </row>
    <row r="218" spans="2:29" ht="45" customHeight="1" x14ac:dyDescent="0.25">
      <c r="B218" s="118">
        <v>215</v>
      </c>
      <c r="C218" s="118" t="s">
        <v>43</v>
      </c>
      <c r="D218" s="118">
        <v>217</v>
      </c>
      <c r="E218" s="118" t="s">
        <v>35</v>
      </c>
      <c r="F218" s="190" t="s">
        <v>738</v>
      </c>
      <c r="G218" s="118">
        <v>2721</v>
      </c>
      <c r="H218" s="118">
        <v>242</v>
      </c>
      <c r="I218" s="118" t="s">
        <v>188</v>
      </c>
      <c r="J218" s="118">
        <v>391</v>
      </c>
      <c r="K218" s="118">
        <v>91709</v>
      </c>
      <c r="L218" s="118">
        <v>5</v>
      </c>
      <c r="M218" s="118" t="s">
        <v>739</v>
      </c>
      <c r="N218" s="118" t="s">
        <v>35</v>
      </c>
      <c r="O218" s="118">
        <v>4303272</v>
      </c>
      <c r="P218" s="121">
        <v>45978</v>
      </c>
      <c r="Q218" s="118">
        <v>4424780</v>
      </c>
      <c r="R218" s="149">
        <v>765</v>
      </c>
      <c r="S218" s="123">
        <v>45981</v>
      </c>
      <c r="T218" s="118">
        <v>432</v>
      </c>
      <c r="U218" s="118"/>
      <c r="V218" s="118" t="s">
        <v>37</v>
      </c>
      <c r="W218" s="118" t="s">
        <v>320</v>
      </c>
      <c r="X218" s="129">
        <v>765</v>
      </c>
      <c r="Y218" s="121">
        <v>45992</v>
      </c>
      <c r="Z218" s="121">
        <v>45993</v>
      </c>
      <c r="AA218" s="118" t="s">
        <v>39</v>
      </c>
      <c r="AB218" s="118"/>
      <c r="AC218" s="126">
        <f t="shared" si="3"/>
        <v>0</v>
      </c>
    </row>
    <row r="219" spans="2:29" ht="45" customHeight="1" x14ac:dyDescent="0.25">
      <c r="B219" s="118">
        <v>216</v>
      </c>
      <c r="C219" s="118" t="s">
        <v>292</v>
      </c>
      <c r="D219" s="118" t="s">
        <v>740</v>
      </c>
      <c r="E219" s="118" t="s">
        <v>35</v>
      </c>
      <c r="F219" s="169" t="s">
        <v>332</v>
      </c>
      <c r="G219" s="118" t="s">
        <v>333</v>
      </c>
      <c r="H219" s="118">
        <v>5</v>
      </c>
      <c r="I219" s="118" t="s">
        <v>354</v>
      </c>
      <c r="J219" s="118" t="s">
        <v>540</v>
      </c>
      <c r="K219" s="118">
        <v>92041</v>
      </c>
      <c r="L219" s="118">
        <v>2</v>
      </c>
      <c r="M219" s="118" t="s">
        <v>741</v>
      </c>
      <c r="N219" s="118" t="s">
        <v>35</v>
      </c>
      <c r="O219" s="118">
        <v>4303441</v>
      </c>
      <c r="P219" s="121">
        <v>45978</v>
      </c>
      <c r="Q219" s="118">
        <v>4421966</v>
      </c>
      <c r="R219" s="149">
        <v>55000</v>
      </c>
      <c r="S219" s="123">
        <v>45931</v>
      </c>
      <c r="T219" s="118"/>
      <c r="U219" s="118"/>
      <c r="V219" s="118"/>
      <c r="W219" s="118"/>
      <c r="X219" s="129"/>
      <c r="Y219" s="121"/>
      <c r="Z219" s="121"/>
      <c r="AA219" s="118" t="s">
        <v>48</v>
      </c>
      <c r="AB219" s="118"/>
      <c r="AC219" s="126">
        <f t="shared" si="3"/>
        <v>55000</v>
      </c>
    </row>
    <row r="220" spans="2:29" ht="45" customHeight="1" x14ac:dyDescent="0.25">
      <c r="B220" s="118">
        <v>217</v>
      </c>
      <c r="C220" s="118" t="s">
        <v>351</v>
      </c>
      <c r="D220" s="118" t="s">
        <v>742</v>
      </c>
      <c r="E220" s="118" t="s">
        <v>35</v>
      </c>
      <c r="F220" s="169" t="s">
        <v>743</v>
      </c>
      <c r="G220" s="118">
        <v>1210</v>
      </c>
      <c r="H220" s="118">
        <v>242</v>
      </c>
      <c r="I220" s="118" t="s">
        <v>188</v>
      </c>
      <c r="J220" s="118" t="s">
        <v>742</v>
      </c>
      <c r="K220" s="118">
        <v>91726</v>
      </c>
      <c r="L220" s="118">
        <v>5</v>
      </c>
      <c r="M220" s="118" t="s">
        <v>744</v>
      </c>
      <c r="N220" s="118" t="s">
        <v>35</v>
      </c>
      <c r="O220" s="118">
        <v>4303461</v>
      </c>
      <c r="P220" s="121">
        <v>45978</v>
      </c>
      <c r="Q220" s="118">
        <v>4424790</v>
      </c>
      <c r="R220" s="149">
        <v>11753.77</v>
      </c>
      <c r="S220" s="123">
        <v>45982</v>
      </c>
      <c r="T220" s="118">
        <v>165884</v>
      </c>
      <c r="U220" s="118"/>
      <c r="V220" s="118" t="s">
        <v>37</v>
      </c>
      <c r="W220" s="118" t="s">
        <v>320</v>
      </c>
      <c r="X220" s="129">
        <v>11753.77</v>
      </c>
      <c r="Y220" s="121">
        <v>45993</v>
      </c>
      <c r="Z220" s="121">
        <v>45994</v>
      </c>
      <c r="AA220" s="118" t="s">
        <v>39</v>
      </c>
      <c r="AB220" s="118"/>
      <c r="AC220" s="126">
        <f t="shared" si="3"/>
        <v>0</v>
      </c>
    </row>
    <row r="221" spans="2:29" ht="45" customHeight="1" x14ac:dyDescent="0.25">
      <c r="B221" s="118">
        <v>218</v>
      </c>
      <c r="C221" s="118" t="s">
        <v>300</v>
      </c>
      <c r="D221" s="118" t="s">
        <v>107</v>
      </c>
      <c r="E221" s="118">
        <v>40605</v>
      </c>
      <c r="F221" s="190" t="s">
        <v>745</v>
      </c>
      <c r="G221" s="118">
        <v>5345</v>
      </c>
      <c r="H221" s="118">
        <v>242</v>
      </c>
      <c r="I221" s="118" t="s">
        <v>188</v>
      </c>
      <c r="J221" s="118" t="s">
        <v>746</v>
      </c>
      <c r="K221" s="118">
        <v>91598</v>
      </c>
      <c r="L221" s="118">
        <v>6</v>
      </c>
      <c r="M221" s="118" t="s">
        <v>35</v>
      </c>
      <c r="N221" s="118" t="s">
        <v>35</v>
      </c>
      <c r="O221" s="118">
        <v>4304011</v>
      </c>
      <c r="P221" s="121">
        <v>45979</v>
      </c>
      <c r="Q221" s="118">
        <v>4422931</v>
      </c>
      <c r="R221" s="149">
        <v>11830</v>
      </c>
      <c r="S221" s="123">
        <v>45981</v>
      </c>
      <c r="T221" s="118">
        <v>3212</v>
      </c>
      <c r="U221" s="118" t="s">
        <v>747</v>
      </c>
      <c r="V221" s="118" t="s">
        <v>37</v>
      </c>
      <c r="W221" s="118" t="s">
        <v>86</v>
      </c>
      <c r="X221" s="124">
        <v>11238.5</v>
      </c>
      <c r="Y221" s="121">
        <v>46003</v>
      </c>
      <c r="Z221" s="121">
        <v>46006</v>
      </c>
      <c r="AA221" s="118" t="s">
        <v>39</v>
      </c>
      <c r="AB221" s="118"/>
      <c r="AC221" s="126">
        <f t="shared" si="3"/>
        <v>591.5</v>
      </c>
    </row>
    <row r="222" spans="2:29" ht="45" customHeight="1" x14ac:dyDescent="0.25">
      <c r="B222" s="118">
        <v>219</v>
      </c>
      <c r="C222" s="118" t="s">
        <v>43</v>
      </c>
      <c r="D222" s="118" t="s">
        <v>748</v>
      </c>
      <c r="E222" s="118" t="s">
        <v>35</v>
      </c>
      <c r="F222" s="169" t="s">
        <v>749</v>
      </c>
      <c r="G222" s="118">
        <v>5391</v>
      </c>
      <c r="H222" s="118">
        <v>242</v>
      </c>
      <c r="I222" s="118" t="s">
        <v>188</v>
      </c>
      <c r="J222" s="118" t="s">
        <v>750</v>
      </c>
      <c r="K222" s="118">
        <v>92157</v>
      </c>
      <c r="L222" s="118">
        <v>2</v>
      </c>
      <c r="M222" s="118" t="s">
        <v>751</v>
      </c>
      <c r="N222" s="118" t="s">
        <v>35</v>
      </c>
      <c r="O222" s="118">
        <v>4304037</v>
      </c>
      <c r="P222" s="121">
        <v>45979</v>
      </c>
      <c r="Q222" s="118">
        <v>4418364</v>
      </c>
      <c r="R222" s="149">
        <v>1017.28</v>
      </c>
      <c r="S222" s="123">
        <v>45962</v>
      </c>
      <c r="T222" s="118">
        <v>24839</v>
      </c>
      <c r="U222" s="118"/>
      <c r="V222" s="118" t="s">
        <v>125</v>
      </c>
      <c r="W222" s="118" t="s">
        <v>38</v>
      </c>
      <c r="X222" s="129">
        <v>1017.28</v>
      </c>
      <c r="Y222" s="121">
        <v>45992</v>
      </c>
      <c r="Z222" s="121">
        <v>46029</v>
      </c>
      <c r="AA222" s="118" t="s">
        <v>39</v>
      </c>
      <c r="AB222" s="118" t="s">
        <v>752</v>
      </c>
      <c r="AC222" s="126">
        <f t="shared" si="3"/>
        <v>0</v>
      </c>
    </row>
    <row r="223" spans="2:29" ht="45" customHeight="1" x14ac:dyDescent="0.25">
      <c r="B223" s="118">
        <v>220</v>
      </c>
      <c r="C223" s="118" t="s">
        <v>351</v>
      </c>
      <c r="D223" s="118" t="s">
        <v>445</v>
      </c>
      <c r="E223" s="118">
        <v>40605</v>
      </c>
      <c r="F223" s="169" t="s">
        <v>753</v>
      </c>
      <c r="G223" s="118">
        <v>1210</v>
      </c>
      <c r="H223" s="118">
        <v>242</v>
      </c>
      <c r="I223" s="118" t="s">
        <v>188</v>
      </c>
      <c r="J223" s="118" t="s">
        <v>754</v>
      </c>
      <c r="K223" s="118">
        <v>88593</v>
      </c>
      <c r="L223" s="118">
        <v>6</v>
      </c>
      <c r="M223" s="118" t="s">
        <v>35</v>
      </c>
      <c r="N223" s="118" t="s">
        <v>35</v>
      </c>
      <c r="O223" s="118">
        <v>4304062</v>
      </c>
      <c r="P223" s="121">
        <v>45979</v>
      </c>
      <c r="Q223" s="118">
        <v>4422939</v>
      </c>
      <c r="R223" s="149">
        <v>7895.77</v>
      </c>
      <c r="S223" s="123">
        <v>45996</v>
      </c>
      <c r="T223" s="118">
        <v>2532</v>
      </c>
      <c r="U223" s="118" t="s">
        <v>747</v>
      </c>
      <c r="V223" s="118" t="s">
        <v>37</v>
      </c>
      <c r="W223" s="118" t="s">
        <v>64</v>
      </c>
      <c r="X223" s="124">
        <v>7895.77</v>
      </c>
      <c r="Y223" s="121">
        <v>46013</v>
      </c>
      <c r="Z223" s="121">
        <v>46015</v>
      </c>
      <c r="AA223" s="118" t="s">
        <v>39</v>
      </c>
      <c r="AB223" s="118"/>
      <c r="AC223" s="126">
        <f t="shared" si="3"/>
        <v>0</v>
      </c>
    </row>
    <row r="224" spans="2:29" ht="45" customHeight="1" x14ac:dyDescent="0.25">
      <c r="B224" s="118">
        <v>221</v>
      </c>
      <c r="C224" s="118" t="s">
        <v>351</v>
      </c>
      <c r="D224" s="118" t="s">
        <v>445</v>
      </c>
      <c r="E224" s="118">
        <v>39790</v>
      </c>
      <c r="F224" s="169" t="s">
        <v>755</v>
      </c>
      <c r="G224" s="118">
        <v>1210</v>
      </c>
      <c r="H224" s="118">
        <v>242</v>
      </c>
      <c r="I224" s="118" t="s">
        <v>188</v>
      </c>
      <c r="J224" s="118" t="s">
        <v>756</v>
      </c>
      <c r="K224" s="118">
        <v>88810</v>
      </c>
      <c r="L224" s="118">
        <v>6</v>
      </c>
      <c r="M224" s="118" t="s">
        <v>35</v>
      </c>
      <c r="N224" s="118" t="s">
        <v>35</v>
      </c>
      <c r="O224" s="118">
        <v>4304072</v>
      </c>
      <c r="P224" s="121">
        <v>45979</v>
      </c>
      <c r="Q224" s="118">
        <v>4422956</v>
      </c>
      <c r="R224" s="149">
        <v>4372.6899999999996</v>
      </c>
      <c r="S224" s="123">
        <v>45996</v>
      </c>
      <c r="T224" s="118"/>
      <c r="U224" s="118"/>
      <c r="V224" s="118"/>
      <c r="W224" s="118"/>
      <c r="X224" s="129"/>
      <c r="Y224" s="121"/>
      <c r="Z224" s="121"/>
      <c r="AA224" s="118" t="s">
        <v>48</v>
      </c>
      <c r="AB224" s="118"/>
      <c r="AC224" s="126">
        <f t="shared" si="3"/>
        <v>4372.6899999999996</v>
      </c>
    </row>
    <row r="225" spans="2:29" ht="45" customHeight="1" x14ac:dyDescent="0.25">
      <c r="B225" s="118">
        <v>222</v>
      </c>
      <c r="C225" s="118" t="s">
        <v>351</v>
      </c>
      <c r="D225" s="118" t="s">
        <v>757</v>
      </c>
      <c r="E225" s="118">
        <v>40141</v>
      </c>
      <c r="F225" s="169" t="s">
        <v>758</v>
      </c>
      <c r="G225" s="118">
        <v>1236</v>
      </c>
      <c r="H225" s="118">
        <v>242</v>
      </c>
      <c r="I225" s="118" t="s">
        <v>188</v>
      </c>
      <c r="J225" s="118" t="s">
        <v>759</v>
      </c>
      <c r="K225" s="118">
        <v>89051</v>
      </c>
      <c r="L225" s="118">
        <v>6</v>
      </c>
      <c r="M225" s="118" t="s">
        <v>35</v>
      </c>
      <c r="N225" s="118" t="s">
        <v>35</v>
      </c>
      <c r="O225" s="118">
        <v>4304086</v>
      </c>
      <c r="P225" s="121">
        <v>45979</v>
      </c>
      <c r="Q225" s="118">
        <v>4422960</v>
      </c>
      <c r="R225" s="149">
        <v>3606.6</v>
      </c>
      <c r="S225" s="123">
        <v>45996</v>
      </c>
      <c r="T225" s="118">
        <v>5777</v>
      </c>
      <c r="U225" s="118" t="s">
        <v>760</v>
      </c>
      <c r="V225" s="118" t="s">
        <v>37</v>
      </c>
      <c r="W225" s="118" t="s">
        <v>320</v>
      </c>
      <c r="X225" s="129">
        <v>3606.6</v>
      </c>
      <c r="Y225" s="121">
        <v>45987</v>
      </c>
      <c r="Z225" s="121">
        <v>45994</v>
      </c>
      <c r="AA225" s="118" t="s">
        <v>39</v>
      </c>
      <c r="AB225" s="118"/>
      <c r="AC225" s="126">
        <f t="shared" si="3"/>
        <v>0</v>
      </c>
    </row>
    <row r="226" spans="2:29" ht="45" customHeight="1" x14ac:dyDescent="0.25">
      <c r="B226" s="118">
        <v>223</v>
      </c>
      <c r="C226" s="118" t="s">
        <v>43</v>
      </c>
      <c r="D226" s="118" t="s">
        <v>370</v>
      </c>
      <c r="E226" s="118">
        <v>36375</v>
      </c>
      <c r="F226" s="169" t="s">
        <v>371</v>
      </c>
      <c r="G226" s="118">
        <v>2232</v>
      </c>
      <c r="H226" s="118">
        <v>242</v>
      </c>
      <c r="I226" s="118" t="s">
        <v>188</v>
      </c>
      <c r="J226" s="118" t="s">
        <v>761</v>
      </c>
      <c r="K226" s="118">
        <v>92364</v>
      </c>
      <c r="L226" s="118">
        <v>6</v>
      </c>
      <c r="M226" s="118" t="s">
        <v>35</v>
      </c>
      <c r="N226" s="118" t="s">
        <v>35</v>
      </c>
      <c r="O226" s="118">
        <v>4304337</v>
      </c>
      <c r="P226" s="121">
        <v>45979</v>
      </c>
      <c r="Q226" s="118">
        <v>4422962</v>
      </c>
      <c r="R226" s="149">
        <v>9461</v>
      </c>
      <c r="S226" s="123">
        <v>45992</v>
      </c>
      <c r="T226" s="118">
        <v>4482</v>
      </c>
      <c r="U226" s="118"/>
      <c r="V226" s="118" t="s">
        <v>125</v>
      </c>
      <c r="W226" s="118" t="s">
        <v>38</v>
      </c>
      <c r="X226" s="129">
        <v>9177.17</v>
      </c>
      <c r="Y226" s="121">
        <v>46007</v>
      </c>
      <c r="Z226" s="121">
        <v>46029</v>
      </c>
      <c r="AA226" s="118" t="s">
        <v>39</v>
      </c>
      <c r="AB226" s="118"/>
      <c r="AC226" s="126">
        <f t="shared" si="3"/>
        <v>283.82999999999993</v>
      </c>
    </row>
    <row r="227" spans="2:29" ht="45" customHeight="1" x14ac:dyDescent="0.25">
      <c r="B227" s="118">
        <v>224</v>
      </c>
      <c r="C227" s="118" t="s">
        <v>43</v>
      </c>
      <c r="D227" s="118" t="s">
        <v>480</v>
      </c>
      <c r="E227" s="118" t="s">
        <v>35</v>
      </c>
      <c r="F227" s="169" t="s">
        <v>762</v>
      </c>
      <c r="G227" s="118">
        <v>2330</v>
      </c>
      <c r="H227" s="118">
        <v>242</v>
      </c>
      <c r="I227" s="118" t="s">
        <v>33</v>
      </c>
      <c r="J227" s="118" t="s">
        <v>763</v>
      </c>
      <c r="K227" s="118">
        <v>92318</v>
      </c>
      <c r="L227" s="118">
        <v>5</v>
      </c>
      <c r="M227" s="118" t="s">
        <v>764</v>
      </c>
      <c r="N227" s="118" t="s">
        <v>37</v>
      </c>
      <c r="O227" s="136" t="s">
        <v>765</v>
      </c>
      <c r="P227" s="133" t="s">
        <v>766</v>
      </c>
      <c r="Q227" s="118">
        <v>4434694</v>
      </c>
      <c r="R227" s="124">
        <v>5094.38</v>
      </c>
      <c r="S227" s="123">
        <v>45992</v>
      </c>
      <c r="T227" s="118"/>
      <c r="U227" s="118"/>
      <c r="V227" s="118"/>
      <c r="W227" s="118"/>
      <c r="X227" s="129"/>
      <c r="Y227" s="121"/>
      <c r="Z227" s="121"/>
      <c r="AA227" s="118" t="s">
        <v>48</v>
      </c>
      <c r="AB227" s="118"/>
      <c r="AC227" s="126">
        <f t="shared" si="3"/>
        <v>5094.38</v>
      </c>
    </row>
    <row r="228" spans="2:29" ht="45" customHeight="1" x14ac:dyDescent="0.25">
      <c r="B228" s="118">
        <v>225</v>
      </c>
      <c r="C228" s="118" t="s">
        <v>126</v>
      </c>
      <c r="D228" s="118" t="s">
        <v>767</v>
      </c>
      <c r="E228" s="118" t="s">
        <v>35</v>
      </c>
      <c r="F228" s="169" t="s">
        <v>768</v>
      </c>
      <c r="G228" s="118">
        <v>4472</v>
      </c>
      <c r="H228" s="118">
        <v>242</v>
      </c>
      <c r="I228" s="118" t="s">
        <v>340</v>
      </c>
      <c r="J228" s="118" t="s">
        <v>769</v>
      </c>
      <c r="K228" s="118">
        <v>91008</v>
      </c>
      <c r="L228" s="118">
        <v>1</v>
      </c>
      <c r="M228" s="118" t="s">
        <v>35</v>
      </c>
      <c r="N228" s="118" t="s">
        <v>35</v>
      </c>
      <c r="O228" s="135" t="s">
        <v>770</v>
      </c>
      <c r="P228" s="121">
        <v>45980</v>
      </c>
      <c r="Q228" s="125"/>
      <c r="R228" s="149" t="s">
        <v>540</v>
      </c>
      <c r="S228" s="123">
        <v>45996</v>
      </c>
      <c r="T228" s="118"/>
      <c r="U228" s="118"/>
      <c r="V228" s="118"/>
      <c r="W228" s="118"/>
      <c r="X228" s="129"/>
      <c r="Y228" s="121"/>
      <c r="Z228" s="121"/>
      <c r="AA228" s="118" t="s">
        <v>160</v>
      </c>
      <c r="AB228" s="158" t="s">
        <v>771</v>
      </c>
      <c r="AC228" s="126" t="e">
        <f t="shared" si="3"/>
        <v>#VALUE!</v>
      </c>
    </row>
    <row r="229" spans="2:29" ht="45" customHeight="1" x14ac:dyDescent="0.3">
      <c r="B229" s="118">
        <v>226</v>
      </c>
      <c r="C229" s="118" t="s">
        <v>257</v>
      </c>
      <c r="D229" s="118" t="s">
        <v>445</v>
      </c>
      <c r="E229" s="118">
        <v>35769</v>
      </c>
      <c r="F229" s="169" t="s">
        <v>772</v>
      </c>
      <c r="G229" s="118">
        <v>1210</v>
      </c>
      <c r="H229" s="118">
        <v>242</v>
      </c>
      <c r="I229" s="118" t="s">
        <v>188</v>
      </c>
      <c r="J229" s="118">
        <v>14869</v>
      </c>
      <c r="K229" s="118">
        <v>79736</v>
      </c>
      <c r="L229" s="118">
        <v>6</v>
      </c>
      <c r="M229" s="118" t="s">
        <v>35</v>
      </c>
      <c r="N229" s="118" t="s">
        <v>35</v>
      </c>
      <c r="O229" s="118">
        <v>4238736</v>
      </c>
      <c r="P229" s="121">
        <v>45911</v>
      </c>
      <c r="Q229" s="118">
        <v>4359762</v>
      </c>
      <c r="R229" s="149">
        <v>5516.15</v>
      </c>
      <c r="S229" s="123">
        <v>45962</v>
      </c>
      <c r="T229" s="118">
        <v>2428</v>
      </c>
      <c r="U229" s="118" t="s">
        <v>773</v>
      </c>
      <c r="V229" s="118" t="s">
        <v>37</v>
      </c>
      <c r="W229" s="118" t="s">
        <v>38</v>
      </c>
      <c r="X229" s="129">
        <v>5516.15</v>
      </c>
      <c r="Y229" s="121">
        <v>45980</v>
      </c>
      <c r="Z229" s="140">
        <v>45985</v>
      </c>
      <c r="AA229" s="118" t="s">
        <v>39</v>
      </c>
      <c r="AB229" s="170"/>
      <c r="AC229" s="126">
        <f t="shared" si="3"/>
        <v>0</v>
      </c>
    </row>
    <row r="230" spans="2:29" ht="45" customHeight="1" x14ac:dyDescent="0.25">
      <c r="B230" s="118">
        <v>227</v>
      </c>
      <c r="C230" s="118" t="s">
        <v>30</v>
      </c>
      <c r="D230" s="118" t="s">
        <v>107</v>
      </c>
      <c r="E230" s="118">
        <v>40743</v>
      </c>
      <c r="F230" s="190" t="s">
        <v>774</v>
      </c>
      <c r="G230" s="118">
        <v>5345</v>
      </c>
      <c r="H230" s="118">
        <v>242</v>
      </c>
      <c r="I230" s="118" t="s">
        <v>33</v>
      </c>
      <c r="J230" s="118" t="s">
        <v>775</v>
      </c>
      <c r="K230" s="118">
        <v>92547</v>
      </c>
      <c r="L230" s="118">
        <v>6</v>
      </c>
      <c r="M230" s="118" t="s">
        <v>35</v>
      </c>
      <c r="N230" s="118" t="s">
        <v>35</v>
      </c>
      <c r="O230" s="118">
        <v>4306330</v>
      </c>
      <c r="P230" s="121">
        <v>45981</v>
      </c>
      <c r="Q230" s="118">
        <v>4425588</v>
      </c>
      <c r="R230" s="124">
        <v>2546</v>
      </c>
      <c r="S230" s="123">
        <v>45985</v>
      </c>
      <c r="T230" s="118">
        <v>3222</v>
      </c>
      <c r="U230" s="118" t="s">
        <v>776</v>
      </c>
      <c r="V230" s="118" t="s">
        <v>37</v>
      </c>
      <c r="W230" s="118" t="s">
        <v>86</v>
      </c>
      <c r="X230" s="124">
        <v>2546</v>
      </c>
      <c r="Y230" s="121">
        <v>46023</v>
      </c>
      <c r="Z230" s="121">
        <v>46029</v>
      </c>
      <c r="AA230" s="118" t="s">
        <v>39</v>
      </c>
      <c r="AB230" s="118"/>
      <c r="AC230" s="126">
        <f t="shared" si="3"/>
        <v>0</v>
      </c>
    </row>
    <row r="231" spans="2:29" ht="45" customHeight="1" x14ac:dyDescent="0.25">
      <c r="B231" s="118">
        <v>228</v>
      </c>
      <c r="C231" s="118" t="s">
        <v>126</v>
      </c>
      <c r="D231" s="118" t="s">
        <v>777</v>
      </c>
      <c r="E231" s="118" t="s">
        <v>35</v>
      </c>
      <c r="F231" s="169" t="s">
        <v>778</v>
      </c>
      <c r="G231" s="118">
        <v>4472</v>
      </c>
      <c r="H231" s="118">
        <v>242</v>
      </c>
      <c r="I231" s="118" t="s">
        <v>340</v>
      </c>
      <c r="J231" s="118" t="s">
        <v>769</v>
      </c>
      <c r="K231" s="118">
        <v>90705</v>
      </c>
      <c r="L231" s="118">
        <v>1</v>
      </c>
      <c r="M231" s="118" t="s">
        <v>35</v>
      </c>
      <c r="N231" s="118" t="s">
        <v>35</v>
      </c>
      <c r="O231" s="118">
        <v>4305359</v>
      </c>
      <c r="P231" s="121">
        <v>45980</v>
      </c>
      <c r="Q231" s="118">
        <v>4431248</v>
      </c>
      <c r="R231" s="149">
        <v>13500</v>
      </c>
      <c r="S231" s="123">
        <v>45996</v>
      </c>
      <c r="T231" s="118"/>
      <c r="U231" s="118"/>
      <c r="V231" s="118"/>
      <c r="W231" s="118"/>
      <c r="X231" s="129"/>
      <c r="Y231" s="121"/>
      <c r="Z231" s="121"/>
      <c r="AA231" s="118" t="s">
        <v>48</v>
      </c>
      <c r="AB231" s="118"/>
      <c r="AC231" s="126">
        <f t="shared" si="3"/>
        <v>13500</v>
      </c>
    </row>
    <row r="232" spans="2:29" ht="45" customHeight="1" x14ac:dyDescent="0.25">
      <c r="B232" s="118">
        <v>229</v>
      </c>
      <c r="C232" s="118" t="s">
        <v>226</v>
      </c>
      <c r="D232" s="118" t="s">
        <v>230</v>
      </c>
      <c r="E232" s="118" t="s">
        <v>35</v>
      </c>
      <c r="F232" s="169" t="s">
        <v>346</v>
      </c>
      <c r="G232" s="118" t="s">
        <v>779</v>
      </c>
      <c r="H232" s="118">
        <v>5</v>
      </c>
      <c r="I232" s="118" t="s">
        <v>340</v>
      </c>
      <c r="J232" s="118" t="s">
        <v>769</v>
      </c>
      <c r="K232" s="118">
        <v>92192</v>
      </c>
      <c r="L232" s="118">
        <v>1</v>
      </c>
      <c r="M232" s="118" t="s">
        <v>35</v>
      </c>
      <c r="N232" s="118" t="s">
        <v>35</v>
      </c>
      <c r="O232" s="118">
        <v>4305700</v>
      </c>
      <c r="P232" s="121">
        <v>45980</v>
      </c>
      <c r="Q232" s="118">
        <v>4433568</v>
      </c>
      <c r="R232" s="149">
        <v>51350</v>
      </c>
      <c r="S232" s="123">
        <v>46023</v>
      </c>
      <c r="T232" s="118">
        <v>427</v>
      </c>
      <c r="U232" s="118"/>
      <c r="V232" s="118" t="s">
        <v>86</v>
      </c>
      <c r="W232" s="118" t="s">
        <v>23</v>
      </c>
      <c r="X232" s="129">
        <v>37657.120000000003</v>
      </c>
      <c r="Y232" s="121">
        <v>46024</v>
      </c>
      <c r="Z232" s="121">
        <v>46030</v>
      </c>
      <c r="AA232" s="118" t="s">
        <v>780</v>
      </c>
      <c r="AB232" s="118"/>
      <c r="AC232" s="126">
        <f t="shared" si="3"/>
        <v>13692.879999999997</v>
      </c>
    </row>
    <row r="233" spans="2:29" ht="45" customHeight="1" x14ac:dyDescent="0.25">
      <c r="B233" s="118">
        <v>230</v>
      </c>
      <c r="C233" s="118" t="s">
        <v>186</v>
      </c>
      <c r="D233" s="118" t="s">
        <v>781</v>
      </c>
      <c r="E233" s="118" t="s">
        <v>35</v>
      </c>
      <c r="F233" s="169" t="s">
        <v>782</v>
      </c>
      <c r="G233" s="118">
        <v>4669</v>
      </c>
      <c r="H233" s="118">
        <v>242</v>
      </c>
      <c r="I233" s="118" t="s">
        <v>33</v>
      </c>
      <c r="J233" s="118" t="s">
        <v>783</v>
      </c>
      <c r="K233" s="118">
        <v>92036</v>
      </c>
      <c r="L233" s="118">
        <v>5</v>
      </c>
      <c r="M233" s="118" t="s">
        <v>784</v>
      </c>
      <c r="N233" s="125" t="s">
        <v>38</v>
      </c>
      <c r="O233" s="118">
        <v>4305550</v>
      </c>
      <c r="P233" s="121">
        <v>45980</v>
      </c>
      <c r="Q233" s="118">
        <v>4425739</v>
      </c>
      <c r="R233" s="124">
        <v>14816.9</v>
      </c>
      <c r="S233" s="123">
        <v>45992</v>
      </c>
      <c r="T233" s="118">
        <v>165</v>
      </c>
      <c r="U233" s="118" t="s">
        <v>35</v>
      </c>
      <c r="V233" s="118" t="s">
        <v>71</v>
      </c>
      <c r="W233" s="118" t="s">
        <v>64</v>
      </c>
      <c r="X233" s="124">
        <v>14816.9</v>
      </c>
      <c r="Y233" s="121">
        <v>45992</v>
      </c>
      <c r="Z233" s="121">
        <v>45993</v>
      </c>
      <c r="AA233" s="118" t="s">
        <v>39</v>
      </c>
      <c r="AB233" s="118"/>
      <c r="AC233" s="126">
        <f t="shared" si="3"/>
        <v>0</v>
      </c>
    </row>
    <row r="234" spans="2:29" ht="45" customHeight="1" x14ac:dyDescent="0.25">
      <c r="B234" s="118">
        <v>231</v>
      </c>
      <c r="C234" s="118" t="s">
        <v>30</v>
      </c>
      <c r="D234" s="118" t="s">
        <v>135</v>
      </c>
      <c r="E234" s="118" t="s">
        <v>35</v>
      </c>
      <c r="F234" s="169" t="s">
        <v>785</v>
      </c>
      <c r="G234" s="118" t="s">
        <v>786</v>
      </c>
      <c r="H234" s="118">
        <v>242</v>
      </c>
      <c r="I234" s="118" t="s">
        <v>33</v>
      </c>
      <c r="J234" s="118" t="s">
        <v>787</v>
      </c>
      <c r="K234" s="118">
        <v>91007</v>
      </c>
      <c r="L234" s="118">
        <v>2</v>
      </c>
      <c r="M234" s="118" t="s">
        <v>788</v>
      </c>
      <c r="N234" s="118" t="s">
        <v>35</v>
      </c>
      <c r="O234" s="118">
        <v>4305605</v>
      </c>
      <c r="P234" s="121">
        <v>45980</v>
      </c>
      <c r="Q234" s="118">
        <v>4419849</v>
      </c>
      <c r="R234" s="124">
        <v>10600</v>
      </c>
      <c r="S234" s="123">
        <v>45989</v>
      </c>
      <c r="T234" s="118">
        <v>200</v>
      </c>
      <c r="U234" s="118" t="s">
        <v>35</v>
      </c>
      <c r="V234" s="118" t="s">
        <v>37</v>
      </c>
      <c r="W234" s="118" t="s">
        <v>86</v>
      </c>
      <c r="X234" s="124">
        <v>4240</v>
      </c>
      <c r="Y234" s="121">
        <v>46027</v>
      </c>
      <c r="Z234" s="121">
        <v>46029</v>
      </c>
      <c r="AA234" s="118" t="s">
        <v>780</v>
      </c>
      <c r="AB234" s="118"/>
      <c r="AC234" s="126">
        <f t="shared" si="3"/>
        <v>6360</v>
      </c>
    </row>
    <row r="235" spans="2:29" ht="45" customHeight="1" x14ac:dyDescent="0.25">
      <c r="B235" s="118">
        <v>232</v>
      </c>
      <c r="C235" s="118" t="s">
        <v>150</v>
      </c>
      <c r="D235" s="118" t="s">
        <v>117</v>
      </c>
      <c r="E235" s="118" t="s">
        <v>35</v>
      </c>
      <c r="F235" s="190" t="s">
        <v>789</v>
      </c>
      <c r="G235" s="118">
        <v>4057</v>
      </c>
      <c r="H235" s="118">
        <v>242</v>
      </c>
      <c r="I235" s="118" t="s">
        <v>33</v>
      </c>
      <c r="J235" s="118" t="s">
        <v>790</v>
      </c>
      <c r="K235" s="118">
        <v>83989</v>
      </c>
      <c r="L235" s="118">
        <v>5</v>
      </c>
      <c r="M235" s="118" t="s">
        <v>791</v>
      </c>
      <c r="N235" s="118" t="s">
        <v>71</v>
      </c>
      <c r="O235" s="136" t="s">
        <v>792</v>
      </c>
      <c r="P235" s="121">
        <v>45980</v>
      </c>
      <c r="Q235" s="118">
        <v>4425735</v>
      </c>
      <c r="R235" s="124">
        <v>1850</v>
      </c>
      <c r="S235" s="123">
        <v>45992</v>
      </c>
      <c r="T235" s="118">
        <v>431</v>
      </c>
      <c r="U235" s="121" t="s">
        <v>793</v>
      </c>
      <c r="V235" s="118" t="s">
        <v>71</v>
      </c>
      <c r="W235" s="118" t="s">
        <v>64</v>
      </c>
      <c r="X235" s="124">
        <v>1850</v>
      </c>
      <c r="Y235" s="121">
        <v>45992</v>
      </c>
      <c r="Z235" s="121">
        <v>45993</v>
      </c>
      <c r="AA235" s="118" t="s">
        <v>39</v>
      </c>
      <c r="AB235" s="118"/>
      <c r="AC235" s="126">
        <f t="shared" si="3"/>
        <v>0</v>
      </c>
    </row>
    <row r="236" spans="2:29" ht="45" customHeight="1" x14ac:dyDescent="0.25">
      <c r="B236" s="118">
        <v>233</v>
      </c>
      <c r="C236" s="118" t="s">
        <v>226</v>
      </c>
      <c r="D236" s="118" t="s">
        <v>107</v>
      </c>
      <c r="E236" s="118">
        <v>40813</v>
      </c>
      <c r="F236" s="190" t="s">
        <v>794</v>
      </c>
      <c r="G236" s="118">
        <v>2330</v>
      </c>
      <c r="H236" s="118">
        <v>242</v>
      </c>
      <c r="I236" s="118" t="s">
        <v>340</v>
      </c>
      <c r="J236" s="118">
        <v>435</v>
      </c>
      <c r="K236" s="118">
        <v>92652</v>
      </c>
      <c r="L236" s="118">
        <v>6</v>
      </c>
      <c r="M236" s="118" t="s">
        <v>35</v>
      </c>
      <c r="N236" s="118" t="s">
        <v>35</v>
      </c>
      <c r="O236" s="118">
        <v>4306666</v>
      </c>
      <c r="P236" s="121">
        <v>45981</v>
      </c>
      <c r="Q236" s="118">
        <v>4425589</v>
      </c>
      <c r="R236" s="149">
        <v>12450</v>
      </c>
      <c r="S236" s="123">
        <v>45992</v>
      </c>
      <c r="T236" s="118">
        <v>3192</v>
      </c>
      <c r="U236" s="118" t="s">
        <v>795</v>
      </c>
      <c r="V236" s="118" t="s">
        <v>37</v>
      </c>
      <c r="W236" s="118" t="s">
        <v>23</v>
      </c>
      <c r="X236" s="129">
        <v>11827.5</v>
      </c>
      <c r="Y236" s="121">
        <v>45992</v>
      </c>
      <c r="Z236" s="121">
        <v>45993</v>
      </c>
      <c r="AA236" s="118" t="s">
        <v>39</v>
      </c>
      <c r="AB236" s="118"/>
      <c r="AC236" s="126">
        <f t="shared" si="3"/>
        <v>622.5</v>
      </c>
    </row>
    <row r="237" spans="2:29" ht="45" customHeight="1" x14ac:dyDescent="0.25">
      <c r="B237" s="118">
        <v>234</v>
      </c>
      <c r="C237" s="118" t="s">
        <v>561</v>
      </c>
      <c r="D237" s="118" t="s">
        <v>117</v>
      </c>
      <c r="E237" s="118" t="s">
        <v>35</v>
      </c>
      <c r="F237" s="190" t="s">
        <v>796</v>
      </c>
      <c r="G237" s="118">
        <v>2313</v>
      </c>
      <c r="H237" s="118">
        <v>242</v>
      </c>
      <c r="I237" s="118" t="s">
        <v>33</v>
      </c>
      <c r="J237" s="118" t="s">
        <v>797</v>
      </c>
      <c r="K237" s="118">
        <v>92698</v>
      </c>
      <c r="L237" s="118">
        <v>2</v>
      </c>
      <c r="M237" s="118" t="s">
        <v>798</v>
      </c>
      <c r="N237" s="118" t="s">
        <v>35</v>
      </c>
      <c r="O237" s="118">
        <v>4306454</v>
      </c>
      <c r="P237" s="121">
        <v>45950</v>
      </c>
      <c r="Q237" s="118">
        <v>4419852</v>
      </c>
      <c r="R237" s="124">
        <v>1400</v>
      </c>
      <c r="S237" s="123">
        <v>45986</v>
      </c>
      <c r="T237" s="118">
        <v>430</v>
      </c>
      <c r="U237" s="118" t="s">
        <v>35</v>
      </c>
      <c r="V237" s="118" t="s">
        <v>71</v>
      </c>
      <c r="W237" s="118" t="s">
        <v>64</v>
      </c>
      <c r="X237" s="124">
        <v>1400</v>
      </c>
      <c r="Y237" s="121">
        <v>45992</v>
      </c>
      <c r="Z237" s="121">
        <v>45993</v>
      </c>
      <c r="AA237" s="118" t="s">
        <v>39</v>
      </c>
      <c r="AB237" s="118"/>
      <c r="AC237" s="126">
        <f t="shared" si="3"/>
        <v>0</v>
      </c>
    </row>
    <row r="238" spans="2:29" ht="45" customHeight="1" x14ac:dyDescent="0.25">
      <c r="B238" s="118">
        <v>235</v>
      </c>
      <c r="C238" s="118" t="s">
        <v>49</v>
      </c>
      <c r="D238" s="118" t="s">
        <v>57</v>
      </c>
      <c r="E238" s="118">
        <v>39060</v>
      </c>
      <c r="F238" s="169" t="s">
        <v>799</v>
      </c>
      <c r="G238" s="118">
        <v>5345</v>
      </c>
      <c r="H238" s="118">
        <v>242</v>
      </c>
      <c r="I238" s="118" t="s">
        <v>33</v>
      </c>
      <c r="J238" s="118" t="s">
        <v>800</v>
      </c>
      <c r="K238" s="118">
        <v>92761</v>
      </c>
      <c r="L238" s="118">
        <v>6</v>
      </c>
      <c r="M238" s="118" t="s">
        <v>35</v>
      </c>
      <c r="N238" s="118" t="s">
        <v>35</v>
      </c>
      <c r="O238" s="136" t="s">
        <v>801</v>
      </c>
      <c r="P238" s="121" t="s">
        <v>802</v>
      </c>
      <c r="Q238" s="118">
        <v>4437656</v>
      </c>
      <c r="R238" s="184">
        <v>35530.239999999998</v>
      </c>
      <c r="S238" s="123">
        <v>46023</v>
      </c>
      <c r="T238" s="118"/>
      <c r="U238" s="118"/>
      <c r="V238" s="118"/>
      <c r="W238" s="118"/>
      <c r="X238" s="129"/>
      <c r="Y238" s="121"/>
      <c r="Z238" s="121"/>
      <c r="AA238" s="118" t="s">
        <v>48</v>
      </c>
      <c r="AB238" s="118"/>
      <c r="AC238" s="126">
        <f t="shared" si="3"/>
        <v>35530.239999999998</v>
      </c>
    </row>
    <row r="239" spans="2:29" ht="45" customHeight="1" x14ac:dyDescent="0.25">
      <c r="B239" s="118">
        <v>236</v>
      </c>
      <c r="C239" s="118" t="s">
        <v>226</v>
      </c>
      <c r="D239" s="118" t="s">
        <v>117</v>
      </c>
      <c r="E239" s="118">
        <v>40507</v>
      </c>
      <c r="F239" s="169" t="s">
        <v>803</v>
      </c>
      <c r="G239" s="118">
        <v>2470</v>
      </c>
      <c r="H239" s="118">
        <v>242</v>
      </c>
      <c r="I239" s="118" t="s">
        <v>340</v>
      </c>
      <c r="J239" s="118" t="s">
        <v>804</v>
      </c>
      <c r="K239" s="118">
        <v>92659</v>
      </c>
      <c r="L239" s="118">
        <v>6</v>
      </c>
      <c r="M239" s="118" t="s">
        <v>35</v>
      </c>
      <c r="N239" s="118" t="s">
        <v>35</v>
      </c>
      <c r="O239" s="118">
        <v>4306674</v>
      </c>
      <c r="P239" s="121">
        <v>45981</v>
      </c>
      <c r="Q239" s="118">
        <v>4425605</v>
      </c>
      <c r="R239" s="149">
        <v>5200</v>
      </c>
      <c r="S239" s="123">
        <v>45992</v>
      </c>
      <c r="T239" s="118">
        <v>448</v>
      </c>
      <c r="U239" s="118" t="s">
        <v>805</v>
      </c>
      <c r="V239" s="118" t="s">
        <v>37</v>
      </c>
      <c r="W239" s="118" t="s">
        <v>64</v>
      </c>
      <c r="X239" s="129">
        <v>5200</v>
      </c>
      <c r="Y239" s="121">
        <v>45994</v>
      </c>
      <c r="Z239" s="121">
        <v>45994</v>
      </c>
      <c r="AA239" s="118" t="s">
        <v>39</v>
      </c>
      <c r="AB239" s="118"/>
      <c r="AC239" s="126">
        <f t="shared" si="3"/>
        <v>0</v>
      </c>
    </row>
    <row r="240" spans="2:29" ht="45" customHeight="1" x14ac:dyDescent="0.25">
      <c r="B240" s="118">
        <v>237</v>
      </c>
      <c r="C240" s="118" t="s">
        <v>186</v>
      </c>
      <c r="D240" s="118" t="s">
        <v>107</v>
      </c>
      <c r="E240" s="118">
        <v>36938</v>
      </c>
      <c r="F240" s="190" t="s">
        <v>806</v>
      </c>
      <c r="G240" s="118">
        <v>5345</v>
      </c>
      <c r="H240" s="118">
        <v>242</v>
      </c>
      <c r="I240" s="118" t="s">
        <v>33</v>
      </c>
      <c r="J240" s="118" t="s">
        <v>807</v>
      </c>
      <c r="K240" s="118">
        <v>92822</v>
      </c>
      <c r="L240" s="118">
        <v>6</v>
      </c>
      <c r="M240" s="118" t="s">
        <v>35</v>
      </c>
      <c r="N240" s="118" t="s">
        <v>35</v>
      </c>
      <c r="O240" s="118">
        <v>4306768</v>
      </c>
      <c r="P240" s="121">
        <v>45981</v>
      </c>
      <c r="Q240" s="118">
        <v>4425591</v>
      </c>
      <c r="R240" s="124">
        <v>1159</v>
      </c>
      <c r="S240" s="123" t="s">
        <v>35</v>
      </c>
      <c r="T240" s="118">
        <v>3191</v>
      </c>
      <c r="U240" s="118" t="s">
        <v>211</v>
      </c>
      <c r="V240" s="118" t="s">
        <v>71</v>
      </c>
      <c r="W240" s="118" t="s">
        <v>86</v>
      </c>
      <c r="X240" s="124">
        <v>1159</v>
      </c>
      <c r="Y240" s="121">
        <v>45992</v>
      </c>
      <c r="Z240" s="121">
        <v>45993</v>
      </c>
      <c r="AA240" s="118" t="s">
        <v>39</v>
      </c>
      <c r="AB240" s="118"/>
      <c r="AC240" s="126">
        <f t="shared" si="3"/>
        <v>0</v>
      </c>
    </row>
    <row r="241" spans="2:29" ht="45" customHeight="1" x14ac:dyDescent="0.25">
      <c r="B241" s="118">
        <v>238</v>
      </c>
      <c r="C241" s="118" t="s">
        <v>186</v>
      </c>
      <c r="D241" s="118" t="s">
        <v>107</v>
      </c>
      <c r="E241" s="118">
        <v>38250</v>
      </c>
      <c r="F241" s="190" t="s">
        <v>808</v>
      </c>
      <c r="G241" s="118">
        <v>5345</v>
      </c>
      <c r="H241" s="118">
        <v>242</v>
      </c>
      <c r="I241" s="118" t="s">
        <v>33</v>
      </c>
      <c r="J241" s="118" t="s">
        <v>809</v>
      </c>
      <c r="K241" s="118">
        <v>92823</v>
      </c>
      <c r="L241" s="118">
        <v>6</v>
      </c>
      <c r="M241" s="118" t="s">
        <v>35</v>
      </c>
      <c r="N241" s="118" t="s">
        <v>35</v>
      </c>
      <c r="O241" s="118">
        <v>4308388</v>
      </c>
      <c r="P241" s="121">
        <v>45983</v>
      </c>
      <c r="Q241" s="118">
        <v>4429840</v>
      </c>
      <c r="R241" s="124">
        <v>1558</v>
      </c>
      <c r="S241" s="123">
        <v>45991</v>
      </c>
      <c r="T241" s="118">
        <v>3202</v>
      </c>
      <c r="U241" s="118" t="s">
        <v>810</v>
      </c>
      <c r="V241" s="118" t="s">
        <v>37</v>
      </c>
      <c r="W241" s="118" t="s">
        <v>86</v>
      </c>
      <c r="X241" s="124">
        <v>1558</v>
      </c>
      <c r="Y241" s="121">
        <v>45993</v>
      </c>
      <c r="Z241" s="121">
        <v>46000</v>
      </c>
      <c r="AA241" s="118" t="s">
        <v>39</v>
      </c>
      <c r="AB241" s="118"/>
      <c r="AC241" s="126">
        <f t="shared" si="3"/>
        <v>0</v>
      </c>
    </row>
    <row r="242" spans="2:29" ht="45" customHeight="1" x14ac:dyDescent="0.25">
      <c r="B242" s="118">
        <v>239</v>
      </c>
      <c r="C242" s="118" t="s">
        <v>561</v>
      </c>
      <c r="D242" s="118" t="s">
        <v>811</v>
      </c>
      <c r="E242" s="118">
        <v>40706</v>
      </c>
      <c r="F242" s="190" t="s">
        <v>812</v>
      </c>
      <c r="G242" s="118">
        <v>2488</v>
      </c>
      <c r="H242" s="118">
        <v>242</v>
      </c>
      <c r="I242" s="118" t="s">
        <v>33</v>
      </c>
      <c r="J242" s="118" t="s">
        <v>813</v>
      </c>
      <c r="K242" s="118">
        <v>93013</v>
      </c>
      <c r="L242" s="118">
        <v>6</v>
      </c>
      <c r="M242" s="118" t="s">
        <v>35</v>
      </c>
      <c r="N242" s="118" t="s">
        <v>35</v>
      </c>
      <c r="O242" s="118">
        <v>4308390</v>
      </c>
      <c r="P242" s="121">
        <v>45983</v>
      </c>
      <c r="Q242" s="118">
        <v>4429848</v>
      </c>
      <c r="R242" s="124">
        <v>5756.4</v>
      </c>
      <c r="S242" s="123">
        <v>45993</v>
      </c>
      <c r="T242" s="118">
        <v>1799</v>
      </c>
      <c r="U242" s="118" t="s">
        <v>814</v>
      </c>
      <c r="V242" s="118" t="s">
        <v>37</v>
      </c>
      <c r="W242" s="118" t="s">
        <v>86</v>
      </c>
      <c r="X242" s="124">
        <v>5756.4</v>
      </c>
      <c r="Y242" s="121">
        <v>45992</v>
      </c>
      <c r="Z242" s="121">
        <v>46000</v>
      </c>
      <c r="AA242" s="118" t="s">
        <v>39</v>
      </c>
      <c r="AB242" s="118"/>
      <c r="AC242" s="126">
        <f t="shared" si="3"/>
        <v>0</v>
      </c>
    </row>
    <row r="243" spans="2:29" ht="45" customHeight="1" x14ac:dyDescent="0.25">
      <c r="B243" s="118">
        <v>240</v>
      </c>
      <c r="C243" s="118" t="s">
        <v>545</v>
      </c>
      <c r="D243" s="118" t="s">
        <v>815</v>
      </c>
      <c r="E243" s="118" t="s">
        <v>35</v>
      </c>
      <c r="F243" s="169" t="s">
        <v>816</v>
      </c>
      <c r="G243" s="118">
        <v>1228</v>
      </c>
      <c r="H243" s="118">
        <v>242</v>
      </c>
      <c r="I243" s="118" t="s">
        <v>605</v>
      </c>
      <c r="J243" s="118">
        <v>1195</v>
      </c>
      <c r="K243" s="118"/>
      <c r="L243" s="118">
        <v>29</v>
      </c>
      <c r="M243" s="118" t="s">
        <v>35</v>
      </c>
      <c r="N243" s="118" t="s">
        <v>35</v>
      </c>
      <c r="O243" s="118">
        <v>4261980</v>
      </c>
      <c r="P243" s="121">
        <v>45936</v>
      </c>
      <c r="Q243" s="118">
        <v>4383127</v>
      </c>
      <c r="R243" s="149">
        <v>2505</v>
      </c>
      <c r="S243" s="123">
        <v>45992</v>
      </c>
      <c r="T243" s="118">
        <v>153</v>
      </c>
      <c r="U243" s="118" t="s">
        <v>35</v>
      </c>
      <c r="V243" s="118" t="s">
        <v>71</v>
      </c>
      <c r="W243" s="118" t="s">
        <v>23</v>
      </c>
      <c r="X243" s="129">
        <v>2025</v>
      </c>
      <c r="Y243" s="121">
        <v>45974</v>
      </c>
      <c r="Z243" s="140">
        <v>45986</v>
      </c>
      <c r="AA243" s="118" t="s">
        <v>39</v>
      </c>
      <c r="AB243" s="118"/>
      <c r="AC243" s="126">
        <f t="shared" ref="AC243:AC290" si="4">R243-X243</f>
        <v>480</v>
      </c>
    </row>
    <row r="244" spans="2:29" ht="45" customHeight="1" x14ac:dyDescent="0.25">
      <c r="B244" s="118">
        <v>241</v>
      </c>
      <c r="C244" s="118" t="s">
        <v>545</v>
      </c>
      <c r="D244" s="118" t="s">
        <v>815</v>
      </c>
      <c r="E244" s="118" t="s">
        <v>35</v>
      </c>
      <c r="F244" s="169" t="s">
        <v>816</v>
      </c>
      <c r="G244" s="118">
        <v>1228</v>
      </c>
      <c r="H244" s="118">
        <v>242</v>
      </c>
      <c r="I244" s="118" t="s">
        <v>605</v>
      </c>
      <c r="J244" s="118">
        <v>1195</v>
      </c>
      <c r="K244" s="118"/>
      <c r="L244" s="118">
        <v>29</v>
      </c>
      <c r="M244" s="118" t="s">
        <v>35</v>
      </c>
      <c r="N244" s="118" t="s">
        <v>35</v>
      </c>
      <c r="O244" s="118">
        <v>4261980</v>
      </c>
      <c r="P244" s="121">
        <v>45936</v>
      </c>
      <c r="Q244" s="118">
        <v>4383127</v>
      </c>
      <c r="R244" s="149">
        <v>480</v>
      </c>
      <c r="S244" s="123">
        <v>45992</v>
      </c>
      <c r="T244" s="118">
        <v>154</v>
      </c>
      <c r="U244" s="118" t="s">
        <v>35</v>
      </c>
      <c r="V244" s="118" t="s">
        <v>71</v>
      </c>
      <c r="W244" s="118" t="s">
        <v>23</v>
      </c>
      <c r="X244" s="129">
        <v>480</v>
      </c>
      <c r="Y244" s="121">
        <v>45974</v>
      </c>
      <c r="Z244" s="140">
        <v>45986</v>
      </c>
      <c r="AA244" s="118" t="s">
        <v>39</v>
      </c>
      <c r="AB244" s="118" t="s">
        <v>817</v>
      </c>
      <c r="AC244" s="126">
        <f>R244-X244</f>
        <v>0</v>
      </c>
    </row>
    <row r="245" spans="2:29" ht="45" customHeight="1" x14ac:dyDescent="0.25">
      <c r="B245" s="118">
        <v>242</v>
      </c>
      <c r="C245" s="118" t="s">
        <v>561</v>
      </c>
      <c r="D245" s="118" t="s">
        <v>818</v>
      </c>
      <c r="E245" s="118">
        <v>40627</v>
      </c>
      <c r="F245" s="169" t="s">
        <v>819</v>
      </c>
      <c r="G245" s="118">
        <v>2313</v>
      </c>
      <c r="H245" s="118">
        <v>242</v>
      </c>
      <c r="I245" s="118" t="s">
        <v>33</v>
      </c>
      <c r="J245" s="118" t="s">
        <v>820</v>
      </c>
      <c r="K245" s="118">
        <v>93014</v>
      </c>
      <c r="L245" s="118">
        <v>6</v>
      </c>
      <c r="M245" s="118" t="s">
        <v>35</v>
      </c>
      <c r="N245" s="118" t="s">
        <v>35</v>
      </c>
      <c r="O245" s="136" t="s">
        <v>821</v>
      </c>
      <c r="P245" s="121">
        <v>45983</v>
      </c>
      <c r="Q245" s="135">
        <v>4429857</v>
      </c>
      <c r="R245" s="124">
        <v>1164</v>
      </c>
      <c r="S245" s="123">
        <v>46006</v>
      </c>
      <c r="T245" s="118"/>
      <c r="U245" s="118"/>
      <c r="V245" s="118"/>
      <c r="W245" s="118"/>
      <c r="X245" s="129"/>
      <c r="Y245" s="121"/>
      <c r="Z245" s="121"/>
      <c r="AA245" s="118" t="s">
        <v>48</v>
      </c>
      <c r="AB245" s="118"/>
      <c r="AC245" s="126">
        <f t="shared" si="4"/>
        <v>1164</v>
      </c>
    </row>
    <row r="246" spans="2:29" ht="45" customHeight="1" x14ac:dyDescent="0.25">
      <c r="B246" s="118">
        <v>243</v>
      </c>
      <c r="C246" s="118" t="s">
        <v>351</v>
      </c>
      <c r="D246" s="118" t="s">
        <v>499</v>
      </c>
      <c r="E246" s="118" t="s">
        <v>35</v>
      </c>
      <c r="F246" s="169" t="s">
        <v>822</v>
      </c>
      <c r="G246" s="118">
        <v>1295</v>
      </c>
      <c r="H246" s="118">
        <v>242</v>
      </c>
      <c r="I246" s="118" t="s">
        <v>188</v>
      </c>
      <c r="J246" s="118" t="s">
        <v>823</v>
      </c>
      <c r="K246" s="118">
        <v>93001</v>
      </c>
      <c r="L246" s="118">
        <v>29</v>
      </c>
      <c r="M246" s="118" t="s">
        <v>824</v>
      </c>
      <c r="N246" s="118" t="s">
        <v>35</v>
      </c>
      <c r="O246" s="118">
        <v>4308403</v>
      </c>
      <c r="P246" s="121">
        <v>45983</v>
      </c>
      <c r="Q246" s="118">
        <v>4432402</v>
      </c>
      <c r="R246" s="149">
        <v>10838.92</v>
      </c>
      <c r="S246" s="123">
        <v>45996</v>
      </c>
      <c r="T246" s="118"/>
      <c r="U246" s="118"/>
      <c r="V246" s="118"/>
      <c r="W246" s="118"/>
      <c r="X246" s="129"/>
      <c r="Y246" s="121"/>
      <c r="Z246" s="121"/>
      <c r="AA246" s="118" t="s">
        <v>48</v>
      </c>
      <c r="AB246" s="118"/>
      <c r="AC246" s="126">
        <f t="shared" si="4"/>
        <v>10838.92</v>
      </c>
    </row>
    <row r="247" spans="2:29" ht="45" customHeight="1" x14ac:dyDescent="0.25">
      <c r="B247" s="118">
        <v>244</v>
      </c>
      <c r="C247" s="118" t="s">
        <v>351</v>
      </c>
      <c r="D247" s="118" t="s">
        <v>499</v>
      </c>
      <c r="E247" s="118" t="s">
        <v>35</v>
      </c>
      <c r="F247" s="169" t="s">
        <v>825</v>
      </c>
      <c r="G247" s="118">
        <v>1295</v>
      </c>
      <c r="H247" s="118">
        <v>242</v>
      </c>
      <c r="I247" s="118" t="s">
        <v>188</v>
      </c>
      <c r="J247" s="118" t="s">
        <v>826</v>
      </c>
      <c r="K247" s="118">
        <v>89935</v>
      </c>
      <c r="L247" s="118">
        <v>29</v>
      </c>
      <c r="M247" s="118" t="s">
        <v>827</v>
      </c>
      <c r="N247" s="118" t="s">
        <v>35</v>
      </c>
      <c r="O247" s="118">
        <v>4308404</v>
      </c>
      <c r="P247" s="121">
        <v>45983</v>
      </c>
      <c r="Q247" s="118">
        <v>4425894</v>
      </c>
      <c r="R247" s="149">
        <v>13335.9</v>
      </c>
      <c r="S247" s="123">
        <v>45996</v>
      </c>
      <c r="T247" s="118"/>
      <c r="U247" s="118"/>
      <c r="V247" s="118"/>
      <c r="W247" s="118"/>
      <c r="X247" s="143"/>
      <c r="Y247" s="121"/>
      <c r="Z247" s="121"/>
      <c r="AA247" s="118" t="s">
        <v>48</v>
      </c>
      <c r="AB247" s="118"/>
      <c r="AC247" s="126">
        <f t="shared" si="4"/>
        <v>13335.9</v>
      </c>
    </row>
    <row r="248" spans="2:29" ht="45" customHeight="1" x14ac:dyDescent="0.25">
      <c r="B248" s="118">
        <v>245</v>
      </c>
      <c r="C248" s="118" t="s">
        <v>351</v>
      </c>
      <c r="D248" s="118" t="s">
        <v>769</v>
      </c>
      <c r="E248" s="118" t="s">
        <v>35</v>
      </c>
      <c r="F248" s="169" t="s">
        <v>828</v>
      </c>
      <c r="G248" s="118" t="s">
        <v>829</v>
      </c>
      <c r="H248" s="118">
        <v>242</v>
      </c>
      <c r="I248" s="118" t="s">
        <v>188</v>
      </c>
      <c r="J248" s="118" t="s">
        <v>830</v>
      </c>
      <c r="K248" s="118">
        <v>93114</v>
      </c>
      <c r="L248" s="118">
        <v>1</v>
      </c>
      <c r="M248" s="118" t="s">
        <v>35</v>
      </c>
      <c r="N248" s="118" t="s">
        <v>35</v>
      </c>
      <c r="O248" s="118">
        <v>4308412</v>
      </c>
      <c r="P248" s="121">
        <v>45983</v>
      </c>
      <c r="Q248" s="118">
        <v>4430941</v>
      </c>
      <c r="R248" s="172">
        <v>3685</v>
      </c>
      <c r="S248" s="123">
        <v>45999</v>
      </c>
      <c r="T248" s="118">
        <v>707</v>
      </c>
      <c r="U248" s="118"/>
      <c r="V248" s="118" t="s">
        <v>37</v>
      </c>
      <c r="W248" s="146" t="s">
        <v>23</v>
      </c>
      <c r="X248" s="129">
        <v>1150</v>
      </c>
      <c r="Y248" s="144">
        <v>45993</v>
      </c>
      <c r="Z248" s="121">
        <v>45994</v>
      </c>
      <c r="AA248" s="118" t="s">
        <v>262</v>
      </c>
      <c r="AB248" s="118"/>
      <c r="AC248" s="126">
        <f t="shared" si="4"/>
        <v>2535</v>
      </c>
    </row>
    <row r="249" spans="2:29" ht="45" customHeight="1" x14ac:dyDescent="0.25">
      <c r="B249" s="118">
        <v>246</v>
      </c>
      <c r="C249" s="118" t="s">
        <v>226</v>
      </c>
      <c r="D249" s="118" t="s">
        <v>540</v>
      </c>
      <c r="E249" s="118" t="s">
        <v>35</v>
      </c>
      <c r="F249" s="169" t="s">
        <v>831</v>
      </c>
      <c r="G249" s="118">
        <v>2488</v>
      </c>
      <c r="H249" s="118">
        <v>5</v>
      </c>
      <c r="I249" s="118" t="s">
        <v>188</v>
      </c>
      <c r="J249" s="118" t="s">
        <v>832</v>
      </c>
      <c r="K249" s="118">
        <v>93438</v>
      </c>
      <c r="L249" s="118">
        <v>1</v>
      </c>
      <c r="M249" s="118" t="s">
        <v>35</v>
      </c>
      <c r="N249" s="118" t="s">
        <v>35</v>
      </c>
      <c r="O249" s="118">
        <v>4309831</v>
      </c>
      <c r="P249" s="121">
        <v>45985</v>
      </c>
      <c r="Q249" s="118">
        <v>4435419</v>
      </c>
      <c r="R249" s="178">
        <v>33260</v>
      </c>
      <c r="S249" s="123">
        <v>45992</v>
      </c>
      <c r="T249" s="118"/>
      <c r="U249" s="118"/>
      <c r="V249" s="118"/>
      <c r="W249" s="118"/>
      <c r="X249" s="145"/>
      <c r="Y249" s="121"/>
      <c r="Z249" s="121"/>
      <c r="AA249" s="118" t="s">
        <v>48</v>
      </c>
      <c r="AB249" s="118"/>
      <c r="AC249" s="126">
        <f t="shared" si="4"/>
        <v>33260</v>
      </c>
    </row>
    <row r="250" spans="2:29" ht="45" customHeight="1" x14ac:dyDescent="0.25">
      <c r="B250" s="118">
        <v>247</v>
      </c>
      <c r="C250" s="118" t="s">
        <v>226</v>
      </c>
      <c r="D250" s="118" t="s">
        <v>117</v>
      </c>
      <c r="E250" s="118" t="s">
        <v>35</v>
      </c>
      <c r="F250" s="169" t="s">
        <v>833</v>
      </c>
      <c r="G250" s="118">
        <v>2241</v>
      </c>
      <c r="H250" s="118">
        <v>5</v>
      </c>
      <c r="I250" s="118" t="s">
        <v>188</v>
      </c>
      <c r="J250" s="118" t="s">
        <v>832</v>
      </c>
      <c r="K250" s="118">
        <v>93437</v>
      </c>
      <c r="L250" s="118">
        <v>1</v>
      </c>
      <c r="M250" s="118" t="s">
        <v>35</v>
      </c>
      <c r="N250" s="118" t="s">
        <v>35</v>
      </c>
      <c r="O250" s="118">
        <v>4309902</v>
      </c>
      <c r="P250" s="121">
        <v>45985</v>
      </c>
      <c r="Q250" s="118">
        <v>4439067</v>
      </c>
      <c r="R250" s="178">
        <v>19831.97</v>
      </c>
      <c r="S250" s="123">
        <v>45992</v>
      </c>
      <c r="T250" s="118"/>
      <c r="U250" s="118"/>
      <c r="V250" s="118"/>
      <c r="W250" s="118"/>
      <c r="X250" s="129"/>
      <c r="Y250" s="121"/>
      <c r="Z250" s="121"/>
      <c r="AA250" s="118" t="s">
        <v>48</v>
      </c>
      <c r="AB250" s="118"/>
      <c r="AC250" s="126">
        <f t="shared" si="4"/>
        <v>19831.97</v>
      </c>
    </row>
    <row r="251" spans="2:29" ht="45" customHeight="1" x14ac:dyDescent="0.25">
      <c r="B251" s="118">
        <v>248</v>
      </c>
      <c r="C251" s="118" t="s">
        <v>150</v>
      </c>
      <c r="D251" s="118" t="s">
        <v>107</v>
      </c>
      <c r="E251" s="118">
        <v>40744</v>
      </c>
      <c r="F251" s="190" t="s">
        <v>834</v>
      </c>
      <c r="G251" s="118">
        <v>2224</v>
      </c>
      <c r="H251" s="118">
        <v>242</v>
      </c>
      <c r="I251" s="118" t="s">
        <v>33</v>
      </c>
      <c r="J251" s="118" t="s">
        <v>835</v>
      </c>
      <c r="K251" s="118">
        <v>93556</v>
      </c>
      <c r="L251" s="118">
        <v>6</v>
      </c>
      <c r="M251" s="118" t="s">
        <v>35</v>
      </c>
      <c r="N251" s="118" t="s">
        <v>35</v>
      </c>
      <c r="O251" s="118">
        <v>4310556</v>
      </c>
      <c r="P251" s="121">
        <v>45986</v>
      </c>
      <c r="Q251" s="118">
        <v>4429851</v>
      </c>
      <c r="R251" s="124">
        <v>8740</v>
      </c>
      <c r="S251" s="123">
        <v>45992</v>
      </c>
      <c r="T251" s="118">
        <v>3214</v>
      </c>
      <c r="U251" s="118" t="s">
        <v>836</v>
      </c>
      <c r="V251" s="118" t="s">
        <v>37</v>
      </c>
      <c r="W251" s="129" t="s">
        <v>86</v>
      </c>
      <c r="X251" s="124">
        <v>8740</v>
      </c>
      <c r="Y251" s="121">
        <v>46007</v>
      </c>
      <c r="Z251" s="121">
        <v>46008</v>
      </c>
      <c r="AA251" s="118" t="s">
        <v>39</v>
      </c>
      <c r="AB251" s="118"/>
      <c r="AC251" s="126">
        <f t="shared" si="4"/>
        <v>0</v>
      </c>
    </row>
    <row r="252" spans="2:29" ht="45" customHeight="1" x14ac:dyDescent="0.25">
      <c r="B252" s="118">
        <v>249</v>
      </c>
      <c r="C252" s="118" t="s">
        <v>106</v>
      </c>
      <c r="D252" s="118" t="s">
        <v>107</v>
      </c>
      <c r="E252" s="118">
        <v>39792</v>
      </c>
      <c r="F252" s="190" t="s">
        <v>837</v>
      </c>
      <c r="G252" s="118">
        <v>2488</v>
      </c>
      <c r="H252" s="118">
        <v>242</v>
      </c>
      <c r="I252" s="118" t="s">
        <v>33</v>
      </c>
      <c r="J252" s="118" t="s">
        <v>838</v>
      </c>
      <c r="K252" s="118">
        <v>93626</v>
      </c>
      <c r="L252" s="118">
        <v>6</v>
      </c>
      <c r="M252" s="118" t="s">
        <v>35</v>
      </c>
      <c r="N252" s="118" t="s">
        <v>35</v>
      </c>
      <c r="O252" s="118">
        <v>4310565</v>
      </c>
      <c r="P252" s="121">
        <v>45986</v>
      </c>
      <c r="Q252" s="118">
        <v>4429854</v>
      </c>
      <c r="R252" s="124">
        <v>1919</v>
      </c>
      <c r="S252" s="123">
        <v>45992</v>
      </c>
      <c r="T252" s="118">
        <v>3218</v>
      </c>
      <c r="U252" s="118" t="s">
        <v>839</v>
      </c>
      <c r="V252" s="118" t="s">
        <v>37</v>
      </c>
      <c r="W252" s="118" t="s">
        <v>86</v>
      </c>
      <c r="X252" s="124">
        <v>1919</v>
      </c>
      <c r="Y252" s="121">
        <v>46023</v>
      </c>
      <c r="Z252" s="121">
        <v>46031</v>
      </c>
      <c r="AA252" s="118" t="s">
        <v>39</v>
      </c>
      <c r="AB252" s="118"/>
      <c r="AC252" s="126">
        <f t="shared" si="4"/>
        <v>0</v>
      </c>
    </row>
    <row r="253" spans="2:29" ht="45" customHeight="1" x14ac:dyDescent="0.25">
      <c r="B253" s="118">
        <v>250</v>
      </c>
      <c r="C253" s="118" t="s">
        <v>226</v>
      </c>
      <c r="D253" s="173" t="s">
        <v>840</v>
      </c>
      <c r="E253" s="118" t="s">
        <v>35</v>
      </c>
      <c r="F253" s="169" t="s">
        <v>831</v>
      </c>
      <c r="G253" s="118">
        <v>2224</v>
      </c>
      <c r="H253" s="118">
        <v>5</v>
      </c>
      <c r="I253" s="118" t="s">
        <v>340</v>
      </c>
      <c r="J253" s="118" t="s">
        <v>540</v>
      </c>
      <c r="K253" s="118">
        <v>93545</v>
      </c>
      <c r="L253" s="118">
        <v>1</v>
      </c>
      <c r="M253" s="118" t="s">
        <v>35</v>
      </c>
      <c r="N253" s="118" t="s">
        <v>35</v>
      </c>
      <c r="O253" s="118">
        <v>4310932</v>
      </c>
      <c r="P253" s="121">
        <v>45986</v>
      </c>
      <c r="Q253" s="125">
        <v>4439065</v>
      </c>
      <c r="R253" s="149" t="s">
        <v>540</v>
      </c>
      <c r="S253" s="123">
        <v>46001</v>
      </c>
      <c r="T253" s="118">
        <v>741</v>
      </c>
      <c r="U253" s="118"/>
      <c r="V253" s="118" t="s">
        <v>37</v>
      </c>
      <c r="W253" s="118" t="s">
        <v>23</v>
      </c>
      <c r="X253" s="129">
        <v>57500</v>
      </c>
      <c r="Y253" s="121">
        <v>46002</v>
      </c>
      <c r="Z253" s="121">
        <v>46003</v>
      </c>
      <c r="AA253" s="118" t="s">
        <v>39</v>
      </c>
      <c r="AB253" s="118"/>
      <c r="AC253" s="126" t="e">
        <f t="shared" si="4"/>
        <v>#VALUE!</v>
      </c>
    </row>
    <row r="254" spans="2:29" ht="45" customHeight="1" x14ac:dyDescent="0.25">
      <c r="B254" s="118">
        <v>251</v>
      </c>
      <c r="C254" s="118" t="s">
        <v>106</v>
      </c>
      <c r="D254" s="118" t="s">
        <v>107</v>
      </c>
      <c r="E254" s="118">
        <v>39918</v>
      </c>
      <c r="F254" s="190" t="s">
        <v>841</v>
      </c>
      <c r="G254" s="118">
        <v>2488</v>
      </c>
      <c r="H254" s="118">
        <v>242</v>
      </c>
      <c r="I254" s="118" t="s">
        <v>33</v>
      </c>
      <c r="J254" s="118" t="s">
        <v>842</v>
      </c>
      <c r="K254" s="118">
        <v>93606</v>
      </c>
      <c r="L254" s="118">
        <v>6</v>
      </c>
      <c r="M254" s="118" t="s">
        <v>35</v>
      </c>
      <c r="N254" s="118" t="s">
        <v>35</v>
      </c>
      <c r="O254" s="118">
        <v>4311145</v>
      </c>
      <c r="P254" s="121">
        <v>45986</v>
      </c>
      <c r="Q254" s="118">
        <v>4429856</v>
      </c>
      <c r="R254" s="124">
        <v>1282.5</v>
      </c>
      <c r="S254" s="123">
        <v>46001</v>
      </c>
      <c r="T254" s="118">
        <v>3204</v>
      </c>
      <c r="U254" s="118" t="s">
        <v>843</v>
      </c>
      <c r="V254" s="118" t="s">
        <v>37</v>
      </c>
      <c r="W254" s="118" t="s">
        <v>86</v>
      </c>
      <c r="X254" s="124">
        <v>1282.5</v>
      </c>
      <c r="Y254" s="121">
        <v>45994</v>
      </c>
      <c r="Z254" s="121">
        <v>46000</v>
      </c>
      <c r="AA254" s="118" t="s">
        <v>39</v>
      </c>
      <c r="AB254" s="118"/>
      <c r="AC254" s="126">
        <f t="shared" si="4"/>
        <v>0</v>
      </c>
    </row>
    <row r="255" spans="2:29" ht="45" customHeight="1" x14ac:dyDescent="0.25">
      <c r="B255" s="118">
        <v>252</v>
      </c>
      <c r="C255" s="118" t="s">
        <v>150</v>
      </c>
      <c r="D255" s="118" t="s">
        <v>697</v>
      </c>
      <c r="E255" s="118">
        <v>40222</v>
      </c>
      <c r="F255" s="169" t="s">
        <v>844</v>
      </c>
      <c r="G255" s="118">
        <v>4057</v>
      </c>
      <c r="H255" s="118">
        <v>242</v>
      </c>
      <c r="I255" s="118" t="s">
        <v>33</v>
      </c>
      <c r="J255" s="118" t="s">
        <v>845</v>
      </c>
      <c r="K255" s="118">
        <v>93797</v>
      </c>
      <c r="L255" s="118">
        <v>6</v>
      </c>
      <c r="M255" s="118" t="s">
        <v>35</v>
      </c>
      <c r="N255" s="118" t="s">
        <v>35</v>
      </c>
      <c r="O255" s="118">
        <v>4311964</v>
      </c>
      <c r="P255" s="121">
        <v>45987</v>
      </c>
      <c r="Q255" s="118">
        <v>4431154</v>
      </c>
      <c r="R255" s="124">
        <v>5200</v>
      </c>
      <c r="S255" s="123">
        <v>46001</v>
      </c>
      <c r="T255" s="118">
        <v>2768</v>
      </c>
      <c r="U255" s="118" t="s">
        <v>846</v>
      </c>
      <c r="V255" s="118" t="s">
        <v>71</v>
      </c>
      <c r="W255" s="118" t="s">
        <v>86</v>
      </c>
      <c r="X255" s="124">
        <v>5200</v>
      </c>
      <c r="Y255" s="121">
        <v>46010</v>
      </c>
      <c r="Z255" s="121">
        <v>46013</v>
      </c>
      <c r="AA255" s="118" t="s">
        <v>39</v>
      </c>
      <c r="AB255" s="118"/>
      <c r="AC255" s="126">
        <f t="shared" si="4"/>
        <v>0</v>
      </c>
    </row>
    <row r="256" spans="2:29" ht="45" customHeight="1" x14ac:dyDescent="0.25">
      <c r="B256" s="118">
        <v>253</v>
      </c>
      <c r="C256" s="118" t="s">
        <v>150</v>
      </c>
      <c r="D256" s="118" t="s">
        <v>117</v>
      </c>
      <c r="E256" s="118" t="s">
        <v>35</v>
      </c>
      <c r="F256" s="190" t="s">
        <v>847</v>
      </c>
      <c r="G256" s="118">
        <v>5525</v>
      </c>
      <c r="H256" s="118">
        <v>242</v>
      </c>
      <c r="I256" s="118" t="s">
        <v>33</v>
      </c>
      <c r="J256" s="118" t="s">
        <v>848</v>
      </c>
      <c r="K256" s="118">
        <v>94090</v>
      </c>
      <c r="L256" s="118">
        <v>5</v>
      </c>
      <c r="M256" s="118" t="s">
        <v>849</v>
      </c>
      <c r="N256" s="118" t="s">
        <v>37</v>
      </c>
      <c r="O256" s="118">
        <v>4317391</v>
      </c>
      <c r="P256" s="150">
        <v>45992</v>
      </c>
      <c r="Q256" s="118">
        <v>4434679</v>
      </c>
      <c r="R256" s="124">
        <v>1895</v>
      </c>
      <c r="S256" s="123">
        <v>46001</v>
      </c>
      <c r="T256" s="118">
        <v>451</v>
      </c>
      <c r="U256" s="118" t="s">
        <v>850</v>
      </c>
      <c r="V256" s="118" t="s">
        <v>37</v>
      </c>
      <c r="W256" s="118" t="s">
        <v>64</v>
      </c>
      <c r="X256" s="124">
        <v>1895</v>
      </c>
      <c r="Y256" s="121">
        <v>45996</v>
      </c>
      <c r="Z256" s="121">
        <v>46000</v>
      </c>
      <c r="AA256" s="118" t="s">
        <v>39</v>
      </c>
      <c r="AB256" s="118"/>
      <c r="AC256" s="126">
        <f t="shared" si="4"/>
        <v>0</v>
      </c>
    </row>
    <row r="257" spans="2:29" ht="45" customHeight="1" x14ac:dyDescent="0.25">
      <c r="B257" s="118">
        <v>254</v>
      </c>
      <c r="C257" s="118" t="s">
        <v>150</v>
      </c>
      <c r="D257" s="118" t="s">
        <v>117</v>
      </c>
      <c r="E257" s="118" t="s">
        <v>35</v>
      </c>
      <c r="F257" s="190" t="s">
        <v>851</v>
      </c>
      <c r="G257" s="118">
        <v>2224</v>
      </c>
      <c r="H257" s="118">
        <v>242</v>
      </c>
      <c r="I257" s="118" t="s">
        <v>33</v>
      </c>
      <c r="J257" s="118" t="s">
        <v>852</v>
      </c>
      <c r="K257" s="118">
        <v>94094</v>
      </c>
      <c r="L257" s="118">
        <v>5</v>
      </c>
      <c r="M257" s="118" t="s">
        <v>853</v>
      </c>
      <c r="N257" s="118" t="s">
        <v>37</v>
      </c>
      <c r="O257" s="118">
        <v>4317402</v>
      </c>
      <c r="P257" s="150">
        <v>45992</v>
      </c>
      <c r="Q257" s="118">
        <v>4434656</v>
      </c>
      <c r="R257" s="124">
        <v>3880</v>
      </c>
      <c r="S257" s="123">
        <v>46001</v>
      </c>
      <c r="T257" s="118">
        <v>452</v>
      </c>
      <c r="U257" s="118" t="s">
        <v>854</v>
      </c>
      <c r="V257" s="118" t="s">
        <v>37</v>
      </c>
      <c r="W257" s="118" t="s">
        <v>64</v>
      </c>
      <c r="X257" s="124">
        <v>3880</v>
      </c>
      <c r="Y257" s="121">
        <v>45996</v>
      </c>
      <c r="Z257" s="121">
        <v>46000</v>
      </c>
      <c r="AA257" s="118" t="s">
        <v>39</v>
      </c>
      <c r="AB257" s="118"/>
      <c r="AC257" s="126">
        <f t="shared" si="4"/>
        <v>0</v>
      </c>
    </row>
    <row r="258" spans="2:29" ht="45" customHeight="1" x14ac:dyDescent="0.25">
      <c r="B258" s="118">
        <v>255</v>
      </c>
      <c r="C258" s="118" t="s">
        <v>150</v>
      </c>
      <c r="D258" s="118" t="s">
        <v>117</v>
      </c>
      <c r="E258" s="118" t="s">
        <v>35</v>
      </c>
      <c r="F258" s="190" t="s">
        <v>855</v>
      </c>
      <c r="G258" s="118">
        <v>1228</v>
      </c>
      <c r="H258" s="118">
        <v>242</v>
      </c>
      <c r="I258" s="118" t="s">
        <v>33</v>
      </c>
      <c r="J258" s="118" t="s">
        <v>856</v>
      </c>
      <c r="K258" s="118">
        <v>94097</v>
      </c>
      <c r="L258" s="118">
        <v>5</v>
      </c>
      <c r="M258" s="118" t="s">
        <v>857</v>
      </c>
      <c r="N258" s="118" t="s">
        <v>37</v>
      </c>
      <c r="O258" s="118">
        <v>4317411</v>
      </c>
      <c r="P258" s="150">
        <v>45992</v>
      </c>
      <c r="Q258" s="118">
        <v>4434682</v>
      </c>
      <c r="R258" s="124">
        <v>2820</v>
      </c>
      <c r="S258" s="123">
        <v>46001</v>
      </c>
      <c r="T258" s="118">
        <v>454</v>
      </c>
      <c r="U258" s="118" t="s">
        <v>858</v>
      </c>
      <c r="V258" s="118" t="s">
        <v>37</v>
      </c>
      <c r="W258" s="118" t="s">
        <v>64</v>
      </c>
      <c r="X258" s="124">
        <v>2820</v>
      </c>
      <c r="Y258" s="121">
        <v>45996</v>
      </c>
      <c r="Z258" s="121">
        <v>46000</v>
      </c>
      <c r="AA258" s="118" t="s">
        <v>39</v>
      </c>
      <c r="AB258" s="118"/>
      <c r="AC258" s="126">
        <f t="shared" si="4"/>
        <v>0</v>
      </c>
    </row>
    <row r="259" spans="2:29" ht="45" customHeight="1" x14ac:dyDescent="0.25">
      <c r="B259" s="118">
        <v>256</v>
      </c>
      <c r="C259" s="118" t="s">
        <v>150</v>
      </c>
      <c r="D259" s="118" t="s">
        <v>117</v>
      </c>
      <c r="E259" s="118" t="s">
        <v>35</v>
      </c>
      <c r="F259" s="190" t="s">
        <v>859</v>
      </c>
      <c r="G259" s="118">
        <v>2232</v>
      </c>
      <c r="H259" s="118">
        <v>242</v>
      </c>
      <c r="I259" s="118" t="s">
        <v>33</v>
      </c>
      <c r="J259" s="118" t="s">
        <v>860</v>
      </c>
      <c r="K259" s="118">
        <v>94098</v>
      </c>
      <c r="L259" s="118">
        <v>5</v>
      </c>
      <c r="M259" s="118" t="s">
        <v>861</v>
      </c>
      <c r="N259" s="118" t="s">
        <v>37</v>
      </c>
      <c r="O259" s="118">
        <v>4317414</v>
      </c>
      <c r="P259" s="150">
        <v>45992</v>
      </c>
      <c r="Q259" s="118">
        <v>4434659</v>
      </c>
      <c r="R259" s="124">
        <v>830</v>
      </c>
      <c r="S259" s="123">
        <v>46001</v>
      </c>
      <c r="T259" s="118">
        <v>453</v>
      </c>
      <c r="U259" s="118" t="s">
        <v>862</v>
      </c>
      <c r="V259" s="118" t="s">
        <v>37</v>
      </c>
      <c r="W259" s="118" t="s">
        <v>64</v>
      </c>
      <c r="X259" s="124">
        <v>830</v>
      </c>
      <c r="Y259" s="121">
        <v>45996</v>
      </c>
      <c r="Z259" s="121">
        <v>46000</v>
      </c>
      <c r="AA259" s="118" t="s">
        <v>39</v>
      </c>
      <c r="AB259" s="118"/>
      <c r="AC259" s="126">
        <f t="shared" si="4"/>
        <v>0</v>
      </c>
    </row>
    <row r="260" spans="2:29" ht="45" customHeight="1" x14ac:dyDescent="0.25">
      <c r="B260" s="118">
        <v>257</v>
      </c>
      <c r="C260" s="118" t="s">
        <v>49</v>
      </c>
      <c r="D260" s="118" t="s">
        <v>117</v>
      </c>
      <c r="E260" s="118" t="s">
        <v>35</v>
      </c>
      <c r="F260" s="169" t="s">
        <v>863</v>
      </c>
      <c r="G260" s="118">
        <v>2224</v>
      </c>
      <c r="H260" s="118">
        <v>242</v>
      </c>
      <c r="I260" s="118" t="s">
        <v>33</v>
      </c>
      <c r="J260" s="118" t="s">
        <v>864</v>
      </c>
      <c r="K260" s="118">
        <v>94208</v>
      </c>
      <c r="L260" s="118">
        <v>5</v>
      </c>
      <c r="M260" s="118" t="s">
        <v>865</v>
      </c>
      <c r="N260" s="118" t="s">
        <v>71</v>
      </c>
      <c r="O260" s="118">
        <v>4317690</v>
      </c>
      <c r="P260" s="150">
        <v>45992</v>
      </c>
      <c r="Q260" s="118">
        <v>4434675</v>
      </c>
      <c r="R260" s="124">
        <v>950</v>
      </c>
      <c r="S260" s="123">
        <v>46001</v>
      </c>
      <c r="T260" s="118">
        <v>455</v>
      </c>
      <c r="U260" s="118" t="s">
        <v>35</v>
      </c>
      <c r="V260" s="118" t="s">
        <v>37</v>
      </c>
      <c r="W260" s="118" t="s">
        <v>64</v>
      </c>
      <c r="X260" s="124">
        <v>950</v>
      </c>
      <c r="Y260" s="121">
        <v>45996</v>
      </c>
      <c r="Z260" s="121">
        <v>46000</v>
      </c>
      <c r="AA260" s="118" t="s">
        <v>39</v>
      </c>
      <c r="AB260" s="118"/>
      <c r="AC260" s="126">
        <f t="shared" si="4"/>
        <v>0</v>
      </c>
    </row>
    <row r="261" spans="2:29" ht="45" customHeight="1" x14ac:dyDescent="0.25">
      <c r="B261" s="118">
        <v>258</v>
      </c>
      <c r="C261" s="118" t="s">
        <v>150</v>
      </c>
      <c r="D261" s="118" t="s">
        <v>212</v>
      </c>
      <c r="E261" s="118">
        <v>41235</v>
      </c>
      <c r="F261" s="169" t="s">
        <v>866</v>
      </c>
      <c r="G261" s="118">
        <v>2291</v>
      </c>
      <c r="H261" s="118">
        <v>242</v>
      </c>
      <c r="I261" s="118" t="s">
        <v>33</v>
      </c>
      <c r="J261" s="118" t="s">
        <v>867</v>
      </c>
      <c r="K261" s="118">
        <v>94446</v>
      </c>
      <c r="L261" s="118">
        <v>6</v>
      </c>
      <c r="M261" s="118" t="s">
        <v>35</v>
      </c>
      <c r="N261" s="118" t="s">
        <v>35</v>
      </c>
      <c r="O261" s="132" t="s">
        <v>868</v>
      </c>
      <c r="P261" s="121">
        <v>45993</v>
      </c>
      <c r="Q261" s="118">
        <v>4435553</v>
      </c>
      <c r="R261" s="124">
        <v>4769</v>
      </c>
      <c r="S261" s="123">
        <v>46001</v>
      </c>
      <c r="T261" s="118">
        <v>5151</v>
      </c>
      <c r="U261" s="118" t="s">
        <v>869</v>
      </c>
      <c r="V261" s="118" t="s">
        <v>37</v>
      </c>
      <c r="W261" s="118" t="s">
        <v>86</v>
      </c>
      <c r="X261" s="124">
        <v>4769</v>
      </c>
      <c r="Y261" s="121">
        <v>46000</v>
      </c>
      <c r="Z261" s="121">
        <v>46006</v>
      </c>
      <c r="AA261" s="118" t="s">
        <v>39</v>
      </c>
      <c r="AB261" s="118"/>
      <c r="AC261" s="126">
        <f t="shared" si="4"/>
        <v>0</v>
      </c>
    </row>
    <row r="262" spans="2:29" ht="45" customHeight="1" x14ac:dyDescent="0.25">
      <c r="B262" s="118">
        <v>259</v>
      </c>
      <c r="C262" s="118" t="s">
        <v>150</v>
      </c>
      <c r="D262" s="118" t="s">
        <v>870</v>
      </c>
      <c r="E262" s="118" t="s">
        <v>35</v>
      </c>
      <c r="F262" s="169" t="s">
        <v>871</v>
      </c>
      <c r="G262" s="118">
        <v>2232</v>
      </c>
      <c r="H262" s="118">
        <v>242</v>
      </c>
      <c r="I262" s="118" t="s">
        <v>33</v>
      </c>
      <c r="J262" s="118" t="s">
        <v>872</v>
      </c>
      <c r="K262" s="118">
        <v>94769</v>
      </c>
      <c r="L262" s="118">
        <v>29</v>
      </c>
      <c r="M262" s="118" t="s">
        <v>873</v>
      </c>
      <c r="N262" s="118" t="s">
        <v>35</v>
      </c>
      <c r="O262" s="125"/>
      <c r="P262" s="161"/>
      <c r="Q262" s="125"/>
      <c r="R262" s="171">
        <v>13716.6</v>
      </c>
      <c r="S262" s="123">
        <v>46023</v>
      </c>
      <c r="T262" s="118"/>
      <c r="U262" s="118"/>
      <c r="V262" s="118"/>
      <c r="W262" s="118"/>
      <c r="X262" s="129"/>
      <c r="Y262" s="121"/>
      <c r="Z262" s="121"/>
      <c r="AA262" s="118" t="s">
        <v>634</v>
      </c>
      <c r="AB262" s="135" t="s">
        <v>874</v>
      </c>
      <c r="AC262" s="126">
        <f t="shared" si="4"/>
        <v>13716.6</v>
      </c>
    </row>
    <row r="263" spans="2:29" ht="45" customHeight="1" x14ac:dyDescent="0.25">
      <c r="B263" s="118">
        <v>260</v>
      </c>
      <c r="C263" s="118" t="s">
        <v>226</v>
      </c>
      <c r="D263" s="118" t="s">
        <v>875</v>
      </c>
      <c r="E263" s="118" t="s">
        <v>35</v>
      </c>
      <c r="F263" s="169" t="s">
        <v>876</v>
      </c>
      <c r="G263" s="118">
        <v>2119</v>
      </c>
      <c r="H263" s="118">
        <v>242</v>
      </c>
      <c r="I263" s="118" t="s">
        <v>340</v>
      </c>
      <c r="J263" s="118"/>
      <c r="K263" s="118">
        <v>94217</v>
      </c>
      <c r="L263" s="118">
        <v>5</v>
      </c>
      <c r="M263" s="118" t="s">
        <v>877</v>
      </c>
      <c r="N263" s="125"/>
      <c r="O263" s="118">
        <v>4318297</v>
      </c>
      <c r="P263" s="121">
        <v>45993</v>
      </c>
      <c r="Q263" s="118">
        <v>4438892</v>
      </c>
      <c r="R263" s="149">
        <v>950</v>
      </c>
      <c r="S263" s="123" t="s">
        <v>35</v>
      </c>
      <c r="T263" s="118">
        <v>116</v>
      </c>
      <c r="U263" s="118"/>
      <c r="V263" s="118" t="s">
        <v>71</v>
      </c>
      <c r="W263" s="118" t="s">
        <v>23</v>
      </c>
      <c r="X263" s="129">
        <v>950</v>
      </c>
      <c r="Y263" s="121">
        <v>46002</v>
      </c>
      <c r="Z263" s="121">
        <v>46003</v>
      </c>
      <c r="AA263" s="118" t="s">
        <v>39</v>
      </c>
      <c r="AB263" s="118"/>
      <c r="AC263" s="126">
        <f t="shared" si="4"/>
        <v>0</v>
      </c>
    </row>
    <row r="264" spans="2:29" ht="45" customHeight="1" x14ac:dyDescent="0.25">
      <c r="B264" s="118">
        <v>261</v>
      </c>
      <c r="C264" s="118" t="s">
        <v>106</v>
      </c>
      <c r="D264" s="118" t="s">
        <v>878</v>
      </c>
      <c r="E264" s="118" t="s">
        <v>35</v>
      </c>
      <c r="F264" s="169" t="s">
        <v>879</v>
      </c>
      <c r="G264" s="118">
        <v>2488</v>
      </c>
      <c r="H264" s="118">
        <v>5</v>
      </c>
      <c r="I264" s="118" t="s">
        <v>33</v>
      </c>
      <c r="J264" s="118" t="s">
        <v>880</v>
      </c>
      <c r="K264" s="118">
        <v>94653</v>
      </c>
      <c r="L264" s="118">
        <v>1</v>
      </c>
      <c r="M264" s="118" t="s">
        <v>35</v>
      </c>
      <c r="N264" s="118" t="s">
        <v>35</v>
      </c>
      <c r="O264" s="118">
        <v>4318988</v>
      </c>
      <c r="P264" s="121">
        <v>45993</v>
      </c>
      <c r="Q264" s="118">
        <v>4442220</v>
      </c>
      <c r="R264" s="124">
        <v>7600</v>
      </c>
      <c r="S264" s="123">
        <v>46001</v>
      </c>
      <c r="T264" s="118">
        <v>4</v>
      </c>
      <c r="U264" s="118" t="s">
        <v>35</v>
      </c>
      <c r="V264" s="118" t="s">
        <v>71</v>
      </c>
      <c r="W264" s="118" t="s">
        <v>86</v>
      </c>
      <c r="X264" s="124">
        <v>7600</v>
      </c>
      <c r="Y264" s="121">
        <v>46031</v>
      </c>
      <c r="Z264" s="121"/>
      <c r="AA264" s="118" t="s">
        <v>584</v>
      </c>
      <c r="AB264" s="118"/>
      <c r="AC264" s="126">
        <f t="shared" si="4"/>
        <v>0</v>
      </c>
    </row>
    <row r="265" spans="2:29" ht="45" customHeight="1" x14ac:dyDescent="0.25">
      <c r="B265" s="118">
        <v>262</v>
      </c>
      <c r="C265" s="118" t="s">
        <v>106</v>
      </c>
      <c r="D265" s="118" t="s">
        <v>31</v>
      </c>
      <c r="E265" s="118">
        <v>41291</v>
      </c>
      <c r="F265" s="169" t="s">
        <v>881</v>
      </c>
      <c r="G265" s="118">
        <v>2488</v>
      </c>
      <c r="H265" s="118">
        <v>242</v>
      </c>
      <c r="I265" s="118" t="s">
        <v>33</v>
      </c>
      <c r="J265" s="118" t="s">
        <v>882</v>
      </c>
      <c r="K265" s="118">
        <v>94860</v>
      </c>
      <c r="L265" s="118">
        <v>6</v>
      </c>
      <c r="M265" s="118" t="s">
        <v>35</v>
      </c>
      <c r="N265" s="118" t="s">
        <v>35</v>
      </c>
      <c r="O265" s="118">
        <v>4322173</v>
      </c>
      <c r="P265" s="121">
        <v>45996</v>
      </c>
      <c r="Q265" s="118">
        <v>4437745</v>
      </c>
      <c r="R265" s="124">
        <v>21585.64</v>
      </c>
      <c r="S265" s="123" t="s">
        <v>883</v>
      </c>
      <c r="T265" s="118">
        <v>19814</v>
      </c>
      <c r="U265" s="118" t="s">
        <v>884</v>
      </c>
      <c r="V265" s="118" t="s">
        <v>37</v>
      </c>
      <c r="W265" s="118" t="s">
        <v>64</v>
      </c>
      <c r="X265" s="124">
        <v>21585.64</v>
      </c>
      <c r="Y265" s="121">
        <v>46024</v>
      </c>
      <c r="Z265" s="121">
        <v>46029</v>
      </c>
      <c r="AA265" s="118" t="s">
        <v>39</v>
      </c>
      <c r="AB265" s="118"/>
      <c r="AC265" s="126">
        <f t="shared" si="4"/>
        <v>0</v>
      </c>
    </row>
    <row r="266" spans="2:29" ht="45" customHeight="1" x14ac:dyDescent="0.25">
      <c r="B266" s="118">
        <v>263</v>
      </c>
      <c r="C266" s="118" t="s">
        <v>351</v>
      </c>
      <c r="D266" s="118" t="s">
        <v>885</v>
      </c>
      <c r="E266" s="118">
        <v>39682</v>
      </c>
      <c r="F266" s="169" t="s">
        <v>886</v>
      </c>
      <c r="G266" s="118">
        <v>1210</v>
      </c>
      <c r="H266" s="118">
        <v>242</v>
      </c>
      <c r="I266" s="118" t="s">
        <v>340</v>
      </c>
      <c r="J266" s="174">
        <v>59646</v>
      </c>
      <c r="K266" s="118">
        <v>88489</v>
      </c>
      <c r="L266" s="118">
        <v>6</v>
      </c>
      <c r="M266" s="118"/>
      <c r="N266" s="118"/>
      <c r="O266" s="118">
        <v>4318768</v>
      </c>
      <c r="P266" s="121">
        <v>45993</v>
      </c>
      <c r="Q266" s="118">
        <v>4435991</v>
      </c>
      <c r="R266" s="149">
        <v>3960</v>
      </c>
      <c r="S266" s="123">
        <v>46017</v>
      </c>
      <c r="T266" s="118">
        <v>10614</v>
      </c>
      <c r="U266" s="125"/>
      <c r="V266" s="118" t="s">
        <v>37</v>
      </c>
      <c r="W266" s="118" t="s">
        <v>64</v>
      </c>
      <c r="X266" s="124">
        <v>3960</v>
      </c>
      <c r="Y266" s="121">
        <v>46010</v>
      </c>
      <c r="Z266" s="121">
        <v>46013</v>
      </c>
      <c r="AA266" s="118" t="s">
        <v>39</v>
      </c>
      <c r="AB266" s="118"/>
      <c r="AC266" s="126">
        <f t="shared" si="4"/>
        <v>0</v>
      </c>
    </row>
    <row r="267" spans="2:29" ht="45" customHeight="1" x14ac:dyDescent="0.25">
      <c r="B267" s="118">
        <v>264</v>
      </c>
      <c r="C267" s="118" t="s">
        <v>887</v>
      </c>
      <c r="D267" s="118" t="s">
        <v>230</v>
      </c>
      <c r="E267" s="118" t="s">
        <v>35</v>
      </c>
      <c r="F267" s="169" t="s">
        <v>888</v>
      </c>
      <c r="G267" s="118">
        <v>2283</v>
      </c>
      <c r="H267" s="118">
        <v>242</v>
      </c>
      <c r="I267" s="118" t="s">
        <v>340</v>
      </c>
      <c r="J267" s="118" t="s">
        <v>540</v>
      </c>
      <c r="K267" s="118">
        <v>94175</v>
      </c>
      <c r="L267" s="118">
        <v>1</v>
      </c>
      <c r="M267" s="118"/>
      <c r="N267" s="118"/>
      <c r="O267" s="118">
        <v>4318841</v>
      </c>
      <c r="P267" s="121">
        <v>45993</v>
      </c>
      <c r="Q267" s="118">
        <v>4437436</v>
      </c>
      <c r="R267" s="149">
        <v>8150</v>
      </c>
      <c r="S267" s="123">
        <v>46011</v>
      </c>
      <c r="T267" s="118"/>
      <c r="U267" s="118"/>
      <c r="V267" s="118"/>
      <c r="W267" s="118"/>
      <c r="X267" s="129"/>
      <c r="Y267" s="121"/>
      <c r="Z267" s="121"/>
      <c r="AA267" s="118" t="s">
        <v>48</v>
      </c>
      <c r="AB267" s="118"/>
      <c r="AC267" s="126">
        <f t="shared" si="4"/>
        <v>8150</v>
      </c>
    </row>
    <row r="268" spans="2:29" ht="45" customHeight="1" x14ac:dyDescent="0.25">
      <c r="B268" s="118">
        <v>265</v>
      </c>
      <c r="C268" s="118" t="s">
        <v>351</v>
      </c>
      <c r="D268" s="118" t="s">
        <v>889</v>
      </c>
      <c r="E268" s="118" t="s">
        <v>35</v>
      </c>
      <c r="F268" s="169" t="s">
        <v>890</v>
      </c>
      <c r="G268" s="118">
        <v>1236</v>
      </c>
      <c r="H268" s="118">
        <v>242</v>
      </c>
      <c r="I268" s="118" t="s">
        <v>340</v>
      </c>
      <c r="J268" s="118">
        <v>214</v>
      </c>
      <c r="K268" s="118">
        <v>94433</v>
      </c>
      <c r="L268" s="118">
        <v>29</v>
      </c>
      <c r="M268" s="118" t="s">
        <v>891</v>
      </c>
      <c r="N268" s="118"/>
      <c r="O268" s="118">
        <v>4318855</v>
      </c>
      <c r="P268" s="121">
        <v>45993</v>
      </c>
      <c r="Q268" s="125">
        <v>4438975</v>
      </c>
      <c r="R268" s="149">
        <v>1100</v>
      </c>
      <c r="S268" s="123">
        <v>45996</v>
      </c>
      <c r="T268" s="118">
        <v>413</v>
      </c>
      <c r="U268" s="118"/>
      <c r="V268" s="118" t="s">
        <v>37</v>
      </c>
      <c r="W268" s="118" t="s">
        <v>23</v>
      </c>
      <c r="X268" s="129">
        <v>1100</v>
      </c>
      <c r="Y268" s="121">
        <v>46001</v>
      </c>
      <c r="Z268" s="121">
        <v>46003</v>
      </c>
      <c r="AA268" s="118" t="s">
        <v>39</v>
      </c>
      <c r="AB268" s="118"/>
      <c r="AC268" s="126">
        <f t="shared" si="4"/>
        <v>0</v>
      </c>
    </row>
    <row r="269" spans="2:29" ht="45" customHeight="1" x14ac:dyDescent="0.25">
      <c r="B269" s="118">
        <v>266</v>
      </c>
      <c r="C269" s="118" t="s">
        <v>43</v>
      </c>
      <c r="D269" s="118" t="s">
        <v>370</v>
      </c>
      <c r="E269" s="118">
        <v>36375</v>
      </c>
      <c r="F269" s="169" t="s">
        <v>892</v>
      </c>
      <c r="G269" s="118">
        <v>2232</v>
      </c>
      <c r="H269" s="118">
        <v>242</v>
      </c>
      <c r="I269" s="118" t="s">
        <v>340</v>
      </c>
      <c r="J269" s="118">
        <v>127404</v>
      </c>
      <c r="K269" s="118">
        <v>94904</v>
      </c>
      <c r="L269" s="118">
        <v>6</v>
      </c>
      <c r="M269" s="118"/>
      <c r="N269" s="118"/>
      <c r="O269" s="118">
        <v>4318908</v>
      </c>
      <c r="P269" s="121">
        <v>45993</v>
      </c>
      <c r="Q269" s="118">
        <v>4437429</v>
      </c>
      <c r="R269" s="149">
        <v>23955.119999999999</v>
      </c>
      <c r="S269" s="123">
        <v>46023</v>
      </c>
      <c r="T269" s="118"/>
      <c r="U269" s="118"/>
      <c r="V269" s="118"/>
      <c r="W269" s="118"/>
      <c r="X269" s="129"/>
      <c r="Y269" s="121"/>
      <c r="Z269" s="121"/>
      <c r="AA269" s="118" t="s">
        <v>48</v>
      </c>
      <c r="AB269" s="118"/>
      <c r="AC269" s="126">
        <f t="shared" si="4"/>
        <v>23955.119999999999</v>
      </c>
    </row>
    <row r="270" spans="2:29" ht="45" customHeight="1" x14ac:dyDescent="0.25">
      <c r="B270" s="118">
        <v>267</v>
      </c>
      <c r="C270" s="118" t="s">
        <v>893</v>
      </c>
      <c r="D270" s="118" t="s">
        <v>894</v>
      </c>
      <c r="E270" s="118" t="s">
        <v>35</v>
      </c>
      <c r="F270" s="169" t="s">
        <v>895</v>
      </c>
      <c r="G270" s="118">
        <v>2488</v>
      </c>
      <c r="H270" s="118">
        <v>242</v>
      </c>
      <c r="I270" s="118" t="s">
        <v>33</v>
      </c>
      <c r="J270" s="118" t="s">
        <v>896</v>
      </c>
      <c r="K270" s="118">
        <v>94946</v>
      </c>
      <c r="L270" s="118">
        <v>29</v>
      </c>
      <c r="M270" s="118" t="s">
        <v>897</v>
      </c>
      <c r="N270" s="118" t="s">
        <v>35</v>
      </c>
      <c r="O270" s="118">
        <v>4319066</v>
      </c>
      <c r="P270" s="121">
        <v>45993</v>
      </c>
      <c r="Q270" s="118">
        <v>4438253</v>
      </c>
      <c r="R270" s="124">
        <v>10815.75</v>
      </c>
      <c r="S270" s="123">
        <v>46023</v>
      </c>
      <c r="T270" s="118"/>
      <c r="U270" s="118"/>
      <c r="V270" s="118"/>
      <c r="W270" s="118"/>
      <c r="X270" s="129"/>
      <c r="Y270" s="121"/>
      <c r="Z270" s="121"/>
      <c r="AA270" s="118" t="s">
        <v>48</v>
      </c>
      <c r="AB270" s="118"/>
      <c r="AC270" s="126">
        <f t="shared" si="4"/>
        <v>10815.75</v>
      </c>
    </row>
    <row r="271" spans="2:29" ht="45" customHeight="1" x14ac:dyDescent="0.25">
      <c r="B271" s="118">
        <v>268</v>
      </c>
      <c r="C271" s="118" t="s">
        <v>351</v>
      </c>
      <c r="D271" s="118" t="s">
        <v>898</v>
      </c>
      <c r="E271" s="118"/>
      <c r="F271" s="169" t="s">
        <v>899</v>
      </c>
      <c r="G271" s="118">
        <v>94409</v>
      </c>
      <c r="H271" s="118">
        <v>242</v>
      </c>
      <c r="I271" s="118" t="s">
        <v>340</v>
      </c>
      <c r="J271" s="118">
        <v>392</v>
      </c>
      <c r="K271" s="118">
        <v>94409</v>
      </c>
      <c r="L271" s="118">
        <v>5</v>
      </c>
      <c r="M271" s="118" t="s">
        <v>900</v>
      </c>
      <c r="N271" s="118" t="s">
        <v>35</v>
      </c>
      <c r="O271" s="118">
        <v>4320302</v>
      </c>
      <c r="P271" s="121">
        <v>45994</v>
      </c>
      <c r="Q271" s="118">
        <v>4440413</v>
      </c>
      <c r="R271" s="149">
        <v>2390</v>
      </c>
      <c r="S271" s="123"/>
      <c r="T271" s="118"/>
      <c r="U271" s="118"/>
      <c r="V271" s="118"/>
      <c r="W271" s="118"/>
      <c r="X271" s="129"/>
      <c r="Y271" s="121"/>
      <c r="Z271" s="121"/>
      <c r="AA271" s="118" t="s">
        <v>48</v>
      </c>
      <c r="AB271" s="118"/>
      <c r="AC271" s="126"/>
    </row>
    <row r="272" spans="2:29" ht="45" customHeight="1" x14ac:dyDescent="0.25">
      <c r="B272" s="118">
        <v>269</v>
      </c>
      <c r="C272" s="118" t="s">
        <v>901</v>
      </c>
      <c r="D272" s="118" t="s">
        <v>902</v>
      </c>
      <c r="E272" s="118" t="s">
        <v>35</v>
      </c>
      <c r="F272" s="169" t="s">
        <v>903</v>
      </c>
      <c r="G272" s="118">
        <v>1228</v>
      </c>
      <c r="H272" s="118">
        <v>242</v>
      </c>
      <c r="I272" s="118" t="s">
        <v>340</v>
      </c>
      <c r="J272" s="118"/>
      <c r="K272" s="118"/>
      <c r="L272" s="118">
        <v>1</v>
      </c>
      <c r="M272" s="118"/>
      <c r="N272" s="118"/>
      <c r="O272" s="118">
        <v>4193339</v>
      </c>
      <c r="P272" s="121">
        <v>45867</v>
      </c>
      <c r="Q272" s="118">
        <v>4324339</v>
      </c>
      <c r="R272" s="149">
        <v>70950.89</v>
      </c>
      <c r="S272" s="123"/>
      <c r="T272" s="118">
        <v>179</v>
      </c>
      <c r="U272" s="118"/>
      <c r="V272" s="118" t="s">
        <v>71</v>
      </c>
      <c r="W272" s="118" t="s">
        <v>64</v>
      </c>
      <c r="X272" s="129">
        <v>70950.89</v>
      </c>
      <c r="Y272" s="121">
        <v>45992</v>
      </c>
      <c r="Z272" s="121">
        <v>45993</v>
      </c>
      <c r="AA272" s="118" t="s">
        <v>39</v>
      </c>
      <c r="AB272" s="118"/>
      <c r="AC272" s="126">
        <f t="shared" si="4"/>
        <v>0</v>
      </c>
    </row>
    <row r="273" spans="2:29" ht="45" customHeight="1" x14ac:dyDescent="0.25">
      <c r="B273" s="118">
        <v>270</v>
      </c>
      <c r="C273" s="118" t="s">
        <v>292</v>
      </c>
      <c r="D273" s="118" t="s">
        <v>904</v>
      </c>
      <c r="E273" s="118" t="s">
        <v>35</v>
      </c>
      <c r="F273" s="169" t="s">
        <v>905</v>
      </c>
      <c r="G273" s="118">
        <v>2330</v>
      </c>
      <c r="H273" s="118">
        <v>242</v>
      </c>
      <c r="I273" s="118" t="s">
        <v>33</v>
      </c>
      <c r="J273" s="118" t="s">
        <v>906</v>
      </c>
      <c r="K273" s="118">
        <v>95209</v>
      </c>
      <c r="L273" s="118">
        <v>5</v>
      </c>
      <c r="M273" s="118" t="s">
        <v>907</v>
      </c>
      <c r="N273" s="118" t="s">
        <v>37</v>
      </c>
      <c r="O273" s="136" t="s">
        <v>908</v>
      </c>
      <c r="P273" s="133" t="s">
        <v>909</v>
      </c>
      <c r="Q273" s="118">
        <v>4465534</v>
      </c>
      <c r="R273" s="124">
        <v>4515.6499999999996</v>
      </c>
      <c r="S273" s="123">
        <v>45992</v>
      </c>
      <c r="T273" s="118"/>
      <c r="U273" s="118"/>
      <c r="V273" s="118"/>
      <c r="W273" s="118"/>
      <c r="X273" s="129"/>
      <c r="Y273" s="121"/>
      <c r="Z273" s="121"/>
      <c r="AA273" s="118" t="s">
        <v>48</v>
      </c>
      <c r="AB273" s="118"/>
      <c r="AC273" s="126">
        <f t="shared" si="4"/>
        <v>4515.6499999999996</v>
      </c>
    </row>
    <row r="274" spans="2:29" ht="45" customHeight="1" x14ac:dyDescent="0.25">
      <c r="B274" s="118">
        <v>271</v>
      </c>
      <c r="C274" s="118" t="s">
        <v>106</v>
      </c>
      <c r="D274" s="118" t="s">
        <v>107</v>
      </c>
      <c r="E274" s="118">
        <v>41358</v>
      </c>
      <c r="F274" s="192" t="s">
        <v>910</v>
      </c>
      <c r="G274" s="118">
        <v>2488</v>
      </c>
      <c r="H274" s="118">
        <v>242</v>
      </c>
      <c r="I274" s="118" t="s">
        <v>33</v>
      </c>
      <c r="J274" s="118" t="s">
        <v>911</v>
      </c>
      <c r="K274" s="118">
        <v>95167</v>
      </c>
      <c r="L274" s="118">
        <v>6</v>
      </c>
      <c r="M274" s="118" t="s">
        <v>35</v>
      </c>
      <c r="N274" s="118" t="s">
        <v>35</v>
      </c>
      <c r="O274" s="118">
        <v>4321227</v>
      </c>
      <c r="P274" s="121">
        <v>45995</v>
      </c>
      <c r="Q274" s="118">
        <v>4436040</v>
      </c>
      <c r="R274" s="124">
        <v>883.5</v>
      </c>
      <c r="S274" s="123">
        <v>45992</v>
      </c>
      <c r="T274" s="118">
        <v>3209</v>
      </c>
      <c r="U274" s="118" t="s">
        <v>912</v>
      </c>
      <c r="V274" s="118" t="s">
        <v>37</v>
      </c>
      <c r="W274" s="118" t="s">
        <v>86</v>
      </c>
      <c r="X274" s="129">
        <v>883.5</v>
      </c>
      <c r="Y274" s="121">
        <v>46001</v>
      </c>
      <c r="Z274" s="121">
        <v>46002</v>
      </c>
      <c r="AA274" s="118" t="s">
        <v>39</v>
      </c>
      <c r="AB274" s="118"/>
      <c r="AC274" s="126">
        <f t="shared" si="4"/>
        <v>0</v>
      </c>
    </row>
    <row r="275" spans="2:29" ht="45" customHeight="1" x14ac:dyDescent="0.25">
      <c r="B275" s="118">
        <v>272</v>
      </c>
      <c r="C275" s="118" t="s">
        <v>186</v>
      </c>
      <c r="D275" s="118" t="s">
        <v>212</v>
      </c>
      <c r="E275" s="118">
        <v>40688</v>
      </c>
      <c r="F275" s="169" t="s">
        <v>913</v>
      </c>
      <c r="G275" s="118">
        <v>2291</v>
      </c>
      <c r="H275" s="118">
        <v>242</v>
      </c>
      <c r="I275" s="118" t="s">
        <v>33</v>
      </c>
      <c r="J275" s="118" t="s">
        <v>914</v>
      </c>
      <c r="K275" s="118">
        <v>95152</v>
      </c>
      <c r="L275" s="118">
        <v>6</v>
      </c>
      <c r="M275" s="118" t="s">
        <v>35</v>
      </c>
      <c r="N275" s="118" t="s">
        <v>35</v>
      </c>
      <c r="O275" s="118">
        <v>4321296</v>
      </c>
      <c r="P275" s="121">
        <v>45995</v>
      </c>
      <c r="Q275" s="118">
        <v>4436223</v>
      </c>
      <c r="R275" s="124">
        <v>2109</v>
      </c>
      <c r="S275" s="123">
        <v>45992</v>
      </c>
      <c r="T275" s="118">
        <v>5201</v>
      </c>
      <c r="U275" s="118" t="s">
        <v>35</v>
      </c>
      <c r="V275" s="118" t="s">
        <v>86</v>
      </c>
      <c r="W275" s="118" t="s">
        <v>86</v>
      </c>
      <c r="X275" s="124">
        <v>2109</v>
      </c>
      <c r="Y275" s="121">
        <v>46034</v>
      </c>
      <c r="Z275" s="121"/>
      <c r="AA275" s="118" t="s">
        <v>584</v>
      </c>
      <c r="AB275" s="118"/>
      <c r="AC275" s="126">
        <f t="shared" si="4"/>
        <v>0</v>
      </c>
    </row>
    <row r="276" spans="2:29" ht="45" customHeight="1" x14ac:dyDescent="0.25">
      <c r="B276" s="118">
        <v>273</v>
      </c>
      <c r="C276" s="118" t="s">
        <v>186</v>
      </c>
      <c r="D276" s="118" t="s">
        <v>212</v>
      </c>
      <c r="E276" s="118">
        <v>40688</v>
      </c>
      <c r="F276" s="169" t="s">
        <v>915</v>
      </c>
      <c r="G276" s="118">
        <v>2283</v>
      </c>
      <c r="H276" s="118">
        <v>242</v>
      </c>
      <c r="I276" s="118" t="s">
        <v>33</v>
      </c>
      <c r="J276" s="118" t="s">
        <v>916</v>
      </c>
      <c r="K276" s="118">
        <v>95153</v>
      </c>
      <c r="L276" s="118">
        <v>6</v>
      </c>
      <c r="M276" s="118" t="s">
        <v>35</v>
      </c>
      <c r="N276" s="118" t="s">
        <v>35</v>
      </c>
      <c r="O276" s="118">
        <v>4321300</v>
      </c>
      <c r="P276" s="121">
        <v>45995</v>
      </c>
      <c r="Q276" s="118">
        <v>4436059</v>
      </c>
      <c r="R276" s="124">
        <v>2640</v>
      </c>
      <c r="S276" s="123">
        <v>45992</v>
      </c>
      <c r="T276" s="118">
        <v>5150</v>
      </c>
      <c r="U276" s="130" t="s">
        <v>917</v>
      </c>
      <c r="V276" s="118" t="s">
        <v>37</v>
      </c>
      <c r="W276" s="118" t="s">
        <v>86</v>
      </c>
      <c r="X276" s="124">
        <v>2640</v>
      </c>
      <c r="Y276" s="121">
        <v>46000</v>
      </c>
      <c r="Z276" s="121">
        <v>46008</v>
      </c>
      <c r="AA276" s="118" t="s">
        <v>39</v>
      </c>
      <c r="AB276" s="118"/>
      <c r="AC276" s="126">
        <f t="shared" si="4"/>
        <v>0</v>
      </c>
    </row>
    <row r="277" spans="2:29" ht="45" customHeight="1" x14ac:dyDescent="0.25">
      <c r="B277" s="118">
        <v>274</v>
      </c>
      <c r="C277" s="118" t="s">
        <v>106</v>
      </c>
      <c r="D277" s="118" t="s">
        <v>107</v>
      </c>
      <c r="E277" s="118">
        <v>41359</v>
      </c>
      <c r="F277" s="190" t="s">
        <v>918</v>
      </c>
      <c r="G277" s="118">
        <v>2488</v>
      </c>
      <c r="H277" s="118">
        <v>242</v>
      </c>
      <c r="I277" s="118" t="s">
        <v>33</v>
      </c>
      <c r="J277" s="118" t="s">
        <v>919</v>
      </c>
      <c r="K277" s="118">
        <v>95172</v>
      </c>
      <c r="L277" s="118">
        <v>6</v>
      </c>
      <c r="M277" s="120" t="s">
        <v>35</v>
      </c>
      <c r="N277" s="118" t="s">
        <v>35</v>
      </c>
      <c r="O277" s="118">
        <v>4321310</v>
      </c>
      <c r="P277" s="121">
        <v>45995</v>
      </c>
      <c r="Q277" s="118">
        <v>4436044</v>
      </c>
      <c r="R277" s="124">
        <v>665</v>
      </c>
      <c r="S277" s="123">
        <v>45992</v>
      </c>
      <c r="T277" s="118">
        <v>3211</v>
      </c>
      <c r="U277" s="118" t="s">
        <v>920</v>
      </c>
      <c r="V277" s="118" t="s">
        <v>37</v>
      </c>
      <c r="W277" s="118" t="s">
        <v>86</v>
      </c>
      <c r="X277" s="124">
        <v>665</v>
      </c>
      <c r="Y277" s="121">
        <v>46001</v>
      </c>
      <c r="Z277" s="121">
        <v>46008</v>
      </c>
      <c r="AA277" s="118" t="s">
        <v>39</v>
      </c>
      <c r="AB277" s="118"/>
      <c r="AC277" s="126">
        <f t="shared" si="4"/>
        <v>0</v>
      </c>
    </row>
    <row r="278" spans="2:29" ht="45" customHeight="1" x14ac:dyDescent="0.25">
      <c r="B278" s="118">
        <v>275</v>
      </c>
      <c r="C278" s="118" t="s">
        <v>186</v>
      </c>
      <c r="D278" s="118" t="s">
        <v>212</v>
      </c>
      <c r="E278" s="118">
        <v>40140</v>
      </c>
      <c r="F278" s="169" t="s">
        <v>921</v>
      </c>
      <c r="G278" s="118">
        <v>4057</v>
      </c>
      <c r="H278" s="118">
        <v>242</v>
      </c>
      <c r="I278" s="118" t="s">
        <v>33</v>
      </c>
      <c r="J278" s="118" t="s">
        <v>922</v>
      </c>
      <c r="K278" s="118">
        <v>95155</v>
      </c>
      <c r="L278" s="118">
        <v>6</v>
      </c>
      <c r="M278" s="118" t="s">
        <v>35</v>
      </c>
      <c r="N278" s="118" t="s">
        <v>35</v>
      </c>
      <c r="O278" s="118">
        <v>4325100</v>
      </c>
      <c r="P278" s="121">
        <v>46000</v>
      </c>
      <c r="Q278" s="118">
        <v>4448058</v>
      </c>
      <c r="R278" s="124">
        <v>6752</v>
      </c>
      <c r="S278" s="123">
        <v>45992</v>
      </c>
      <c r="T278" s="118"/>
      <c r="U278" s="118"/>
      <c r="V278" s="118"/>
      <c r="W278" s="118"/>
      <c r="X278" s="129"/>
      <c r="Y278" s="121"/>
      <c r="Z278" s="121"/>
      <c r="AA278" s="118" t="s">
        <v>48</v>
      </c>
      <c r="AB278" s="118"/>
      <c r="AC278" s="126">
        <f t="shared" si="4"/>
        <v>6752</v>
      </c>
    </row>
    <row r="279" spans="2:29" ht="45" customHeight="1" x14ac:dyDescent="0.25">
      <c r="B279" s="118">
        <v>276</v>
      </c>
      <c r="C279" s="118" t="s">
        <v>186</v>
      </c>
      <c r="D279" s="118" t="s">
        <v>212</v>
      </c>
      <c r="E279" s="118">
        <v>40688</v>
      </c>
      <c r="F279" s="169" t="s">
        <v>921</v>
      </c>
      <c r="G279" s="118">
        <v>2275</v>
      </c>
      <c r="H279" s="118">
        <v>242</v>
      </c>
      <c r="I279" s="118" t="s">
        <v>33</v>
      </c>
      <c r="J279" s="118" t="s">
        <v>923</v>
      </c>
      <c r="K279" s="118">
        <v>95165</v>
      </c>
      <c r="L279" s="118">
        <v>6</v>
      </c>
      <c r="M279" s="118" t="s">
        <v>35</v>
      </c>
      <c r="N279" s="118" t="s">
        <v>35</v>
      </c>
      <c r="O279" s="118">
        <v>4325111</v>
      </c>
      <c r="P279" s="121">
        <v>46000</v>
      </c>
      <c r="Q279" s="118">
        <v>4448059</v>
      </c>
      <c r="R279" s="124">
        <v>6240</v>
      </c>
      <c r="S279" s="123">
        <v>45992</v>
      </c>
      <c r="T279" s="118">
        <v>5176</v>
      </c>
      <c r="U279" s="125"/>
      <c r="V279" s="118" t="s">
        <v>71</v>
      </c>
      <c r="W279" s="118" t="s">
        <v>86</v>
      </c>
      <c r="X279" s="124">
        <v>6240</v>
      </c>
      <c r="Y279" s="121">
        <v>46013</v>
      </c>
      <c r="Z279" s="121">
        <v>46014</v>
      </c>
      <c r="AA279" s="118" t="s">
        <v>39</v>
      </c>
      <c r="AB279" s="118"/>
      <c r="AC279" s="126">
        <f t="shared" si="4"/>
        <v>0</v>
      </c>
    </row>
    <row r="280" spans="2:29" ht="45" customHeight="1" x14ac:dyDescent="0.25">
      <c r="B280" s="118">
        <v>277</v>
      </c>
      <c r="C280" s="118" t="s">
        <v>186</v>
      </c>
      <c r="D280" s="118" t="s">
        <v>212</v>
      </c>
      <c r="E280" s="118">
        <v>40688</v>
      </c>
      <c r="F280" s="169" t="s">
        <v>924</v>
      </c>
      <c r="G280" s="118">
        <v>2291</v>
      </c>
      <c r="H280" s="118">
        <v>242</v>
      </c>
      <c r="I280" s="118" t="s">
        <v>33</v>
      </c>
      <c r="J280" s="118" t="s">
        <v>925</v>
      </c>
      <c r="K280" s="118">
        <v>95166</v>
      </c>
      <c r="L280" s="118">
        <v>6</v>
      </c>
      <c r="M280" s="118" t="s">
        <v>35</v>
      </c>
      <c r="N280" s="118" t="s">
        <v>35</v>
      </c>
      <c r="O280" s="118">
        <v>4321339</v>
      </c>
      <c r="P280" s="121">
        <v>45995</v>
      </c>
      <c r="Q280" s="118">
        <v>4436227</v>
      </c>
      <c r="R280" s="124">
        <v>1828</v>
      </c>
      <c r="S280" s="123">
        <v>45992</v>
      </c>
      <c r="T280" s="118">
        <v>5200</v>
      </c>
      <c r="U280" s="118" t="s">
        <v>35</v>
      </c>
      <c r="V280" s="118" t="s">
        <v>37</v>
      </c>
      <c r="W280" s="118" t="s">
        <v>86</v>
      </c>
      <c r="X280" s="124">
        <v>1828</v>
      </c>
      <c r="Y280" s="121">
        <v>46034</v>
      </c>
      <c r="Z280" s="121"/>
      <c r="AA280" s="118" t="s">
        <v>584</v>
      </c>
      <c r="AB280" s="118"/>
      <c r="AC280" s="126">
        <f t="shared" si="4"/>
        <v>0</v>
      </c>
    </row>
    <row r="281" spans="2:29" ht="45" customHeight="1" x14ac:dyDescent="0.25">
      <c r="B281" s="118">
        <v>278</v>
      </c>
      <c r="C281" s="118" t="s">
        <v>106</v>
      </c>
      <c r="D281" s="118" t="s">
        <v>495</v>
      </c>
      <c r="E281" s="118">
        <v>41368</v>
      </c>
      <c r="F281" s="169" t="s">
        <v>926</v>
      </c>
      <c r="G281" s="118">
        <v>2224</v>
      </c>
      <c r="H281" s="118">
        <v>170</v>
      </c>
      <c r="I281" s="118" t="s">
        <v>33</v>
      </c>
      <c r="J281" s="118" t="s">
        <v>927</v>
      </c>
      <c r="K281" s="118">
        <v>95189</v>
      </c>
      <c r="L281" s="118">
        <v>6</v>
      </c>
      <c r="M281" s="118" t="s">
        <v>35</v>
      </c>
      <c r="N281" s="118" t="s">
        <v>35</v>
      </c>
      <c r="O281" s="118">
        <v>4321352</v>
      </c>
      <c r="P281" s="121">
        <v>45995</v>
      </c>
      <c r="Q281" s="118">
        <v>4436232</v>
      </c>
      <c r="R281" s="124">
        <v>1440</v>
      </c>
      <c r="S281" s="123">
        <v>45992</v>
      </c>
      <c r="T281" s="118">
        <v>4325</v>
      </c>
      <c r="U281" s="118" t="s">
        <v>928</v>
      </c>
      <c r="V281" s="118" t="s">
        <v>37</v>
      </c>
      <c r="W281" s="118" t="s">
        <v>86</v>
      </c>
      <c r="X281" s="124">
        <v>1440</v>
      </c>
      <c r="Y281" s="121">
        <v>46000</v>
      </c>
      <c r="Z281" s="121">
        <v>46006</v>
      </c>
      <c r="AA281" s="118" t="s">
        <v>39</v>
      </c>
      <c r="AB281" s="118"/>
      <c r="AC281" s="126">
        <f t="shared" si="4"/>
        <v>0</v>
      </c>
    </row>
    <row r="282" spans="2:29" ht="45" customHeight="1" x14ac:dyDescent="0.25">
      <c r="B282" s="118">
        <v>279</v>
      </c>
      <c r="C282" s="118" t="s">
        <v>150</v>
      </c>
      <c r="D282" s="118" t="s">
        <v>107</v>
      </c>
      <c r="E282" s="118">
        <v>40292</v>
      </c>
      <c r="F282" s="190" t="s">
        <v>929</v>
      </c>
      <c r="G282" s="118">
        <v>2224</v>
      </c>
      <c r="H282" s="118">
        <v>242</v>
      </c>
      <c r="I282" s="118" t="s">
        <v>33</v>
      </c>
      <c r="J282" s="118" t="s">
        <v>930</v>
      </c>
      <c r="K282" s="118">
        <v>95252</v>
      </c>
      <c r="L282" s="118">
        <v>5</v>
      </c>
      <c r="M282" s="118" t="s">
        <v>931</v>
      </c>
      <c r="N282" s="118" t="s">
        <v>37</v>
      </c>
      <c r="O282" s="118">
        <v>4322113</v>
      </c>
      <c r="P282" s="121">
        <v>45996</v>
      </c>
      <c r="Q282" s="118">
        <v>4435043</v>
      </c>
      <c r="R282" s="124">
        <v>510</v>
      </c>
      <c r="S282" s="123">
        <v>46023</v>
      </c>
      <c r="T282" s="118">
        <v>3208</v>
      </c>
      <c r="U282" s="118" t="s">
        <v>932</v>
      </c>
      <c r="V282" s="118" t="s">
        <v>37</v>
      </c>
      <c r="W282" s="118" t="s">
        <v>86</v>
      </c>
      <c r="X282" s="124">
        <v>510</v>
      </c>
      <c r="Y282" s="121">
        <v>45999</v>
      </c>
      <c r="Z282" s="121">
        <v>46001</v>
      </c>
      <c r="AA282" s="118" t="s">
        <v>39</v>
      </c>
      <c r="AB282" s="118"/>
      <c r="AC282" s="126">
        <f t="shared" si="4"/>
        <v>0</v>
      </c>
    </row>
    <row r="283" spans="2:29" ht="45" customHeight="1" x14ac:dyDescent="0.25">
      <c r="B283" s="118">
        <v>280</v>
      </c>
      <c r="C283" s="118" t="s">
        <v>561</v>
      </c>
      <c r="D283" s="118" t="s">
        <v>117</v>
      </c>
      <c r="E283" s="154">
        <v>41123</v>
      </c>
      <c r="F283" s="190" t="s">
        <v>933</v>
      </c>
      <c r="G283" s="118">
        <v>2283</v>
      </c>
      <c r="H283" s="118">
        <v>242</v>
      </c>
      <c r="I283" s="118" t="s">
        <v>33</v>
      </c>
      <c r="J283" s="118" t="s">
        <v>934</v>
      </c>
      <c r="K283" s="118">
        <v>95253</v>
      </c>
      <c r="L283" s="118">
        <v>5</v>
      </c>
      <c r="M283" s="118" t="s">
        <v>935</v>
      </c>
      <c r="N283" s="118" t="s">
        <v>37</v>
      </c>
      <c r="O283" s="118">
        <v>4322180</v>
      </c>
      <c r="P283" s="121">
        <v>45996</v>
      </c>
      <c r="Q283" s="118">
        <v>4442194</v>
      </c>
      <c r="R283" s="124">
        <v>2000</v>
      </c>
      <c r="S283" s="123">
        <v>45992</v>
      </c>
      <c r="T283" s="118">
        <v>490</v>
      </c>
      <c r="U283" s="118" t="s">
        <v>936</v>
      </c>
      <c r="V283" s="118" t="s">
        <v>37</v>
      </c>
      <c r="W283" s="118" t="s">
        <v>64</v>
      </c>
      <c r="X283" s="124">
        <v>2000</v>
      </c>
      <c r="Y283" s="121">
        <v>46008</v>
      </c>
      <c r="Z283" s="121">
        <v>46009</v>
      </c>
      <c r="AA283" s="118" t="s">
        <v>39</v>
      </c>
      <c r="AB283" s="118"/>
      <c r="AC283" s="126">
        <f t="shared" si="4"/>
        <v>0</v>
      </c>
    </row>
    <row r="284" spans="2:29" ht="45" customHeight="1" x14ac:dyDescent="0.25">
      <c r="B284" s="118">
        <v>281</v>
      </c>
      <c r="C284" s="118" t="s">
        <v>351</v>
      </c>
      <c r="D284" s="118" t="s">
        <v>937</v>
      </c>
      <c r="E284" s="118">
        <v>41085</v>
      </c>
      <c r="F284" s="169" t="s">
        <v>938</v>
      </c>
      <c r="G284" s="118">
        <v>2089</v>
      </c>
      <c r="H284" s="118">
        <v>242</v>
      </c>
      <c r="I284" s="118" t="s">
        <v>340</v>
      </c>
      <c r="J284" s="174">
        <v>234525</v>
      </c>
      <c r="K284" s="118">
        <v>92319</v>
      </c>
      <c r="L284" s="118">
        <v>6</v>
      </c>
      <c r="M284" s="118" t="s">
        <v>35</v>
      </c>
      <c r="N284" s="118" t="s">
        <v>35</v>
      </c>
      <c r="O284" s="136" t="s">
        <v>939</v>
      </c>
      <c r="P284" s="121">
        <v>45996</v>
      </c>
      <c r="Q284" s="125"/>
      <c r="R284" s="149">
        <v>32607.77</v>
      </c>
      <c r="S284" s="123">
        <v>46034</v>
      </c>
      <c r="T284" s="118"/>
      <c r="U284" s="118"/>
      <c r="V284" s="118"/>
      <c r="W284" s="118"/>
      <c r="X284" s="129"/>
      <c r="Y284" s="121"/>
      <c r="Z284" s="121"/>
      <c r="AA284" s="118" t="s">
        <v>940</v>
      </c>
      <c r="AB284" s="118"/>
      <c r="AC284" s="126">
        <f t="shared" si="4"/>
        <v>32607.77</v>
      </c>
    </row>
    <row r="285" spans="2:29" ht="45" customHeight="1" x14ac:dyDescent="0.25">
      <c r="B285" s="118">
        <v>282</v>
      </c>
      <c r="C285" s="118" t="s">
        <v>529</v>
      </c>
      <c r="D285" s="118" t="s">
        <v>941</v>
      </c>
      <c r="E285" s="118">
        <v>41367</v>
      </c>
      <c r="F285" s="169" t="s">
        <v>942</v>
      </c>
      <c r="G285" s="118">
        <v>1171</v>
      </c>
      <c r="H285" s="118">
        <v>242</v>
      </c>
      <c r="I285" s="118" t="s">
        <v>340</v>
      </c>
      <c r="J285" s="118">
        <v>539</v>
      </c>
      <c r="K285" s="118">
        <v>95397</v>
      </c>
      <c r="L285" s="118">
        <v>6</v>
      </c>
      <c r="M285" s="118" t="s">
        <v>35</v>
      </c>
      <c r="N285" s="118" t="s">
        <v>35</v>
      </c>
      <c r="O285" s="118">
        <v>4322881</v>
      </c>
      <c r="P285" s="121">
        <v>45996</v>
      </c>
      <c r="Q285" s="118">
        <v>4438594</v>
      </c>
      <c r="R285" s="149">
        <v>4460</v>
      </c>
      <c r="S285" s="123">
        <v>46023</v>
      </c>
      <c r="T285" s="118">
        <v>6112</v>
      </c>
      <c r="U285" s="118"/>
      <c r="V285" s="118" t="s">
        <v>71</v>
      </c>
      <c r="W285" s="118" t="s">
        <v>23</v>
      </c>
      <c r="X285" s="129">
        <v>4460</v>
      </c>
      <c r="Y285" s="121">
        <v>46030</v>
      </c>
      <c r="Z285" s="121"/>
      <c r="AA285" s="118" t="s">
        <v>48</v>
      </c>
      <c r="AB285" s="118" t="s">
        <v>943</v>
      </c>
      <c r="AC285" s="126">
        <f t="shared" si="4"/>
        <v>0</v>
      </c>
    </row>
    <row r="286" spans="2:29" ht="45" customHeight="1" x14ac:dyDescent="0.25">
      <c r="B286" s="118">
        <v>283</v>
      </c>
      <c r="C286" s="146" t="s">
        <v>49</v>
      </c>
      <c r="D286" s="118" t="s">
        <v>194</v>
      </c>
      <c r="E286" s="118" t="s">
        <v>35</v>
      </c>
      <c r="F286" s="169" t="s">
        <v>944</v>
      </c>
      <c r="G286" s="155">
        <v>4057</v>
      </c>
      <c r="H286" s="118">
        <v>242</v>
      </c>
      <c r="I286" s="118" t="s">
        <v>49</v>
      </c>
      <c r="J286" s="118" t="s">
        <v>945</v>
      </c>
      <c r="K286" s="118">
        <v>95447</v>
      </c>
      <c r="L286" s="118">
        <v>2</v>
      </c>
      <c r="M286" s="118" t="s">
        <v>946</v>
      </c>
      <c r="N286" s="118" t="s">
        <v>35</v>
      </c>
      <c r="O286" s="136" t="s">
        <v>947</v>
      </c>
      <c r="P286" s="121">
        <v>45997</v>
      </c>
      <c r="Q286" s="125"/>
      <c r="R286" s="149">
        <v>40865.75</v>
      </c>
      <c r="S286" s="123">
        <v>45999</v>
      </c>
      <c r="T286" s="118"/>
      <c r="U286" s="118"/>
      <c r="V286" s="118"/>
      <c r="W286" s="118"/>
      <c r="X286" s="129"/>
      <c r="Y286" s="121"/>
      <c r="Z286" s="121"/>
      <c r="AA286" s="118" t="s">
        <v>634</v>
      </c>
      <c r="AB286" s="118"/>
      <c r="AC286" s="126">
        <f t="shared" si="4"/>
        <v>40865.75</v>
      </c>
    </row>
    <row r="287" spans="2:29" ht="45" customHeight="1" x14ac:dyDescent="0.25">
      <c r="B287" s="118">
        <v>284</v>
      </c>
      <c r="C287" s="146" t="s">
        <v>351</v>
      </c>
      <c r="D287" s="118" t="s">
        <v>107</v>
      </c>
      <c r="E287" s="118">
        <v>41815</v>
      </c>
      <c r="F287" s="190" t="s">
        <v>948</v>
      </c>
      <c r="G287" s="155">
        <v>2330</v>
      </c>
      <c r="H287" s="118">
        <v>242</v>
      </c>
      <c r="I287" s="118" t="s">
        <v>340</v>
      </c>
      <c r="J287" s="118">
        <v>443</v>
      </c>
      <c r="K287" s="118">
        <v>95354</v>
      </c>
      <c r="L287" s="118">
        <v>5</v>
      </c>
      <c r="M287" s="118" t="s">
        <v>949</v>
      </c>
      <c r="N287" s="118" t="s">
        <v>35</v>
      </c>
      <c r="O287" s="177">
        <v>4323156</v>
      </c>
      <c r="P287" s="121">
        <v>45997</v>
      </c>
      <c r="Q287" s="118">
        <v>4442193</v>
      </c>
      <c r="R287" s="149">
        <v>2050</v>
      </c>
      <c r="S287" s="123">
        <v>45999</v>
      </c>
      <c r="T287" s="118">
        <v>3217</v>
      </c>
      <c r="U287" s="118"/>
      <c r="V287" s="118" t="s">
        <v>125</v>
      </c>
      <c r="W287" s="118" t="s">
        <v>23</v>
      </c>
      <c r="X287" s="129">
        <v>2050</v>
      </c>
      <c r="Y287" s="121">
        <v>46023</v>
      </c>
      <c r="Z287" s="121">
        <v>46030</v>
      </c>
      <c r="AA287" s="118" t="s">
        <v>39</v>
      </c>
      <c r="AB287" s="118"/>
      <c r="AC287" s="126">
        <f t="shared" si="4"/>
        <v>0</v>
      </c>
    </row>
    <row r="288" spans="2:29" ht="45" customHeight="1" x14ac:dyDescent="0.25">
      <c r="B288" s="118">
        <v>285</v>
      </c>
      <c r="C288" s="118" t="s">
        <v>226</v>
      </c>
      <c r="D288" s="158" t="s">
        <v>950</v>
      </c>
      <c r="E288" s="158">
        <v>40999</v>
      </c>
      <c r="F288" s="193" t="s">
        <v>951</v>
      </c>
      <c r="G288" s="118">
        <v>1236</v>
      </c>
      <c r="H288" s="118">
        <v>242</v>
      </c>
      <c r="I288" s="118" t="s">
        <v>340</v>
      </c>
      <c r="J288" s="118">
        <v>11797</v>
      </c>
      <c r="K288" s="118">
        <v>95341</v>
      </c>
      <c r="L288" s="118">
        <v>6</v>
      </c>
      <c r="M288" s="118" t="s">
        <v>35</v>
      </c>
      <c r="N288" s="118" t="s">
        <v>35</v>
      </c>
      <c r="O288" s="118">
        <v>4323160</v>
      </c>
      <c r="P288" s="121">
        <v>45997</v>
      </c>
      <c r="Q288" s="118">
        <v>4438597</v>
      </c>
      <c r="R288" s="185">
        <v>9544</v>
      </c>
      <c r="S288" s="123"/>
      <c r="T288" s="118">
        <v>1609</v>
      </c>
      <c r="U288" s="125">
        <v>599</v>
      </c>
      <c r="V288" s="118" t="s">
        <v>37</v>
      </c>
      <c r="W288" s="118" t="s">
        <v>86</v>
      </c>
      <c r="X288" s="124">
        <v>9544</v>
      </c>
      <c r="Y288" s="121">
        <v>46007</v>
      </c>
      <c r="Z288" s="121">
        <v>46013</v>
      </c>
      <c r="AA288" s="118" t="s">
        <v>39</v>
      </c>
      <c r="AB288" s="118"/>
      <c r="AC288" s="126">
        <f t="shared" si="4"/>
        <v>0</v>
      </c>
    </row>
    <row r="289" spans="2:30" ht="45" customHeight="1" x14ac:dyDescent="0.25">
      <c r="B289" s="118">
        <v>286</v>
      </c>
      <c r="C289" s="118" t="s">
        <v>226</v>
      </c>
      <c r="D289" s="118" t="s">
        <v>222</v>
      </c>
      <c r="E289" s="118" t="s">
        <v>35</v>
      </c>
      <c r="F289" s="169" t="s">
        <v>952</v>
      </c>
      <c r="G289" s="118" t="s">
        <v>953</v>
      </c>
      <c r="H289" s="118">
        <v>242</v>
      </c>
      <c r="I289" s="118" t="s">
        <v>943</v>
      </c>
      <c r="J289" s="118" t="s">
        <v>954</v>
      </c>
      <c r="K289" s="118">
        <v>95656</v>
      </c>
      <c r="L289" s="118">
        <v>1</v>
      </c>
      <c r="M289" s="118" t="s">
        <v>35</v>
      </c>
      <c r="N289" s="118" t="s">
        <v>35</v>
      </c>
      <c r="O289" s="118">
        <v>4324396</v>
      </c>
      <c r="P289" s="121">
        <v>45999</v>
      </c>
      <c r="Q289" s="118">
        <v>4444044</v>
      </c>
      <c r="R289" s="149">
        <v>38800</v>
      </c>
      <c r="S289" s="123"/>
      <c r="T289" s="118"/>
      <c r="U289" s="118"/>
      <c r="V289" s="118"/>
      <c r="W289" s="118"/>
      <c r="X289" s="129"/>
      <c r="Y289" s="121"/>
      <c r="Z289" s="121"/>
      <c r="AA289" s="118" t="s">
        <v>48</v>
      </c>
      <c r="AB289" s="118"/>
      <c r="AC289" s="126"/>
      <c r="AD289" s="101" t="e">
        <v>#VALUE!</v>
      </c>
    </row>
    <row r="290" spans="2:30" ht="45" customHeight="1" x14ac:dyDescent="0.25">
      <c r="B290" s="118">
        <v>287</v>
      </c>
      <c r="C290" s="118" t="s">
        <v>226</v>
      </c>
      <c r="D290" s="118" t="s">
        <v>955</v>
      </c>
      <c r="E290" s="118" t="s">
        <v>35</v>
      </c>
      <c r="F290" s="169" t="s">
        <v>458</v>
      </c>
      <c r="G290" s="118">
        <v>4502</v>
      </c>
      <c r="H290" s="118">
        <v>332</v>
      </c>
      <c r="I290" s="118" t="s">
        <v>226</v>
      </c>
      <c r="J290" s="118" t="s">
        <v>35</v>
      </c>
      <c r="K290" s="118" t="s">
        <v>35</v>
      </c>
      <c r="L290" s="118">
        <v>1</v>
      </c>
      <c r="M290" s="118" t="s">
        <v>35</v>
      </c>
      <c r="N290" s="118" t="s">
        <v>35</v>
      </c>
      <c r="O290" s="118">
        <v>4193628</v>
      </c>
      <c r="P290" s="121">
        <v>45867</v>
      </c>
      <c r="Q290" s="118">
        <v>4322044</v>
      </c>
      <c r="R290" s="149">
        <v>17000</v>
      </c>
      <c r="S290" s="123"/>
      <c r="T290" s="118">
        <v>35</v>
      </c>
      <c r="U290" s="118"/>
      <c r="V290" s="118" t="s">
        <v>71</v>
      </c>
      <c r="W290" s="118" t="s">
        <v>23</v>
      </c>
      <c r="X290" s="149">
        <v>17000</v>
      </c>
      <c r="Y290" s="121">
        <v>45992</v>
      </c>
      <c r="Z290" s="121">
        <v>46000</v>
      </c>
      <c r="AA290" s="118" t="s">
        <v>39</v>
      </c>
      <c r="AB290" s="118"/>
      <c r="AC290" s="126">
        <f t="shared" si="4"/>
        <v>0</v>
      </c>
    </row>
    <row r="291" spans="2:30" ht="45" customHeight="1" x14ac:dyDescent="0.25">
      <c r="B291" s="118">
        <v>288</v>
      </c>
      <c r="C291" s="118" t="s">
        <v>106</v>
      </c>
      <c r="D291" s="118" t="s">
        <v>107</v>
      </c>
      <c r="E291" s="118">
        <v>41782</v>
      </c>
      <c r="F291" s="190" t="s">
        <v>956</v>
      </c>
      <c r="G291" s="118">
        <v>2488</v>
      </c>
      <c r="H291" s="118">
        <v>242</v>
      </c>
      <c r="I291" s="118" t="s">
        <v>33</v>
      </c>
      <c r="J291" s="118" t="s">
        <v>957</v>
      </c>
      <c r="K291" s="118">
        <v>95460</v>
      </c>
      <c r="L291" s="118">
        <v>6</v>
      </c>
      <c r="M291" s="118" t="s">
        <v>35</v>
      </c>
      <c r="N291" s="118" t="s">
        <v>35</v>
      </c>
      <c r="O291" s="118">
        <v>4324813</v>
      </c>
      <c r="P291" s="121">
        <v>46000</v>
      </c>
      <c r="Q291" s="118">
        <v>4442917</v>
      </c>
      <c r="R291" s="124">
        <v>1349</v>
      </c>
      <c r="S291" s="123">
        <v>45999</v>
      </c>
      <c r="T291" s="118">
        <v>3223</v>
      </c>
      <c r="U291" s="118" t="s">
        <v>958</v>
      </c>
      <c r="V291" s="118" t="s">
        <v>37</v>
      </c>
      <c r="W291" s="118" t="s">
        <v>86</v>
      </c>
      <c r="X291" s="124">
        <v>1349</v>
      </c>
      <c r="Y291" s="121">
        <v>46023</v>
      </c>
      <c r="Z291" s="121">
        <v>46031</v>
      </c>
      <c r="AA291" s="118" t="s">
        <v>39</v>
      </c>
      <c r="AB291" s="118"/>
      <c r="AC291" s="126">
        <f t="shared" ref="AC291:AC390" si="5">R291-X291</f>
        <v>0</v>
      </c>
    </row>
    <row r="292" spans="2:30" ht="45" customHeight="1" x14ac:dyDescent="0.25">
      <c r="B292" s="118">
        <v>289</v>
      </c>
      <c r="C292" s="118" t="s">
        <v>351</v>
      </c>
      <c r="D292" s="118" t="s">
        <v>959</v>
      </c>
      <c r="E292" s="118" t="s">
        <v>35</v>
      </c>
      <c r="F292" s="169" t="s">
        <v>960</v>
      </c>
      <c r="G292" s="118" t="s">
        <v>961</v>
      </c>
      <c r="H292" s="118">
        <v>242</v>
      </c>
      <c r="I292" s="118" t="s">
        <v>340</v>
      </c>
      <c r="J292" s="118">
        <v>824</v>
      </c>
      <c r="K292" s="118">
        <v>95846</v>
      </c>
      <c r="L292" s="118">
        <v>5</v>
      </c>
      <c r="M292" s="118" t="s">
        <v>962</v>
      </c>
      <c r="N292" s="118" t="s">
        <v>71</v>
      </c>
      <c r="O292" s="118">
        <v>4325016</v>
      </c>
      <c r="P292" s="121">
        <v>46000</v>
      </c>
      <c r="Q292" s="118">
        <v>4445641</v>
      </c>
      <c r="R292" s="149">
        <v>2290</v>
      </c>
      <c r="S292" s="123"/>
      <c r="T292" s="118">
        <v>728</v>
      </c>
      <c r="U292" s="118" t="s">
        <v>35</v>
      </c>
      <c r="V292" s="118" t="s">
        <v>37</v>
      </c>
      <c r="W292" s="118" t="s">
        <v>86</v>
      </c>
      <c r="X292" s="129">
        <v>150</v>
      </c>
      <c r="Y292" s="121">
        <v>46008</v>
      </c>
      <c r="Z292" s="121">
        <v>46010</v>
      </c>
      <c r="AA292" s="118" t="s">
        <v>39</v>
      </c>
      <c r="AB292" s="118"/>
      <c r="AC292" s="126">
        <f t="shared" si="5"/>
        <v>2140</v>
      </c>
    </row>
    <row r="293" spans="2:30" ht="45" customHeight="1" x14ac:dyDescent="0.25">
      <c r="B293" s="118">
        <v>290</v>
      </c>
      <c r="C293" s="118" t="s">
        <v>351</v>
      </c>
      <c r="D293" s="118" t="s">
        <v>117</v>
      </c>
      <c r="E293" s="118">
        <v>41666</v>
      </c>
      <c r="F293" s="190" t="s">
        <v>963</v>
      </c>
      <c r="G293" s="118">
        <v>1236</v>
      </c>
      <c r="H293" s="118">
        <v>242</v>
      </c>
      <c r="I293" s="118" t="s">
        <v>340</v>
      </c>
      <c r="J293" s="118">
        <v>779</v>
      </c>
      <c r="K293" s="118">
        <v>94504</v>
      </c>
      <c r="L293" s="118">
        <v>6</v>
      </c>
      <c r="M293" s="118"/>
      <c r="N293" s="118"/>
      <c r="O293" s="118">
        <v>4325532</v>
      </c>
      <c r="P293" s="121">
        <v>46000</v>
      </c>
      <c r="Q293" s="118">
        <v>4442938</v>
      </c>
      <c r="R293" s="149">
        <v>7850</v>
      </c>
      <c r="S293" s="123"/>
      <c r="T293" s="118">
        <v>489</v>
      </c>
      <c r="U293" s="118" t="s">
        <v>964</v>
      </c>
      <c r="V293" s="118" t="s">
        <v>37</v>
      </c>
      <c r="W293" s="118" t="s">
        <v>64</v>
      </c>
      <c r="X293" s="124">
        <v>7850</v>
      </c>
      <c r="Y293" s="121">
        <v>46008</v>
      </c>
      <c r="Z293" s="121">
        <v>46010</v>
      </c>
      <c r="AA293" s="118" t="s">
        <v>39</v>
      </c>
      <c r="AB293" s="118"/>
      <c r="AC293" s="126">
        <f t="shared" si="5"/>
        <v>0</v>
      </c>
    </row>
    <row r="294" spans="2:30" ht="45" customHeight="1" x14ac:dyDescent="0.25">
      <c r="B294" s="118">
        <v>291</v>
      </c>
      <c r="C294" s="118" t="s">
        <v>351</v>
      </c>
      <c r="D294" s="118" t="s">
        <v>965</v>
      </c>
      <c r="E294" s="118">
        <v>41640</v>
      </c>
      <c r="F294" s="169" t="s">
        <v>966</v>
      </c>
      <c r="G294" s="118">
        <v>1210</v>
      </c>
      <c r="H294" s="118">
        <v>242</v>
      </c>
      <c r="I294" s="118" t="s">
        <v>340</v>
      </c>
      <c r="J294" s="118">
        <v>12110</v>
      </c>
      <c r="K294" s="118">
        <v>94028</v>
      </c>
      <c r="L294" s="118">
        <v>6</v>
      </c>
      <c r="M294" s="118"/>
      <c r="N294" s="118"/>
      <c r="O294" s="118">
        <v>4325760</v>
      </c>
      <c r="P294" s="121">
        <v>46000</v>
      </c>
      <c r="Q294" s="118">
        <v>4442825</v>
      </c>
      <c r="R294" s="149">
        <v>6500</v>
      </c>
      <c r="S294" s="123"/>
      <c r="T294" s="118"/>
      <c r="U294" s="118"/>
      <c r="V294" s="118"/>
      <c r="W294" s="118"/>
      <c r="X294" s="129"/>
      <c r="Y294" s="121"/>
      <c r="Z294" s="121"/>
      <c r="AA294" s="118" t="s">
        <v>48</v>
      </c>
      <c r="AB294" s="118"/>
      <c r="AC294" s="126">
        <f t="shared" si="5"/>
        <v>6500</v>
      </c>
    </row>
    <row r="295" spans="2:30" ht="45" customHeight="1" x14ac:dyDescent="0.25">
      <c r="B295" s="118">
        <v>292</v>
      </c>
      <c r="C295" s="118" t="s">
        <v>351</v>
      </c>
      <c r="D295" s="118" t="s">
        <v>885</v>
      </c>
      <c r="E295" s="118">
        <v>39683</v>
      </c>
      <c r="F295" s="169" t="s">
        <v>967</v>
      </c>
      <c r="G295" s="118">
        <v>1210</v>
      </c>
      <c r="H295" s="118">
        <v>242</v>
      </c>
      <c r="I295" s="118" t="s">
        <v>340</v>
      </c>
      <c r="J295" s="118">
        <v>59666</v>
      </c>
      <c r="K295" s="118">
        <v>88490</v>
      </c>
      <c r="L295" s="118">
        <v>6</v>
      </c>
      <c r="M295" s="118"/>
      <c r="N295" s="118"/>
      <c r="O295" s="118">
        <v>4325848</v>
      </c>
      <c r="P295" s="121">
        <v>46000</v>
      </c>
      <c r="Q295" s="118">
        <v>4442827</v>
      </c>
      <c r="R295" s="149">
        <v>3010</v>
      </c>
      <c r="S295" s="123"/>
      <c r="T295" s="118"/>
      <c r="U295" s="118"/>
      <c r="V295" s="118"/>
      <c r="W295" s="118"/>
      <c r="X295" s="129"/>
      <c r="Y295" s="121"/>
      <c r="Z295" s="121"/>
      <c r="AA295" s="118" t="s">
        <v>48</v>
      </c>
      <c r="AB295" s="118"/>
      <c r="AC295" s="126">
        <f t="shared" si="5"/>
        <v>3010</v>
      </c>
    </row>
    <row r="296" spans="2:30" ht="45" customHeight="1" x14ac:dyDescent="0.25">
      <c r="B296" s="118">
        <v>293</v>
      </c>
      <c r="C296" s="118" t="s">
        <v>292</v>
      </c>
      <c r="D296" s="118" t="s">
        <v>54</v>
      </c>
      <c r="E296" s="118" t="s">
        <v>35</v>
      </c>
      <c r="F296" s="169" t="s">
        <v>713</v>
      </c>
      <c r="G296" s="118" t="s">
        <v>714</v>
      </c>
      <c r="H296" s="118">
        <v>5</v>
      </c>
      <c r="I296" s="118" t="s">
        <v>188</v>
      </c>
      <c r="J296" s="118" t="s">
        <v>540</v>
      </c>
      <c r="K296" s="118">
        <v>91149</v>
      </c>
      <c r="L296" s="118">
        <v>2</v>
      </c>
      <c r="M296" s="118" t="s">
        <v>715</v>
      </c>
      <c r="N296" s="118" t="s">
        <v>35</v>
      </c>
      <c r="O296" s="118">
        <v>4301497</v>
      </c>
      <c r="P296" s="121">
        <v>45975</v>
      </c>
      <c r="Q296" s="118">
        <v>4418371</v>
      </c>
      <c r="R296" s="149">
        <v>19698</v>
      </c>
      <c r="S296" s="123"/>
      <c r="T296" s="135">
        <v>2102</v>
      </c>
      <c r="U296" s="118"/>
      <c r="V296" s="118"/>
      <c r="W296" s="118"/>
      <c r="X296" s="129"/>
      <c r="Y296" s="121"/>
      <c r="Z296" s="121"/>
      <c r="AA296" s="118" t="s">
        <v>48</v>
      </c>
      <c r="AB296" s="118" t="s">
        <v>968</v>
      </c>
      <c r="AC296" s="126"/>
    </row>
    <row r="297" spans="2:30" ht="45" customHeight="1" x14ac:dyDescent="0.25">
      <c r="B297" s="118">
        <v>294</v>
      </c>
      <c r="C297" s="118" t="s">
        <v>292</v>
      </c>
      <c r="D297" s="118" t="s">
        <v>54</v>
      </c>
      <c r="E297" s="118" t="s">
        <v>35</v>
      </c>
      <c r="F297" s="169" t="s">
        <v>713</v>
      </c>
      <c r="G297" s="118" t="s">
        <v>714</v>
      </c>
      <c r="H297" s="118">
        <v>5</v>
      </c>
      <c r="I297" s="118" t="s">
        <v>188</v>
      </c>
      <c r="J297" s="118" t="s">
        <v>540</v>
      </c>
      <c r="K297" s="118">
        <v>91149</v>
      </c>
      <c r="L297" s="118">
        <v>2</v>
      </c>
      <c r="M297" s="118" t="s">
        <v>715</v>
      </c>
      <c r="N297" s="118" t="s">
        <v>35</v>
      </c>
      <c r="O297" s="118">
        <v>4301497</v>
      </c>
      <c r="P297" s="121">
        <v>45975</v>
      </c>
      <c r="Q297" s="118">
        <v>4418371</v>
      </c>
      <c r="R297" s="149">
        <v>44072</v>
      </c>
      <c r="S297" s="123">
        <v>45962</v>
      </c>
      <c r="T297" s="118">
        <v>2073</v>
      </c>
      <c r="U297" s="118"/>
      <c r="V297" s="118" t="s">
        <v>71</v>
      </c>
      <c r="W297" s="118" t="s">
        <v>320</v>
      </c>
      <c r="X297" s="129">
        <v>24374</v>
      </c>
      <c r="Y297" s="121">
        <v>46000</v>
      </c>
      <c r="Z297" s="121">
        <v>46003</v>
      </c>
      <c r="AA297" s="118" t="s">
        <v>262</v>
      </c>
      <c r="AB297" s="118"/>
      <c r="AC297" s="126">
        <f t="shared" si="5"/>
        <v>19698</v>
      </c>
    </row>
    <row r="298" spans="2:30" ht="45" customHeight="1" x14ac:dyDescent="0.25">
      <c r="B298" s="118">
        <v>295</v>
      </c>
      <c r="C298" s="118" t="s">
        <v>49</v>
      </c>
      <c r="D298" s="118" t="s">
        <v>670</v>
      </c>
      <c r="E298" s="118" t="s">
        <v>35</v>
      </c>
      <c r="F298" s="169" t="s">
        <v>969</v>
      </c>
      <c r="G298" s="118">
        <v>5345</v>
      </c>
      <c r="H298" s="118">
        <v>242</v>
      </c>
      <c r="I298" s="118" t="s">
        <v>33</v>
      </c>
      <c r="J298" s="118" t="s">
        <v>970</v>
      </c>
      <c r="K298" s="118">
        <v>97334</v>
      </c>
      <c r="L298" s="118">
        <v>29</v>
      </c>
      <c r="M298" s="118" t="s">
        <v>971</v>
      </c>
      <c r="N298" s="118" t="s">
        <v>35</v>
      </c>
      <c r="O298" s="132" t="s">
        <v>972</v>
      </c>
      <c r="P298" s="121">
        <v>46010</v>
      </c>
      <c r="Q298" s="125"/>
      <c r="R298" s="171">
        <v>98619.33</v>
      </c>
      <c r="S298" s="123">
        <v>46023</v>
      </c>
      <c r="T298" s="118"/>
      <c r="U298" s="118"/>
      <c r="V298" s="118"/>
      <c r="W298" s="118"/>
      <c r="X298" s="129"/>
      <c r="Y298" s="121"/>
      <c r="Z298" s="121"/>
      <c r="AA298" s="118" t="s">
        <v>160</v>
      </c>
      <c r="AB298" s="118" t="s">
        <v>973</v>
      </c>
      <c r="AC298" s="126"/>
    </row>
    <row r="299" spans="2:30" ht="45" customHeight="1" x14ac:dyDescent="0.25">
      <c r="B299" s="118">
        <v>296</v>
      </c>
      <c r="C299" s="118" t="s">
        <v>49</v>
      </c>
      <c r="D299" s="118" t="s">
        <v>670</v>
      </c>
      <c r="E299" s="118" t="s">
        <v>35</v>
      </c>
      <c r="F299" s="169" t="s">
        <v>974</v>
      </c>
      <c r="G299" s="118">
        <v>5345</v>
      </c>
      <c r="H299" s="118">
        <v>242</v>
      </c>
      <c r="I299" s="118" t="s">
        <v>33</v>
      </c>
      <c r="J299" s="118" t="s">
        <v>970</v>
      </c>
      <c r="K299" s="118">
        <v>96405</v>
      </c>
      <c r="L299" s="118">
        <v>29</v>
      </c>
      <c r="M299" s="118" t="s">
        <v>971</v>
      </c>
      <c r="N299" s="118" t="s">
        <v>35</v>
      </c>
      <c r="O299" s="136" t="s">
        <v>975</v>
      </c>
      <c r="P299" s="121">
        <v>46006</v>
      </c>
      <c r="Q299" s="125"/>
      <c r="R299" s="171">
        <v>98619.33</v>
      </c>
      <c r="S299" s="123"/>
      <c r="T299" s="118"/>
      <c r="U299" s="118"/>
      <c r="V299" s="118"/>
      <c r="W299" s="118"/>
      <c r="X299" s="129"/>
      <c r="Y299" s="121"/>
      <c r="Z299" s="121"/>
      <c r="AA299" s="118" t="s">
        <v>154</v>
      </c>
      <c r="AB299" s="118" t="s">
        <v>976</v>
      </c>
      <c r="AC299" s="126"/>
    </row>
    <row r="300" spans="2:30" ht="45" customHeight="1" x14ac:dyDescent="0.25">
      <c r="B300" s="118">
        <v>297</v>
      </c>
      <c r="C300" s="118" t="s">
        <v>351</v>
      </c>
      <c r="D300" s="173" t="s">
        <v>889</v>
      </c>
      <c r="E300" s="118">
        <v>41942</v>
      </c>
      <c r="F300" s="169" t="s">
        <v>977</v>
      </c>
      <c r="G300" s="118">
        <v>1236</v>
      </c>
      <c r="H300" s="118">
        <v>242</v>
      </c>
      <c r="I300" s="118" t="s">
        <v>340</v>
      </c>
      <c r="J300" s="118">
        <v>218</v>
      </c>
      <c r="K300" s="118">
        <v>95381</v>
      </c>
      <c r="L300" s="118">
        <v>6</v>
      </c>
      <c r="M300" s="118" t="s">
        <v>35</v>
      </c>
      <c r="N300" s="118" t="s">
        <v>35</v>
      </c>
      <c r="O300" s="118">
        <v>4329122</v>
      </c>
      <c r="P300" s="121">
        <v>46003</v>
      </c>
      <c r="Q300" s="118">
        <v>4446895</v>
      </c>
      <c r="R300" s="149">
        <v>550</v>
      </c>
      <c r="S300" s="123">
        <v>46010</v>
      </c>
      <c r="T300" s="118">
        <v>422</v>
      </c>
      <c r="U300" s="125"/>
      <c r="V300" s="118" t="s">
        <v>37</v>
      </c>
      <c r="W300" s="118" t="s">
        <v>86</v>
      </c>
      <c r="X300" s="124">
        <v>550</v>
      </c>
      <c r="Y300" s="121">
        <v>46009</v>
      </c>
      <c r="Z300" s="121">
        <v>46013</v>
      </c>
      <c r="AA300" s="118" t="s">
        <v>39</v>
      </c>
      <c r="AB300" s="118"/>
      <c r="AC300" s="168">
        <f>R300-X300</f>
        <v>0</v>
      </c>
    </row>
    <row r="301" spans="2:30" ht="45" customHeight="1" x14ac:dyDescent="0.25">
      <c r="B301" s="118">
        <v>298</v>
      </c>
      <c r="C301" s="118" t="s">
        <v>49</v>
      </c>
      <c r="D301" s="118" t="s">
        <v>978</v>
      </c>
      <c r="E301" s="118" t="s">
        <v>35</v>
      </c>
      <c r="F301" s="169" t="s">
        <v>979</v>
      </c>
      <c r="G301" s="118">
        <v>2216</v>
      </c>
      <c r="H301" s="118">
        <v>242</v>
      </c>
      <c r="I301" s="118" t="s">
        <v>33</v>
      </c>
      <c r="J301" s="118" t="s">
        <v>980</v>
      </c>
      <c r="K301" s="118">
        <v>96451</v>
      </c>
      <c r="L301" s="118">
        <v>5</v>
      </c>
      <c r="M301" s="118" t="s">
        <v>981</v>
      </c>
      <c r="N301" s="118" t="s">
        <v>37</v>
      </c>
      <c r="O301" s="118">
        <v>4330779</v>
      </c>
      <c r="P301" s="121">
        <v>46006</v>
      </c>
      <c r="Q301" s="118">
        <v>4452933</v>
      </c>
      <c r="R301" s="124">
        <v>1080</v>
      </c>
      <c r="S301" s="123">
        <v>46010</v>
      </c>
      <c r="T301" s="118"/>
      <c r="U301" s="118"/>
      <c r="V301" s="118"/>
      <c r="W301" s="118"/>
      <c r="X301" s="129"/>
      <c r="Y301" s="121"/>
      <c r="Z301" s="121"/>
      <c r="AA301" s="118" t="s">
        <v>48</v>
      </c>
      <c r="AB301" s="118"/>
      <c r="AC301" s="126">
        <f t="shared" si="5"/>
        <v>1080</v>
      </c>
    </row>
    <row r="302" spans="2:30" ht="45" customHeight="1" x14ac:dyDescent="0.25">
      <c r="B302" s="118">
        <v>299</v>
      </c>
      <c r="C302" s="118" t="s">
        <v>49</v>
      </c>
      <c r="D302" s="118" t="s">
        <v>117</v>
      </c>
      <c r="E302" s="118" t="s">
        <v>35</v>
      </c>
      <c r="F302" s="190" t="s">
        <v>982</v>
      </c>
      <c r="G302" s="118">
        <v>2291</v>
      </c>
      <c r="H302" s="118">
        <v>242</v>
      </c>
      <c r="I302" s="118" t="s">
        <v>33</v>
      </c>
      <c r="J302" s="118" t="s">
        <v>983</v>
      </c>
      <c r="K302" s="118">
        <v>96452</v>
      </c>
      <c r="L302" s="118">
        <v>5</v>
      </c>
      <c r="M302" s="118" t="s">
        <v>984</v>
      </c>
      <c r="N302" s="118" t="s">
        <v>37</v>
      </c>
      <c r="O302" s="118">
        <v>4331183</v>
      </c>
      <c r="P302" s="121">
        <v>46006</v>
      </c>
      <c r="Q302" s="118">
        <v>4452043</v>
      </c>
      <c r="R302" s="124">
        <v>1860</v>
      </c>
      <c r="S302" s="123">
        <v>46010</v>
      </c>
      <c r="T302" s="118">
        <v>519</v>
      </c>
      <c r="U302" s="118" t="s">
        <v>35</v>
      </c>
      <c r="V302" s="118" t="s">
        <v>37</v>
      </c>
      <c r="W302" s="118" t="s">
        <v>64</v>
      </c>
      <c r="X302" s="129">
        <v>1860</v>
      </c>
      <c r="Y302" s="121">
        <v>46017</v>
      </c>
      <c r="Z302" s="121">
        <v>46020</v>
      </c>
      <c r="AA302" s="118" t="s">
        <v>39</v>
      </c>
      <c r="AB302" s="118"/>
      <c r="AC302" s="126">
        <f t="shared" si="5"/>
        <v>0</v>
      </c>
    </row>
    <row r="303" spans="2:30" ht="45" customHeight="1" x14ac:dyDescent="0.25">
      <c r="B303" s="118">
        <v>300</v>
      </c>
      <c r="C303" s="118" t="s">
        <v>226</v>
      </c>
      <c r="D303" s="118" t="s">
        <v>985</v>
      </c>
      <c r="E303" s="118" t="s">
        <v>35</v>
      </c>
      <c r="F303" s="169" t="s">
        <v>986</v>
      </c>
      <c r="G303" s="118">
        <v>4502</v>
      </c>
      <c r="H303" s="118">
        <v>332</v>
      </c>
      <c r="I303" s="118" t="s">
        <v>340</v>
      </c>
      <c r="J303" s="118" t="s">
        <v>35</v>
      </c>
      <c r="K303" s="118" t="s">
        <v>35</v>
      </c>
      <c r="L303" s="118" t="s">
        <v>35</v>
      </c>
      <c r="M303" s="118" t="s">
        <v>35</v>
      </c>
      <c r="N303" s="118" t="s">
        <v>35</v>
      </c>
      <c r="O303" s="118">
        <v>4319032</v>
      </c>
      <c r="P303" s="121">
        <v>45993</v>
      </c>
      <c r="Q303" s="118">
        <v>4434743</v>
      </c>
      <c r="R303" s="149">
        <v>13450</v>
      </c>
      <c r="S303" s="123"/>
      <c r="T303" s="118">
        <v>1204</v>
      </c>
      <c r="U303" s="118"/>
      <c r="V303" s="118" t="s">
        <v>37</v>
      </c>
      <c r="W303" s="118" t="s">
        <v>64</v>
      </c>
      <c r="X303" s="129">
        <v>13450</v>
      </c>
      <c r="Y303" s="121">
        <v>46002</v>
      </c>
      <c r="Z303" s="121">
        <v>46003</v>
      </c>
      <c r="AA303" s="118" t="s">
        <v>39</v>
      </c>
      <c r="AB303" s="118"/>
      <c r="AC303" s="126">
        <f t="shared" si="5"/>
        <v>0</v>
      </c>
    </row>
    <row r="304" spans="2:30" ht="45" customHeight="1" x14ac:dyDescent="0.25">
      <c r="B304" s="118">
        <v>301</v>
      </c>
      <c r="C304" s="118" t="s">
        <v>226</v>
      </c>
      <c r="D304" s="118" t="s">
        <v>31</v>
      </c>
      <c r="E304" s="118" t="s">
        <v>35</v>
      </c>
      <c r="F304" s="169" t="s">
        <v>987</v>
      </c>
      <c r="G304" s="118">
        <v>1228</v>
      </c>
      <c r="H304" s="118">
        <v>327</v>
      </c>
      <c r="I304" s="118" t="s">
        <v>340</v>
      </c>
      <c r="J304" s="118" t="s">
        <v>35</v>
      </c>
      <c r="K304" s="118" t="s">
        <v>35</v>
      </c>
      <c r="L304" s="118" t="s">
        <v>35</v>
      </c>
      <c r="M304" s="118" t="s">
        <v>35</v>
      </c>
      <c r="N304" s="118" t="s">
        <v>35</v>
      </c>
      <c r="O304" s="118">
        <v>4271293</v>
      </c>
      <c r="P304" s="121">
        <v>45945</v>
      </c>
      <c r="Q304" s="118">
        <v>4391348</v>
      </c>
      <c r="R304" s="149">
        <v>16551.740000000002</v>
      </c>
      <c r="S304" s="123"/>
      <c r="T304" s="118">
        <v>19769</v>
      </c>
      <c r="U304" s="118"/>
      <c r="V304" s="118" t="s">
        <v>71</v>
      </c>
      <c r="W304" s="118" t="s">
        <v>38</v>
      </c>
      <c r="X304" s="149">
        <v>12311.72</v>
      </c>
      <c r="Y304" s="121">
        <v>46003</v>
      </c>
      <c r="Z304" s="121">
        <v>46003</v>
      </c>
      <c r="AA304" s="118" t="s">
        <v>262</v>
      </c>
      <c r="AB304" s="118"/>
      <c r="AC304" s="168">
        <f>R304-X304</f>
        <v>4240.0200000000023</v>
      </c>
    </row>
    <row r="305" spans="2:29" ht="45" customHeight="1" x14ac:dyDescent="0.25">
      <c r="B305" s="118">
        <v>302</v>
      </c>
      <c r="C305" s="118" t="s">
        <v>226</v>
      </c>
      <c r="D305" s="118" t="s">
        <v>31</v>
      </c>
      <c r="E305" s="118" t="s">
        <v>35</v>
      </c>
      <c r="F305" s="169" t="s">
        <v>987</v>
      </c>
      <c r="G305" s="118">
        <v>1228</v>
      </c>
      <c r="H305" s="118">
        <v>327</v>
      </c>
      <c r="I305" s="118" t="s">
        <v>340</v>
      </c>
      <c r="J305" s="118" t="s">
        <v>35</v>
      </c>
      <c r="K305" s="118" t="s">
        <v>35</v>
      </c>
      <c r="L305" s="118" t="s">
        <v>35</v>
      </c>
      <c r="M305" s="118" t="s">
        <v>35</v>
      </c>
      <c r="N305" s="118" t="s">
        <v>35</v>
      </c>
      <c r="O305" s="118">
        <v>4271293</v>
      </c>
      <c r="P305" s="121">
        <v>45945</v>
      </c>
      <c r="Q305" s="118">
        <v>4391348</v>
      </c>
      <c r="R305" s="126">
        <v>4240.0200000000004</v>
      </c>
      <c r="S305" s="123"/>
      <c r="T305" s="118">
        <v>19888</v>
      </c>
      <c r="U305" s="118"/>
      <c r="V305" s="118" t="s">
        <v>71</v>
      </c>
      <c r="W305" s="118" t="s">
        <v>38</v>
      </c>
      <c r="X305" s="149">
        <v>4240</v>
      </c>
      <c r="Y305" s="121">
        <v>46029</v>
      </c>
      <c r="Z305" s="121"/>
      <c r="AA305" s="118" t="s">
        <v>780</v>
      </c>
      <c r="AB305" s="118"/>
      <c r="AC305" s="126">
        <f>R305-X305</f>
        <v>2.0000000000436557E-2</v>
      </c>
    </row>
    <row r="306" spans="2:29" ht="45" customHeight="1" x14ac:dyDescent="0.25">
      <c r="B306" s="118">
        <v>303</v>
      </c>
      <c r="C306" s="118" t="s">
        <v>226</v>
      </c>
      <c r="D306" s="118" t="s">
        <v>988</v>
      </c>
      <c r="E306" s="118">
        <v>42548</v>
      </c>
      <c r="F306" s="169" t="s">
        <v>989</v>
      </c>
      <c r="G306" s="118">
        <v>2291</v>
      </c>
      <c r="H306" s="118">
        <v>242</v>
      </c>
      <c r="I306" s="118" t="s">
        <v>33</v>
      </c>
      <c r="J306" s="118" t="s">
        <v>990</v>
      </c>
      <c r="K306" s="118">
        <v>96594</v>
      </c>
      <c r="L306" s="118">
        <v>6</v>
      </c>
      <c r="M306" s="118" t="s">
        <v>35</v>
      </c>
      <c r="N306" s="118" t="s">
        <v>35</v>
      </c>
      <c r="O306" s="118">
        <v>4332876</v>
      </c>
      <c r="P306" s="121">
        <v>46007</v>
      </c>
      <c r="Q306" s="118">
        <v>4450017</v>
      </c>
      <c r="R306" s="124">
        <v>2139.8200000000002</v>
      </c>
      <c r="S306" s="123">
        <v>46010</v>
      </c>
      <c r="T306" s="118">
        <v>2622</v>
      </c>
      <c r="U306" s="125"/>
      <c r="V306" s="118" t="s">
        <v>37</v>
      </c>
      <c r="W306" s="118" t="s">
        <v>64</v>
      </c>
      <c r="X306" s="124">
        <v>2139.8200000000002</v>
      </c>
      <c r="Y306" s="121">
        <v>46014</v>
      </c>
      <c r="Z306" s="121">
        <v>46015</v>
      </c>
      <c r="AA306" s="118" t="s">
        <v>39</v>
      </c>
      <c r="AB306" s="118"/>
      <c r="AC306" s="126">
        <f t="shared" si="5"/>
        <v>0</v>
      </c>
    </row>
    <row r="307" spans="2:29" ht="45" customHeight="1" x14ac:dyDescent="0.2">
      <c r="B307" s="118">
        <v>304</v>
      </c>
      <c r="C307" s="118" t="s">
        <v>247</v>
      </c>
      <c r="D307" s="118" t="s">
        <v>991</v>
      </c>
      <c r="E307" s="118"/>
      <c r="F307" s="169" t="s">
        <v>992</v>
      </c>
      <c r="G307" s="118">
        <v>2224</v>
      </c>
      <c r="H307" s="118">
        <v>242</v>
      </c>
      <c r="I307" s="118" t="s">
        <v>340</v>
      </c>
      <c r="J307" s="118" t="s">
        <v>993</v>
      </c>
      <c r="K307" s="186">
        <v>96579</v>
      </c>
      <c r="L307" s="118">
        <v>2</v>
      </c>
      <c r="M307" s="118" t="s">
        <v>994</v>
      </c>
      <c r="N307" s="118" t="s">
        <v>35</v>
      </c>
      <c r="O307" s="118">
        <v>4329978</v>
      </c>
      <c r="P307" s="121">
        <v>46003</v>
      </c>
      <c r="Q307" s="118">
        <v>4442232</v>
      </c>
      <c r="R307" s="149">
        <v>47666.84</v>
      </c>
      <c r="S307" s="123"/>
      <c r="T307" s="118"/>
      <c r="U307" s="118"/>
      <c r="V307" s="118"/>
      <c r="W307" s="118"/>
      <c r="X307" s="129"/>
      <c r="Y307" s="121"/>
      <c r="Z307" s="121"/>
      <c r="AA307" s="118" t="s">
        <v>48</v>
      </c>
      <c r="AB307" s="118"/>
      <c r="AC307" s="126">
        <f t="shared" si="5"/>
        <v>47666.84</v>
      </c>
    </row>
    <row r="308" spans="2:29" ht="45" customHeight="1" x14ac:dyDescent="0.25">
      <c r="B308" s="118">
        <v>305</v>
      </c>
      <c r="C308" s="118" t="s">
        <v>351</v>
      </c>
      <c r="D308" s="118" t="s">
        <v>995</v>
      </c>
      <c r="E308" s="118">
        <v>41887</v>
      </c>
      <c r="F308" s="169" t="s">
        <v>996</v>
      </c>
      <c r="G308" s="118" t="s">
        <v>997</v>
      </c>
      <c r="H308" s="118">
        <v>242</v>
      </c>
      <c r="I308" s="118" t="s">
        <v>340</v>
      </c>
      <c r="J308" s="118">
        <v>841</v>
      </c>
      <c r="K308" s="118">
        <v>96577</v>
      </c>
      <c r="L308" s="118">
        <v>5</v>
      </c>
      <c r="M308" s="118" t="s">
        <v>998</v>
      </c>
      <c r="N308" s="118" t="s">
        <v>35</v>
      </c>
      <c r="O308" s="136" t="s">
        <v>999</v>
      </c>
      <c r="P308" s="121">
        <v>46003</v>
      </c>
      <c r="Q308" s="125"/>
      <c r="R308" s="149">
        <v>6940</v>
      </c>
      <c r="S308" s="123"/>
      <c r="T308" s="118"/>
      <c r="U308" s="118"/>
      <c r="V308" s="118"/>
      <c r="W308" s="118"/>
      <c r="X308" s="129"/>
      <c r="Y308" s="121"/>
      <c r="Z308" s="121"/>
      <c r="AA308" s="118" t="s">
        <v>940</v>
      </c>
      <c r="AB308" s="135"/>
      <c r="AC308" s="126">
        <f t="shared" si="5"/>
        <v>6940</v>
      </c>
    </row>
    <row r="309" spans="2:29" ht="45" customHeight="1" x14ac:dyDescent="0.25">
      <c r="B309" s="118">
        <v>306</v>
      </c>
      <c r="C309" s="118" t="s">
        <v>351</v>
      </c>
      <c r="D309" s="118" t="s">
        <v>1000</v>
      </c>
      <c r="E309" s="118" t="s">
        <v>1001</v>
      </c>
      <c r="F309" s="190" t="s">
        <v>1002</v>
      </c>
      <c r="G309" s="118">
        <v>1210</v>
      </c>
      <c r="H309" s="118">
        <v>242</v>
      </c>
      <c r="I309" s="118" t="s">
        <v>340</v>
      </c>
      <c r="J309" s="118">
        <v>592</v>
      </c>
      <c r="K309" s="118">
        <v>95616</v>
      </c>
      <c r="L309" s="118">
        <v>5</v>
      </c>
      <c r="M309" s="118" t="s">
        <v>1003</v>
      </c>
      <c r="N309" s="118" t="s">
        <v>35</v>
      </c>
      <c r="O309" s="118">
        <v>4330105</v>
      </c>
      <c r="P309" s="121">
        <v>46003</v>
      </c>
      <c r="Q309" s="118">
        <v>4449857</v>
      </c>
      <c r="R309" s="149">
        <v>1985</v>
      </c>
      <c r="S309" s="123"/>
      <c r="T309" s="118">
        <v>515</v>
      </c>
      <c r="U309" s="125"/>
      <c r="V309" s="118" t="s">
        <v>37</v>
      </c>
      <c r="W309" s="118" t="s">
        <v>64</v>
      </c>
      <c r="X309" s="124">
        <v>1985</v>
      </c>
      <c r="Y309" s="121">
        <v>46013</v>
      </c>
      <c r="Z309" s="121">
        <v>46014</v>
      </c>
      <c r="AA309" s="118" t="s">
        <v>39</v>
      </c>
      <c r="AB309" s="118"/>
      <c r="AC309" s="126">
        <f t="shared" si="5"/>
        <v>0</v>
      </c>
    </row>
    <row r="310" spans="2:29" ht="45" customHeight="1" x14ac:dyDescent="0.25">
      <c r="B310" s="118">
        <v>307</v>
      </c>
      <c r="C310" s="118" t="s">
        <v>351</v>
      </c>
      <c r="D310" s="118" t="s">
        <v>1000</v>
      </c>
      <c r="E310" s="118" t="s">
        <v>1004</v>
      </c>
      <c r="F310" s="190" t="s">
        <v>1005</v>
      </c>
      <c r="G310" s="118">
        <v>1210</v>
      </c>
      <c r="H310" s="118">
        <v>242</v>
      </c>
      <c r="I310" s="118" t="s">
        <v>340</v>
      </c>
      <c r="J310" s="118">
        <v>676</v>
      </c>
      <c r="K310" s="118">
        <v>95616</v>
      </c>
      <c r="L310" s="118">
        <v>5</v>
      </c>
      <c r="M310" s="118" t="s">
        <v>1003</v>
      </c>
      <c r="N310" s="118" t="s">
        <v>35</v>
      </c>
      <c r="O310" s="118">
        <v>4330173</v>
      </c>
      <c r="P310" s="121">
        <v>46003</v>
      </c>
      <c r="Q310" s="125">
        <v>4448046</v>
      </c>
      <c r="R310" s="149">
        <v>1680</v>
      </c>
      <c r="S310" s="123"/>
      <c r="T310" s="118">
        <v>505</v>
      </c>
      <c r="U310" s="125"/>
      <c r="V310" s="118" t="s">
        <v>71</v>
      </c>
      <c r="W310" s="118" t="s">
        <v>64</v>
      </c>
      <c r="X310" s="124">
        <v>1680</v>
      </c>
      <c r="Y310" s="121">
        <v>46010</v>
      </c>
      <c r="Z310" s="121">
        <v>46013</v>
      </c>
      <c r="AA310" s="118" t="s">
        <v>39</v>
      </c>
      <c r="AB310" s="118"/>
      <c r="AC310" s="126">
        <f t="shared" si="5"/>
        <v>0</v>
      </c>
    </row>
    <row r="311" spans="2:29" ht="45" customHeight="1" x14ac:dyDescent="0.2">
      <c r="B311" s="118">
        <v>308</v>
      </c>
      <c r="C311" s="118" t="s">
        <v>351</v>
      </c>
      <c r="D311" s="118" t="s">
        <v>1000</v>
      </c>
      <c r="E311" s="187">
        <v>39965</v>
      </c>
      <c r="F311" s="190" t="s">
        <v>1006</v>
      </c>
      <c r="G311" s="118">
        <v>1228</v>
      </c>
      <c r="H311" s="118">
        <v>242</v>
      </c>
      <c r="I311" s="118" t="s">
        <v>340</v>
      </c>
      <c r="J311" s="118">
        <v>637</v>
      </c>
      <c r="K311" s="118">
        <v>95619</v>
      </c>
      <c r="L311" s="118">
        <v>5</v>
      </c>
      <c r="M311" s="118" t="s">
        <v>1007</v>
      </c>
      <c r="N311" s="118" t="s">
        <v>35</v>
      </c>
      <c r="O311" s="118">
        <v>4330273</v>
      </c>
      <c r="P311" s="121">
        <v>46003</v>
      </c>
      <c r="Q311" s="125">
        <v>4448043</v>
      </c>
      <c r="R311" s="149">
        <v>1350</v>
      </c>
      <c r="S311" s="123"/>
      <c r="T311" s="118">
        <v>506</v>
      </c>
      <c r="U311" s="118" t="s">
        <v>1008</v>
      </c>
      <c r="V311" s="118" t="s">
        <v>37</v>
      </c>
      <c r="W311" s="118" t="s">
        <v>64</v>
      </c>
      <c r="X311" s="124">
        <v>1350</v>
      </c>
      <c r="Y311" s="121">
        <v>46010</v>
      </c>
      <c r="Z311" s="121">
        <v>46013</v>
      </c>
      <c r="AA311" s="118" t="s">
        <v>39</v>
      </c>
      <c r="AB311" s="118"/>
      <c r="AC311" s="126">
        <f t="shared" si="5"/>
        <v>0</v>
      </c>
    </row>
    <row r="312" spans="2:29" ht="45" customHeight="1" x14ac:dyDescent="0.25">
      <c r="B312" s="118">
        <v>309</v>
      </c>
      <c r="C312" s="118" t="s">
        <v>247</v>
      </c>
      <c r="D312" s="118" t="s">
        <v>248</v>
      </c>
      <c r="E312" s="118" t="s">
        <v>35</v>
      </c>
      <c r="F312" s="169" t="s">
        <v>1009</v>
      </c>
      <c r="G312" s="118">
        <v>2224</v>
      </c>
      <c r="H312" s="118">
        <v>242</v>
      </c>
      <c r="I312" s="118" t="s">
        <v>33</v>
      </c>
      <c r="J312" s="118" t="s">
        <v>1010</v>
      </c>
      <c r="K312" s="118">
        <v>96579</v>
      </c>
      <c r="L312" s="118">
        <v>5</v>
      </c>
      <c r="M312" s="118" t="s">
        <v>1011</v>
      </c>
      <c r="N312" s="118" t="s">
        <v>35</v>
      </c>
      <c r="O312" s="118">
        <v>4330433</v>
      </c>
      <c r="P312" s="121">
        <v>46004</v>
      </c>
      <c r="Q312" s="125"/>
      <c r="R312" s="171">
        <v>22383.66</v>
      </c>
      <c r="S312" s="123"/>
      <c r="T312" s="118"/>
      <c r="U312" s="118"/>
      <c r="V312" s="118"/>
      <c r="W312" s="118"/>
      <c r="X312" s="129"/>
      <c r="Y312" s="121"/>
      <c r="Z312" s="121"/>
      <c r="AA312" s="118" t="s">
        <v>160</v>
      </c>
      <c r="AB312" s="118" t="s">
        <v>1012</v>
      </c>
      <c r="AC312" s="126">
        <f t="shared" si="5"/>
        <v>22383.66</v>
      </c>
    </row>
    <row r="313" spans="2:29" ht="45" customHeight="1" x14ac:dyDescent="0.25">
      <c r="B313" s="118">
        <v>310</v>
      </c>
      <c r="C313" s="118" t="s">
        <v>49</v>
      </c>
      <c r="D313" s="118" t="s">
        <v>1013</v>
      </c>
      <c r="E313" s="118">
        <v>42254</v>
      </c>
      <c r="F313" s="169" t="s">
        <v>1014</v>
      </c>
      <c r="G313" s="118">
        <v>2216</v>
      </c>
      <c r="H313" s="118">
        <v>242</v>
      </c>
      <c r="I313" s="118" t="s">
        <v>33</v>
      </c>
      <c r="J313" s="118" t="s">
        <v>1015</v>
      </c>
      <c r="K313" s="118">
        <v>96589</v>
      </c>
      <c r="L313" s="118">
        <v>6</v>
      </c>
      <c r="M313" s="118" t="s">
        <v>35</v>
      </c>
      <c r="N313" s="118" t="s">
        <v>35</v>
      </c>
      <c r="O313" s="118">
        <v>4330435</v>
      </c>
      <c r="P313" s="121">
        <v>46004</v>
      </c>
      <c r="Q313" s="118">
        <v>4448025</v>
      </c>
      <c r="R313" s="124">
        <v>900</v>
      </c>
      <c r="S313" s="123"/>
      <c r="T313" s="118">
        <v>117</v>
      </c>
      <c r="U313" s="118" t="s">
        <v>1016</v>
      </c>
      <c r="V313" s="118" t="s">
        <v>37</v>
      </c>
      <c r="W313" s="118" t="s">
        <v>86</v>
      </c>
      <c r="X313" s="129">
        <v>900</v>
      </c>
      <c r="Y313" s="121">
        <v>46014</v>
      </c>
      <c r="Z313" s="121">
        <v>46015</v>
      </c>
      <c r="AA313" s="118" t="s">
        <v>39</v>
      </c>
      <c r="AB313" s="118"/>
      <c r="AC313" s="126">
        <f t="shared" si="5"/>
        <v>0</v>
      </c>
    </row>
    <row r="314" spans="2:29" ht="45" customHeight="1" x14ac:dyDescent="0.25">
      <c r="B314" s="118">
        <v>311</v>
      </c>
      <c r="C314" s="118" t="s">
        <v>292</v>
      </c>
      <c r="D314" s="118" t="s">
        <v>1017</v>
      </c>
      <c r="E314" s="118" t="s">
        <v>35</v>
      </c>
      <c r="F314" s="169" t="s">
        <v>899</v>
      </c>
      <c r="G314" s="118">
        <v>2330</v>
      </c>
      <c r="H314" s="118">
        <v>242</v>
      </c>
      <c r="I314" s="118" t="s">
        <v>33</v>
      </c>
      <c r="J314" s="118" t="s">
        <v>1018</v>
      </c>
      <c r="K314" s="118">
        <v>96607</v>
      </c>
      <c r="L314" s="118">
        <v>5</v>
      </c>
      <c r="M314" s="118" t="s">
        <v>1019</v>
      </c>
      <c r="N314" s="118" t="s">
        <v>37</v>
      </c>
      <c r="O314" s="118">
        <v>4330721</v>
      </c>
      <c r="P314" s="121">
        <v>46006</v>
      </c>
      <c r="Q314" s="118">
        <v>4453930</v>
      </c>
      <c r="R314" s="124">
        <v>3024</v>
      </c>
      <c r="S314" s="123"/>
      <c r="T314" s="118"/>
      <c r="U314" s="118"/>
      <c r="V314" s="118"/>
      <c r="W314" s="118"/>
      <c r="X314" s="129"/>
      <c r="Y314" s="121"/>
      <c r="Z314" s="121"/>
      <c r="AA314" s="118" t="s">
        <v>48</v>
      </c>
      <c r="AB314" s="118"/>
      <c r="AC314" s="126">
        <f t="shared" si="5"/>
        <v>3024</v>
      </c>
    </row>
    <row r="315" spans="2:29" ht="45" customHeight="1" x14ac:dyDescent="0.25">
      <c r="B315" s="118">
        <v>312</v>
      </c>
      <c r="C315" s="118" t="s">
        <v>351</v>
      </c>
      <c r="D315" s="118" t="s">
        <v>1020</v>
      </c>
      <c r="E315" s="118">
        <v>39202</v>
      </c>
      <c r="F315" s="169" t="s">
        <v>1021</v>
      </c>
      <c r="G315" s="118">
        <v>1180</v>
      </c>
      <c r="H315" s="118">
        <v>7</v>
      </c>
      <c r="I315" s="118" t="s">
        <v>33</v>
      </c>
      <c r="J315" s="118" t="s">
        <v>1022</v>
      </c>
      <c r="K315" s="118">
        <v>87452</v>
      </c>
      <c r="L315" s="118">
        <v>6</v>
      </c>
      <c r="M315" s="118" t="s">
        <v>35</v>
      </c>
      <c r="N315" s="118" t="s">
        <v>35</v>
      </c>
      <c r="O315" s="136" t="s">
        <v>1023</v>
      </c>
      <c r="P315" s="121">
        <v>46004</v>
      </c>
      <c r="Q315" s="125"/>
      <c r="R315" s="171">
        <v>900</v>
      </c>
      <c r="S315" s="123"/>
      <c r="T315" s="118"/>
      <c r="U315" s="118"/>
      <c r="V315" s="118"/>
      <c r="W315" s="118"/>
      <c r="X315" s="129"/>
      <c r="Y315" s="121"/>
      <c r="Z315" s="121"/>
      <c r="AA315" s="118" t="s">
        <v>160</v>
      </c>
      <c r="AB315" s="118" t="s">
        <v>1024</v>
      </c>
      <c r="AC315" s="126">
        <f t="shared" si="5"/>
        <v>900</v>
      </c>
    </row>
    <row r="316" spans="2:29" ht="45" customHeight="1" x14ac:dyDescent="0.25">
      <c r="B316" s="118">
        <v>313</v>
      </c>
      <c r="C316" s="118" t="s">
        <v>351</v>
      </c>
      <c r="D316" s="118" t="s">
        <v>117</v>
      </c>
      <c r="E316" s="118" t="s">
        <v>1025</v>
      </c>
      <c r="F316" s="190" t="s">
        <v>1026</v>
      </c>
      <c r="G316" s="118">
        <v>2330</v>
      </c>
      <c r="H316" s="118">
        <v>242</v>
      </c>
      <c r="I316" s="118" t="s">
        <v>33</v>
      </c>
      <c r="J316" s="118" t="s">
        <v>1027</v>
      </c>
      <c r="K316" s="118">
        <v>95621</v>
      </c>
      <c r="L316" s="118">
        <v>5</v>
      </c>
      <c r="M316" s="118" t="s">
        <v>1028</v>
      </c>
      <c r="N316" s="118" t="s">
        <v>37</v>
      </c>
      <c r="O316" s="118">
        <v>4330790</v>
      </c>
      <c r="P316" s="121">
        <v>46006</v>
      </c>
      <c r="Q316" s="118">
        <v>4453071</v>
      </c>
      <c r="R316" s="124">
        <v>6403.76</v>
      </c>
      <c r="S316" s="123"/>
      <c r="T316" s="118">
        <v>518</v>
      </c>
      <c r="U316" s="118" t="s">
        <v>35</v>
      </c>
      <c r="V316" s="118" t="s">
        <v>71</v>
      </c>
      <c r="W316" s="118" t="s">
        <v>64</v>
      </c>
      <c r="X316" s="129">
        <v>6403.76</v>
      </c>
      <c r="Y316" s="121">
        <v>46017</v>
      </c>
      <c r="Z316" s="121">
        <v>46020</v>
      </c>
      <c r="AA316" s="118" t="s">
        <v>39</v>
      </c>
      <c r="AB316" s="118"/>
      <c r="AC316" s="126">
        <f t="shared" si="5"/>
        <v>0</v>
      </c>
    </row>
    <row r="317" spans="2:29" ht="45" customHeight="1" x14ac:dyDescent="0.25">
      <c r="B317" s="118">
        <v>314</v>
      </c>
      <c r="C317" s="118" t="s">
        <v>49</v>
      </c>
      <c r="D317" s="118" t="s">
        <v>194</v>
      </c>
      <c r="E317" s="118" t="s">
        <v>35</v>
      </c>
      <c r="F317" s="169" t="s">
        <v>1029</v>
      </c>
      <c r="G317" s="118">
        <v>4057</v>
      </c>
      <c r="H317" s="118">
        <v>242</v>
      </c>
      <c r="I317" s="118" t="s">
        <v>33</v>
      </c>
      <c r="J317" s="118" t="s">
        <v>1030</v>
      </c>
      <c r="K317" s="118">
        <v>95447</v>
      </c>
      <c r="L317" s="118">
        <v>8</v>
      </c>
      <c r="M317" s="118" t="s">
        <v>1031</v>
      </c>
      <c r="N317" s="118" t="s">
        <v>35</v>
      </c>
      <c r="O317" s="118">
        <v>4330454</v>
      </c>
      <c r="P317" s="121">
        <v>46004</v>
      </c>
      <c r="Q317" s="118">
        <v>4442183</v>
      </c>
      <c r="R317" s="124">
        <v>6998</v>
      </c>
      <c r="S317" s="123">
        <v>45992</v>
      </c>
      <c r="T317" s="118">
        <v>6614</v>
      </c>
      <c r="U317" s="118" t="s">
        <v>35</v>
      </c>
      <c r="V317" s="118" t="s">
        <v>37</v>
      </c>
      <c r="W317" s="174" t="s">
        <v>64</v>
      </c>
      <c r="X317" s="124">
        <v>6998</v>
      </c>
      <c r="Y317" s="121">
        <v>46001</v>
      </c>
      <c r="Z317" s="121">
        <v>46006</v>
      </c>
      <c r="AA317" s="118" t="s">
        <v>39</v>
      </c>
      <c r="AB317" s="118" t="s">
        <v>1032</v>
      </c>
      <c r="AC317" s="126">
        <f t="shared" si="5"/>
        <v>0</v>
      </c>
    </row>
    <row r="318" spans="2:29" ht="45" customHeight="1" x14ac:dyDescent="0.25">
      <c r="B318" s="118">
        <v>315</v>
      </c>
      <c r="C318" s="118" t="s">
        <v>43</v>
      </c>
      <c r="D318" s="118" t="s">
        <v>1033</v>
      </c>
      <c r="E318" s="118" t="s">
        <v>35</v>
      </c>
      <c r="F318" s="169" t="s">
        <v>1034</v>
      </c>
      <c r="G318" s="118">
        <v>1228</v>
      </c>
      <c r="H318" s="118">
        <v>242</v>
      </c>
      <c r="I318" s="118" t="s">
        <v>33</v>
      </c>
      <c r="J318" s="118" t="s">
        <v>1035</v>
      </c>
      <c r="K318" s="118">
        <v>96044</v>
      </c>
      <c r="L318" s="118">
        <v>29</v>
      </c>
      <c r="M318" s="118" t="s">
        <v>1036</v>
      </c>
      <c r="N318" s="118" t="s">
        <v>35</v>
      </c>
      <c r="O318" s="118">
        <v>4331892</v>
      </c>
      <c r="P318" s="121">
        <v>46007</v>
      </c>
      <c r="Q318" s="118">
        <v>4462966</v>
      </c>
      <c r="R318" s="124">
        <v>44500</v>
      </c>
      <c r="S318" s="123">
        <v>46054</v>
      </c>
      <c r="T318" s="118"/>
      <c r="U318" s="118"/>
      <c r="V318" s="118"/>
      <c r="W318" s="118"/>
      <c r="X318" s="129"/>
      <c r="Y318" s="121"/>
      <c r="Z318" s="121"/>
      <c r="AA318" s="118" t="s">
        <v>48</v>
      </c>
      <c r="AB318" s="118"/>
      <c r="AC318" s="126">
        <f t="shared" si="5"/>
        <v>44500</v>
      </c>
    </row>
    <row r="319" spans="2:29" ht="45" customHeight="1" x14ac:dyDescent="0.25">
      <c r="B319" s="118">
        <v>316</v>
      </c>
      <c r="C319" s="118" t="s">
        <v>43</v>
      </c>
      <c r="D319" s="118" t="s">
        <v>1033</v>
      </c>
      <c r="E319" s="118" t="s">
        <v>35</v>
      </c>
      <c r="F319" s="169" t="s">
        <v>1037</v>
      </c>
      <c r="G319" s="118">
        <v>1228</v>
      </c>
      <c r="H319" s="118">
        <v>242</v>
      </c>
      <c r="I319" s="118" t="s">
        <v>33</v>
      </c>
      <c r="J319" s="118" t="s">
        <v>1038</v>
      </c>
      <c r="K319" s="118">
        <v>96040</v>
      </c>
      <c r="L319" s="118">
        <v>29</v>
      </c>
      <c r="M319" s="118" t="s">
        <v>1036</v>
      </c>
      <c r="N319" s="118" t="s">
        <v>35</v>
      </c>
      <c r="O319" s="118">
        <v>4331901</v>
      </c>
      <c r="P319" s="121">
        <v>46007</v>
      </c>
      <c r="Q319" s="118">
        <v>4462967</v>
      </c>
      <c r="R319" s="124">
        <v>19885</v>
      </c>
      <c r="S319" s="123">
        <v>46082</v>
      </c>
      <c r="T319" s="118"/>
      <c r="U319" s="118"/>
      <c r="V319" s="118"/>
      <c r="W319" s="118"/>
      <c r="X319" s="129"/>
      <c r="Y319" s="121"/>
      <c r="Z319" s="121"/>
      <c r="AA319" s="118" t="s">
        <v>48</v>
      </c>
      <c r="AB319" s="118"/>
      <c r="AC319" s="126">
        <f t="shared" si="5"/>
        <v>19885</v>
      </c>
    </row>
    <row r="320" spans="2:29" ht="45" customHeight="1" x14ac:dyDescent="0.25">
      <c r="B320" s="118">
        <v>317</v>
      </c>
      <c r="C320" s="118" t="s">
        <v>226</v>
      </c>
      <c r="D320" s="118" t="s">
        <v>1039</v>
      </c>
      <c r="E320" s="118" t="s">
        <v>35</v>
      </c>
      <c r="F320" s="169" t="s">
        <v>1040</v>
      </c>
      <c r="G320" s="118">
        <v>4502</v>
      </c>
      <c r="H320" s="118">
        <v>326</v>
      </c>
      <c r="I320" s="118" t="s">
        <v>340</v>
      </c>
      <c r="J320" s="118" t="s">
        <v>35</v>
      </c>
      <c r="K320" s="118" t="s">
        <v>35</v>
      </c>
      <c r="L320" s="118">
        <v>1</v>
      </c>
      <c r="M320" s="118" t="s">
        <v>35</v>
      </c>
      <c r="N320" s="118" t="s">
        <v>35</v>
      </c>
      <c r="O320" s="118">
        <v>4225878</v>
      </c>
      <c r="P320" s="121">
        <v>45898</v>
      </c>
      <c r="Q320" s="118">
        <v>4350173</v>
      </c>
      <c r="R320" s="149">
        <v>1600000</v>
      </c>
      <c r="S320" s="123" t="s">
        <v>35</v>
      </c>
      <c r="T320" s="118">
        <v>514</v>
      </c>
      <c r="U320" s="118" t="s">
        <v>35</v>
      </c>
      <c r="V320" s="118" t="s">
        <v>460</v>
      </c>
      <c r="W320" s="118" t="s">
        <v>38</v>
      </c>
      <c r="X320" s="129">
        <v>262291.31</v>
      </c>
      <c r="Y320" s="121">
        <v>46008</v>
      </c>
      <c r="Z320" s="121">
        <v>46009</v>
      </c>
      <c r="AA320" s="118" t="s">
        <v>262</v>
      </c>
      <c r="AB320" s="118"/>
      <c r="AC320" s="126"/>
    </row>
    <row r="321" spans="2:29" ht="45" customHeight="1" x14ac:dyDescent="0.25">
      <c r="B321" s="118">
        <v>318</v>
      </c>
      <c r="C321" s="118" t="s">
        <v>226</v>
      </c>
      <c r="D321" s="118" t="s">
        <v>1039</v>
      </c>
      <c r="E321" s="118" t="s">
        <v>35</v>
      </c>
      <c r="F321" s="169" t="s">
        <v>1040</v>
      </c>
      <c r="G321" s="118">
        <v>4502</v>
      </c>
      <c r="H321" s="118">
        <v>326</v>
      </c>
      <c r="I321" s="118" t="s">
        <v>340</v>
      </c>
      <c r="J321" s="118" t="s">
        <v>35</v>
      </c>
      <c r="K321" s="118" t="s">
        <v>35</v>
      </c>
      <c r="L321" s="118">
        <v>1</v>
      </c>
      <c r="M321" s="118" t="s">
        <v>35</v>
      </c>
      <c r="N321" s="118" t="s">
        <v>35</v>
      </c>
      <c r="O321" s="118">
        <v>4225878</v>
      </c>
      <c r="P321" s="121">
        <v>45898</v>
      </c>
      <c r="Q321" s="118">
        <v>4350173</v>
      </c>
      <c r="R321" s="149">
        <v>1600000</v>
      </c>
      <c r="S321" s="123"/>
      <c r="T321" s="118">
        <v>2756</v>
      </c>
      <c r="U321" s="118" t="s">
        <v>35</v>
      </c>
      <c r="V321" s="118" t="s">
        <v>37</v>
      </c>
      <c r="W321" s="118" t="s">
        <v>64</v>
      </c>
      <c r="X321" s="129">
        <v>62697.5</v>
      </c>
      <c r="Y321" s="121">
        <v>45971</v>
      </c>
      <c r="Z321" s="121">
        <v>46007</v>
      </c>
      <c r="AA321" s="118" t="s">
        <v>262</v>
      </c>
      <c r="AB321" s="118"/>
      <c r="AC321" s="126">
        <f t="shared" si="5"/>
        <v>1537302.5</v>
      </c>
    </row>
    <row r="322" spans="2:29" ht="45" customHeight="1" x14ac:dyDescent="0.25">
      <c r="B322" s="118">
        <v>319</v>
      </c>
      <c r="C322" s="118" t="s">
        <v>226</v>
      </c>
      <c r="D322" s="118" t="s">
        <v>117</v>
      </c>
      <c r="E322" s="118" t="s">
        <v>35</v>
      </c>
      <c r="F322" s="169" t="s">
        <v>1041</v>
      </c>
      <c r="G322" s="118">
        <v>1210</v>
      </c>
      <c r="H322" s="118">
        <v>326</v>
      </c>
      <c r="I322" s="118" t="s">
        <v>33</v>
      </c>
      <c r="J322" s="118" t="s">
        <v>35</v>
      </c>
      <c r="K322" s="118" t="s">
        <v>35</v>
      </c>
      <c r="L322" s="118">
        <v>1</v>
      </c>
      <c r="M322" s="118" t="s">
        <v>35</v>
      </c>
      <c r="N322" s="118" t="s">
        <v>35</v>
      </c>
      <c r="O322" s="118">
        <v>4287988</v>
      </c>
      <c r="P322" s="121">
        <v>45961</v>
      </c>
      <c r="Q322" s="118">
        <v>4413918</v>
      </c>
      <c r="R322" s="124">
        <v>249144.04</v>
      </c>
      <c r="S322" s="123"/>
      <c r="T322" s="118">
        <v>475</v>
      </c>
      <c r="U322" s="118" t="s">
        <v>35</v>
      </c>
      <c r="V322" s="118" t="s">
        <v>37</v>
      </c>
      <c r="W322" s="118" t="s">
        <v>64</v>
      </c>
      <c r="X322" s="129">
        <v>100000</v>
      </c>
      <c r="Y322" s="121">
        <v>46006</v>
      </c>
      <c r="Z322" s="121">
        <v>46007</v>
      </c>
      <c r="AA322" s="118" t="s">
        <v>262</v>
      </c>
      <c r="AB322" s="118"/>
      <c r="AC322" s="126">
        <f t="shared" si="5"/>
        <v>149144.04</v>
      </c>
    </row>
    <row r="323" spans="2:29" ht="45" customHeight="1" x14ac:dyDescent="0.25">
      <c r="B323" s="118">
        <v>320</v>
      </c>
      <c r="C323" s="118" t="s">
        <v>49</v>
      </c>
      <c r="D323" s="118" t="s">
        <v>107</v>
      </c>
      <c r="E323" s="118">
        <v>42410</v>
      </c>
      <c r="F323" s="190" t="s">
        <v>1042</v>
      </c>
      <c r="G323" s="118">
        <v>2291</v>
      </c>
      <c r="H323" s="118">
        <v>242</v>
      </c>
      <c r="I323" s="118" t="s">
        <v>33</v>
      </c>
      <c r="J323" s="118" t="s">
        <v>1043</v>
      </c>
      <c r="K323" s="118">
        <v>96888</v>
      </c>
      <c r="L323" s="118">
        <v>6</v>
      </c>
      <c r="M323" s="118" t="s">
        <v>35</v>
      </c>
      <c r="N323" s="118" t="s">
        <v>35</v>
      </c>
      <c r="O323" s="118">
        <v>4332711</v>
      </c>
      <c r="P323" s="121">
        <v>46007</v>
      </c>
      <c r="Q323" s="118">
        <v>4449923</v>
      </c>
      <c r="R323" s="124">
        <v>7153.5</v>
      </c>
      <c r="S323" s="123">
        <v>45992</v>
      </c>
      <c r="T323" s="118">
        <v>3231</v>
      </c>
      <c r="U323" s="118" t="s">
        <v>1044</v>
      </c>
      <c r="V323" s="118" t="s">
        <v>37</v>
      </c>
      <c r="W323" s="118" t="s">
        <v>64</v>
      </c>
      <c r="X323" s="124">
        <v>7153.5</v>
      </c>
      <c r="Y323" s="121">
        <v>46027</v>
      </c>
      <c r="Z323" s="121">
        <v>46034</v>
      </c>
      <c r="AA323" s="118" t="s">
        <v>780</v>
      </c>
      <c r="AB323" s="118"/>
      <c r="AC323" s="126">
        <f t="shared" si="5"/>
        <v>0</v>
      </c>
    </row>
    <row r="324" spans="2:29" ht="45" customHeight="1" x14ac:dyDescent="0.25">
      <c r="B324" s="118">
        <v>321</v>
      </c>
      <c r="C324" s="118" t="s">
        <v>186</v>
      </c>
      <c r="D324" s="118" t="s">
        <v>781</v>
      </c>
      <c r="E324" s="118" t="s">
        <v>35</v>
      </c>
      <c r="F324" s="169" t="s">
        <v>1045</v>
      </c>
      <c r="G324" s="118">
        <v>4669</v>
      </c>
      <c r="H324" s="118">
        <v>242</v>
      </c>
      <c r="I324" s="118" t="s">
        <v>33</v>
      </c>
      <c r="J324" s="118" t="s">
        <v>1046</v>
      </c>
      <c r="K324" s="118">
        <v>96894</v>
      </c>
      <c r="L324" s="118">
        <v>5</v>
      </c>
      <c r="M324" s="118" t="s">
        <v>1047</v>
      </c>
      <c r="N324" s="118" t="s">
        <v>37</v>
      </c>
      <c r="O324" s="118">
        <v>4333983</v>
      </c>
      <c r="P324" s="121">
        <v>46008</v>
      </c>
      <c r="Q324" s="118">
        <v>4453924</v>
      </c>
      <c r="R324" s="124">
        <v>5164.25</v>
      </c>
      <c r="S324" s="123">
        <v>45992</v>
      </c>
      <c r="T324" s="118">
        <v>193</v>
      </c>
      <c r="U324" s="118" t="s">
        <v>35</v>
      </c>
      <c r="V324" s="118" t="s">
        <v>71</v>
      </c>
      <c r="W324" s="118" t="s">
        <v>64</v>
      </c>
      <c r="X324" s="129">
        <v>5164.25</v>
      </c>
      <c r="Y324" s="121">
        <v>46020</v>
      </c>
      <c r="Z324" s="121">
        <v>46020</v>
      </c>
      <c r="AA324" s="118" t="s">
        <v>39</v>
      </c>
      <c r="AB324" s="118"/>
      <c r="AC324" s="126">
        <f t="shared" si="5"/>
        <v>0</v>
      </c>
    </row>
    <row r="325" spans="2:29" ht="45" customHeight="1" x14ac:dyDescent="0.25">
      <c r="B325" s="118">
        <v>322</v>
      </c>
      <c r="C325" s="118" t="s">
        <v>186</v>
      </c>
      <c r="D325" s="118" t="s">
        <v>117</v>
      </c>
      <c r="E325" s="118">
        <v>41981</v>
      </c>
      <c r="F325" s="190" t="s">
        <v>1048</v>
      </c>
      <c r="G325" s="118">
        <v>5345</v>
      </c>
      <c r="H325" s="118">
        <v>242</v>
      </c>
      <c r="I325" s="118" t="s">
        <v>33</v>
      </c>
      <c r="J325" s="118" t="s">
        <v>1049</v>
      </c>
      <c r="K325" s="118">
        <v>96934</v>
      </c>
      <c r="L325" s="118">
        <v>5</v>
      </c>
      <c r="M325" s="118" t="s">
        <v>1050</v>
      </c>
      <c r="N325" s="118" t="s">
        <v>37</v>
      </c>
      <c r="O325" s="118">
        <v>4333762</v>
      </c>
      <c r="P325" s="121">
        <v>46008</v>
      </c>
      <c r="Q325" s="118">
        <v>4449851</v>
      </c>
      <c r="R325" s="124">
        <v>1390</v>
      </c>
      <c r="S325" s="123">
        <v>45992</v>
      </c>
      <c r="T325" s="118">
        <v>513</v>
      </c>
      <c r="U325" s="118" t="s">
        <v>1051</v>
      </c>
      <c r="V325" s="118" t="s">
        <v>37</v>
      </c>
      <c r="W325" s="118" t="s">
        <v>64</v>
      </c>
      <c r="X325" s="124">
        <v>1390</v>
      </c>
      <c r="Y325" s="121">
        <v>46013</v>
      </c>
      <c r="Z325" s="121">
        <v>46015</v>
      </c>
      <c r="AA325" s="118" t="s">
        <v>39</v>
      </c>
      <c r="AB325" s="118"/>
      <c r="AC325" s="126">
        <f t="shared" si="5"/>
        <v>0</v>
      </c>
    </row>
    <row r="326" spans="2:29" ht="45" customHeight="1" x14ac:dyDescent="0.25">
      <c r="B326" s="118">
        <v>323</v>
      </c>
      <c r="C326" s="118" t="s">
        <v>186</v>
      </c>
      <c r="D326" s="118" t="s">
        <v>117</v>
      </c>
      <c r="E326" s="118">
        <v>41833</v>
      </c>
      <c r="F326" s="190" t="s">
        <v>1052</v>
      </c>
      <c r="G326" s="118">
        <v>2291</v>
      </c>
      <c r="H326" s="118">
        <v>242</v>
      </c>
      <c r="I326" s="118" t="s">
        <v>33</v>
      </c>
      <c r="J326" s="118" t="s">
        <v>1053</v>
      </c>
      <c r="K326" s="118">
        <v>96930</v>
      </c>
      <c r="L326" s="118">
        <v>5</v>
      </c>
      <c r="M326" s="118" t="s">
        <v>1054</v>
      </c>
      <c r="N326" s="118" t="s">
        <v>37</v>
      </c>
      <c r="O326" s="118">
        <v>4333757</v>
      </c>
      <c r="P326" s="121">
        <v>46008</v>
      </c>
      <c r="Q326" s="118">
        <v>4449844</v>
      </c>
      <c r="R326" s="124">
        <v>680</v>
      </c>
      <c r="S326" s="123">
        <v>45992</v>
      </c>
      <c r="T326" s="118">
        <v>514</v>
      </c>
      <c r="U326" s="118" t="s">
        <v>1055</v>
      </c>
      <c r="V326" s="118" t="s">
        <v>37</v>
      </c>
      <c r="W326" s="118" t="s">
        <v>64</v>
      </c>
      <c r="X326" s="124">
        <v>680</v>
      </c>
      <c r="Y326" s="121">
        <v>46013</v>
      </c>
      <c r="Z326" s="121">
        <v>46015</v>
      </c>
      <c r="AA326" s="118" t="s">
        <v>39</v>
      </c>
      <c r="AB326" s="118"/>
      <c r="AC326" s="126">
        <f t="shared" si="5"/>
        <v>0</v>
      </c>
    </row>
    <row r="327" spans="2:29" ht="45" customHeight="1" x14ac:dyDescent="0.25">
      <c r="B327" s="118">
        <v>324</v>
      </c>
      <c r="C327" s="118" t="s">
        <v>186</v>
      </c>
      <c r="D327" s="118" t="s">
        <v>117</v>
      </c>
      <c r="E327" s="118" t="s">
        <v>1056</v>
      </c>
      <c r="F327" s="190" t="s">
        <v>1057</v>
      </c>
      <c r="G327" s="118">
        <v>2291</v>
      </c>
      <c r="H327" s="118">
        <v>242</v>
      </c>
      <c r="I327" s="118" t="s">
        <v>33</v>
      </c>
      <c r="J327" s="118" t="s">
        <v>1058</v>
      </c>
      <c r="K327" s="118">
        <v>96924</v>
      </c>
      <c r="L327" s="118">
        <v>5</v>
      </c>
      <c r="M327" s="118" t="s">
        <v>1059</v>
      </c>
      <c r="N327" s="118" t="s">
        <v>37</v>
      </c>
      <c r="O327" s="118">
        <v>4333691</v>
      </c>
      <c r="P327" s="121">
        <v>46008</v>
      </c>
      <c r="Q327" s="118">
        <v>4449854</v>
      </c>
      <c r="R327" s="124">
        <v>1400</v>
      </c>
      <c r="S327" s="123">
        <v>45992</v>
      </c>
      <c r="T327" s="118">
        <v>517</v>
      </c>
      <c r="U327" s="118" t="s">
        <v>35</v>
      </c>
      <c r="V327" s="118" t="s">
        <v>37</v>
      </c>
      <c r="W327" s="118" t="s">
        <v>64</v>
      </c>
      <c r="X327" s="124">
        <v>1400</v>
      </c>
      <c r="Y327" s="121">
        <v>46014</v>
      </c>
      <c r="Z327" s="121">
        <v>46015</v>
      </c>
      <c r="AA327" s="118" t="s">
        <v>39</v>
      </c>
      <c r="AB327" s="118"/>
      <c r="AC327" s="126">
        <f t="shared" si="5"/>
        <v>0</v>
      </c>
    </row>
    <row r="328" spans="2:29" ht="45" customHeight="1" x14ac:dyDescent="0.25">
      <c r="B328" s="118">
        <v>325</v>
      </c>
      <c r="C328" s="118" t="s">
        <v>561</v>
      </c>
      <c r="D328" s="118" t="s">
        <v>107</v>
      </c>
      <c r="E328" s="118" t="s">
        <v>35</v>
      </c>
      <c r="F328" s="190" t="s">
        <v>1060</v>
      </c>
      <c r="G328" s="118">
        <v>2216</v>
      </c>
      <c r="H328" s="118">
        <v>242</v>
      </c>
      <c r="I328" s="118" t="s">
        <v>188</v>
      </c>
      <c r="J328" s="118" t="s">
        <v>1061</v>
      </c>
      <c r="K328" s="118">
        <v>7277</v>
      </c>
      <c r="L328" s="118">
        <v>1</v>
      </c>
      <c r="M328" s="118" t="s">
        <v>35</v>
      </c>
      <c r="N328" s="118" t="s">
        <v>35</v>
      </c>
      <c r="O328" s="118">
        <v>3625884</v>
      </c>
      <c r="P328" s="121">
        <v>45320</v>
      </c>
      <c r="Q328" s="118">
        <v>3781090</v>
      </c>
      <c r="R328" s="124">
        <v>54400.01</v>
      </c>
      <c r="S328" s="123"/>
      <c r="T328" s="132" t="s">
        <v>1062</v>
      </c>
      <c r="U328" s="118" t="s">
        <v>35</v>
      </c>
      <c r="V328" s="118" t="s">
        <v>37</v>
      </c>
      <c r="W328" s="118" t="s">
        <v>23</v>
      </c>
      <c r="X328" s="124">
        <v>20400</v>
      </c>
      <c r="Y328" s="121">
        <v>46007</v>
      </c>
      <c r="Z328" s="121"/>
      <c r="AA328" s="118" t="s">
        <v>584</v>
      </c>
      <c r="AB328" s="118" t="s">
        <v>585</v>
      </c>
      <c r="AC328" s="126">
        <f t="shared" si="5"/>
        <v>34000.01</v>
      </c>
    </row>
    <row r="329" spans="2:29" ht="72" x14ac:dyDescent="0.25">
      <c r="B329" s="118">
        <v>326</v>
      </c>
      <c r="C329" s="118" t="s">
        <v>226</v>
      </c>
      <c r="D329" s="118" t="s">
        <v>222</v>
      </c>
      <c r="E329" s="118" t="s">
        <v>35</v>
      </c>
      <c r="F329" s="169" t="s">
        <v>1063</v>
      </c>
      <c r="G329" s="118">
        <v>4502</v>
      </c>
      <c r="H329" s="118">
        <v>332</v>
      </c>
      <c r="I329" s="118" t="s">
        <v>340</v>
      </c>
      <c r="J329" s="118" t="s">
        <v>35</v>
      </c>
      <c r="K329" s="118" t="s">
        <v>35</v>
      </c>
      <c r="L329" s="118">
        <v>2</v>
      </c>
      <c r="M329" s="118" t="s">
        <v>35</v>
      </c>
      <c r="N329" s="118" t="s">
        <v>35</v>
      </c>
      <c r="O329" s="118">
        <v>4297841</v>
      </c>
      <c r="P329" s="121">
        <v>45972</v>
      </c>
      <c r="Q329" s="118">
        <v>4413518</v>
      </c>
      <c r="R329" s="124">
        <v>103000</v>
      </c>
      <c r="S329" s="123"/>
      <c r="T329" s="118">
        <v>743</v>
      </c>
      <c r="U329" s="118" t="s">
        <v>35</v>
      </c>
      <c r="V329" s="118" t="s">
        <v>37</v>
      </c>
      <c r="W329" s="118" t="s">
        <v>86</v>
      </c>
      <c r="X329" s="124">
        <v>103000</v>
      </c>
      <c r="Y329" s="121">
        <v>46007</v>
      </c>
      <c r="Z329" s="121">
        <v>46008</v>
      </c>
      <c r="AA329" s="118" t="s">
        <v>39</v>
      </c>
      <c r="AB329" s="118"/>
      <c r="AC329" s="126">
        <f t="shared" si="5"/>
        <v>0</v>
      </c>
    </row>
    <row r="330" spans="2:29" ht="45" customHeight="1" x14ac:dyDescent="0.25">
      <c r="B330" s="118">
        <v>327</v>
      </c>
      <c r="C330" s="118" t="s">
        <v>30</v>
      </c>
      <c r="D330" s="118" t="s">
        <v>107</v>
      </c>
      <c r="E330" s="118">
        <v>41816</v>
      </c>
      <c r="F330" s="190" t="s">
        <v>1064</v>
      </c>
      <c r="G330" s="118">
        <v>5345</v>
      </c>
      <c r="H330" s="118">
        <v>242</v>
      </c>
      <c r="I330" s="118" t="s">
        <v>33</v>
      </c>
      <c r="J330" s="118" t="s">
        <v>1065</v>
      </c>
      <c r="K330" s="118">
        <v>97005</v>
      </c>
      <c r="L330" s="118">
        <v>6</v>
      </c>
      <c r="M330" s="118" t="s">
        <v>35</v>
      </c>
      <c r="N330" s="118" t="s">
        <v>35</v>
      </c>
      <c r="O330" s="118">
        <v>4334262</v>
      </c>
      <c r="P330" s="121">
        <v>46008</v>
      </c>
      <c r="Q330" s="118">
        <v>4449919</v>
      </c>
      <c r="R330" s="124">
        <v>807.5</v>
      </c>
      <c r="S330" s="123">
        <v>45992</v>
      </c>
      <c r="T330" s="118">
        <v>3221</v>
      </c>
      <c r="U330" s="118" t="s">
        <v>1066</v>
      </c>
      <c r="V330" s="118" t="s">
        <v>37</v>
      </c>
      <c r="W330" s="118" t="s">
        <v>86</v>
      </c>
      <c r="X330" s="124">
        <v>807.5</v>
      </c>
      <c r="Y330" s="121">
        <v>46023</v>
      </c>
      <c r="Z330" s="121">
        <v>46029</v>
      </c>
      <c r="AA330" s="118" t="s">
        <v>39</v>
      </c>
      <c r="AB330" s="118"/>
      <c r="AC330" s="126">
        <f t="shared" si="5"/>
        <v>0</v>
      </c>
    </row>
    <row r="331" spans="2:29" ht="45" customHeight="1" x14ac:dyDescent="0.25">
      <c r="B331" s="118">
        <v>328</v>
      </c>
      <c r="C331" s="118" t="s">
        <v>30</v>
      </c>
      <c r="D331" s="118" t="s">
        <v>107</v>
      </c>
      <c r="E331" s="118">
        <v>38251</v>
      </c>
      <c r="F331" s="190" t="s">
        <v>1067</v>
      </c>
      <c r="G331" s="118">
        <v>5345</v>
      </c>
      <c r="H331" s="118">
        <v>242</v>
      </c>
      <c r="I331" s="118" t="s">
        <v>33</v>
      </c>
      <c r="J331" s="118" t="s">
        <v>1068</v>
      </c>
      <c r="K331" s="118">
        <v>97004</v>
      </c>
      <c r="L331" s="118">
        <v>6</v>
      </c>
      <c r="M331" s="118" t="s">
        <v>35</v>
      </c>
      <c r="N331" s="118" t="s">
        <v>35</v>
      </c>
      <c r="O331" s="118">
        <v>4334273</v>
      </c>
      <c r="P331" s="121">
        <v>46008</v>
      </c>
      <c r="Q331" s="118">
        <v>4449921</v>
      </c>
      <c r="R331" s="124">
        <v>3572</v>
      </c>
      <c r="S331" s="123">
        <v>45992</v>
      </c>
      <c r="T331" s="118"/>
      <c r="U331" s="118"/>
      <c r="V331" s="118"/>
      <c r="W331" s="118"/>
      <c r="X331" s="129"/>
      <c r="Y331" s="121"/>
      <c r="Z331" s="121"/>
      <c r="AA331" s="118" t="s">
        <v>48</v>
      </c>
      <c r="AB331" s="118"/>
      <c r="AC331" s="126">
        <f t="shared" si="5"/>
        <v>3572</v>
      </c>
    </row>
    <row r="332" spans="2:29" ht="45" customHeight="1" x14ac:dyDescent="0.25">
      <c r="B332" s="118">
        <v>329</v>
      </c>
      <c r="C332" s="118" t="s">
        <v>351</v>
      </c>
      <c r="D332" s="118" t="s">
        <v>1069</v>
      </c>
      <c r="E332" s="118">
        <v>41500</v>
      </c>
      <c r="F332" s="169" t="s">
        <v>1070</v>
      </c>
      <c r="G332" s="118">
        <v>1228</v>
      </c>
      <c r="H332" s="118">
        <v>242</v>
      </c>
      <c r="I332" s="118" t="s">
        <v>33</v>
      </c>
      <c r="J332" s="118" t="s">
        <v>1071</v>
      </c>
      <c r="K332" s="118">
        <v>92289</v>
      </c>
      <c r="L332" s="118">
        <v>6</v>
      </c>
      <c r="M332" s="118" t="s">
        <v>1072</v>
      </c>
      <c r="N332" s="118" t="s">
        <v>35</v>
      </c>
      <c r="O332" s="118">
        <v>4338648</v>
      </c>
      <c r="P332" s="121">
        <v>46013</v>
      </c>
      <c r="Q332" s="118">
        <v>4460815</v>
      </c>
      <c r="R332" s="124">
        <v>30041.9</v>
      </c>
      <c r="S332" s="123">
        <v>46023</v>
      </c>
      <c r="T332" s="118"/>
      <c r="U332" s="118"/>
      <c r="V332" s="118"/>
      <c r="W332" s="118"/>
      <c r="X332" s="129"/>
      <c r="Y332" s="121"/>
      <c r="Z332" s="121"/>
      <c r="AA332" s="118" t="s">
        <v>48</v>
      </c>
      <c r="AB332" s="118"/>
      <c r="AC332" s="126">
        <f t="shared" si="5"/>
        <v>30041.9</v>
      </c>
    </row>
    <row r="333" spans="2:29" ht="45" customHeight="1" x14ac:dyDescent="0.25">
      <c r="B333" s="118">
        <v>330</v>
      </c>
      <c r="C333" s="118" t="s">
        <v>351</v>
      </c>
      <c r="D333" s="118" t="s">
        <v>1073</v>
      </c>
      <c r="E333" s="118">
        <v>41641</v>
      </c>
      <c r="F333" s="169" t="s">
        <v>1074</v>
      </c>
      <c r="G333" s="118">
        <v>1228</v>
      </c>
      <c r="H333" s="118">
        <v>242</v>
      </c>
      <c r="I333" s="118" t="s">
        <v>33</v>
      </c>
      <c r="J333" s="118" t="s">
        <v>1075</v>
      </c>
      <c r="K333" s="118">
        <v>93996</v>
      </c>
      <c r="L333" s="118">
        <v>6</v>
      </c>
      <c r="M333" s="118" t="s">
        <v>35</v>
      </c>
      <c r="N333" s="118" t="s">
        <v>35</v>
      </c>
      <c r="O333" s="118">
        <v>4334979</v>
      </c>
      <c r="P333" s="121">
        <v>46009</v>
      </c>
      <c r="Q333" s="118">
        <v>4451837</v>
      </c>
      <c r="R333" s="124">
        <v>5920</v>
      </c>
      <c r="S333" s="123">
        <v>46038</v>
      </c>
      <c r="T333" s="118"/>
      <c r="U333" s="118"/>
      <c r="V333" s="118"/>
      <c r="W333" s="118"/>
      <c r="X333" s="129"/>
      <c r="Y333" s="121"/>
      <c r="Z333" s="121"/>
      <c r="AA333" s="118" t="s">
        <v>48</v>
      </c>
      <c r="AB333" s="118"/>
      <c r="AC333" s="126">
        <f t="shared" si="5"/>
        <v>5920</v>
      </c>
    </row>
    <row r="334" spans="2:29" ht="45" customHeight="1" x14ac:dyDescent="0.25">
      <c r="B334" s="118">
        <v>331</v>
      </c>
      <c r="C334" s="118" t="s">
        <v>150</v>
      </c>
      <c r="D334" s="118" t="s">
        <v>107</v>
      </c>
      <c r="E334" s="118" t="s">
        <v>35</v>
      </c>
      <c r="F334" s="169" t="s">
        <v>1076</v>
      </c>
      <c r="G334" s="118">
        <v>5525</v>
      </c>
      <c r="H334" s="118">
        <v>242</v>
      </c>
      <c r="I334" s="118" t="s">
        <v>33</v>
      </c>
      <c r="J334" s="118" t="s">
        <v>1077</v>
      </c>
      <c r="K334" s="118">
        <v>97140</v>
      </c>
      <c r="L334" s="118">
        <v>1</v>
      </c>
      <c r="M334" s="118" t="s">
        <v>35</v>
      </c>
      <c r="N334" s="118" t="s">
        <v>35</v>
      </c>
      <c r="O334" s="118">
        <v>4339990</v>
      </c>
      <c r="P334" s="121">
        <v>46014</v>
      </c>
      <c r="Q334" s="118">
        <v>4460326</v>
      </c>
      <c r="R334" s="124">
        <v>2900</v>
      </c>
      <c r="S334" s="123">
        <v>46023</v>
      </c>
      <c r="T334" s="118"/>
      <c r="U334" s="118"/>
      <c r="V334" s="118"/>
      <c r="W334" s="118"/>
      <c r="X334" s="129"/>
      <c r="Y334" s="121"/>
      <c r="Z334" s="121"/>
      <c r="AA334" s="118" t="s">
        <v>48</v>
      </c>
      <c r="AB334" s="135"/>
      <c r="AC334" s="126">
        <f t="shared" si="5"/>
        <v>2900</v>
      </c>
    </row>
    <row r="335" spans="2:29" ht="45" customHeight="1" x14ac:dyDescent="0.25">
      <c r="B335" s="118">
        <v>332</v>
      </c>
      <c r="C335" s="118" t="s">
        <v>49</v>
      </c>
      <c r="D335" s="118" t="s">
        <v>57</v>
      </c>
      <c r="E335" s="118">
        <v>41757</v>
      </c>
      <c r="F335" s="169" t="s">
        <v>1078</v>
      </c>
      <c r="G335" s="118">
        <v>5345</v>
      </c>
      <c r="H335" s="118">
        <v>242</v>
      </c>
      <c r="I335" s="118" t="s">
        <v>33</v>
      </c>
      <c r="J335" s="118" t="s">
        <v>1079</v>
      </c>
      <c r="K335" s="118">
        <v>97208</v>
      </c>
      <c r="L335" s="118">
        <v>6</v>
      </c>
      <c r="M335" s="118" t="s">
        <v>35</v>
      </c>
      <c r="N335" s="118" t="s">
        <v>35</v>
      </c>
      <c r="O335" s="118">
        <v>4338670</v>
      </c>
      <c r="P335" s="121">
        <v>46013</v>
      </c>
      <c r="Q335" s="118">
        <v>4461326</v>
      </c>
      <c r="R335" s="124">
        <v>40053.78</v>
      </c>
      <c r="S335" s="123">
        <v>46023</v>
      </c>
      <c r="T335" s="118"/>
      <c r="U335" s="118"/>
      <c r="V335" s="118"/>
      <c r="W335" s="118"/>
      <c r="X335" s="129"/>
      <c r="Y335" s="121"/>
      <c r="Z335" s="121"/>
      <c r="AA335" s="118" t="s">
        <v>48</v>
      </c>
      <c r="AB335" s="118"/>
      <c r="AC335" s="126">
        <f t="shared" si="5"/>
        <v>40053.78</v>
      </c>
    </row>
    <row r="336" spans="2:29" ht="45" customHeight="1" x14ac:dyDescent="0.25">
      <c r="B336" s="118">
        <v>333</v>
      </c>
      <c r="C336" s="118" t="s">
        <v>292</v>
      </c>
      <c r="D336" s="118" t="s">
        <v>1080</v>
      </c>
      <c r="E336" s="118" t="s">
        <v>35</v>
      </c>
      <c r="F336" s="169" t="s">
        <v>332</v>
      </c>
      <c r="G336" s="118" t="s">
        <v>1081</v>
      </c>
      <c r="H336" s="118">
        <v>5</v>
      </c>
      <c r="I336" s="118" t="s">
        <v>33</v>
      </c>
      <c r="J336" s="118" t="s">
        <v>1082</v>
      </c>
      <c r="K336" s="118">
        <v>97217</v>
      </c>
      <c r="L336" s="118">
        <v>1</v>
      </c>
      <c r="M336" s="118" t="s">
        <v>35</v>
      </c>
      <c r="N336" s="118" t="s">
        <v>35</v>
      </c>
      <c r="O336" s="118">
        <v>4338697</v>
      </c>
      <c r="P336" s="121">
        <v>46014</v>
      </c>
      <c r="Q336" s="118">
        <v>4465538</v>
      </c>
      <c r="R336" s="124">
        <v>52200</v>
      </c>
      <c r="S336" s="123">
        <v>46023</v>
      </c>
      <c r="T336" s="118"/>
      <c r="U336" s="118"/>
      <c r="V336" s="118"/>
      <c r="W336" s="118"/>
      <c r="X336" s="129"/>
      <c r="Y336" s="121"/>
      <c r="Z336" s="121"/>
      <c r="AA336" s="118" t="s">
        <v>48</v>
      </c>
      <c r="AB336" s="118"/>
      <c r="AC336" s="126">
        <f t="shared" si="5"/>
        <v>52200</v>
      </c>
    </row>
    <row r="337" spans="2:29" ht="45" customHeight="1" x14ac:dyDescent="0.25">
      <c r="B337" s="118">
        <v>334</v>
      </c>
      <c r="C337" s="118" t="s">
        <v>43</v>
      </c>
      <c r="D337" s="118" t="s">
        <v>82</v>
      </c>
      <c r="E337" s="118">
        <v>41758</v>
      </c>
      <c r="F337" s="169" t="s">
        <v>1083</v>
      </c>
      <c r="G337" s="118">
        <v>1236</v>
      </c>
      <c r="H337" s="118">
        <v>242</v>
      </c>
      <c r="I337" s="118" t="s">
        <v>33</v>
      </c>
      <c r="J337" s="118" t="s">
        <v>1084</v>
      </c>
      <c r="K337" s="118">
        <v>97219</v>
      </c>
      <c r="L337" s="118">
        <v>6</v>
      </c>
      <c r="M337" s="118" t="s">
        <v>35</v>
      </c>
      <c r="N337" s="118" t="s">
        <v>35</v>
      </c>
      <c r="O337" s="118">
        <v>4335862</v>
      </c>
      <c r="P337" s="121">
        <v>46010</v>
      </c>
      <c r="Q337" s="118">
        <v>4462803</v>
      </c>
      <c r="R337" s="124">
        <v>2800</v>
      </c>
      <c r="S337" s="123">
        <v>46023</v>
      </c>
      <c r="T337" s="118"/>
      <c r="U337" s="118"/>
      <c r="V337" s="118"/>
      <c r="W337" s="118"/>
      <c r="X337" s="129"/>
      <c r="Y337" s="121"/>
      <c r="Z337" s="121"/>
      <c r="AA337" s="118" t="s">
        <v>48</v>
      </c>
      <c r="AB337" s="118"/>
      <c r="AC337" s="126">
        <f t="shared" si="5"/>
        <v>2800</v>
      </c>
    </row>
    <row r="338" spans="2:29" ht="45" customHeight="1" x14ac:dyDescent="0.25">
      <c r="B338" s="118">
        <v>335</v>
      </c>
      <c r="C338" s="118" t="s">
        <v>351</v>
      </c>
      <c r="D338" s="118" t="s">
        <v>107</v>
      </c>
      <c r="E338" s="118">
        <v>42210</v>
      </c>
      <c r="F338" s="190" t="s">
        <v>1085</v>
      </c>
      <c r="G338" s="118">
        <v>1236</v>
      </c>
      <c r="H338" s="118">
        <v>242</v>
      </c>
      <c r="I338" s="118" t="s">
        <v>33</v>
      </c>
      <c r="J338" s="118" t="s">
        <v>1086</v>
      </c>
      <c r="K338" s="118">
        <v>97218</v>
      </c>
      <c r="L338" s="118">
        <v>6</v>
      </c>
      <c r="M338" s="118" t="s">
        <v>35</v>
      </c>
      <c r="N338" s="118" t="s">
        <v>35</v>
      </c>
      <c r="O338" s="118">
        <v>4335854</v>
      </c>
      <c r="P338" s="121">
        <v>46010</v>
      </c>
      <c r="Q338" s="118">
        <v>4452048</v>
      </c>
      <c r="R338" s="124">
        <v>10695</v>
      </c>
      <c r="S338" s="123">
        <v>46038</v>
      </c>
      <c r="T338" s="118">
        <v>3224</v>
      </c>
      <c r="U338" s="118" t="s">
        <v>1087</v>
      </c>
      <c r="V338" s="118" t="s">
        <v>37</v>
      </c>
      <c r="W338" s="118" t="s">
        <v>86</v>
      </c>
      <c r="X338" s="124">
        <v>10695</v>
      </c>
      <c r="Y338" s="121">
        <v>46023</v>
      </c>
      <c r="Z338" s="121">
        <v>46029</v>
      </c>
      <c r="AA338" s="118" t="s">
        <v>39</v>
      </c>
      <c r="AB338" s="118"/>
      <c r="AC338" s="126">
        <f t="shared" si="5"/>
        <v>0</v>
      </c>
    </row>
    <row r="339" spans="2:29" ht="45" customHeight="1" x14ac:dyDescent="0.25">
      <c r="B339" s="118">
        <v>336</v>
      </c>
      <c r="C339" s="118" t="s">
        <v>186</v>
      </c>
      <c r="D339" s="118" t="s">
        <v>82</v>
      </c>
      <c r="E339" s="118">
        <v>41758</v>
      </c>
      <c r="F339" s="169" t="s">
        <v>1088</v>
      </c>
      <c r="G339" s="118">
        <v>2291</v>
      </c>
      <c r="H339" s="118">
        <v>242</v>
      </c>
      <c r="I339" s="118" t="s">
        <v>33</v>
      </c>
      <c r="J339" s="118" t="s">
        <v>1089</v>
      </c>
      <c r="K339" s="118">
        <v>97223</v>
      </c>
      <c r="L339" s="118">
        <v>6</v>
      </c>
      <c r="M339" s="118" t="s">
        <v>35</v>
      </c>
      <c r="N339" s="118" t="s">
        <v>35</v>
      </c>
      <c r="O339" s="118">
        <v>4335900</v>
      </c>
      <c r="P339" s="121">
        <v>46010</v>
      </c>
      <c r="Q339" s="125">
        <v>4462805</v>
      </c>
      <c r="R339" s="124">
        <v>885.1</v>
      </c>
      <c r="S339" s="123">
        <v>45992</v>
      </c>
      <c r="T339" s="118"/>
      <c r="U339" s="118"/>
      <c r="V339" s="118"/>
      <c r="W339" s="118"/>
      <c r="X339" s="129"/>
      <c r="Y339" s="121"/>
      <c r="Z339" s="121"/>
      <c r="AA339" s="118" t="s">
        <v>48</v>
      </c>
      <c r="AB339" s="118"/>
      <c r="AC339" s="126">
        <f t="shared" si="5"/>
        <v>885.1</v>
      </c>
    </row>
    <row r="340" spans="2:29" ht="45" customHeight="1" x14ac:dyDescent="0.25">
      <c r="B340" s="118">
        <v>337</v>
      </c>
      <c r="C340" s="118" t="s">
        <v>351</v>
      </c>
      <c r="D340" s="118" t="s">
        <v>1090</v>
      </c>
      <c r="E340" s="118">
        <v>41743</v>
      </c>
      <c r="F340" s="169" t="s">
        <v>1091</v>
      </c>
      <c r="G340" s="118">
        <v>5525</v>
      </c>
      <c r="H340" s="118">
        <v>242</v>
      </c>
      <c r="I340" s="118" t="s">
        <v>33</v>
      </c>
      <c r="J340" s="118" t="s">
        <v>1092</v>
      </c>
      <c r="K340" s="118">
        <v>94717</v>
      </c>
      <c r="L340" s="118">
        <v>6</v>
      </c>
      <c r="M340" s="118" t="s">
        <v>35</v>
      </c>
      <c r="N340" s="118" t="s">
        <v>35</v>
      </c>
      <c r="O340" s="118">
        <v>4335908</v>
      </c>
      <c r="P340" s="121">
        <v>46010</v>
      </c>
      <c r="Q340" s="118">
        <v>4452563</v>
      </c>
      <c r="R340" s="124">
        <v>13600</v>
      </c>
      <c r="S340" s="123">
        <v>46034</v>
      </c>
      <c r="T340" s="118">
        <v>26</v>
      </c>
      <c r="U340" s="118" t="s">
        <v>1093</v>
      </c>
      <c r="V340" s="118" t="s">
        <v>71</v>
      </c>
      <c r="W340" s="118" t="s">
        <v>86</v>
      </c>
      <c r="X340" s="124">
        <v>13600</v>
      </c>
      <c r="Y340" s="121">
        <v>46028</v>
      </c>
      <c r="Z340" s="121">
        <v>46034</v>
      </c>
      <c r="AA340" s="118" t="s">
        <v>780</v>
      </c>
      <c r="AB340" s="118"/>
      <c r="AC340" s="126">
        <f t="shared" si="5"/>
        <v>0</v>
      </c>
    </row>
    <row r="341" spans="2:29" ht="45" customHeight="1" x14ac:dyDescent="0.25">
      <c r="B341" s="118">
        <v>338</v>
      </c>
      <c r="C341" s="118" t="s">
        <v>226</v>
      </c>
      <c r="D341" s="118" t="s">
        <v>1094</v>
      </c>
      <c r="E341" s="118">
        <v>42320</v>
      </c>
      <c r="F341" s="169" t="s">
        <v>1095</v>
      </c>
      <c r="G341" s="118" t="s">
        <v>1096</v>
      </c>
      <c r="H341" s="118" t="s">
        <v>1097</v>
      </c>
      <c r="I341" s="118" t="s">
        <v>33</v>
      </c>
      <c r="J341" s="118" t="s">
        <v>1098</v>
      </c>
      <c r="K341" s="118">
        <v>97244</v>
      </c>
      <c r="L341" s="118">
        <v>6</v>
      </c>
      <c r="M341" s="118" t="s">
        <v>35</v>
      </c>
      <c r="N341" s="118" t="s">
        <v>35</v>
      </c>
      <c r="O341" s="118">
        <v>4335930</v>
      </c>
      <c r="P341" s="121">
        <v>46010</v>
      </c>
      <c r="Q341" s="118">
        <v>4452550</v>
      </c>
      <c r="R341" s="124">
        <v>3640</v>
      </c>
      <c r="S341" s="123">
        <v>46032</v>
      </c>
      <c r="T341" s="118"/>
      <c r="U341" s="118"/>
      <c r="V341" s="118"/>
      <c r="W341" s="118"/>
      <c r="X341" s="129"/>
      <c r="Y341" s="121"/>
      <c r="Z341" s="121"/>
      <c r="AA341" s="118" t="s">
        <v>48</v>
      </c>
      <c r="AB341" s="135"/>
      <c r="AC341" s="126">
        <f t="shared" si="5"/>
        <v>3640</v>
      </c>
    </row>
    <row r="342" spans="2:29" ht="45" customHeight="1" x14ac:dyDescent="0.25">
      <c r="B342" s="118">
        <v>339</v>
      </c>
      <c r="C342" s="118" t="s">
        <v>106</v>
      </c>
      <c r="D342" s="118" t="s">
        <v>107</v>
      </c>
      <c r="E342" s="118">
        <v>42561</v>
      </c>
      <c r="F342" s="190" t="s">
        <v>1099</v>
      </c>
      <c r="G342" s="118">
        <v>2488</v>
      </c>
      <c r="H342" s="118">
        <v>242</v>
      </c>
      <c r="I342" s="118" t="s">
        <v>33</v>
      </c>
      <c r="J342" s="118" t="s">
        <v>1100</v>
      </c>
      <c r="K342" s="118">
        <v>97358</v>
      </c>
      <c r="L342" s="118">
        <v>6</v>
      </c>
      <c r="M342" s="118" t="s">
        <v>35</v>
      </c>
      <c r="N342" s="118" t="s">
        <v>35</v>
      </c>
      <c r="O342" s="118">
        <v>4336121</v>
      </c>
      <c r="P342" s="121">
        <v>46010</v>
      </c>
      <c r="Q342" s="118">
        <v>4452061</v>
      </c>
      <c r="R342" s="124">
        <v>3999</v>
      </c>
      <c r="S342" s="123">
        <v>46012</v>
      </c>
      <c r="T342" s="118"/>
      <c r="U342" s="118"/>
      <c r="V342" s="118"/>
      <c r="W342" s="118"/>
      <c r="X342" s="129"/>
      <c r="Y342" s="121"/>
      <c r="Z342" s="121"/>
      <c r="AA342" s="118" t="s">
        <v>48</v>
      </c>
      <c r="AB342" s="118"/>
      <c r="AC342" s="126">
        <f t="shared" si="5"/>
        <v>3999</v>
      </c>
    </row>
    <row r="343" spans="2:29" ht="45" customHeight="1" x14ac:dyDescent="0.25">
      <c r="B343" s="118">
        <v>340</v>
      </c>
      <c r="C343" s="118" t="s">
        <v>226</v>
      </c>
      <c r="D343" s="118" t="s">
        <v>327</v>
      </c>
      <c r="E343" s="118" t="s">
        <v>35</v>
      </c>
      <c r="F343" s="169" t="s">
        <v>1101</v>
      </c>
      <c r="G343" s="118">
        <v>2470</v>
      </c>
      <c r="H343" s="118">
        <v>5</v>
      </c>
      <c r="I343" s="118" t="s">
        <v>33</v>
      </c>
      <c r="J343" s="118" t="s">
        <v>1102</v>
      </c>
      <c r="K343" s="118">
        <v>97362</v>
      </c>
      <c r="L343" s="118">
        <v>5</v>
      </c>
      <c r="M343" s="118" t="s">
        <v>1103</v>
      </c>
      <c r="N343" s="118" t="s">
        <v>37</v>
      </c>
      <c r="O343" s="118">
        <v>4336162</v>
      </c>
      <c r="P343" s="121">
        <v>46010</v>
      </c>
      <c r="Q343" s="118">
        <v>4462881</v>
      </c>
      <c r="R343" s="124">
        <v>3250</v>
      </c>
      <c r="S343" s="123">
        <v>46012</v>
      </c>
      <c r="T343" s="118"/>
      <c r="U343" s="118"/>
      <c r="V343" s="118"/>
      <c r="W343" s="118"/>
      <c r="X343" s="129"/>
      <c r="Y343" s="121"/>
      <c r="Z343" s="121"/>
      <c r="AA343" s="118" t="s">
        <v>48</v>
      </c>
      <c r="AB343" s="135"/>
      <c r="AC343" s="126">
        <f t="shared" si="5"/>
        <v>3250</v>
      </c>
    </row>
    <row r="344" spans="2:29" ht="45" customHeight="1" x14ac:dyDescent="0.25">
      <c r="B344" s="118">
        <v>341</v>
      </c>
      <c r="C344" s="118" t="s">
        <v>226</v>
      </c>
      <c r="D344" s="118" t="s">
        <v>31</v>
      </c>
      <c r="E344" s="118">
        <v>42132</v>
      </c>
      <c r="F344" s="169" t="s">
        <v>1104</v>
      </c>
      <c r="G344" s="118">
        <v>4669</v>
      </c>
      <c r="H344" s="118">
        <v>242</v>
      </c>
      <c r="I344" s="118" t="s">
        <v>33</v>
      </c>
      <c r="J344" s="118" t="s">
        <v>1105</v>
      </c>
      <c r="K344" s="118">
        <v>97363</v>
      </c>
      <c r="L344" s="118">
        <v>6</v>
      </c>
      <c r="M344" s="118" t="s">
        <v>35</v>
      </c>
      <c r="N344" s="118" t="s">
        <v>35</v>
      </c>
      <c r="O344" s="118">
        <v>4337574</v>
      </c>
      <c r="P344" s="121">
        <v>46013</v>
      </c>
      <c r="Q344" s="118">
        <v>4455033</v>
      </c>
      <c r="R344" s="124">
        <v>9916.2000000000007</v>
      </c>
      <c r="S344" s="123"/>
      <c r="T344" s="118"/>
      <c r="U344" s="118"/>
      <c r="V344" s="118"/>
      <c r="W344" s="118"/>
      <c r="X344" s="129"/>
      <c r="Y344" s="121"/>
      <c r="Z344" s="121"/>
      <c r="AA344" s="118" t="s">
        <v>48</v>
      </c>
      <c r="AB344" s="118"/>
      <c r="AC344" s="126">
        <f t="shared" si="5"/>
        <v>9916.2000000000007</v>
      </c>
    </row>
    <row r="345" spans="2:29" ht="45" customHeight="1" x14ac:dyDescent="0.25">
      <c r="B345" s="118">
        <v>342</v>
      </c>
      <c r="C345" s="118" t="s">
        <v>49</v>
      </c>
      <c r="D345" s="118" t="s">
        <v>117</v>
      </c>
      <c r="E345" s="118" t="s">
        <v>1106</v>
      </c>
      <c r="F345" s="190" t="s">
        <v>1107</v>
      </c>
      <c r="G345" s="118">
        <v>2291</v>
      </c>
      <c r="H345" s="118">
        <v>242</v>
      </c>
      <c r="I345" s="118" t="s">
        <v>33</v>
      </c>
      <c r="J345" s="118" t="s">
        <v>1108</v>
      </c>
      <c r="K345" s="118">
        <v>97376</v>
      </c>
      <c r="L345" s="118">
        <v>5</v>
      </c>
      <c r="M345" s="118" t="s">
        <v>1109</v>
      </c>
      <c r="N345" s="118" t="s">
        <v>37</v>
      </c>
      <c r="O345" s="118">
        <v>4337585</v>
      </c>
      <c r="P345" s="121">
        <v>46013</v>
      </c>
      <c r="Q345" s="118">
        <v>4454001</v>
      </c>
      <c r="R345" s="124">
        <v>3687</v>
      </c>
      <c r="S345" s="123">
        <v>46012</v>
      </c>
      <c r="T345" s="118">
        <v>536</v>
      </c>
      <c r="U345" s="125"/>
      <c r="V345" s="118" t="s">
        <v>37</v>
      </c>
      <c r="W345" s="118" t="s">
        <v>64</v>
      </c>
      <c r="X345" s="129">
        <v>3687</v>
      </c>
      <c r="Y345" s="121">
        <v>46017</v>
      </c>
      <c r="Z345" s="121">
        <v>46020</v>
      </c>
      <c r="AA345" s="118" t="s">
        <v>39</v>
      </c>
      <c r="AB345" s="118"/>
      <c r="AC345" s="126">
        <f t="shared" si="5"/>
        <v>0</v>
      </c>
    </row>
    <row r="346" spans="2:29" ht="45" customHeight="1" x14ac:dyDescent="0.25">
      <c r="B346" s="118">
        <v>343</v>
      </c>
      <c r="C346" s="118" t="s">
        <v>226</v>
      </c>
      <c r="D346" s="118" t="s">
        <v>1110</v>
      </c>
      <c r="E346" s="118" t="s">
        <v>35</v>
      </c>
      <c r="F346" s="169" t="s">
        <v>1111</v>
      </c>
      <c r="G346" s="118">
        <v>4502</v>
      </c>
      <c r="H346" s="118">
        <v>332</v>
      </c>
      <c r="I346" s="118" t="s">
        <v>340</v>
      </c>
      <c r="J346" s="118" t="s">
        <v>35</v>
      </c>
      <c r="K346" s="118" t="s">
        <v>35</v>
      </c>
      <c r="L346" s="118">
        <v>2</v>
      </c>
      <c r="M346" s="118" t="s">
        <v>35</v>
      </c>
      <c r="N346" s="118" t="s">
        <v>35</v>
      </c>
      <c r="O346" s="118">
        <v>4324527</v>
      </c>
      <c r="P346" s="121">
        <v>45999</v>
      </c>
      <c r="Q346" s="118">
        <v>4439389</v>
      </c>
      <c r="R346" s="149">
        <v>122000</v>
      </c>
      <c r="S346" s="123"/>
      <c r="T346" s="118">
        <v>494</v>
      </c>
      <c r="U346" s="118" t="s">
        <v>35</v>
      </c>
      <c r="V346" s="118" t="s">
        <v>71</v>
      </c>
      <c r="W346" s="118" t="s">
        <v>64</v>
      </c>
      <c r="X346" s="124">
        <v>59652</v>
      </c>
      <c r="Y346" s="121">
        <v>46010</v>
      </c>
      <c r="Z346" s="121">
        <v>46013</v>
      </c>
      <c r="AA346" s="118" t="s">
        <v>39</v>
      </c>
      <c r="AB346" s="118"/>
      <c r="AC346" s="126">
        <f t="shared" si="5"/>
        <v>62348</v>
      </c>
    </row>
    <row r="347" spans="2:29" ht="45" customHeight="1" x14ac:dyDescent="0.25">
      <c r="B347" s="118">
        <v>344</v>
      </c>
      <c r="C347" s="118" t="s">
        <v>226</v>
      </c>
      <c r="D347" s="118" t="s">
        <v>1112</v>
      </c>
      <c r="E347" s="118" t="s">
        <v>35</v>
      </c>
      <c r="F347" s="169" t="s">
        <v>1113</v>
      </c>
      <c r="G347" s="118">
        <v>4502</v>
      </c>
      <c r="H347" s="118">
        <v>332</v>
      </c>
      <c r="I347" s="118" t="s">
        <v>340</v>
      </c>
      <c r="J347" s="118" t="s">
        <v>35</v>
      </c>
      <c r="K347" s="118" t="s">
        <v>35</v>
      </c>
      <c r="L347" s="118">
        <v>1</v>
      </c>
      <c r="M347" s="118" t="s">
        <v>35</v>
      </c>
      <c r="N347" s="118" t="s">
        <v>35</v>
      </c>
      <c r="O347" s="118">
        <v>4283766</v>
      </c>
      <c r="P347" s="121">
        <v>45958</v>
      </c>
      <c r="Q347" s="118">
        <v>4404862</v>
      </c>
      <c r="R347" s="149">
        <v>71075.520000000004</v>
      </c>
      <c r="S347" s="123"/>
      <c r="T347" s="132" t="s">
        <v>1114</v>
      </c>
      <c r="U347" s="118" t="s">
        <v>35</v>
      </c>
      <c r="V347" s="118" t="s">
        <v>71</v>
      </c>
      <c r="W347" s="118" t="s">
        <v>64</v>
      </c>
      <c r="X347" s="124">
        <v>81696</v>
      </c>
      <c r="Y347" s="121">
        <v>46010</v>
      </c>
      <c r="Z347" s="121">
        <v>46021</v>
      </c>
      <c r="AA347" s="118" t="s">
        <v>262</v>
      </c>
      <c r="AB347" s="135"/>
      <c r="AC347" s="126">
        <f t="shared" si="5"/>
        <v>-10620.479999999996</v>
      </c>
    </row>
    <row r="348" spans="2:29" ht="45" customHeight="1" x14ac:dyDescent="0.25">
      <c r="B348" s="118">
        <v>345</v>
      </c>
      <c r="C348" s="118" t="s">
        <v>106</v>
      </c>
      <c r="D348" s="118" t="s">
        <v>540</v>
      </c>
      <c r="E348" s="118" t="s">
        <v>35</v>
      </c>
      <c r="F348" s="169" t="s">
        <v>1115</v>
      </c>
      <c r="G348" s="118">
        <v>2208</v>
      </c>
      <c r="H348" s="118">
        <v>5</v>
      </c>
      <c r="I348" s="118" t="s">
        <v>33</v>
      </c>
      <c r="J348" s="118" t="s">
        <v>1116</v>
      </c>
      <c r="K348" s="118">
        <v>97379</v>
      </c>
      <c r="L348" s="118">
        <v>1</v>
      </c>
      <c r="M348" s="118" t="s">
        <v>35</v>
      </c>
      <c r="N348" s="118" t="s">
        <v>35</v>
      </c>
      <c r="O348" s="125"/>
      <c r="P348" s="125"/>
      <c r="Q348" s="125"/>
      <c r="R348" s="171" t="s">
        <v>540</v>
      </c>
      <c r="S348" s="123"/>
      <c r="T348" s="118"/>
      <c r="U348" s="118"/>
      <c r="V348" s="118"/>
      <c r="W348" s="118"/>
      <c r="X348" s="129"/>
      <c r="Y348" s="121"/>
      <c r="Z348" s="121"/>
      <c r="AA348" s="118" t="s">
        <v>634</v>
      </c>
      <c r="AB348" s="135" t="s">
        <v>1117</v>
      </c>
      <c r="AC348" s="126" t="e">
        <f t="shared" si="5"/>
        <v>#VALUE!</v>
      </c>
    </row>
    <row r="349" spans="2:29" ht="45" customHeight="1" x14ac:dyDescent="0.25">
      <c r="B349" s="118">
        <v>346</v>
      </c>
      <c r="C349" s="118" t="s">
        <v>226</v>
      </c>
      <c r="D349" s="118" t="s">
        <v>222</v>
      </c>
      <c r="E349" s="118" t="s">
        <v>35</v>
      </c>
      <c r="F349" s="169" t="s">
        <v>1118</v>
      </c>
      <c r="G349" s="118">
        <v>2071</v>
      </c>
      <c r="H349" s="118">
        <v>5</v>
      </c>
      <c r="I349" s="118" t="s">
        <v>33</v>
      </c>
      <c r="J349" s="118" t="s">
        <v>1119</v>
      </c>
      <c r="K349" s="118">
        <v>97357</v>
      </c>
      <c r="L349" s="118">
        <v>1</v>
      </c>
      <c r="M349" s="118" t="s">
        <v>35</v>
      </c>
      <c r="N349" s="118" t="s">
        <v>35</v>
      </c>
      <c r="O349" s="118">
        <v>4338751</v>
      </c>
      <c r="P349" s="150">
        <v>46013</v>
      </c>
      <c r="Q349" s="118">
        <v>4460334</v>
      </c>
      <c r="R349" s="124">
        <v>10500</v>
      </c>
      <c r="S349" s="123"/>
      <c r="T349" s="118"/>
      <c r="U349" s="118"/>
      <c r="V349" s="118"/>
      <c r="W349" s="118"/>
      <c r="X349" s="129"/>
      <c r="Y349" s="121"/>
      <c r="Z349" s="121"/>
      <c r="AA349" s="118" t="s">
        <v>48</v>
      </c>
      <c r="AB349" s="118"/>
      <c r="AC349" s="126">
        <f t="shared" si="5"/>
        <v>10500</v>
      </c>
    </row>
    <row r="350" spans="2:29" ht="45" customHeight="1" x14ac:dyDescent="0.25">
      <c r="B350" s="118">
        <v>347</v>
      </c>
      <c r="C350" s="118" t="s">
        <v>351</v>
      </c>
      <c r="D350" s="118" t="s">
        <v>1120</v>
      </c>
      <c r="E350" s="118" t="s">
        <v>35</v>
      </c>
      <c r="F350" s="169" t="s">
        <v>1121</v>
      </c>
      <c r="G350" s="118">
        <v>1210</v>
      </c>
      <c r="H350" s="118">
        <v>242</v>
      </c>
      <c r="I350" s="118" t="s">
        <v>33</v>
      </c>
      <c r="J350" s="118" t="s">
        <v>1122</v>
      </c>
      <c r="K350" s="118">
        <v>97400</v>
      </c>
      <c r="L350" s="118">
        <v>29</v>
      </c>
      <c r="M350" s="118" t="s">
        <v>1123</v>
      </c>
      <c r="N350" s="118" t="s">
        <v>35</v>
      </c>
      <c r="O350" s="118">
        <v>4338767</v>
      </c>
      <c r="P350" s="150">
        <v>46013</v>
      </c>
      <c r="Q350" s="125"/>
      <c r="R350" s="171">
        <v>167100</v>
      </c>
      <c r="S350" s="123">
        <v>46054</v>
      </c>
      <c r="T350" s="118"/>
      <c r="U350" s="118"/>
      <c r="V350" s="118"/>
      <c r="W350" s="118"/>
      <c r="X350" s="129"/>
      <c r="Y350" s="121"/>
      <c r="Z350" s="121"/>
      <c r="AA350" s="118" t="s">
        <v>940</v>
      </c>
      <c r="AB350" s="118"/>
      <c r="AC350" s="126">
        <f t="shared" si="5"/>
        <v>167100</v>
      </c>
    </row>
    <row r="351" spans="2:29" ht="45" customHeight="1" x14ac:dyDescent="0.25">
      <c r="B351" s="118">
        <v>348</v>
      </c>
      <c r="C351" s="118" t="s">
        <v>561</v>
      </c>
      <c r="D351" s="118" t="s">
        <v>117</v>
      </c>
      <c r="E351" s="118" t="s">
        <v>35</v>
      </c>
      <c r="F351" s="190" t="s">
        <v>1124</v>
      </c>
      <c r="G351" s="118">
        <v>2232</v>
      </c>
      <c r="H351" s="118">
        <v>242</v>
      </c>
      <c r="I351" s="118" t="s">
        <v>33</v>
      </c>
      <c r="J351" s="118" t="s">
        <v>1125</v>
      </c>
      <c r="K351" s="118">
        <v>97410</v>
      </c>
      <c r="L351" s="118">
        <v>5</v>
      </c>
      <c r="M351" s="118" t="s">
        <v>1126</v>
      </c>
      <c r="N351" s="118" t="s">
        <v>37</v>
      </c>
      <c r="O351" s="118">
        <v>4340020</v>
      </c>
      <c r="P351" s="150">
        <v>46014</v>
      </c>
      <c r="Q351" s="118">
        <v>4454031</v>
      </c>
      <c r="R351" s="171">
        <v>395</v>
      </c>
      <c r="S351" s="123">
        <v>46357</v>
      </c>
      <c r="T351" s="118">
        <v>538</v>
      </c>
      <c r="U351" s="118" t="s">
        <v>1127</v>
      </c>
      <c r="V351" s="118" t="s">
        <v>37</v>
      </c>
      <c r="W351" s="118" t="s">
        <v>64</v>
      </c>
      <c r="X351" s="129">
        <v>395</v>
      </c>
      <c r="Y351" s="121">
        <v>46017</v>
      </c>
      <c r="Z351" s="121">
        <v>46020</v>
      </c>
      <c r="AA351" s="118" t="s">
        <v>39</v>
      </c>
      <c r="AB351" s="118"/>
      <c r="AC351" s="126">
        <f t="shared" si="5"/>
        <v>0</v>
      </c>
    </row>
    <row r="352" spans="2:29" ht="45" customHeight="1" x14ac:dyDescent="0.25">
      <c r="B352" s="118">
        <v>349</v>
      </c>
      <c r="C352" s="118" t="s">
        <v>561</v>
      </c>
      <c r="D352" s="118" t="s">
        <v>117</v>
      </c>
      <c r="E352" s="118">
        <v>42406</v>
      </c>
      <c r="F352" s="190" t="s">
        <v>1128</v>
      </c>
      <c r="G352" s="118">
        <v>2232</v>
      </c>
      <c r="H352" s="118">
        <v>242</v>
      </c>
      <c r="I352" s="118" t="s">
        <v>33</v>
      </c>
      <c r="J352" s="118" t="s">
        <v>1129</v>
      </c>
      <c r="K352" s="118">
        <v>97421</v>
      </c>
      <c r="L352" s="118">
        <v>5</v>
      </c>
      <c r="M352" s="118" t="s">
        <v>1130</v>
      </c>
      <c r="N352" s="118" t="s">
        <v>37</v>
      </c>
      <c r="O352" s="118">
        <v>4338821</v>
      </c>
      <c r="P352" s="150">
        <v>46013</v>
      </c>
      <c r="Q352" s="118">
        <v>4454034</v>
      </c>
      <c r="R352" s="124">
        <v>3768</v>
      </c>
      <c r="S352" s="123">
        <v>46357</v>
      </c>
      <c r="T352" s="118">
        <v>537</v>
      </c>
      <c r="U352" s="118" t="s">
        <v>1131</v>
      </c>
      <c r="V352" s="118" t="s">
        <v>37</v>
      </c>
      <c r="W352" s="118" t="s">
        <v>64</v>
      </c>
      <c r="X352" s="129">
        <v>3768</v>
      </c>
      <c r="Y352" s="121">
        <v>46017</v>
      </c>
      <c r="Z352" s="121">
        <v>46020</v>
      </c>
      <c r="AA352" s="118" t="s">
        <v>39</v>
      </c>
      <c r="AB352" s="118"/>
      <c r="AC352" s="126">
        <f t="shared" si="5"/>
        <v>0</v>
      </c>
    </row>
    <row r="353" spans="2:29" ht="45" customHeight="1" x14ac:dyDescent="0.25">
      <c r="B353" s="118">
        <v>350</v>
      </c>
      <c r="C353" s="118" t="s">
        <v>126</v>
      </c>
      <c r="D353" s="118" t="s">
        <v>107</v>
      </c>
      <c r="E353" s="118">
        <v>42570</v>
      </c>
      <c r="F353" s="190" t="s">
        <v>1132</v>
      </c>
      <c r="G353" s="118">
        <v>5345</v>
      </c>
      <c r="H353" s="118">
        <v>242</v>
      </c>
      <c r="I353" s="118" t="s">
        <v>33</v>
      </c>
      <c r="J353" s="118" t="s">
        <v>1133</v>
      </c>
      <c r="K353" s="118">
        <v>97602</v>
      </c>
      <c r="L353" s="118">
        <v>6</v>
      </c>
      <c r="M353" s="118" t="s">
        <v>35</v>
      </c>
      <c r="N353" s="118" t="s">
        <v>35</v>
      </c>
      <c r="O353" s="118">
        <v>4338792</v>
      </c>
      <c r="P353" s="150">
        <v>46013</v>
      </c>
      <c r="Q353" s="118">
        <v>4456214</v>
      </c>
      <c r="R353" s="124">
        <v>1995</v>
      </c>
      <c r="S353" s="123">
        <v>46357</v>
      </c>
      <c r="T353" s="118">
        <v>3225</v>
      </c>
      <c r="U353" s="118" t="s">
        <v>1134</v>
      </c>
      <c r="V353" s="118" t="s">
        <v>37</v>
      </c>
      <c r="W353" s="118" t="s">
        <v>86</v>
      </c>
      <c r="X353" s="124">
        <v>1995</v>
      </c>
      <c r="Y353" s="121">
        <v>46023</v>
      </c>
      <c r="Z353" s="121">
        <v>46029</v>
      </c>
      <c r="AA353" s="118" t="s">
        <v>39</v>
      </c>
      <c r="AB353" s="118"/>
      <c r="AC353" s="126">
        <f t="shared" si="5"/>
        <v>0</v>
      </c>
    </row>
    <row r="354" spans="2:29" ht="45" customHeight="1" x14ac:dyDescent="0.25">
      <c r="B354" s="118">
        <v>351</v>
      </c>
      <c r="C354" s="118" t="s">
        <v>351</v>
      </c>
      <c r="D354" s="118" t="s">
        <v>742</v>
      </c>
      <c r="E354" s="118" t="s">
        <v>35</v>
      </c>
      <c r="F354" s="169" t="s">
        <v>1135</v>
      </c>
      <c r="G354" s="118">
        <v>1210</v>
      </c>
      <c r="H354" s="118">
        <v>242</v>
      </c>
      <c r="I354" s="118" t="s">
        <v>33</v>
      </c>
      <c r="J354" s="118" t="s">
        <v>1136</v>
      </c>
      <c r="K354" s="118">
        <v>97666</v>
      </c>
      <c r="L354" s="118">
        <v>29</v>
      </c>
      <c r="M354" s="118" t="s">
        <v>1137</v>
      </c>
      <c r="N354" s="118" t="s">
        <v>35</v>
      </c>
      <c r="O354" s="118">
        <v>4338811</v>
      </c>
      <c r="P354" s="150">
        <v>46013</v>
      </c>
      <c r="Q354" s="118">
        <v>4460307</v>
      </c>
      <c r="R354" s="124">
        <v>42181.08</v>
      </c>
      <c r="S354" s="123">
        <v>46023</v>
      </c>
      <c r="T354" s="118"/>
      <c r="U354" s="118"/>
      <c r="V354" s="118"/>
      <c r="W354" s="118"/>
      <c r="X354" s="129"/>
      <c r="Y354" s="121"/>
      <c r="Z354" s="121"/>
      <c r="AA354" s="118" t="s">
        <v>48</v>
      </c>
      <c r="AB354" s="118"/>
      <c r="AC354" s="126">
        <f t="shared" si="5"/>
        <v>42181.08</v>
      </c>
    </row>
    <row r="355" spans="2:29" ht="45" customHeight="1" x14ac:dyDescent="0.25">
      <c r="B355" s="118">
        <v>352</v>
      </c>
      <c r="C355" s="118" t="s">
        <v>43</v>
      </c>
      <c r="D355" s="118" t="s">
        <v>248</v>
      </c>
      <c r="E355" s="118" t="s">
        <v>35</v>
      </c>
      <c r="F355" s="169" t="s">
        <v>1138</v>
      </c>
      <c r="G355" s="118">
        <v>2224</v>
      </c>
      <c r="H355" s="118">
        <v>242</v>
      </c>
      <c r="I355" s="118" t="s">
        <v>33</v>
      </c>
      <c r="J355" s="118" t="s">
        <v>1139</v>
      </c>
      <c r="K355" s="118">
        <v>97841</v>
      </c>
      <c r="L355" s="118">
        <v>5</v>
      </c>
      <c r="M355" s="118" t="s">
        <v>1140</v>
      </c>
      <c r="N355" s="118" t="s">
        <v>37</v>
      </c>
      <c r="O355" s="118">
        <v>4340072</v>
      </c>
      <c r="P355" s="121">
        <v>46014</v>
      </c>
      <c r="Q355" s="125"/>
      <c r="R355" s="171">
        <v>4709.79</v>
      </c>
      <c r="S355" s="123">
        <v>46357</v>
      </c>
      <c r="T355" s="118"/>
      <c r="U355" s="118"/>
      <c r="V355" s="118"/>
      <c r="W355" s="118"/>
      <c r="X355" s="129"/>
      <c r="Y355" s="121"/>
      <c r="Z355" s="121"/>
      <c r="AA355" s="118" t="s">
        <v>940</v>
      </c>
      <c r="AB355" s="135"/>
      <c r="AC355" s="126">
        <f t="shared" si="5"/>
        <v>4709.79</v>
      </c>
    </row>
    <row r="356" spans="2:29" ht="45" customHeight="1" x14ac:dyDescent="0.25">
      <c r="B356" s="118">
        <v>353</v>
      </c>
      <c r="C356" s="118" t="s">
        <v>49</v>
      </c>
      <c r="D356" s="118" t="s">
        <v>1141</v>
      </c>
      <c r="E356" s="118">
        <v>40284</v>
      </c>
      <c r="F356" s="169" t="s">
        <v>1142</v>
      </c>
      <c r="G356" s="118">
        <v>2275</v>
      </c>
      <c r="H356" s="118">
        <v>242</v>
      </c>
      <c r="I356" s="118" t="s">
        <v>33</v>
      </c>
      <c r="J356" s="118" t="s">
        <v>1143</v>
      </c>
      <c r="K356" s="118">
        <v>97676</v>
      </c>
      <c r="L356" s="118">
        <v>6</v>
      </c>
      <c r="M356" s="118" t="s">
        <v>35</v>
      </c>
      <c r="N356" s="118" t="s">
        <v>35</v>
      </c>
      <c r="O356" s="118">
        <v>4340049</v>
      </c>
      <c r="P356" s="121">
        <v>46014</v>
      </c>
      <c r="Q356" s="118">
        <v>4462889</v>
      </c>
      <c r="R356" s="124">
        <v>8259.89</v>
      </c>
      <c r="S356" s="123">
        <v>46023</v>
      </c>
      <c r="T356" s="118">
        <v>38</v>
      </c>
      <c r="U356" s="125"/>
      <c r="V356" s="118" t="s">
        <v>71</v>
      </c>
      <c r="W356" s="118" t="s">
        <v>64</v>
      </c>
      <c r="X356" s="124">
        <v>8259.89</v>
      </c>
      <c r="Y356" s="121">
        <v>46034</v>
      </c>
      <c r="Z356" s="121"/>
      <c r="AA356" s="118" t="s">
        <v>584</v>
      </c>
      <c r="AB356" s="135"/>
      <c r="AC356" s="126">
        <f t="shared" si="5"/>
        <v>0</v>
      </c>
    </row>
    <row r="357" spans="2:29" ht="45" customHeight="1" x14ac:dyDescent="0.25">
      <c r="B357" s="118">
        <v>354</v>
      </c>
      <c r="C357" s="118" t="s">
        <v>150</v>
      </c>
      <c r="D357" s="118" t="s">
        <v>1073</v>
      </c>
      <c r="E357" s="118">
        <v>42126</v>
      </c>
      <c r="F357" s="169" t="s">
        <v>1144</v>
      </c>
      <c r="G357" s="118">
        <v>2488</v>
      </c>
      <c r="H357" s="118">
        <v>242</v>
      </c>
      <c r="I357" s="118" t="s">
        <v>33</v>
      </c>
      <c r="J357" s="118" t="s">
        <v>1145</v>
      </c>
      <c r="K357" s="118">
        <v>97763</v>
      </c>
      <c r="L357" s="118">
        <v>6</v>
      </c>
      <c r="M357" s="118" t="s">
        <v>35</v>
      </c>
      <c r="N357" s="118" t="s">
        <v>35</v>
      </c>
      <c r="O357" s="118">
        <v>4340057</v>
      </c>
      <c r="P357" s="121">
        <v>46014</v>
      </c>
      <c r="Q357" s="118">
        <v>4456279</v>
      </c>
      <c r="R357" s="124">
        <v>5800</v>
      </c>
      <c r="S357" s="123">
        <v>46023</v>
      </c>
      <c r="T357" s="118"/>
      <c r="U357" s="118"/>
      <c r="V357" s="118"/>
      <c r="W357" s="118"/>
      <c r="X357" s="129"/>
      <c r="Y357" s="121"/>
      <c r="Z357" s="121"/>
      <c r="AA357" s="118" t="s">
        <v>48</v>
      </c>
      <c r="AB357" s="118"/>
      <c r="AC357" s="126">
        <f t="shared" si="5"/>
        <v>5800</v>
      </c>
    </row>
    <row r="358" spans="2:29" ht="45" customHeight="1" x14ac:dyDescent="0.25">
      <c r="B358" s="118">
        <v>355</v>
      </c>
      <c r="C358" s="118" t="s">
        <v>150</v>
      </c>
      <c r="D358" s="118" t="s">
        <v>611</v>
      </c>
      <c r="E358" s="118">
        <v>42171</v>
      </c>
      <c r="F358" s="190" t="s">
        <v>1146</v>
      </c>
      <c r="G358" s="118">
        <v>2224</v>
      </c>
      <c r="H358" s="118">
        <v>242</v>
      </c>
      <c r="I358" s="118" t="s">
        <v>33</v>
      </c>
      <c r="J358" s="118" t="s">
        <v>1147</v>
      </c>
      <c r="K358" s="118">
        <v>97764</v>
      </c>
      <c r="L358" s="118">
        <v>6</v>
      </c>
      <c r="M358" s="118" t="s">
        <v>35</v>
      </c>
      <c r="N358" s="118" t="s">
        <v>35</v>
      </c>
      <c r="O358" s="118">
        <v>4340070</v>
      </c>
      <c r="P358" s="121">
        <v>46014</v>
      </c>
      <c r="Q358" s="118">
        <v>4456219</v>
      </c>
      <c r="R358" s="124">
        <v>4259.8999999999996</v>
      </c>
      <c r="S358" s="123">
        <v>46023</v>
      </c>
      <c r="T358" s="118"/>
      <c r="U358" s="118"/>
      <c r="V358" s="118"/>
      <c r="W358" s="118"/>
      <c r="X358" s="129"/>
      <c r="Y358" s="121"/>
      <c r="Z358" s="121"/>
      <c r="AA358" s="118" t="s">
        <v>48</v>
      </c>
      <c r="AB358" s="118"/>
      <c r="AC358" s="126">
        <f t="shared" si="5"/>
        <v>4259.8999999999996</v>
      </c>
    </row>
    <row r="359" spans="2:29" ht="45" customHeight="1" x14ac:dyDescent="0.25">
      <c r="B359" s="118">
        <v>356</v>
      </c>
      <c r="C359" s="118" t="s">
        <v>226</v>
      </c>
      <c r="D359" s="118" t="s">
        <v>31</v>
      </c>
      <c r="E359" s="118">
        <v>42132</v>
      </c>
      <c r="F359" s="169" t="s">
        <v>1148</v>
      </c>
      <c r="G359" s="118">
        <v>2224</v>
      </c>
      <c r="H359" s="118">
        <v>242</v>
      </c>
      <c r="I359" s="118" t="s">
        <v>33</v>
      </c>
      <c r="J359" s="118" t="s">
        <v>1149</v>
      </c>
      <c r="K359" s="118">
        <v>97372</v>
      </c>
      <c r="L359" s="118">
        <v>6</v>
      </c>
      <c r="M359" s="118" t="s">
        <v>35</v>
      </c>
      <c r="N359" s="118" t="s">
        <v>35</v>
      </c>
      <c r="O359" s="118">
        <v>4340002</v>
      </c>
      <c r="P359" s="121">
        <v>46014</v>
      </c>
      <c r="Q359" s="118">
        <v>4457112</v>
      </c>
      <c r="R359" s="124">
        <v>10200</v>
      </c>
      <c r="S359" s="123"/>
      <c r="T359" s="118">
        <v>19847</v>
      </c>
      <c r="U359" s="125" t="s">
        <v>1150</v>
      </c>
      <c r="V359" s="118" t="s">
        <v>37</v>
      </c>
      <c r="W359" s="118" t="s">
        <v>64</v>
      </c>
      <c r="X359" s="124">
        <v>10200</v>
      </c>
      <c r="Y359" s="121">
        <v>46027</v>
      </c>
      <c r="Z359" s="121">
        <v>46029</v>
      </c>
      <c r="AA359" s="118" t="s">
        <v>39</v>
      </c>
      <c r="AB359" s="118"/>
      <c r="AC359" s="126">
        <f t="shared" si="5"/>
        <v>0</v>
      </c>
    </row>
    <row r="360" spans="2:29" ht="45" customHeight="1" x14ac:dyDescent="0.25">
      <c r="B360" s="118">
        <v>357</v>
      </c>
      <c r="C360" s="118" t="s">
        <v>226</v>
      </c>
      <c r="D360" s="118" t="s">
        <v>31</v>
      </c>
      <c r="E360" s="118">
        <v>42132</v>
      </c>
      <c r="F360" s="169" t="s">
        <v>1151</v>
      </c>
      <c r="G360" s="118">
        <v>2224</v>
      </c>
      <c r="H360" s="118">
        <v>242</v>
      </c>
      <c r="I360" s="118" t="s">
        <v>33</v>
      </c>
      <c r="J360" s="118" t="s">
        <v>1152</v>
      </c>
      <c r="K360" s="118">
        <v>97371</v>
      </c>
      <c r="L360" s="118">
        <v>6</v>
      </c>
      <c r="M360" s="118" t="s">
        <v>35</v>
      </c>
      <c r="N360" s="118" t="s">
        <v>35</v>
      </c>
      <c r="O360" s="118">
        <v>4339996</v>
      </c>
      <c r="P360" s="121">
        <v>46014</v>
      </c>
      <c r="Q360" s="118">
        <v>4457110</v>
      </c>
      <c r="R360" s="124">
        <v>17000</v>
      </c>
      <c r="S360" s="123">
        <v>19846</v>
      </c>
      <c r="T360" s="118">
        <v>19846</v>
      </c>
      <c r="U360" s="125" t="s">
        <v>1150</v>
      </c>
      <c r="V360" s="118" t="s">
        <v>37</v>
      </c>
      <c r="W360" s="118" t="s">
        <v>64</v>
      </c>
      <c r="X360" s="124">
        <v>17000</v>
      </c>
      <c r="Y360" s="121">
        <v>46027</v>
      </c>
      <c r="Z360" s="121">
        <v>46029</v>
      </c>
      <c r="AA360" s="118" t="s">
        <v>39</v>
      </c>
      <c r="AB360" s="118"/>
      <c r="AC360" s="126">
        <f t="shared" si="5"/>
        <v>0</v>
      </c>
    </row>
    <row r="361" spans="2:29" ht="45" customHeight="1" x14ac:dyDescent="0.25">
      <c r="B361" s="118">
        <v>358</v>
      </c>
      <c r="C361" s="118" t="s">
        <v>226</v>
      </c>
      <c r="D361" s="118" t="s">
        <v>740</v>
      </c>
      <c r="E361" s="118" t="s">
        <v>35</v>
      </c>
      <c r="F361" s="169" t="s">
        <v>1153</v>
      </c>
      <c r="G361" s="118">
        <v>4502</v>
      </c>
      <c r="H361" s="118">
        <v>332</v>
      </c>
      <c r="I361" s="118" t="s">
        <v>340</v>
      </c>
      <c r="J361" s="118" t="s">
        <v>35</v>
      </c>
      <c r="K361" s="118" t="s">
        <v>35</v>
      </c>
      <c r="L361" s="118" t="s">
        <v>35</v>
      </c>
      <c r="M361" s="118" t="s">
        <v>35</v>
      </c>
      <c r="N361" s="118" t="s">
        <v>35</v>
      </c>
      <c r="O361" s="118">
        <v>4301237</v>
      </c>
      <c r="P361" s="121">
        <v>45975</v>
      </c>
      <c r="Q361" s="118">
        <v>4419146</v>
      </c>
      <c r="R361" s="124">
        <v>36000</v>
      </c>
      <c r="S361" s="123"/>
      <c r="T361" s="118">
        <v>387</v>
      </c>
      <c r="U361" s="118" t="s">
        <v>35</v>
      </c>
      <c r="V361" s="118" t="s">
        <v>37</v>
      </c>
      <c r="W361" s="118" t="s">
        <v>86</v>
      </c>
      <c r="X361" s="124">
        <v>36000</v>
      </c>
      <c r="Y361" s="121">
        <v>46014</v>
      </c>
      <c r="Z361" s="121">
        <v>46017</v>
      </c>
      <c r="AA361" s="118" t="s">
        <v>39</v>
      </c>
      <c r="AB361" s="118"/>
      <c r="AC361" s="126">
        <f t="shared" si="5"/>
        <v>0</v>
      </c>
    </row>
    <row r="362" spans="2:29" ht="45" customHeight="1" x14ac:dyDescent="0.25">
      <c r="B362" s="118">
        <v>359</v>
      </c>
      <c r="C362" s="118" t="s">
        <v>226</v>
      </c>
      <c r="D362" s="118" t="s">
        <v>31</v>
      </c>
      <c r="E362" s="118">
        <v>42132</v>
      </c>
      <c r="F362" s="169" t="s">
        <v>1154</v>
      </c>
      <c r="G362" s="118">
        <v>4057</v>
      </c>
      <c r="H362" s="118">
        <v>95069</v>
      </c>
      <c r="I362" s="118" t="s">
        <v>340</v>
      </c>
      <c r="J362" s="118" t="s">
        <v>31</v>
      </c>
      <c r="K362" s="118">
        <v>97960</v>
      </c>
      <c r="L362" s="118">
        <v>6</v>
      </c>
      <c r="M362" s="118"/>
      <c r="N362" s="118"/>
      <c r="O362" s="118">
        <v>4341348</v>
      </c>
      <c r="P362" s="121">
        <v>46017</v>
      </c>
      <c r="Q362" s="118">
        <v>4458274</v>
      </c>
      <c r="R362" s="149">
        <v>8970.24</v>
      </c>
      <c r="S362" s="123">
        <v>45677</v>
      </c>
      <c r="T362" s="118"/>
      <c r="U362" s="118"/>
      <c r="V362" s="118"/>
      <c r="W362" s="118"/>
      <c r="X362" s="129"/>
      <c r="Y362" s="121"/>
      <c r="Z362" s="121"/>
      <c r="AA362" s="118" t="s">
        <v>48</v>
      </c>
      <c r="AB362" s="118"/>
      <c r="AC362" s="126">
        <f t="shared" si="5"/>
        <v>8970.24</v>
      </c>
    </row>
    <row r="363" spans="2:29" ht="45" customHeight="1" x14ac:dyDescent="0.25">
      <c r="B363" s="118">
        <v>360</v>
      </c>
      <c r="C363" s="118" t="s">
        <v>292</v>
      </c>
      <c r="D363" s="118" t="s">
        <v>54</v>
      </c>
      <c r="E363" s="118" t="s">
        <v>35</v>
      </c>
      <c r="F363" s="169" t="s">
        <v>713</v>
      </c>
      <c r="G363" s="118" t="s">
        <v>714</v>
      </c>
      <c r="H363" s="118">
        <v>5</v>
      </c>
      <c r="I363" s="118" t="s">
        <v>188</v>
      </c>
      <c r="J363" s="118" t="s">
        <v>540</v>
      </c>
      <c r="K363" s="118">
        <v>91149</v>
      </c>
      <c r="L363" s="118">
        <v>2</v>
      </c>
      <c r="M363" s="118" t="s">
        <v>715</v>
      </c>
      <c r="N363" s="118" t="s">
        <v>35</v>
      </c>
      <c r="O363" s="118">
        <v>4301497</v>
      </c>
      <c r="P363" s="121">
        <v>45975</v>
      </c>
      <c r="Q363" s="118">
        <v>4418371</v>
      </c>
      <c r="R363" s="126">
        <v>19698</v>
      </c>
      <c r="S363" s="123"/>
      <c r="T363" s="132" t="s">
        <v>1155</v>
      </c>
      <c r="U363" s="118"/>
      <c r="V363" s="118"/>
      <c r="W363" s="118"/>
      <c r="X363" s="129"/>
      <c r="Y363" s="121"/>
      <c r="Z363" s="121"/>
      <c r="AA363" s="118" t="s">
        <v>48</v>
      </c>
      <c r="AB363" s="118"/>
      <c r="AC363" s="126">
        <f t="shared" si="5"/>
        <v>19698</v>
      </c>
    </row>
    <row r="364" spans="2:29" ht="45" customHeight="1" x14ac:dyDescent="0.25">
      <c r="B364" s="118">
        <v>361</v>
      </c>
      <c r="C364" s="118" t="s">
        <v>247</v>
      </c>
      <c r="D364" s="118" t="s">
        <v>248</v>
      </c>
      <c r="E364" s="118" t="s">
        <v>35</v>
      </c>
      <c r="F364" s="169" t="s">
        <v>1156</v>
      </c>
      <c r="G364" s="118">
        <v>2488</v>
      </c>
      <c r="H364" s="118">
        <v>242</v>
      </c>
      <c r="I364" s="118" t="s">
        <v>340</v>
      </c>
      <c r="J364" s="118" t="s">
        <v>1157</v>
      </c>
      <c r="K364" s="118">
        <v>97992</v>
      </c>
      <c r="L364" s="118">
        <v>29</v>
      </c>
      <c r="M364" s="118" t="s">
        <v>1158</v>
      </c>
      <c r="N364" s="118"/>
      <c r="O364" s="118">
        <v>4343441</v>
      </c>
      <c r="P364" s="121">
        <v>46020</v>
      </c>
      <c r="Q364" s="118">
        <v>4456993</v>
      </c>
      <c r="R364" s="149">
        <v>10924.01</v>
      </c>
      <c r="S364" s="123">
        <v>46026</v>
      </c>
      <c r="T364" s="118"/>
      <c r="U364" s="118"/>
      <c r="V364" s="118"/>
      <c r="W364" s="118"/>
      <c r="X364" s="129"/>
      <c r="Y364" s="121"/>
      <c r="Z364" s="121"/>
      <c r="AA364" s="118" t="s">
        <v>48</v>
      </c>
      <c r="AB364" s="118"/>
      <c r="AC364" s="168">
        <f>R364-X364</f>
        <v>10924.01</v>
      </c>
    </row>
    <row r="365" spans="2:29" ht="45" customHeight="1" x14ac:dyDescent="0.25">
      <c r="B365" s="118">
        <v>362</v>
      </c>
      <c r="C365" s="118" t="s">
        <v>561</v>
      </c>
      <c r="D365" s="118" t="s">
        <v>117</v>
      </c>
      <c r="E365" s="118">
        <v>42809</v>
      </c>
      <c r="F365" s="190" t="s">
        <v>1159</v>
      </c>
      <c r="G365" s="118">
        <v>2291</v>
      </c>
      <c r="H365" s="118">
        <v>242</v>
      </c>
      <c r="I365" s="118" t="s">
        <v>33</v>
      </c>
      <c r="J365" s="118" t="s">
        <v>1160</v>
      </c>
      <c r="K365" s="118">
        <v>98048</v>
      </c>
      <c r="L365" s="118">
        <v>5</v>
      </c>
      <c r="M365" s="118" t="s">
        <v>1161</v>
      </c>
      <c r="N365" s="118" t="s">
        <v>37</v>
      </c>
      <c r="O365" s="118">
        <v>4355678</v>
      </c>
      <c r="P365" s="121">
        <v>46032</v>
      </c>
      <c r="Q365" s="125"/>
      <c r="R365" s="171">
        <v>2680</v>
      </c>
      <c r="S365" s="123">
        <v>46026</v>
      </c>
      <c r="T365" s="118"/>
      <c r="U365" s="118" t="s">
        <v>1162</v>
      </c>
      <c r="V365" s="118"/>
      <c r="W365" s="118"/>
      <c r="X365" s="129"/>
      <c r="Y365" s="121"/>
      <c r="Z365" s="121"/>
      <c r="AA365" s="118" t="s">
        <v>940</v>
      </c>
      <c r="AB365" s="118"/>
      <c r="AC365" s="126">
        <f t="shared" si="5"/>
        <v>2680</v>
      </c>
    </row>
    <row r="366" spans="2:29" ht="45" customHeight="1" x14ac:dyDescent="0.25">
      <c r="B366" s="118">
        <v>363</v>
      </c>
      <c r="C366" s="118" t="s">
        <v>49</v>
      </c>
      <c r="D366" s="118" t="s">
        <v>82</v>
      </c>
      <c r="E366" s="118">
        <v>42617</v>
      </c>
      <c r="F366" s="169" t="s">
        <v>1163</v>
      </c>
      <c r="G366" s="118">
        <v>4057</v>
      </c>
      <c r="H366" s="118">
        <v>242</v>
      </c>
      <c r="I366" s="118" t="s">
        <v>33</v>
      </c>
      <c r="J366" s="118" t="s">
        <v>1164</v>
      </c>
      <c r="K366" s="118">
        <v>98534</v>
      </c>
      <c r="L366" s="118">
        <v>6</v>
      </c>
      <c r="M366" s="118" t="s">
        <v>35</v>
      </c>
      <c r="N366" s="118" t="s">
        <v>35</v>
      </c>
      <c r="O366" s="118">
        <v>4348310</v>
      </c>
      <c r="P366" s="121">
        <v>46027</v>
      </c>
      <c r="Q366" s="118">
        <v>4465547</v>
      </c>
      <c r="R366" s="124">
        <v>5900</v>
      </c>
      <c r="S366" s="123">
        <v>46023</v>
      </c>
      <c r="T366" s="118"/>
      <c r="U366" s="118"/>
      <c r="V366" s="118"/>
      <c r="W366" s="118"/>
      <c r="X366" s="129"/>
      <c r="Y366" s="121"/>
      <c r="Z366" s="121"/>
      <c r="AA366" s="118" t="s">
        <v>48</v>
      </c>
      <c r="AB366" s="118"/>
      <c r="AC366" s="126">
        <f t="shared" si="5"/>
        <v>5900</v>
      </c>
    </row>
    <row r="367" spans="2:29" ht="45" customHeight="1" x14ac:dyDescent="0.25">
      <c r="B367" s="118">
        <v>364</v>
      </c>
      <c r="C367" s="118" t="s">
        <v>561</v>
      </c>
      <c r="D367" s="118" t="s">
        <v>107</v>
      </c>
      <c r="E367" s="118">
        <v>42560</v>
      </c>
      <c r="F367" s="190" t="s">
        <v>1165</v>
      </c>
      <c r="G367" s="118">
        <v>2224</v>
      </c>
      <c r="H367" s="118">
        <v>242</v>
      </c>
      <c r="I367" s="118" t="s">
        <v>33</v>
      </c>
      <c r="J367" s="118" t="s">
        <v>1166</v>
      </c>
      <c r="K367" s="118">
        <v>98565</v>
      </c>
      <c r="L367" s="118">
        <v>5</v>
      </c>
      <c r="M367" s="125"/>
      <c r="N367" s="125"/>
      <c r="O367" s="125"/>
      <c r="P367" s="161"/>
      <c r="Q367" s="125"/>
      <c r="R367" s="171">
        <v>2000</v>
      </c>
      <c r="S367" s="123">
        <v>46023</v>
      </c>
      <c r="T367" s="118"/>
      <c r="U367" s="118"/>
      <c r="V367" s="118"/>
      <c r="W367" s="118"/>
      <c r="X367" s="129"/>
      <c r="Y367" s="121"/>
      <c r="Z367" s="121"/>
      <c r="AA367" s="118" t="s">
        <v>634</v>
      </c>
      <c r="AB367" s="135" t="s">
        <v>1167</v>
      </c>
      <c r="AC367" s="126">
        <f t="shared" si="5"/>
        <v>2000</v>
      </c>
    </row>
    <row r="368" spans="2:29" ht="45" customHeight="1" x14ac:dyDescent="0.25">
      <c r="B368" s="118">
        <v>365</v>
      </c>
      <c r="C368" s="118" t="s">
        <v>49</v>
      </c>
      <c r="D368" s="118" t="s">
        <v>1168</v>
      </c>
      <c r="E368" s="118" t="s">
        <v>35</v>
      </c>
      <c r="F368" s="169" t="s">
        <v>1169</v>
      </c>
      <c r="G368" s="118">
        <v>1171</v>
      </c>
      <c r="H368" s="118">
        <v>242</v>
      </c>
      <c r="I368" s="118" t="s">
        <v>33</v>
      </c>
      <c r="J368" s="118" t="s">
        <v>1170</v>
      </c>
      <c r="K368" s="118">
        <v>98699</v>
      </c>
      <c r="L368" s="118">
        <v>5</v>
      </c>
      <c r="M368" s="118" t="s">
        <v>1171</v>
      </c>
      <c r="N368" s="118" t="s">
        <v>71</v>
      </c>
      <c r="O368" s="118">
        <v>4354005</v>
      </c>
      <c r="P368" s="121">
        <v>46032</v>
      </c>
      <c r="Q368" s="125"/>
      <c r="R368" s="171">
        <v>2209.37</v>
      </c>
      <c r="S368" s="123">
        <v>46023</v>
      </c>
      <c r="T368" s="118"/>
      <c r="U368" s="118"/>
      <c r="V368" s="118"/>
      <c r="W368" s="118"/>
      <c r="X368" s="129"/>
      <c r="Y368" s="121"/>
      <c r="Z368" s="121"/>
      <c r="AA368" s="118" t="s">
        <v>940</v>
      </c>
      <c r="AB368" s="135"/>
      <c r="AC368" s="126">
        <f t="shared" si="5"/>
        <v>2209.37</v>
      </c>
    </row>
    <row r="369" spans="2:29" ht="45" customHeight="1" x14ac:dyDescent="0.25">
      <c r="B369" s="118">
        <v>366</v>
      </c>
      <c r="C369" s="118" t="s">
        <v>351</v>
      </c>
      <c r="D369" s="118" t="s">
        <v>1172</v>
      </c>
      <c r="E369" s="118"/>
      <c r="F369" s="169" t="s">
        <v>1173</v>
      </c>
      <c r="G369" s="118">
        <v>2488</v>
      </c>
      <c r="H369" s="118">
        <v>242</v>
      </c>
      <c r="I369" s="118" t="s">
        <v>340</v>
      </c>
      <c r="J369" s="118">
        <v>36416</v>
      </c>
      <c r="K369" s="118">
        <v>98545</v>
      </c>
      <c r="L369" s="118">
        <v>5</v>
      </c>
      <c r="M369" s="118" t="s">
        <v>1174</v>
      </c>
      <c r="N369" s="118"/>
      <c r="O369" s="132" t="s">
        <v>1175</v>
      </c>
      <c r="P369" s="121">
        <v>46027</v>
      </c>
      <c r="Q369" s="118">
        <v>4465326</v>
      </c>
      <c r="R369" s="124">
        <v>8500</v>
      </c>
      <c r="S369" s="123">
        <v>46027</v>
      </c>
      <c r="T369" s="118"/>
      <c r="U369" s="118"/>
      <c r="V369" s="118"/>
      <c r="W369" s="118"/>
      <c r="X369" s="129"/>
      <c r="Y369" s="121"/>
      <c r="Z369" s="121"/>
      <c r="AA369" s="118" t="s">
        <v>48</v>
      </c>
      <c r="AB369" s="118"/>
      <c r="AC369" s="126">
        <f t="shared" si="5"/>
        <v>8500</v>
      </c>
    </row>
    <row r="370" spans="2:29" ht="45" customHeight="1" x14ac:dyDescent="0.25">
      <c r="B370" s="118">
        <v>367</v>
      </c>
      <c r="C370" s="118" t="s">
        <v>300</v>
      </c>
      <c r="D370" s="118" t="s">
        <v>1176</v>
      </c>
      <c r="E370" s="118">
        <v>43172</v>
      </c>
      <c r="F370" s="169" t="s">
        <v>1177</v>
      </c>
      <c r="G370" s="118">
        <v>2291</v>
      </c>
      <c r="H370" s="118">
        <v>242</v>
      </c>
      <c r="I370" s="118" t="s">
        <v>340</v>
      </c>
      <c r="J370" s="118">
        <v>9444</v>
      </c>
      <c r="K370" s="118">
        <v>99134</v>
      </c>
      <c r="L370" s="118">
        <v>6</v>
      </c>
      <c r="M370" s="118"/>
      <c r="N370" s="118"/>
      <c r="O370" s="118">
        <v>4351150</v>
      </c>
      <c r="P370" s="121">
        <v>46028</v>
      </c>
      <c r="Q370" s="125"/>
      <c r="R370" s="139">
        <v>4775</v>
      </c>
      <c r="S370" s="123">
        <v>46043</v>
      </c>
      <c r="T370" s="118"/>
      <c r="U370" s="118"/>
      <c r="V370" s="118"/>
      <c r="W370" s="118"/>
      <c r="X370" s="129"/>
      <c r="Y370" s="121"/>
      <c r="Z370" s="121"/>
      <c r="AA370" s="118" t="s">
        <v>940</v>
      </c>
      <c r="AB370" s="118"/>
      <c r="AC370" s="126">
        <f t="shared" si="5"/>
        <v>4775</v>
      </c>
    </row>
    <row r="371" spans="2:29" ht="45" customHeight="1" x14ac:dyDescent="0.25">
      <c r="B371" s="118">
        <v>368</v>
      </c>
      <c r="C371" s="118" t="s">
        <v>292</v>
      </c>
      <c r="D371" s="118" t="s">
        <v>1178</v>
      </c>
      <c r="E371" s="118"/>
      <c r="F371" s="169" t="s">
        <v>1179</v>
      </c>
      <c r="G371" s="118">
        <v>2071</v>
      </c>
      <c r="H371" s="118">
        <v>5</v>
      </c>
      <c r="I371" s="118" t="s">
        <v>340</v>
      </c>
      <c r="J371" s="118">
        <v>119</v>
      </c>
      <c r="K371" s="118">
        <v>98808</v>
      </c>
      <c r="L371" s="118">
        <v>5</v>
      </c>
      <c r="M371" s="118" t="s">
        <v>1180</v>
      </c>
      <c r="N371" s="118"/>
      <c r="O371" s="118">
        <v>4351229</v>
      </c>
      <c r="P371" s="121">
        <v>46028</v>
      </c>
      <c r="Q371" s="118">
        <v>4465334</v>
      </c>
      <c r="R371" s="124">
        <v>4315</v>
      </c>
      <c r="S371" s="123"/>
      <c r="T371" s="118"/>
      <c r="U371" s="118"/>
      <c r="V371" s="118"/>
      <c r="W371" s="118"/>
      <c r="X371" s="129"/>
      <c r="Y371" s="121"/>
      <c r="Z371" s="121"/>
      <c r="AA371" s="118" t="s">
        <v>48</v>
      </c>
      <c r="AB371" s="118"/>
      <c r="AC371" s="126">
        <f t="shared" si="5"/>
        <v>4315</v>
      </c>
    </row>
    <row r="372" spans="2:29" ht="45" customHeight="1" x14ac:dyDescent="0.25">
      <c r="B372" s="118">
        <v>369</v>
      </c>
      <c r="C372" s="118" t="s">
        <v>300</v>
      </c>
      <c r="D372" s="118" t="s">
        <v>1181</v>
      </c>
      <c r="E372" s="118" t="s">
        <v>1182</v>
      </c>
      <c r="F372" s="190" t="s">
        <v>1183</v>
      </c>
      <c r="G372" s="118">
        <v>2291</v>
      </c>
      <c r="H372" s="118">
        <v>242</v>
      </c>
      <c r="I372" s="118" t="s">
        <v>340</v>
      </c>
      <c r="J372" s="118">
        <v>918</v>
      </c>
      <c r="K372" s="118">
        <v>99006</v>
      </c>
      <c r="L372" s="118">
        <v>5</v>
      </c>
      <c r="M372" s="118" t="s">
        <v>1184</v>
      </c>
      <c r="N372" s="118"/>
      <c r="O372" s="118">
        <v>4352069</v>
      </c>
      <c r="P372" s="121">
        <v>46029</v>
      </c>
      <c r="Q372" s="118">
        <v>4465355</v>
      </c>
      <c r="R372" s="124">
        <v>1785</v>
      </c>
      <c r="S372" s="123"/>
      <c r="T372" s="118"/>
      <c r="U372" s="118"/>
      <c r="V372" s="118"/>
      <c r="W372" s="118"/>
      <c r="X372" s="129"/>
      <c r="Y372" s="121"/>
      <c r="Z372" s="121"/>
      <c r="AA372" s="118" t="s">
        <v>48</v>
      </c>
      <c r="AB372" s="118"/>
      <c r="AC372" s="126">
        <f t="shared" si="5"/>
        <v>1785</v>
      </c>
    </row>
    <row r="373" spans="2:29" ht="45" customHeight="1" x14ac:dyDescent="0.25">
      <c r="B373" s="118">
        <v>370</v>
      </c>
      <c r="C373" s="118" t="s">
        <v>49</v>
      </c>
      <c r="D373" s="118" t="s">
        <v>57</v>
      </c>
      <c r="E373" s="118" t="s">
        <v>1185</v>
      </c>
      <c r="F373" s="169" t="s">
        <v>1186</v>
      </c>
      <c r="G373" s="118">
        <v>2291</v>
      </c>
      <c r="H373" s="118">
        <v>242</v>
      </c>
      <c r="I373" s="118" t="s">
        <v>49</v>
      </c>
      <c r="J373" s="118" t="s">
        <v>1187</v>
      </c>
      <c r="K373" s="118">
        <v>99170</v>
      </c>
      <c r="L373" s="118">
        <v>2</v>
      </c>
      <c r="M373" s="118" t="s">
        <v>1188</v>
      </c>
      <c r="N373" s="118" t="s">
        <v>35</v>
      </c>
      <c r="O373" s="118">
        <v>4352661</v>
      </c>
      <c r="P373" s="121">
        <v>46029</v>
      </c>
      <c r="Q373" s="125"/>
      <c r="R373" s="171">
        <v>48506.8</v>
      </c>
      <c r="S373" s="123">
        <v>46043</v>
      </c>
      <c r="T373" s="118"/>
      <c r="U373" s="118"/>
      <c r="V373" s="118"/>
      <c r="W373" s="118"/>
      <c r="X373" s="129"/>
      <c r="Y373" s="121"/>
      <c r="Z373" s="121"/>
      <c r="AA373" s="118" t="s">
        <v>940</v>
      </c>
      <c r="AB373" s="118"/>
      <c r="AC373" s="126">
        <f t="shared" si="5"/>
        <v>48506.8</v>
      </c>
    </row>
    <row r="374" spans="2:29" ht="45" customHeight="1" x14ac:dyDescent="0.25">
      <c r="B374" s="118">
        <v>371</v>
      </c>
      <c r="C374" s="118" t="s">
        <v>106</v>
      </c>
      <c r="D374" s="118" t="s">
        <v>107</v>
      </c>
      <c r="E374" s="118">
        <v>43168</v>
      </c>
      <c r="F374" s="190" t="s">
        <v>1189</v>
      </c>
      <c r="G374" s="118">
        <v>2224</v>
      </c>
      <c r="H374" s="118">
        <v>242</v>
      </c>
      <c r="I374" s="118" t="s">
        <v>340</v>
      </c>
      <c r="J374" s="118">
        <v>455</v>
      </c>
      <c r="K374" s="118">
        <v>99296</v>
      </c>
      <c r="L374" s="118">
        <v>6</v>
      </c>
      <c r="M374" s="118"/>
      <c r="N374" s="118"/>
      <c r="O374" s="118">
        <v>4353367</v>
      </c>
      <c r="P374" s="121">
        <v>46030</v>
      </c>
      <c r="Q374" s="118"/>
      <c r="R374" s="149">
        <v>2420</v>
      </c>
      <c r="S374" s="123"/>
      <c r="T374" s="118"/>
      <c r="U374" s="118"/>
      <c r="V374" s="118"/>
      <c r="W374" s="118"/>
      <c r="X374" s="129"/>
      <c r="Y374" s="121"/>
      <c r="Z374" s="121"/>
      <c r="AA374" s="118" t="s">
        <v>940</v>
      </c>
      <c r="AB374" s="118"/>
      <c r="AC374" s="126">
        <f t="shared" si="5"/>
        <v>2420</v>
      </c>
    </row>
    <row r="375" spans="2:29" ht="45" customHeight="1" x14ac:dyDescent="0.25">
      <c r="B375" s="118">
        <v>372</v>
      </c>
      <c r="C375" s="118" t="s">
        <v>106</v>
      </c>
      <c r="D375" s="118" t="s">
        <v>769</v>
      </c>
      <c r="E375" s="118"/>
      <c r="F375" s="169" t="s">
        <v>1190</v>
      </c>
      <c r="G375" s="118">
        <v>2488</v>
      </c>
      <c r="H375" s="118">
        <v>242</v>
      </c>
      <c r="I375" s="118" t="s">
        <v>340</v>
      </c>
      <c r="J375" s="118" t="s">
        <v>769</v>
      </c>
      <c r="K375" s="118">
        <v>99291</v>
      </c>
      <c r="L375" s="118">
        <v>1</v>
      </c>
      <c r="M375" s="118"/>
      <c r="N375" s="118"/>
      <c r="O375" s="118">
        <v>4353384</v>
      </c>
      <c r="P375" s="121">
        <v>46030</v>
      </c>
      <c r="Q375" s="118"/>
      <c r="R375" s="149" t="s">
        <v>1191</v>
      </c>
      <c r="S375" s="123">
        <v>46048</v>
      </c>
      <c r="T375" s="118"/>
      <c r="U375" s="118"/>
      <c r="V375" s="118"/>
      <c r="W375" s="118"/>
      <c r="X375" s="129"/>
      <c r="Y375" s="121"/>
      <c r="Z375" s="121"/>
      <c r="AA375" s="118" t="s">
        <v>940</v>
      </c>
      <c r="AB375" s="118"/>
      <c r="AC375" s="126" t="e">
        <f t="shared" si="5"/>
        <v>#VALUE!</v>
      </c>
    </row>
    <row r="376" spans="2:29" ht="45" customHeight="1" x14ac:dyDescent="0.25">
      <c r="B376" s="118">
        <v>373</v>
      </c>
      <c r="C376" s="118" t="s">
        <v>49</v>
      </c>
      <c r="D376" s="118" t="s">
        <v>117</v>
      </c>
      <c r="E376" s="118" t="s">
        <v>1192</v>
      </c>
      <c r="F376" s="190" t="s">
        <v>1193</v>
      </c>
      <c r="G376" s="118">
        <v>4588</v>
      </c>
      <c r="H376" s="118">
        <v>242</v>
      </c>
      <c r="I376" s="118" t="s">
        <v>33</v>
      </c>
      <c r="J376" s="118" t="s">
        <v>1194</v>
      </c>
      <c r="K376" s="118">
        <v>99421</v>
      </c>
      <c r="L376" s="118">
        <v>5</v>
      </c>
      <c r="M376" s="118" t="s">
        <v>1195</v>
      </c>
      <c r="N376" s="118" t="s">
        <v>37</v>
      </c>
      <c r="O376" s="118">
        <v>4355691</v>
      </c>
      <c r="P376" s="121">
        <v>46032</v>
      </c>
      <c r="Q376" s="125"/>
      <c r="R376" s="171">
        <v>3560</v>
      </c>
      <c r="S376" s="123">
        <v>46043</v>
      </c>
      <c r="T376" s="118"/>
      <c r="U376" s="118"/>
      <c r="V376" s="118"/>
      <c r="W376" s="118"/>
      <c r="X376" s="129"/>
      <c r="Y376" s="121"/>
      <c r="Z376" s="121"/>
      <c r="AA376" s="118" t="s">
        <v>940</v>
      </c>
      <c r="AB376" s="118"/>
      <c r="AC376" s="126">
        <f t="shared" si="5"/>
        <v>3560</v>
      </c>
    </row>
    <row r="377" spans="2:29" ht="45" customHeight="1" x14ac:dyDescent="0.25">
      <c r="B377" s="118">
        <v>374</v>
      </c>
      <c r="C377" s="118" t="s">
        <v>49</v>
      </c>
      <c r="D377" s="118" t="s">
        <v>433</v>
      </c>
      <c r="E377" s="118">
        <v>41750</v>
      </c>
      <c r="F377" s="169" t="s">
        <v>1196</v>
      </c>
      <c r="G377" s="118">
        <v>2291</v>
      </c>
      <c r="H377" s="118">
        <v>242</v>
      </c>
      <c r="I377" s="118" t="s">
        <v>33</v>
      </c>
      <c r="J377" s="118" t="s">
        <v>1197</v>
      </c>
      <c r="K377" s="118">
        <v>99479</v>
      </c>
      <c r="L377" s="118">
        <v>6</v>
      </c>
      <c r="M377" s="118" t="s">
        <v>35</v>
      </c>
      <c r="N377" s="118" t="s">
        <v>35</v>
      </c>
      <c r="O377" s="118">
        <v>4353433</v>
      </c>
      <c r="P377" s="121">
        <v>46030</v>
      </c>
      <c r="Q377" s="125"/>
      <c r="R377" s="171">
        <v>5300</v>
      </c>
      <c r="S377" s="123">
        <v>46054</v>
      </c>
      <c r="T377" s="118"/>
      <c r="U377" s="118"/>
      <c r="V377" s="118"/>
      <c r="W377" s="118"/>
      <c r="X377" s="129"/>
      <c r="Y377" s="121"/>
      <c r="Z377" s="121"/>
      <c r="AA377" s="118" t="s">
        <v>940</v>
      </c>
      <c r="AB377" s="118"/>
      <c r="AC377" s="126">
        <f t="shared" si="5"/>
        <v>5300</v>
      </c>
    </row>
    <row r="378" spans="2:29" ht="45" customHeight="1" x14ac:dyDescent="0.25">
      <c r="B378" s="118">
        <v>375</v>
      </c>
      <c r="C378" s="118" t="s">
        <v>49</v>
      </c>
      <c r="D378" s="118" t="s">
        <v>82</v>
      </c>
      <c r="E378" s="118">
        <v>42805</v>
      </c>
      <c r="F378" s="169" t="s">
        <v>1198</v>
      </c>
      <c r="G378" s="118">
        <v>2283</v>
      </c>
      <c r="H378" s="118">
        <v>242</v>
      </c>
      <c r="I378" s="118" t="s">
        <v>33</v>
      </c>
      <c r="J378" s="118" t="s">
        <v>1199</v>
      </c>
      <c r="K378" s="118">
        <v>99619</v>
      </c>
      <c r="L378" s="118">
        <v>6</v>
      </c>
      <c r="M378" s="118" t="s">
        <v>35</v>
      </c>
      <c r="N378" s="118" t="s">
        <v>35</v>
      </c>
      <c r="O378" s="118">
        <v>4353480</v>
      </c>
      <c r="P378" s="121">
        <v>46030</v>
      </c>
      <c r="Q378" s="125"/>
      <c r="R378" s="171">
        <v>3898.2</v>
      </c>
      <c r="S378" s="123">
        <v>46054</v>
      </c>
      <c r="T378" s="118"/>
      <c r="U378" s="118"/>
      <c r="V378" s="118"/>
      <c r="W378" s="118"/>
      <c r="X378" s="129"/>
      <c r="Y378" s="121"/>
      <c r="Z378" s="121"/>
      <c r="AA378" s="118" t="s">
        <v>940</v>
      </c>
      <c r="AB378" s="118"/>
      <c r="AC378" s="126">
        <f t="shared" si="5"/>
        <v>3898.2</v>
      </c>
    </row>
    <row r="379" spans="2:29" ht="45" customHeight="1" x14ac:dyDescent="0.25">
      <c r="B379" s="118">
        <v>376</v>
      </c>
      <c r="C379" s="118" t="s">
        <v>300</v>
      </c>
      <c r="D379" s="118" t="s">
        <v>1200</v>
      </c>
      <c r="E379" s="118"/>
      <c r="F379" s="169" t="s">
        <v>1201</v>
      </c>
      <c r="G379" s="118">
        <v>4588</v>
      </c>
      <c r="H379" s="118">
        <v>242</v>
      </c>
      <c r="I379" s="118" t="s">
        <v>340</v>
      </c>
      <c r="J379" s="118">
        <v>32857</v>
      </c>
      <c r="K379" s="118">
        <v>99692</v>
      </c>
      <c r="L379" s="118">
        <v>29</v>
      </c>
      <c r="M379" s="118" t="s">
        <v>1202</v>
      </c>
      <c r="N379" s="118"/>
      <c r="O379" s="118">
        <v>4354865</v>
      </c>
      <c r="P379" s="121">
        <v>46031</v>
      </c>
      <c r="Q379" s="118"/>
      <c r="R379" s="149">
        <v>99140</v>
      </c>
      <c r="S379" s="123"/>
      <c r="T379" s="118"/>
      <c r="U379" s="118"/>
      <c r="V379" s="118"/>
      <c r="W379" s="118"/>
      <c r="X379" s="129"/>
      <c r="Y379" s="121"/>
      <c r="Z379" s="121"/>
      <c r="AA379" s="118" t="s">
        <v>940</v>
      </c>
      <c r="AB379" s="118"/>
      <c r="AC379" s="126">
        <f t="shared" si="5"/>
        <v>99140</v>
      </c>
    </row>
    <row r="380" spans="2:29" ht="45" customHeight="1" x14ac:dyDescent="0.25">
      <c r="B380" s="118">
        <v>377</v>
      </c>
      <c r="C380" s="118" t="s">
        <v>106</v>
      </c>
      <c r="D380" s="118" t="s">
        <v>624</v>
      </c>
      <c r="E380" s="118">
        <v>42767</v>
      </c>
      <c r="F380" s="190" t="s">
        <v>1203</v>
      </c>
      <c r="G380" s="118">
        <v>2224</v>
      </c>
      <c r="H380" s="118">
        <v>242</v>
      </c>
      <c r="I380" s="118" t="s">
        <v>340</v>
      </c>
      <c r="J380" s="118">
        <v>461</v>
      </c>
      <c r="K380" s="118">
        <v>99861</v>
      </c>
      <c r="L380" s="118">
        <v>6</v>
      </c>
      <c r="M380" s="118"/>
      <c r="N380" s="118"/>
      <c r="O380" s="136" t="s">
        <v>1204</v>
      </c>
      <c r="P380" s="121">
        <v>46031</v>
      </c>
      <c r="Q380" s="118"/>
      <c r="R380" s="149">
        <v>1900</v>
      </c>
      <c r="S380" s="123"/>
      <c r="T380" s="118"/>
      <c r="U380" s="118"/>
      <c r="V380" s="118"/>
      <c r="W380" s="118"/>
      <c r="X380" s="129"/>
      <c r="Y380" s="121"/>
      <c r="Z380" s="121"/>
      <c r="AA380" s="118" t="s">
        <v>940</v>
      </c>
      <c r="AB380" s="118"/>
      <c r="AC380" s="126">
        <f t="shared" si="5"/>
        <v>1900</v>
      </c>
    </row>
    <row r="381" spans="2:29" ht="45" customHeight="1" x14ac:dyDescent="0.25">
      <c r="B381" s="118">
        <v>378</v>
      </c>
      <c r="C381" s="118" t="s">
        <v>106</v>
      </c>
      <c r="D381" s="118" t="s">
        <v>624</v>
      </c>
      <c r="E381" s="118">
        <v>42766</v>
      </c>
      <c r="F381" s="190" t="s">
        <v>1205</v>
      </c>
      <c r="G381" s="118">
        <v>2224</v>
      </c>
      <c r="H381" s="118">
        <v>242</v>
      </c>
      <c r="I381" s="118" t="s">
        <v>340</v>
      </c>
      <c r="J381" s="118">
        <v>462</v>
      </c>
      <c r="K381" s="118">
        <v>99864</v>
      </c>
      <c r="L381" s="118">
        <v>6</v>
      </c>
      <c r="M381" s="118"/>
      <c r="N381" s="118"/>
      <c r="O381" s="118">
        <v>4355439</v>
      </c>
      <c r="P381" s="121">
        <v>46031</v>
      </c>
      <c r="Q381" s="118"/>
      <c r="R381" s="149">
        <v>3200</v>
      </c>
      <c r="S381" s="123"/>
      <c r="T381" s="118"/>
      <c r="U381" s="118"/>
      <c r="V381" s="118"/>
      <c r="W381" s="118"/>
      <c r="X381" s="129"/>
      <c r="Y381" s="121"/>
      <c r="Z381" s="121"/>
      <c r="AA381" s="118" t="s">
        <v>940</v>
      </c>
      <c r="AB381" s="118"/>
      <c r="AC381" s="126">
        <f t="shared" si="5"/>
        <v>3200</v>
      </c>
    </row>
    <row r="382" spans="2:29" ht="45" customHeight="1" x14ac:dyDescent="0.25">
      <c r="B382" s="118">
        <v>379</v>
      </c>
      <c r="C382" s="118" t="s">
        <v>49</v>
      </c>
      <c r="D382" s="118" t="s">
        <v>31</v>
      </c>
      <c r="E382" s="118">
        <v>43493</v>
      </c>
      <c r="F382" s="169" t="s">
        <v>1206</v>
      </c>
      <c r="G382" s="118">
        <v>2283</v>
      </c>
      <c r="H382" s="118">
        <v>242</v>
      </c>
      <c r="I382" s="118" t="s">
        <v>33</v>
      </c>
      <c r="J382" s="118" t="s">
        <v>1207</v>
      </c>
      <c r="K382" s="118">
        <v>99314</v>
      </c>
      <c r="L382" s="118">
        <v>6</v>
      </c>
      <c r="M382" s="118" t="s">
        <v>35</v>
      </c>
      <c r="N382" s="118" t="s">
        <v>35</v>
      </c>
      <c r="O382" s="118">
        <v>4355697</v>
      </c>
      <c r="P382" s="121">
        <v>46032</v>
      </c>
      <c r="Q382" s="125"/>
      <c r="R382" s="171">
        <v>25810.69</v>
      </c>
      <c r="S382" s="123">
        <v>46023</v>
      </c>
      <c r="T382" s="118"/>
      <c r="U382" s="118"/>
      <c r="V382" s="118"/>
      <c r="W382" s="118"/>
      <c r="X382" s="129"/>
      <c r="Y382" s="121"/>
      <c r="Z382" s="121"/>
      <c r="AA382" s="118" t="s">
        <v>940</v>
      </c>
      <c r="AB382" s="118"/>
      <c r="AC382" s="126">
        <f t="shared" si="5"/>
        <v>25810.69</v>
      </c>
    </row>
    <row r="383" spans="2:29" ht="45" customHeight="1" x14ac:dyDescent="0.25">
      <c r="B383" s="118">
        <v>380</v>
      </c>
      <c r="C383" s="118" t="s">
        <v>49</v>
      </c>
      <c r="D383" s="118" t="s">
        <v>31</v>
      </c>
      <c r="E383" s="118">
        <v>43493</v>
      </c>
      <c r="F383" s="169" t="s">
        <v>1208</v>
      </c>
      <c r="G383" s="118">
        <v>2291</v>
      </c>
      <c r="H383" s="118">
        <v>242</v>
      </c>
      <c r="I383" s="118" t="s">
        <v>33</v>
      </c>
      <c r="J383" s="118" t="s">
        <v>1209</v>
      </c>
      <c r="K383" s="118">
        <v>99383</v>
      </c>
      <c r="L383" s="118">
        <v>6</v>
      </c>
      <c r="M383" s="118" t="s">
        <v>35</v>
      </c>
      <c r="N383" s="118" t="s">
        <v>35</v>
      </c>
      <c r="O383" s="118">
        <v>4355700</v>
      </c>
      <c r="P383" s="121">
        <v>46032</v>
      </c>
      <c r="Q383" s="125"/>
      <c r="R383" s="171">
        <v>25031.200000000001</v>
      </c>
      <c r="S383" s="123">
        <v>46023</v>
      </c>
      <c r="T383" s="118"/>
      <c r="U383" s="118"/>
      <c r="V383" s="118"/>
      <c r="W383" s="118"/>
      <c r="X383" s="129"/>
      <c r="Y383" s="121"/>
      <c r="Z383" s="121"/>
      <c r="AA383" s="118" t="s">
        <v>940</v>
      </c>
      <c r="AB383" s="118"/>
      <c r="AC383" s="126">
        <f t="shared" si="5"/>
        <v>25031.200000000001</v>
      </c>
    </row>
    <row r="384" spans="2:29" ht="45" customHeight="1" x14ac:dyDescent="0.25">
      <c r="B384" s="118">
        <v>381</v>
      </c>
      <c r="C384" s="118" t="s">
        <v>49</v>
      </c>
      <c r="D384" s="118" t="s">
        <v>57</v>
      </c>
      <c r="E384" s="118">
        <v>41757</v>
      </c>
      <c r="F384" s="169" t="s">
        <v>1210</v>
      </c>
      <c r="G384" s="118">
        <v>2283</v>
      </c>
      <c r="H384" s="118">
        <v>242</v>
      </c>
      <c r="I384" s="118" t="s">
        <v>33</v>
      </c>
      <c r="J384" s="118" t="s">
        <v>1211</v>
      </c>
      <c r="K384" s="118">
        <v>99706</v>
      </c>
      <c r="L384" s="118">
        <v>6</v>
      </c>
      <c r="M384" s="118" t="s">
        <v>35</v>
      </c>
      <c r="N384" s="118" t="s">
        <v>35</v>
      </c>
      <c r="O384" s="125"/>
      <c r="P384" s="161"/>
      <c r="Q384" s="125"/>
      <c r="R384" s="171">
        <v>13049.95</v>
      </c>
      <c r="S384" s="123">
        <v>46023</v>
      </c>
      <c r="T384" s="118"/>
      <c r="U384" s="118"/>
      <c r="V384" s="118"/>
      <c r="W384" s="118"/>
      <c r="X384" s="129"/>
      <c r="Y384" s="121"/>
      <c r="Z384" s="121"/>
      <c r="AA384" s="118" t="s">
        <v>160</v>
      </c>
      <c r="AB384" s="118" t="s">
        <v>1212</v>
      </c>
      <c r="AC384" s="126">
        <f t="shared" si="5"/>
        <v>13049.95</v>
      </c>
    </row>
    <row r="385" spans="1:29" ht="45" customHeight="1" x14ac:dyDescent="0.25">
      <c r="B385" s="118">
        <v>382</v>
      </c>
      <c r="C385" s="118" t="s">
        <v>49</v>
      </c>
      <c r="D385" s="118" t="s">
        <v>57</v>
      </c>
      <c r="E385" s="118">
        <v>41757</v>
      </c>
      <c r="F385" s="169" t="s">
        <v>1213</v>
      </c>
      <c r="G385" s="118">
        <v>4057</v>
      </c>
      <c r="H385" s="118">
        <v>242</v>
      </c>
      <c r="I385" s="118" t="s">
        <v>33</v>
      </c>
      <c r="J385" s="118" t="s">
        <v>1214</v>
      </c>
      <c r="K385" s="118">
        <v>99709</v>
      </c>
      <c r="L385" s="118">
        <v>6</v>
      </c>
      <c r="M385" s="118" t="s">
        <v>35</v>
      </c>
      <c r="N385" s="118" t="s">
        <v>35</v>
      </c>
      <c r="O385" s="118">
        <v>4355702</v>
      </c>
      <c r="P385" s="121">
        <v>46032</v>
      </c>
      <c r="Q385" s="125"/>
      <c r="R385" s="171">
        <v>46224.83</v>
      </c>
      <c r="S385" s="123">
        <v>46054</v>
      </c>
      <c r="T385" s="118"/>
      <c r="U385" s="118"/>
      <c r="V385" s="118"/>
      <c r="W385" s="118"/>
      <c r="X385" s="129"/>
      <c r="Y385" s="121"/>
      <c r="Z385" s="121"/>
      <c r="AA385" s="118" t="s">
        <v>940</v>
      </c>
      <c r="AB385" s="118"/>
      <c r="AC385" s="126">
        <f t="shared" si="5"/>
        <v>46224.83</v>
      </c>
    </row>
    <row r="386" spans="1:29" ht="45" customHeight="1" x14ac:dyDescent="0.25">
      <c r="B386" s="118">
        <v>383</v>
      </c>
      <c r="C386" s="118" t="s">
        <v>150</v>
      </c>
      <c r="D386" s="118" t="s">
        <v>107</v>
      </c>
      <c r="E386" s="118">
        <v>43549</v>
      </c>
      <c r="F386" s="190" t="s">
        <v>1215</v>
      </c>
      <c r="G386" s="118">
        <v>2224</v>
      </c>
      <c r="H386" s="118">
        <v>242</v>
      </c>
      <c r="I386" s="118" t="s">
        <v>33</v>
      </c>
      <c r="J386" s="118" t="s">
        <v>1216</v>
      </c>
      <c r="K386" s="118">
        <v>99710</v>
      </c>
      <c r="L386" s="118">
        <v>6</v>
      </c>
      <c r="M386" s="118" t="s">
        <v>35</v>
      </c>
      <c r="N386" s="118" t="s">
        <v>35</v>
      </c>
      <c r="O386" s="118">
        <v>4355759</v>
      </c>
      <c r="P386" s="121">
        <v>46032</v>
      </c>
      <c r="Q386" s="125"/>
      <c r="R386" s="171">
        <v>2800</v>
      </c>
      <c r="S386" s="123">
        <v>46054</v>
      </c>
      <c r="T386" s="118"/>
      <c r="U386" s="118"/>
      <c r="V386" s="118"/>
      <c r="W386" s="118"/>
      <c r="X386" s="129"/>
      <c r="Y386" s="121"/>
      <c r="Z386" s="121"/>
      <c r="AA386" s="118" t="s">
        <v>940</v>
      </c>
      <c r="AB386" s="118"/>
      <c r="AC386" s="126">
        <f t="shared" si="5"/>
        <v>2800</v>
      </c>
    </row>
    <row r="387" spans="1:29" ht="45" customHeight="1" x14ac:dyDescent="0.25">
      <c r="B387" s="118">
        <v>384</v>
      </c>
      <c r="C387" s="118" t="s">
        <v>49</v>
      </c>
      <c r="D387" s="118" t="s">
        <v>107</v>
      </c>
      <c r="E387" s="118">
        <v>42639</v>
      </c>
      <c r="F387" s="190" t="s">
        <v>1217</v>
      </c>
      <c r="G387" s="118">
        <v>5345</v>
      </c>
      <c r="H387" s="118">
        <v>242</v>
      </c>
      <c r="I387" s="118" t="s">
        <v>33</v>
      </c>
      <c r="J387" s="118" t="s">
        <v>1218</v>
      </c>
      <c r="K387" s="118">
        <v>99712</v>
      </c>
      <c r="L387" s="118">
        <v>6</v>
      </c>
      <c r="M387" s="118" t="s">
        <v>35</v>
      </c>
      <c r="N387" s="118" t="s">
        <v>35</v>
      </c>
      <c r="O387" s="118">
        <v>4355763</v>
      </c>
      <c r="P387" s="121">
        <v>46032</v>
      </c>
      <c r="Q387" s="125"/>
      <c r="R387" s="171">
        <v>6150</v>
      </c>
      <c r="S387" s="123">
        <v>46054</v>
      </c>
      <c r="T387" s="118"/>
      <c r="U387" s="118"/>
      <c r="V387" s="118"/>
      <c r="W387" s="118"/>
      <c r="X387" s="129"/>
      <c r="Y387" s="121"/>
      <c r="Z387" s="121"/>
      <c r="AA387" s="118" t="s">
        <v>940</v>
      </c>
      <c r="AB387" s="118"/>
      <c r="AC387" s="126">
        <f t="shared" si="5"/>
        <v>6150</v>
      </c>
    </row>
    <row r="388" spans="1:29" ht="45" customHeight="1" x14ac:dyDescent="0.25">
      <c r="B388" s="118">
        <v>385</v>
      </c>
      <c r="C388" s="118" t="s">
        <v>150</v>
      </c>
      <c r="D388" s="118" t="s">
        <v>1219</v>
      </c>
      <c r="E388" s="118">
        <v>41747</v>
      </c>
      <c r="F388" s="169" t="s">
        <v>1220</v>
      </c>
      <c r="G388" s="118">
        <v>2291</v>
      </c>
      <c r="H388" s="118">
        <v>242</v>
      </c>
      <c r="I388" s="118" t="s">
        <v>33</v>
      </c>
      <c r="J388" s="118" t="s">
        <v>1221</v>
      </c>
      <c r="K388" s="118">
        <v>99733</v>
      </c>
      <c r="L388" s="118">
        <v>6</v>
      </c>
      <c r="M388" s="118" t="s">
        <v>35</v>
      </c>
      <c r="N388" s="118" t="s">
        <v>35</v>
      </c>
      <c r="O388" s="118">
        <v>4355769</v>
      </c>
      <c r="P388" s="121">
        <v>46032</v>
      </c>
      <c r="Q388" s="125"/>
      <c r="R388" s="171">
        <v>14872.26</v>
      </c>
      <c r="S388" s="123">
        <v>46054</v>
      </c>
      <c r="T388" s="118"/>
      <c r="U388" s="118"/>
      <c r="V388" s="118"/>
      <c r="W388" s="118"/>
      <c r="X388" s="129"/>
      <c r="Y388" s="121"/>
      <c r="Z388" s="121"/>
      <c r="AA388" s="118" t="s">
        <v>940</v>
      </c>
      <c r="AB388" s="118"/>
      <c r="AC388" s="126">
        <f t="shared" si="5"/>
        <v>14872.26</v>
      </c>
    </row>
    <row r="389" spans="1:29" ht="45" customHeight="1" x14ac:dyDescent="0.25">
      <c r="A389" s="101" t="s">
        <v>1222</v>
      </c>
      <c r="B389" s="118">
        <v>386</v>
      </c>
      <c r="C389" s="118" t="s">
        <v>30</v>
      </c>
      <c r="D389" s="118" t="s">
        <v>107</v>
      </c>
      <c r="E389" s="118">
        <v>42765</v>
      </c>
      <c r="F389" s="190" t="s">
        <v>1223</v>
      </c>
      <c r="G389" s="118">
        <v>5345</v>
      </c>
      <c r="H389" s="118">
        <v>242</v>
      </c>
      <c r="I389" s="118" t="s">
        <v>33</v>
      </c>
      <c r="J389" s="118" t="s">
        <v>1224</v>
      </c>
      <c r="K389" s="118">
        <v>99782</v>
      </c>
      <c r="L389" s="118">
        <v>6</v>
      </c>
      <c r="M389" s="118" t="s">
        <v>35</v>
      </c>
      <c r="N389" s="118" t="s">
        <v>35</v>
      </c>
      <c r="O389" s="118">
        <v>4355767</v>
      </c>
      <c r="P389" s="121">
        <v>46032</v>
      </c>
      <c r="Q389" s="125"/>
      <c r="R389" s="171">
        <v>4450</v>
      </c>
      <c r="S389" s="123">
        <v>46023</v>
      </c>
      <c r="T389" s="118"/>
      <c r="U389" s="118"/>
      <c r="V389" s="118"/>
      <c r="W389" s="118"/>
      <c r="X389" s="129"/>
      <c r="Y389" s="121"/>
      <c r="Z389" s="121"/>
      <c r="AA389" s="118" t="s">
        <v>940</v>
      </c>
      <c r="AB389" s="118"/>
      <c r="AC389" s="126">
        <f t="shared" si="5"/>
        <v>4450</v>
      </c>
    </row>
    <row r="390" spans="1:29" ht="45" customHeight="1" x14ac:dyDescent="0.25">
      <c r="B390" s="118">
        <v>387</v>
      </c>
      <c r="C390" s="154" t="s">
        <v>1225</v>
      </c>
      <c r="D390" s="154" t="s">
        <v>1226</v>
      </c>
      <c r="E390" s="154"/>
      <c r="F390" s="195" t="s">
        <v>1227</v>
      </c>
      <c r="G390" s="154">
        <v>5345</v>
      </c>
      <c r="H390" s="154">
        <v>242</v>
      </c>
      <c r="I390" s="154" t="s">
        <v>340</v>
      </c>
      <c r="J390" s="154">
        <v>20884</v>
      </c>
      <c r="K390" s="154">
        <v>99896</v>
      </c>
      <c r="L390" s="197"/>
      <c r="M390" s="154"/>
      <c r="N390" s="154"/>
      <c r="O390" s="154"/>
      <c r="P390" s="163"/>
      <c r="Q390" s="154"/>
      <c r="R390" s="164">
        <v>12280</v>
      </c>
      <c r="S390" s="165">
        <v>46096</v>
      </c>
      <c r="T390" s="154"/>
      <c r="U390" s="154"/>
      <c r="V390" s="154"/>
      <c r="W390" s="154"/>
      <c r="X390" s="143"/>
      <c r="Y390" s="163"/>
      <c r="Z390" s="163"/>
      <c r="AA390" s="154" t="s">
        <v>634</v>
      </c>
      <c r="AB390" s="154"/>
      <c r="AC390" s="196">
        <f t="shared" si="5"/>
        <v>12280</v>
      </c>
    </row>
    <row r="391" spans="1:29" ht="45" customHeight="1" x14ac:dyDescent="0.25">
      <c r="B391" s="118">
        <v>388</v>
      </c>
      <c r="C391" s="118" t="s">
        <v>1225</v>
      </c>
      <c r="D391" s="118" t="s">
        <v>1228</v>
      </c>
      <c r="E391" s="118"/>
      <c r="F391" s="169" t="s">
        <v>1229</v>
      </c>
      <c r="G391" s="118">
        <v>4600</v>
      </c>
      <c r="H391" s="118">
        <v>242</v>
      </c>
      <c r="I391" s="118" t="s">
        <v>340</v>
      </c>
      <c r="J391" s="118">
        <v>241</v>
      </c>
      <c r="K391" s="118">
        <v>99663</v>
      </c>
      <c r="L391" s="118">
        <v>29</v>
      </c>
      <c r="M391" s="118" t="s">
        <v>1230</v>
      </c>
      <c r="N391" s="118"/>
      <c r="O391" s="118">
        <v>4355462</v>
      </c>
      <c r="P391" s="121">
        <v>46031</v>
      </c>
      <c r="Q391" s="118"/>
      <c r="R391" s="149">
        <v>6366.24</v>
      </c>
      <c r="S391" s="123"/>
      <c r="T391" s="118"/>
      <c r="U391" s="118"/>
      <c r="V391" s="118"/>
      <c r="W391" s="118"/>
      <c r="X391" s="129"/>
      <c r="Y391" s="121"/>
      <c r="Z391" s="121"/>
      <c r="AA391" s="118" t="s">
        <v>940</v>
      </c>
      <c r="AB391" s="118"/>
      <c r="AC391" s="126"/>
    </row>
    <row r="392" spans="1:29" ht="45" customHeight="1" x14ac:dyDescent="0.25">
      <c r="B392" s="118">
        <v>389</v>
      </c>
      <c r="C392" s="118" t="s">
        <v>150</v>
      </c>
      <c r="D392" s="118" t="s">
        <v>117</v>
      </c>
      <c r="E392" s="118" t="s">
        <v>1231</v>
      </c>
      <c r="F392" s="190" t="s">
        <v>1232</v>
      </c>
      <c r="G392" s="118">
        <v>2291</v>
      </c>
      <c r="H392" s="118">
        <v>242</v>
      </c>
      <c r="I392" s="118" t="s">
        <v>33</v>
      </c>
      <c r="J392" s="118" t="s">
        <v>1233</v>
      </c>
      <c r="K392" s="118">
        <v>99996</v>
      </c>
      <c r="L392" s="118">
        <v>5</v>
      </c>
      <c r="M392" s="118" t="s">
        <v>1234</v>
      </c>
      <c r="N392" s="118" t="s">
        <v>37</v>
      </c>
      <c r="O392" s="125"/>
      <c r="P392" s="161"/>
      <c r="Q392" s="125"/>
      <c r="R392" s="198">
        <v>4950</v>
      </c>
      <c r="S392" s="123"/>
      <c r="T392" s="118"/>
      <c r="U392" s="118"/>
      <c r="V392" s="118"/>
      <c r="W392" s="118"/>
      <c r="X392" s="199"/>
      <c r="Y392" s="121"/>
      <c r="Z392" s="121"/>
      <c r="AA392" s="118" t="s">
        <v>1235</v>
      </c>
      <c r="AB392" s="118"/>
      <c r="AC392" s="126"/>
    </row>
    <row r="393" spans="1:29" ht="45" customHeight="1" x14ac:dyDescent="0.25">
      <c r="B393" s="118">
        <v>390</v>
      </c>
      <c r="C393" s="118" t="s">
        <v>150</v>
      </c>
      <c r="D393" s="118" t="s">
        <v>117</v>
      </c>
      <c r="E393" s="118" t="s">
        <v>1236</v>
      </c>
      <c r="F393" s="190" t="s">
        <v>1237</v>
      </c>
      <c r="G393" s="118">
        <v>5345</v>
      </c>
      <c r="H393" s="118">
        <v>242</v>
      </c>
      <c r="I393" s="118" t="s">
        <v>33</v>
      </c>
      <c r="J393" s="118" t="s">
        <v>1238</v>
      </c>
      <c r="K393" s="118">
        <v>99997</v>
      </c>
      <c r="L393" s="118">
        <v>5</v>
      </c>
      <c r="M393" s="118" t="s">
        <v>1239</v>
      </c>
      <c r="N393" s="118" t="s">
        <v>37</v>
      </c>
      <c r="O393" s="125"/>
      <c r="P393" s="161"/>
      <c r="Q393" s="125"/>
      <c r="R393" s="198">
        <v>2260</v>
      </c>
      <c r="S393" s="123"/>
      <c r="T393" s="118"/>
      <c r="U393" s="118"/>
      <c r="V393" s="118"/>
      <c r="W393" s="118"/>
      <c r="X393" s="199"/>
      <c r="Y393" s="121"/>
      <c r="Z393" s="121"/>
      <c r="AA393" s="118" t="s">
        <v>1235</v>
      </c>
      <c r="AB393" s="118"/>
      <c r="AC393" s="126"/>
    </row>
    <row r="394" spans="1:29" ht="45" customHeight="1" x14ac:dyDescent="0.25">
      <c r="B394" s="118">
        <v>391</v>
      </c>
      <c r="C394" s="118" t="s">
        <v>150</v>
      </c>
      <c r="D394" s="118" t="s">
        <v>117</v>
      </c>
      <c r="E394" s="118">
        <v>41549</v>
      </c>
      <c r="F394" s="190" t="s">
        <v>1240</v>
      </c>
      <c r="G394" s="118">
        <v>2232</v>
      </c>
      <c r="H394" s="118">
        <v>242</v>
      </c>
      <c r="I394" s="118" t="s">
        <v>33</v>
      </c>
      <c r="J394" s="118" t="s">
        <v>1241</v>
      </c>
      <c r="K394" s="118">
        <v>99998</v>
      </c>
      <c r="L394" s="118">
        <v>5</v>
      </c>
      <c r="M394" s="118" t="s">
        <v>1242</v>
      </c>
      <c r="N394" s="118" t="s">
        <v>37</v>
      </c>
      <c r="O394" s="125"/>
      <c r="P394" s="161"/>
      <c r="Q394" s="125"/>
      <c r="R394" s="198">
        <v>3280</v>
      </c>
      <c r="S394" s="123"/>
      <c r="T394" s="118"/>
      <c r="U394" s="118" t="s">
        <v>1243</v>
      </c>
      <c r="V394" s="118"/>
      <c r="W394" s="118"/>
      <c r="X394" s="199"/>
      <c r="Y394" s="121"/>
      <c r="Z394" s="121"/>
      <c r="AA394" s="118" t="s">
        <v>1235</v>
      </c>
      <c r="AB394" s="118"/>
      <c r="AC394" s="126"/>
    </row>
    <row r="395" spans="1:29" ht="45" customHeight="1" x14ac:dyDescent="0.25">
      <c r="B395" s="118">
        <v>392</v>
      </c>
      <c r="C395" s="118" t="s">
        <v>150</v>
      </c>
      <c r="D395" s="118" t="s">
        <v>117</v>
      </c>
      <c r="E395" s="118">
        <v>43567</v>
      </c>
      <c r="F395" s="190" t="s">
        <v>1244</v>
      </c>
      <c r="G395" s="118">
        <v>4057</v>
      </c>
      <c r="H395" s="118">
        <v>242</v>
      </c>
      <c r="I395" s="118" t="s">
        <v>33</v>
      </c>
      <c r="J395" s="118" t="s">
        <v>1245</v>
      </c>
      <c r="K395" s="118">
        <v>99999</v>
      </c>
      <c r="L395" s="118">
        <v>5</v>
      </c>
      <c r="M395" s="118" t="s">
        <v>1246</v>
      </c>
      <c r="N395" s="118" t="s">
        <v>37</v>
      </c>
      <c r="O395" s="125"/>
      <c r="P395" s="161"/>
      <c r="Q395" s="125"/>
      <c r="R395" s="198">
        <v>1850</v>
      </c>
      <c r="S395" s="123"/>
      <c r="T395" s="118"/>
      <c r="U395" s="118" t="s">
        <v>1247</v>
      </c>
      <c r="V395" s="118"/>
      <c r="W395" s="118"/>
      <c r="X395" s="199"/>
      <c r="Y395" s="121"/>
      <c r="Z395" s="121"/>
      <c r="AA395" s="118" t="s">
        <v>1235</v>
      </c>
      <c r="AB395" s="118"/>
      <c r="AC395" s="126"/>
    </row>
    <row r="396" spans="1:29" ht="45" customHeight="1" x14ac:dyDescent="0.25">
      <c r="B396" s="118">
        <v>393</v>
      </c>
      <c r="C396" s="118" t="s">
        <v>150</v>
      </c>
      <c r="D396" s="118" t="s">
        <v>117</v>
      </c>
      <c r="E396" s="118" t="s">
        <v>35</v>
      </c>
      <c r="F396" s="190" t="s">
        <v>1244</v>
      </c>
      <c r="G396" s="118">
        <v>4057</v>
      </c>
      <c r="H396" s="118">
        <v>242</v>
      </c>
      <c r="I396" s="118" t="s">
        <v>33</v>
      </c>
      <c r="J396" s="118" t="s">
        <v>1248</v>
      </c>
      <c r="K396" s="118">
        <v>100000</v>
      </c>
      <c r="L396" s="118">
        <v>5</v>
      </c>
      <c r="M396" s="118" t="s">
        <v>1249</v>
      </c>
      <c r="N396" s="118" t="s">
        <v>37</v>
      </c>
      <c r="O396" s="125"/>
      <c r="P396" s="161"/>
      <c r="Q396" s="125"/>
      <c r="R396" s="198">
        <v>1850</v>
      </c>
      <c r="S396" s="123"/>
      <c r="T396" s="118"/>
      <c r="U396" s="118" t="s">
        <v>1250</v>
      </c>
      <c r="V396" s="118"/>
      <c r="W396" s="118"/>
      <c r="X396" s="199"/>
      <c r="Y396" s="121"/>
      <c r="Z396" s="121"/>
      <c r="AA396" s="118" t="s">
        <v>1235</v>
      </c>
      <c r="AB396" s="118"/>
      <c r="AC396" s="126"/>
    </row>
    <row r="397" spans="1:29" ht="45" customHeight="1" x14ac:dyDescent="0.25">
      <c r="B397" s="118">
        <v>394</v>
      </c>
      <c r="C397" s="118" t="s">
        <v>150</v>
      </c>
      <c r="D397" s="118" t="s">
        <v>117</v>
      </c>
      <c r="E397" s="118">
        <v>43556</v>
      </c>
      <c r="F397" s="190" t="s">
        <v>1251</v>
      </c>
      <c r="G397" s="118">
        <v>2224</v>
      </c>
      <c r="H397" s="118">
        <v>242</v>
      </c>
      <c r="I397" s="118" t="s">
        <v>33</v>
      </c>
      <c r="J397" s="118" t="s">
        <v>1252</v>
      </c>
      <c r="K397" s="118">
        <v>100001</v>
      </c>
      <c r="L397" s="118">
        <v>6</v>
      </c>
      <c r="M397" s="118" t="s">
        <v>35</v>
      </c>
      <c r="N397" s="118" t="s">
        <v>35</v>
      </c>
      <c r="O397" s="118">
        <v>4357079</v>
      </c>
      <c r="P397" s="121">
        <v>46034</v>
      </c>
      <c r="Q397" s="125"/>
      <c r="R397" s="198">
        <v>2888</v>
      </c>
      <c r="S397" s="123"/>
      <c r="T397" s="118"/>
      <c r="U397" s="118"/>
      <c r="V397" s="118"/>
      <c r="W397" s="118"/>
      <c r="X397" s="199"/>
      <c r="Y397" s="121"/>
      <c r="Z397" s="121"/>
      <c r="AA397" s="118" t="s">
        <v>940</v>
      </c>
      <c r="AB397" s="118"/>
      <c r="AC397" s="126"/>
    </row>
    <row r="398" spans="1:29" ht="45" customHeight="1" x14ac:dyDescent="0.25">
      <c r="B398" s="118">
        <v>395</v>
      </c>
      <c r="C398" s="118" t="s">
        <v>150</v>
      </c>
      <c r="D398" s="118" t="s">
        <v>611</v>
      </c>
      <c r="E398" s="118">
        <v>43184</v>
      </c>
      <c r="F398" s="190" t="s">
        <v>1253</v>
      </c>
      <c r="G398" s="118">
        <v>5525</v>
      </c>
      <c r="H398" s="118">
        <v>242</v>
      </c>
      <c r="I398" s="118" t="s">
        <v>33</v>
      </c>
      <c r="J398" s="118" t="s">
        <v>1254</v>
      </c>
      <c r="K398" s="118">
        <v>100003</v>
      </c>
      <c r="L398" s="118">
        <v>6</v>
      </c>
      <c r="M398" s="118" t="s">
        <v>35</v>
      </c>
      <c r="N398" s="118" t="s">
        <v>35</v>
      </c>
      <c r="O398" s="118">
        <v>4357104</v>
      </c>
      <c r="P398" s="121">
        <v>46034</v>
      </c>
      <c r="Q398" s="125"/>
      <c r="R398" s="198">
        <v>1789.9</v>
      </c>
      <c r="S398" s="123"/>
      <c r="T398" s="118"/>
      <c r="U398" s="118"/>
      <c r="V398" s="118"/>
      <c r="W398" s="118"/>
      <c r="X398" s="199"/>
      <c r="Y398" s="121"/>
      <c r="Z398" s="121"/>
      <c r="AA398" s="118" t="s">
        <v>940</v>
      </c>
      <c r="AB398" s="118"/>
      <c r="AC398" s="126"/>
    </row>
    <row r="399" spans="1:29" ht="45" customHeight="1" x14ac:dyDescent="0.25">
      <c r="B399" s="118">
        <v>396</v>
      </c>
      <c r="C399" s="118"/>
      <c r="D399" s="118"/>
      <c r="E399" s="118"/>
      <c r="F399" s="169"/>
      <c r="G399" s="118"/>
      <c r="H399" s="118"/>
      <c r="I399" s="118"/>
      <c r="J399" s="118"/>
      <c r="K399" s="118"/>
      <c r="L399" s="118"/>
      <c r="M399" s="118"/>
      <c r="N399" s="118"/>
      <c r="O399" s="118"/>
      <c r="P399" s="121"/>
      <c r="Q399" s="118"/>
      <c r="R399" s="198"/>
      <c r="S399" s="123"/>
      <c r="T399" s="118"/>
      <c r="U399" s="118"/>
      <c r="V399" s="118"/>
      <c r="W399" s="118"/>
      <c r="X399" s="199"/>
      <c r="Y399" s="121"/>
      <c r="Z399" s="121"/>
      <c r="AA399" s="118"/>
      <c r="AB399" s="118"/>
      <c r="AC399" s="126"/>
    </row>
    <row r="400" spans="1:29" ht="45" customHeight="1" x14ac:dyDescent="0.25">
      <c r="B400" s="118">
        <v>397</v>
      </c>
      <c r="C400" s="118"/>
      <c r="D400" s="118"/>
      <c r="E400" s="118"/>
      <c r="F400" s="169"/>
      <c r="G400" s="118"/>
      <c r="H400" s="118"/>
      <c r="I400" s="118"/>
      <c r="J400" s="118"/>
      <c r="K400" s="118"/>
      <c r="L400" s="118"/>
      <c r="M400" s="118"/>
      <c r="N400" s="118"/>
      <c r="O400" s="118"/>
      <c r="P400" s="121"/>
      <c r="Q400" s="118"/>
      <c r="R400" s="198"/>
      <c r="S400" s="123"/>
      <c r="T400" s="118"/>
      <c r="U400" s="118"/>
      <c r="V400" s="118"/>
      <c r="W400" s="118"/>
      <c r="X400" s="199"/>
      <c r="Y400" s="121"/>
      <c r="Z400" s="121"/>
      <c r="AA400" s="118"/>
      <c r="AB400" s="118"/>
      <c r="AC400" s="126"/>
    </row>
    <row r="401" spans="2:29" ht="45" customHeight="1" x14ac:dyDescent="0.25">
      <c r="B401" s="118">
        <v>398</v>
      </c>
      <c r="C401" s="118"/>
      <c r="D401" s="118"/>
      <c r="E401" s="118"/>
      <c r="F401" s="169"/>
      <c r="G401" s="118"/>
      <c r="H401" s="118"/>
      <c r="I401" s="118"/>
      <c r="J401" s="118"/>
      <c r="K401" s="118"/>
      <c r="L401" s="118"/>
      <c r="M401" s="118"/>
      <c r="N401" s="118"/>
      <c r="O401" s="118"/>
      <c r="P401" s="121"/>
      <c r="Q401" s="118"/>
      <c r="R401" s="198"/>
      <c r="S401" s="123"/>
      <c r="T401" s="118"/>
      <c r="U401" s="118"/>
      <c r="V401" s="118"/>
      <c r="W401" s="118"/>
      <c r="X401" s="199"/>
      <c r="Y401" s="121"/>
      <c r="Z401" s="121"/>
      <c r="AA401" s="118"/>
      <c r="AB401" s="118"/>
      <c r="AC401" s="126"/>
    </row>
    <row r="402" spans="2:29" ht="45" customHeight="1" x14ac:dyDescent="0.25">
      <c r="B402" s="118">
        <v>399</v>
      </c>
      <c r="C402" s="118"/>
      <c r="D402" s="118"/>
      <c r="E402" s="118"/>
      <c r="F402" s="169"/>
      <c r="G402" s="118"/>
      <c r="H402" s="118"/>
      <c r="I402" s="118"/>
      <c r="J402" s="118"/>
      <c r="K402" s="118"/>
      <c r="L402" s="118"/>
      <c r="M402" s="118"/>
      <c r="N402" s="118"/>
      <c r="O402" s="118"/>
      <c r="P402" s="121"/>
      <c r="Q402" s="118"/>
      <c r="R402" s="198"/>
      <c r="S402" s="123"/>
      <c r="T402" s="118"/>
      <c r="U402" s="118"/>
      <c r="V402" s="118"/>
      <c r="W402" s="118"/>
      <c r="X402" s="199"/>
      <c r="Y402" s="121"/>
      <c r="Z402" s="121"/>
      <c r="AA402" s="118"/>
      <c r="AB402" s="118"/>
      <c r="AC402" s="126"/>
    </row>
    <row r="403" spans="2:29" ht="45" customHeight="1" x14ac:dyDescent="0.25">
      <c r="B403" s="118">
        <v>400</v>
      </c>
      <c r="C403" s="118"/>
      <c r="D403" s="118"/>
      <c r="E403" s="118"/>
      <c r="F403" s="169"/>
      <c r="G403" s="118"/>
      <c r="H403" s="118"/>
      <c r="I403" s="118"/>
      <c r="J403" s="118"/>
      <c r="K403" s="118"/>
      <c r="L403" s="118"/>
      <c r="M403" s="118"/>
      <c r="N403" s="118"/>
      <c r="O403" s="118"/>
      <c r="P403" s="121"/>
      <c r="Q403" s="118"/>
      <c r="R403" s="198"/>
      <c r="S403" s="123"/>
      <c r="T403" s="118"/>
      <c r="U403" s="118"/>
      <c r="V403" s="118"/>
      <c r="W403" s="118"/>
      <c r="X403" s="199"/>
      <c r="Y403" s="121"/>
      <c r="Z403" s="121"/>
      <c r="AA403" s="118"/>
      <c r="AB403" s="118"/>
      <c r="AC403" s="126"/>
    </row>
    <row r="404" spans="2:29" ht="45" customHeight="1" x14ac:dyDescent="0.25">
      <c r="B404" s="118">
        <v>401</v>
      </c>
      <c r="C404" s="118"/>
      <c r="D404" s="118"/>
      <c r="E404" s="118"/>
      <c r="F404" s="169"/>
      <c r="G404" s="118"/>
      <c r="H404" s="118"/>
      <c r="I404" s="118"/>
      <c r="J404" s="118"/>
      <c r="K404" s="118"/>
      <c r="L404" s="118"/>
      <c r="M404" s="118"/>
      <c r="N404" s="118"/>
      <c r="O404" s="118"/>
      <c r="P404" s="121"/>
      <c r="Q404" s="118"/>
      <c r="R404" s="198"/>
      <c r="S404" s="123"/>
      <c r="T404" s="118"/>
      <c r="U404" s="118"/>
      <c r="V404" s="118"/>
      <c r="W404" s="118"/>
      <c r="X404" s="199"/>
      <c r="Y404" s="121"/>
      <c r="Z404" s="121"/>
      <c r="AA404" s="118"/>
      <c r="AB404" s="118"/>
      <c r="AC404" s="126"/>
    </row>
    <row r="405" spans="2:29" ht="45" customHeight="1" x14ac:dyDescent="0.25">
      <c r="B405" s="118">
        <v>402</v>
      </c>
      <c r="C405" s="118"/>
      <c r="D405" s="118"/>
      <c r="E405" s="118"/>
      <c r="F405" s="169"/>
      <c r="G405" s="118"/>
      <c r="H405" s="118"/>
      <c r="I405" s="118"/>
      <c r="J405" s="118"/>
      <c r="K405" s="118"/>
      <c r="L405" s="118"/>
      <c r="M405" s="118"/>
      <c r="N405" s="118"/>
      <c r="O405" s="118"/>
      <c r="P405" s="121"/>
      <c r="Q405" s="118"/>
      <c r="R405" s="198"/>
      <c r="S405" s="123"/>
      <c r="T405" s="118"/>
      <c r="U405" s="118"/>
      <c r="V405" s="118"/>
      <c r="W405" s="118"/>
      <c r="X405" s="199"/>
      <c r="Y405" s="121"/>
      <c r="Z405" s="121"/>
      <c r="AA405" s="118"/>
      <c r="AB405" s="118"/>
      <c r="AC405" s="126"/>
    </row>
    <row r="406" spans="2:29" ht="45" customHeight="1" x14ac:dyDescent="0.25">
      <c r="B406" s="118">
        <v>403</v>
      </c>
      <c r="C406" s="118"/>
      <c r="D406" s="118"/>
      <c r="E406" s="118"/>
      <c r="F406" s="169"/>
      <c r="G406" s="118"/>
      <c r="H406" s="118"/>
      <c r="I406" s="118"/>
      <c r="J406" s="118"/>
      <c r="K406" s="118"/>
      <c r="L406" s="118"/>
      <c r="M406" s="118"/>
      <c r="N406" s="118"/>
      <c r="O406" s="118"/>
      <c r="P406" s="121"/>
      <c r="Q406" s="118"/>
      <c r="R406" s="198"/>
      <c r="S406" s="123"/>
      <c r="T406" s="118"/>
      <c r="U406" s="118"/>
      <c r="V406" s="118"/>
      <c r="W406" s="118"/>
      <c r="X406" s="199"/>
      <c r="Y406" s="121"/>
      <c r="Z406" s="121"/>
      <c r="AA406" s="118"/>
      <c r="AB406" s="118"/>
      <c r="AC406" s="126"/>
    </row>
    <row r="407" spans="2:29" ht="45" customHeight="1" x14ac:dyDescent="0.25">
      <c r="B407" s="118">
        <v>404</v>
      </c>
      <c r="C407" s="118"/>
      <c r="D407" s="118"/>
      <c r="E407" s="118"/>
      <c r="F407" s="169"/>
      <c r="G407" s="118"/>
      <c r="H407" s="118"/>
      <c r="I407" s="118"/>
      <c r="J407" s="118"/>
      <c r="K407" s="118"/>
      <c r="L407" s="118"/>
      <c r="M407" s="118"/>
      <c r="N407" s="118"/>
      <c r="O407" s="118"/>
      <c r="P407" s="121"/>
      <c r="Q407" s="118"/>
      <c r="R407" s="198"/>
      <c r="S407" s="123"/>
      <c r="T407" s="118"/>
      <c r="U407" s="118"/>
      <c r="V407" s="118"/>
      <c r="W407" s="118"/>
      <c r="X407" s="199"/>
      <c r="Y407" s="121"/>
      <c r="Z407" s="121"/>
      <c r="AA407" s="118"/>
      <c r="AB407" s="118"/>
      <c r="AC407" s="126"/>
    </row>
    <row r="408" spans="2:29" ht="45" customHeight="1" x14ac:dyDescent="0.25">
      <c r="B408" s="118">
        <v>405</v>
      </c>
      <c r="C408" s="118"/>
      <c r="D408" s="118"/>
      <c r="E408" s="118"/>
      <c r="F408" s="169"/>
      <c r="G408" s="118"/>
      <c r="H408" s="118"/>
      <c r="I408" s="118"/>
      <c r="J408" s="118"/>
      <c r="K408" s="118"/>
      <c r="L408" s="118"/>
      <c r="M408" s="118"/>
      <c r="N408" s="118"/>
      <c r="O408" s="118"/>
      <c r="P408" s="121"/>
      <c r="Q408" s="118"/>
      <c r="R408" s="198"/>
      <c r="S408" s="123"/>
      <c r="T408" s="118"/>
      <c r="U408" s="118"/>
      <c r="V408" s="118"/>
      <c r="W408" s="118"/>
      <c r="X408" s="199"/>
      <c r="Y408" s="121"/>
      <c r="Z408" s="121"/>
      <c r="AA408" s="118"/>
      <c r="AB408" s="118"/>
      <c r="AC408" s="126"/>
    </row>
    <row r="409" spans="2:29" ht="45" customHeight="1" x14ac:dyDescent="0.25">
      <c r="B409" s="118">
        <v>406</v>
      </c>
      <c r="C409" s="118"/>
      <c r="D409" s="118"/>
      <c r="E409" s="118"/>
      <c r="F409" s="169"/>
      <c r="G409" s="118"/>
      <c r="H409" s="118"/>
      <c r="I409" s="118"/>
      <c r="J409" s="118"/>
      <c r="K409" s="118"/>
      <c r="L409" s="118"/>
      <c r="M409" s="118"/>
      <c r="N409" s="118"/>
      <c r="O409" s="118"/>
      <c r="P409" s="121"/>
      <c r="Q409" s="118"/>
      <c r="R409" s="198"/>
      <c r="S409" s="123"/>
      <c r="T409" s="118"/>
      <c r="U409" s="118"/>
      <c r="V409" s="118"/>
      <c r="W409" s="118"/>
      <c r="X409" s="199"/>
      <c r="Y409" s="121"/>
      <c r="Z409" s="121"/>
      <c r="AA409" s="118"/>
      <c r="AB409" s="118"/>
      <c r="AC409" s="126"/>
    </row>
    <row r="410" spans="2:29" ht="45" customHeight="1" x14ac:dyDescent="0.25">
      <c r="B410" s="118">
        <v>407</v>
      </c>
      <c r="C410" s="118"/>
      <c r="D410" s="118"/>
      <c r="E410" s="118"/>
      <c r="F410" s="169"/>
      <c r="G410" s="118"/>
      <c r="H410" s="118"/>
      <c r="I410" s="118"/>
      <c r="J410" s="118"/>
      <c r="K410" s="118"/>
      <c r="L410" s="118"/>
      <c r="M410" s="118"/>
      <c r="N410" s="118"/>
      <c r="O410" s="118"/>
      <c r="P410" s="121"/>
      <c r="Q410" s="118"/>
      <c r="R410" s="198"/>
      <c r="S410" s="123"/>
      <c r="T410" s="118"/>
      <c r="U410" s="118"/>
      <c r="V410" s="118"/>
      <c r="W410" s="118"/>
      <c r="X410" s="199"/>
      <c r="Y410" s="121"/>
      <c r="Z410" s="121"/>
      <c r="AA410" s="118"/>
      <c r="AB410" s="118"/>
      <c r="AC410" s="126"/>
    </row>
    <row r="411" spans="2:29" ht="45" customHeight="1" x14ac:dyDescent="0.25">
      <c r="B411" s="118">
        <v>408</v>
      </c>
      <c r="C411" s="118"/>
      <c r="D411" s="118"/>
      <c r="E411" s="118"/>
      <c r="F411" s="169"/>
      <c r="G411" s="118"/>
      <c r="H411" s="118"/>
      <c r="I411" s="118"/>
      <c r="J411" s="118"/>
      <c r="K411" s="118"/>
      <c r="L411" s="118"/>
      <c r="M411" s="118"/>
      <c r="N411" s="118"/>
      <c r="O411" s="118"/>
      <c r="P411" s="121"/>
      <c r="Q411" s="118"/>
      <c r="R411" s="198"/>
      <c r="S411" s="123"/>
      <c r="T411" s="118"/>
      <c r="U411" s="118"/>
      <c r="V411" s="118"/>
      <c r="W411" s="118"/>
      <c r="X411" s="199"/>
      <c r="Y411" s="121"/>
      <c r="Z411" s="121"/>
      <c r="AA411" s="118"/>
      <c r="AB411" s="118"/>
      <c r="AC411" s="126"/>
    </row>
    <row r="412" spans="2:29" ht="45" customHeight="1" x14ac:dyDescent="0.25">
      <c r="B412" s="118">
        <v>409</v>
      </c>
      <c r="C412" s="118"/>
      <c r="D412" s="118"/>
      <c r="E412" s="118"/>
      <c r="F412" s="169"/>
      <c r="G412" s="118"/>
      <c r="H412" s="118"/>
      <c r="I412" s="118"/>
      <c r="J412" s="118"/>
      <c r="K412" s="118"/>
      <c r="L412" s="118"/>
      <c r="M412" s="118"/>
      <c r="N412" s="118"/>
      <c r="O412" s="118"/>
      <c r="P412" s="121"/>
      <c r="Q412" s="118"/>
      <c r="R412" s="198"/>
      <c r="S412" s="123"/>
      <c r="T412" s="118"/>
      <c r="U412" s="118"/>
      <c r="V412" s="118"/>
      <c r="W412" s="118"/>
      <c r="X412" s="199"/>
      <c r="Y412" s="121"/>
      <c r="Z412" s="121"/>
      <c r="AA412" s="118"/>
      <c r="AB412" s="118"/>
      <c r="AC412" s="126"/>
    </row>
    <row r="413" spans="2:29" ht="45" customHeight="1" x14ac:dyDescent="0.25">
      <c r="B413" s="118">
        <v>410</v>
      </c>
      <c r="C413" s="118"/>
      <c r="D413" s="118"/>
      <c r="E413" s="118"/>
      <c r="F413" s="169"/>
      <c r="G413" s="118"/>
      <c r="H413" s="118"/>
      <c r="I413" s="118"/>
      <c r="J413" s="118"/>
      <c r="K413" s="118"/>
      <c r="L413" s="118"/>
      <c r="M413" s="118"/>
      <c r="N413" s="118"/>
      <c r="O413" s="118"/>
      <c r="P413" s="121"/>
      <c r="Q413" s="118"/>
      <c r="R413" s="198"/>
      <c r="S413" s="123"/>
      <c r="T413" s="118"/>
      <c r="U413" s="118"/>
      <c r="V413" s="118"/>
      <c r="W413" s="118"/>
      <c r="X413" s="199"/>
      <c r="Y413" s="121"/>
      <c r="Z413" s="121"/>
      <c r="AA413" s="118"/>
      <c r="AB413" s="118"/>
      <c r="AC413" s="126"/>
    </row>
    <row r="414" spans="2:29" ht="45" customHeight="1" x14ac:dyDescent="0.25">
      <c r="B414" s="118">
        <v>411</v>
      </c>
      <c r="C414" s="118"/>
      <c r="D414" s="118"/>
      <c r="E414" s="118"/>
      <c r="F414" s="169"/>
      <c r="G414" s="118"/>
      <c r="H414" s="118"/>
      <c r="I414" s="118"/>
      <c r="J414" s="118"/>
      <c r="K414" s="118"/>
      <c r="L414" s="118"/>
      <c r="M414" s="118"/>
      <c r="N414" s="118"/>
      <c r="O414" s="118"/>
      <c r="P414" s="121"/>
      <c r="Q414" s="118"/>
      <c r="R414" s="198"/>
      <c r="S414" s="123"/>
      <c r="T414" s="118"/>
      <c r="U414" s="118"/>
      <c r="V414" s="118"/>
      <c r="W414" s="118"/>
      <c r="X414" s="199"/>
      <c r="Y414" s="121"/>
      <c r="Z414" s="121"/>
      <c r="AA414" s="118"/>
      <c r="AB414" s="118"/>
      <c r="AC414" s="126"/>
    </row>
    <row r="415" spans="2:29" ht="45" customHeight="1" x14ac:dyDescent="0.25">
      <c r="B415" s="118">
        <v>412</v>
      </c>
      <c r="C415" s="118"/>
      <c r="D415" s="118"/>
      <c r="E415" s="118"/>
      <c r="F415" s="169"/>
      <c r="G415" s="118"/>
      <c r="H415" s="118"/>
      <c r="I415" s="118"/>
      <c r="J415" s="118"/>
      <c r="K415" s="118"/>
      <c r="L415" s="118"/>
      <c r="M415" s="118"/>
      <c r="N415" s="118"/>
      <c r="O415" s="118"/>
      <c r="P415" s="121"/>
      <c r="Q415" s="118"/>
      <c r="R415" s="198"/>
      <c r="S415" s="123"/>
      <c r="T415" s="118"/>
      <c r="U415" s="118"/>
      <c r="V415" s="118"/>
      <c r="W415" s="118"/>
      <c r="X415" s="199"/>
      <c r="Y415" s="121"/>
      <c r="Z415" s="121"/>
      <c r="AA415" s="118"/>
      <c r="AB415" s="118"/>
      <c r="AC415" s="126"/>
    </row>
    <row r="416" spans="2:29" ht="45" customHeight="1" x14ac:dyDescent="0.25">
      <c r="B416" s="118">
        <v>413</v>
      </c>
      <c r="C416" s="118"/>
      <c r="D416" s="118"/>
      <c r="E416" s="118"/>
      <c r="F416" s="169"/>
      <c r="G416" s="118"/>
      <c r="H416" s="118"/>
      <c r="I416" s="118"/>
      <c r="J416" s="118"/>
      <c r="K416" s="118"/>
      <c r="L416" s="118"/>
      <c r="M416" s="118"/>
      <c r="N416" s="118"/>
      <c r="O416" s="118"/>
      <c r="P416" s="121"/>
      <c r="Q416" s="118"/>
      <c r="R416" s="198"/>
      <c r="S416" s="123"/>
      <c r="T416" s="118"/>
      <c r="U416" s="118"/>
      <c r="V416" s="118"/>
      <c r="W416" s="118"/>
      <c r="X416" s="199"/>
      <c r="Y416" s="121"/>
      <c r="Z416" s="121"/>
      <c r="AA416" s="118"/>
      <c r="AB416" s="118"/>
      <c r="AC416" s="126"/>
    </row>
    <row r="417" spans="2:29" ht="45" customHeight="1" x14ac:dyDescent="0.25">
      <c r="B417" s="118">
        <v>414</v>
      </c>
      <c r="C417" s="118"/>
      <c r="D417" s="118"/>
      <c r="E417" s="118"/>
      <c r="F417" s="169"/>
      <c r="G417" s="118"/>
      <c r="H417" s="118"/>
      <c r="I417" s="118"/>
      <c r="J417" s="118"/>
      <c r="K417" s="118"/>
      <c r="L417" s="118"/>
      <c r="M417" s="118"/>
      <c r="N417" s="118"/>
      <c r="O417" s="118"/>
      <c r="P417" s="121"/>
      <c r="Q417" s="118"/>
      <c r="R417" s="198"/>
      <c r="S417" s="123"/>
      <c r="T417" s="118"/>
      <c r="U417" s="118"/>
      <c r="V417" s="118"/>
      <c r="W417" s="118"/>
      <c r="X417" s="199"/>
      <c r="Y417" s="121"/>
      <c r="Z417" s="121"/>
      <c r="AA417" s="118"/>
      <c r="AB417" s="118"/>
      <c r="AC417" s="126"/>
    </row>
    <row r="418" spans="2:29" ht="45" customHeight="1" x14ac:dyDescent="0.25">
      <c r="B418" s="118">
        <v>415</v>
      </c>
      <c r="C418" s="118"/>
      <c r="D418" s="118"/>
      <c r="E418" s="118"/>
      <c r="F418" s="169"/>
      <c r="G418" s="118"/>
      <c r="H418" s="118"/>
      <c r="I418" s="118"/>
      <c r="J418" s="118"/>
      <c r="K418" s="118"/>
      <c r="L418" s="118"/>
      <c r="M418" s="118"/>
      <c r="N418" s="118"/>
      <c r="O418" s="118"/>
      <c r="P418" s="121"/>
      <c r="Q418" s="118"/>
      <c r="R418" s="198"/>
      <c r="S418" s="123"/>
      <c r="T418" s="118"/>
      <c r="U418" s="118"/>
      <c r="V418" s="118"/>
      <c r="W418" s="118"/>
      <c r="X418" s="199"/>
      <c r="Y418" s="121"/>
      <c r="Z418" s="121"/>
      <c r="AA418" s="118"/>
      <c r="AB418" s="118"/>
      <c r="AC418" s="126"/>
    </row>
    <row r="419" spans="2:29" ht="45" customHeight="1" x14ac:dyDescent="0.25">
      <c r="B419" s="118">
        <v>416</v>
      </c>
      <c r="C419" s="118"/>
      <c r="D419" s="118"/>
      <c r="E419" s="118"/>
      <c r="F419" s="169"/>
      <c r="G419" s="118"/>
      <c r="H419" s="118"/>
      <c r="I419" s="118"/>
      <c r="J419" s="118"/>
      <c r="K419" s="118"/>
      <c r="L419" s="118"/>
      <c r="M419" s="118"/>
      <c r="N419" s="118"/>
      <c r="O419" s="118"/>
      <c r="P419" s="121"/>
      <c r="Q419" s="118"/>
      <c r="R419" s="198"/>
      <c r="S419" s="123"/>
      <c r="T419" s="118"/>
      <c r="U419" s="118"/>
      <c r="V419" s="118"/>
      <c r="W419" s="118"/>
      <c r="X419" s="199"/>
      <c r="Y419" s="121"/>
      <c r="Z419" s="121"/>
      <c r="AA419" s="118"/>
      <c r="AB419" s="118"/>
      <c r="AC419" s="126"/>
    </row>
    <row r="420" spans="2:29" ht="45" customHeight="1" x14ac:dyDescent="0.25">
      <c r="B420" s="118">
        <v>417</v>
      </c>
      <c r="C420" s="118"/>
      <c r="D420" s="118"/>
      <c r="E420" s="118"/>
      <c r="F420" s="169"/>
      <c r="G420" s="118"/>
      <c r="H420" s="118"/>
      <c r="I420" s="118"/>
      <c r="J420" s="118"/>
      <c r="K420" s="118"/>
      <c r="L420" s="118"/>
      <c r="M420" s="118"/>
      <c r="N420" s="118"/>
      <c r="O420" s="118"/>
      <c r="P420" s="121"/>
      <c r="Q420" s="118"/>
      <c r="R420" s="198"/>
      <c r="S420" s="123"/>
      <c r="T420" s="118"/>
      <c r="U420" s="118"/>
      <c r="V420" s="118"/>
      <c r="W420" s="118"/>
      <c r="X420" s="199"/>
      <c r="Y420" s="121"/>
      <c r="Z420" s="121"/>
      <c r="AA420" s="118"/>
      <c r="AB420" s="118"/>
      <c r="AC420" s="126"/>
    </row>
    <row r="421" spans="2:29" ht="45" customHeight="1" x14ac:dyDescent="0.25">
      <c r="B421" s="118">
        <v>418</v>
      </c>
      <c r="C421" s="118"/>
      <c r="D421" s="118"/>
      <c r="E421" s="118"/>
      <c r="F421" s="169"/>
      <c r="G421" s="118"/>
      <c r="H421" s="118"/>
      <c r="I421" s="118"/>
      <c r="J421" s="118"/>
      <c r="K421" s="118"/>
      <c r="L421" s="118"/>
      <c r="M421" s="118"/>
      <c r="N421" s="118"/>
      <c r="O421" s="118"/>
      <c r="P421" s="121"/>
      <c r="Q421" s="118"/>
      <c r="R421" s="198"/>
      <c r="S421" s="123"/>
      <c r="T421" s="118"/>
      <c r="U421" s="118"/>
      <c r="V421" s="118"/>
      <c r="W421" s="118"/>
      <c r="X421" s="199"/>
      <c r="Y421" s="121"/>
      <c r="Z421" s="121"/>
      <c r="AA421" s="118"/>
      <c r="AB421" s="118"/>
      <c r="AC421" s="126"/>
    </row>
    <row r="422" spans="2:29" ht="45" customHeight="1" x14ac:dyDescent="0.25">
      <c r="B422" s="118">
        <v>419</v>
      </c>
      <c r="C422" s="118"/>
      <c r="D422" s="118"/>
      <c r="E422" s="118"/>
      <c r="F422" s="169"/>
      <c r="G422" s="118"/>
      <c r="H422" s="118"/>
      <c r="I422" s="118"/>
      <c r="J422" s="118"/>
      <c r="K422" s="118"/>
      <c r="L422" s="118"/>
      <c r="M422" s="118"/>
      <c r="N422" s="118"/>
      <c r="O422" s="118"/>
      <c r="P422" s="121"/>
      <c r="Q422" s="118"/>
      <c r="R422" s="198"/>
      <c r="S422" s="123"/>
      <c r="T422" s="118"/>
      <c r="U422" s="118"/>
      <c r="V422" s="118"/>
      <c r="W422" s="118"/>
      <c r="X422" s="199"/>
      <c r="Y422" s="121"/>
      <c r="Z422" s="121"/>
      <c r="AA422" s="118"/>
      <c r="AB422" s="118"/>
      <c r="AC422" s="126"/>
    </row>
    <row r="423" spans="2:29" ht="45" customHeight="1" x14ac:dyDescent="0.25">
      <c r="B423" s="118">
        <v>420</v>
      </c>
      <c r="C423" s="118"/>
      <c r="D423" s="118"/>
      <c r="E423" s="118"/>
      <c r="F423" s="169"/>
      <c r="G423" s="118"/>
      <c r="H423" s="118"/>
      <c r="I423" s="118"/>
      <c r="J423" s="118"/>
      <c r="K423" s="118"/>
      <c r="L423" s="118"/>
      <c r="M423" s="118"/>
      <c r="N423" s="118"/>
      <c r="O423" s="118"/>
      <c r="P423" s="121"/>
      <c r="Q423" s="118"/>
      <c r="R423" s="198"/>
      <c r="S423" s="123"/>
      <c r="T423" s="118"/>
      <c r="U423" s="118"/>
      <c r="V423" s="118"/>
      <c r="W423" s="118"/>
      <c r="X423" s="199"/>
      <c r="Y423" s="121"/>
      <c r="Z423" s="121"/>
      <c r="AA423" s="118"/>
      <c r="AB423" s="118"/>
      <c r="AC423" s="126"/>
    </row>
    <row r="424" spans="2:29" ht="45" customHeight="1" x14ac:dyDescent="0.25">
      <c r="B424" s="118">
        <v>421</v>
      </c>
      <c r="C424" s="118"/>
      <c r="D424" s="118"/>
      <c r="E424" s="118"/>
      <c r="F424" s="169"/>
      <c r="G424" s="118"/>
      <c r="H424" s="118"/>
      <c r="I424" s="118"/>
      <c r="J424" s="118"/>
      <c r="K424" s="118"/>
      <c r="L424" s="118"/>
      <c r="M424" s="118"/>
      <c r="N424" s="118"/>
      <c r="O424" s="118"/>
      <c r="P424" s="121"/>
      <c r="Q424" s="118"/>
      <c r="R424" s="198"/>
      <c r="S424" s="123"/>
      <c r="T424" s="118"/>
      <c r="U424" s="118"/>
      <c r="V424" s="118"/>
      <c r="W424" s="118"/>
      <c r="X424" s="199"/>
      <c r="Y424" s="121"/>
      <c r="Z424" s="121"/>
      <c r="AA424" s="118"/>
      <c r="AB424" s="118"/>
      <c r="AC424" s="126"/>
    </row>
    <row r="425" spans="2:29" ht="45" customHeight="1" x14ac:dyDescent="0.25">
      <c r="B425" s="118">
        <v>422</v>
      </c>
      <c r="C425" s="118"/>
      <c r="D425" s="118"/>
      <c r="E425" s="118"/>
      <c r="F425" s="169"/>
      <c r="G425" s="118"/>
      <c r="H425" s="118"/>
      <c r="I425" s="118"/>
      <c r="J425" s="118"/>
      <c r="K425" s="118"/>
      <c r="L425" s="118"/>
      <c r="M425" s="118"/>
      <c r="N425" s="118"/>
      <c r="O425" s="118"/>
      <c r="P425" s="121"/>
      <c r="Q425" s="118"/>
      <c r="R425" s="198"/>
      <c r="S425" s="123"/>
      <c r="T425" s="118"/>
      <c r="U425" s="118"/>
      <c r="V425" s="118"/>
      <c r="W425" s="118"/>
      <c r="X425" s="199"/>
      <c r="Y425" s="121"/>
      <c r="Z425" s="121"/>
      <c r="AA425" s="118"/>
      <c r="AB425" s="118"/>
      <c r="AC425" s="126"/>
    </row>
    <row r="426" spans="2:29" ht="45" customHeight="1" x14ac:dyDescent="0.25">
      <c r="B426" s="118">
        <v>423</v>
      </c>
      <c r="C426" s="118"/>
      <c r="D426" s="118"/>
      <c r="E426" s="118"/>
      <c r="F426" s="169"/>
      <c r="G426" s="118"/>
      <c r="H426" s="118"/>
      <c r="I426" s="118"/>
      <c r="J426" s="118"/>
      <c r="K426" s="118"/>
      <c r="L426" s="118"/>
      <c r="M426" s="118"/>
      <c r="N426" s="118"/>
      <c r="O426" s="118"/>
      <c r="P426" s="121"/>
      <c r="Q426" s="118"/>
      <c r="R426" s="198"/>
      <c r="S426" s="123"/>
      <c r="T426" s="118"/>
      <c r="U426" s="118"/>
      <c r="V426" s="118"/>
      <c r="W426" s="118"/>
      <c r="X426" s="199"/>
      <c r="Y426" s="121"/>
      <c r="Z426" s="121"/>
      <c r="AA426" s="118"/>
      <c r="AB426" s="118"/>
      <c r="AC426" s="126"/>
    </row>
    <row r="427" spans="2:29" ht="45" customHeight="1" x14ac:dyDescent="0.25">
      <c r="B427" s="118">
        <v>424</v>
      </c>
      <c r="C427" s="118"/>
      <c r="D427" s="118"/>
      <c r="E427" s="118"/>
      <c r="F427" s="169"/>
      <c r="G427" s="118"/>
      <c r="H427" s="118"/>
      <c r="I427" s="118"/>
      <c r="J427" s="118"/>
      <c r="K427" s="118"/>
      <c r="L427" s="118"/>
      <c r="M427" s="118"/>
      <c r="N427" s="118"/>
      <c r="O427" s="118"/>
      <c r="P427" s="121"/>
      <c r="Q427" s="118"/>
      <c r="R427" s="198"/>
      <c r="S427" s="123"/>
      <c r="T427" s="118"/>
      <c r="U427" s="118"/>
      <c r="V427" s="118"/>
      <c r="W427" s="118"/>
      <c r="X427" s="199"/>
      <c r="Y427" s="121"/>
      <c r="Z427" s="121"/>
      <c r="AA427" s="118"/>
      <c r="AB427" s="118"/>
      <c r="AC427" s="126"/>
    </row>
    <row r="428" spans="2:29" ht="45" customHeight="1" x14ac:dyDescent="0.25">
      <c r="B428" s="118">
        <v>425</v>
      </c>
      <c r="C428" s="118"/>
      <c r="D428" s="118"/>
      <c r="E428" s="118"/>
      <c r="F428" s="169"/>
      <c r="G428" s="118"/>
      <c r="H428" s="118"/>
      <c r="I428" s="118"/>
      <c r="J428" s="118"/>
      <c r="K428" s="118"/>
      <c r="L428" s="118"/>
      <c r="M428" s="118"/>
      <c r="N428" s="118"/>
      <c r="O428" s="118"/>
      <c r="P428" s="121"/>
      <c r="Q428" s="118"/>
      <c r="R428" s="198"/>
      <c r="S428" s="123"/>
      <c r="T428" s="118"/>
      <c r="U428" s="118"/>
      <c r="V428" s="118"/>
      <c r="W428" s="118"/>
      <c r="X428" s="199"/>
      <c r="Y428" s="121"/>
      <c r="Z428" s="121"/>
      <c r="AA428" s="118"/>
      <c r="AB428" s="118"/>
      <c r="AC428" s="126"/>
    </row>
    <row r="429" spans="2:29" ht="45" customHeight="1" x14ac:dyDescent="0.25">
      <c r="B429" s="118">
        <v>426</v>
      </c>
      <c r="C429" s="118"/>
      <c r="D429" s="118"/>
      <c r="E429" s="118"/>
      <c r="F429" s="169"/>
      <c r="G429" s="118"/>
      <c r="H429" s="118"/>
      <c r="I429" s="118"/>
      <c r="J429" s="118"/>
      <c r="K429" s="118"/>
      <c r="L429" s="118"/>
      <c r="M429" s="118"/>
      <c r="N429" s="118"/>
      <c r="O429" s="118"/>
      <c r="P429" s="121"/>
      <c r="Q429" s="118"/>
      <c r="R429" s="198"/>
      <c r="S429" s="123"/>
      <c r="T429" s="118"/>
      <c r="U429" s="118"/>
      <c r="V429" s="118"/>
      <c r="W429" s="118"/>
      <c r="X429" s="199"/>
      <c r="Y429" s="121"/>
      <c r="Z429" s="121"/>
      <c r="AA429" s="118"/>
      <c r="AB429" s="118"/>
      <c r="AC429" s="126"/>
    </row>
    <row r="430" spans="2:29" ht="45" customHeight="1" x14ac:dyDescent="0.25">
      <c r="B430" s="118">
        <v>427</v>
      </c>
      <c r="C430" s="118"/>
      <c r="D430" s="118"/>
      <c r="E430" s="118"/>
      <c r="F430" s="169"/>
      <c r="G430" s="118"/>
      <c r="H430" s="118"/>
      <c r="I430" s="118"/>
      <c r="J430" s="118"/>
      <c r="K430" s="118"/>
      <c r="L430" s="118"/>
      <c r="M430" s="118"/>
      <c r="N430" s="118"/>
      <c r="O430" s="118"/>
      <c r="P430" s="121"/>
      <c r="Q430" s="118"/>
      <c r="R430" s="198"/>
      <c r="S430" s="123"/>
      <c r="T430" s="118"/>
      <c r="U430" s="118"/>
      <c r="V430" s="118"/>
      <c r="W430" s="118"/>
      <c r="X430" s="199"/>
      <c r="Y430" s="121"/>
      <c r="Z430" s="121"/>
      <c r="AA430" s="118"/>
      <c r="AB430" s="118"/>
      <c r="AC430" s="126"/>
    </row>
    <row r="431" spans="2:29" ht="45" customHeight="1" x14ac:dyDescent="0.25">
      <c r="B431" s="118">
        <v>428</v>
      </c>
      <c r="C431" s="118"/>
      <c r="D431" s="118"/>
      <c r="E431" s="118"/>
      <c r="F431" s="169"/>
      <c r="G431" s="118"/>
      <c r="H431" s="118"/>
      <c r="I431" s="118"/>
      <c r="J431" s="118"/>
      <c r="K431" s="118"/>
      <c r="L431" s="118"/>
      <c r="M431" s="118"/>
      <c r="N431" s="118"/>
      <c r="O431" s="118"/>
      <c r="P431" s="121"/>
      <c r="Q431" s="118"/>
      <c r="R431" s="198"/>
      <c r="S431" s="123"/>
      <c r="T431" s="118"/>
      <c r="U431" s="118"/>
      <c r="V431" s="118"/>
      <c r="W431" s="118"/>
      <c r="X431" s="199"/>
      <c r="Y431" s="121"/>
      <c r="Z431" s="121"/>
      <c r="AA431" s="118"/>
      <c r="AB431" s="118"/>
      <c r="AC431" s="126"/>
    </row>
    <row r="432" spans="2:29" ht="45" customHeight="1" x14ac:dyDescent="0.25">
      <c r="B432" s="118">
        <v>429</v>
      </c>
      <c r="C432" s="118"/>
      <c r="D432" s="118"/>
      <c r="E432" s="118"/>
      <c r="F432" s="169"/>
      <c r="G432" s="118"/>
      <c r="H432" s="118"/>
      <c r="I432" s="118"/>
      <c r="J432" s="118"/>
      <c r="K432" s="118"/>
      <c r="L432" s="118"/>
      <c r="M432" s="118"/>
      <c r="N432" s="118"/>
      <c r="O432" s="118"/>
      <c r="P432" s="121"/>
      <c r="Q432" s="118"/>
      <c r="R432" s="198"/>
      <c r="S432" s="123"/>
      <c r="T432" s="118"/>
      <c r="U432" s="118"/>
      <c r="V432" s="118"/>
      <c r="W432" s="118"/>
      <c r="X432" s="199"/>
      <c r="Y432" s="121"/>
      <c r="Z432" s="121"/>
      <c r="AA432" s="118"/>
      <c r="AB432" s="118"/>
      <c r="AC432" s="126"/>
    </row>
    <row r="433" spans="2:29" ht="45" customHeight="1" x14ac:dyDescent="0.25">
      <c r="B433" s="118">
        <v>430</v>
      </c>
      <c r="C433" s="118"/>
      <c r="D433" s="118"/>
      <c r="E433" s="118"/>
      <c r="F433" s="169"/>
      <c r="G433" s="118"/>
      <c r="H433" s="118"/>
      <c r="I433" s="118"/>
      <c r="J433" s="118"/>
      <c r="K433" s="118"/>
      <c r="L433" s="118"/>
      <c r="M433" s="118"/>
      <c r="N433" s="118"/>
      <c r="O433" s="118"/>
      <c r="P433" s="121"/>
      <c r="Q433" s="118"/>
      <c r="R433" s="198"/>
      <c r="S433" s="123"/>
      <c r="T433" s="118"/>
      <c r="U433" s="118"/>
      <c r="V433" s="118"/>
      <c r="W433" s="118"/>
      <c r="X433" s="199"/>
      <c r="Y433" s="121"/>
      <c r="Z433" s="121"/>
      <c r="AA433" s="118"/>
      <c r="AB433" s="118"/>
      <c r="AC433" s="126"/>
    </row>
    <row r="434" spans="2:29" ht="45" customHeight="1" x14ac:dyDescent="0.25">
      <c r="B434" s="118">
        <v>431</v>
      </c>
      <c r="C434" s="118"/>
      <c r="D434" s="118"/>
      <c r="E434" s="118"/>
      <c r="F434" s="169"/>
      <c r="G434" s="118"/>
      <c r="H434" s="118"/>
      <c r="I434" s="118"/>
      <c r="J434" s="118"/>
      <c r="K434" s="118"/>
      <c r="L434" s="118"/>
      <c r="M434" s="118"/>
      <c r="N434" s="118"/>
      <c r="O434" s="118"/>
      <c r="P434" s="121"/>
      <c r="Q434" s="118"/>
      <c r="R434" s="198"/>
      <c r="S434" s="123"/>
      <c r="T434" s="118"/>
      <c r="U434" s="118"/>
      <c r="V434" s="118"/>
      <c r="W434" s="118"/>
      <c r="X434" s="199"/>
      <c r="Y434" s="121"/>
      <c r="Z434" s="121"/>
      <c r="AA434" s="118"/>
      <c r="AB434" s="118"/>
      <c r="AC434" s="126"/>
    </row>
    <row r="435" spans="2:29" ht="45" customHeight="1" x14ac:dyDescent="0.25">
      <c r="B435" s="118">
        <v>432</v>
      </c>
      <c r="C435" s="118"/>
      <c r="D435" s="118"/>
      <c r="E435" s="118"/>
      <c r="F435" s="169"/>
      <c r="G435" s="118"/>
      <c r="H435" s="118"/>
      <c r="I435" s="118"/>
      <c r="J435" s="118"/>
      <c r="K435" s="118"/>
      <c r="L435" s="118"/>
      <c r="M435" s="118"/>
      <c r="N435" s="118"/>
      <c r="O435" s="118"/>
      <c r="P435" s="121"/>
      <c r="Q435" s="118"/>
      <c r="R435" s="198"/>
      <c r="S435" s="123"/>
      <c r="T435" s="118"/>
      <c r="U435" s="118"/>
      <c r="V435" s="118"/>
      <c r="W435" s="118"/>
      <c r="X435" s="199"/>
      <c r="Y435" s="121"/>
      <c r="Z435" s="121"/>
      <c r="AA435" s="118"/>
      <c r="AB435" s="118"/>
      <c r="AC435" s="126"/>
    </row>
    <row r="436" spans="2:29" ht="45" customHeight="1" x14ac:dyDescent="0.25">
      <c r="B436" s="118">
        <v>433</v>
      </c>
      <c r="C436" s="118"/>
      <c r="D436" s="118"/>
      <c r="E436" s="118"/>
      <c r="F436" s="169"/>
      <c r="G436" s="118"/>
      <c r="H436" s="118"/>
      <c r="I436" s="118"/>
      <c r="J436" s="118"/>
      <c r="K436" s="118"/>
      <c r="L436" s="118"/>
      <c r="M436" s="118"/>
      <c r="N436" s="118"/>
      <c r="O436" s="118"/>
      <c r="P436" s="121"/>
      <c r="Q436" s="118"/>
      <c r="R436" s="198"/>
      <c r="S436" s="123"/>
      <c r="T436" s="118"/>
      <c r="U436" s="118"/>
      <c r="V436" s="118"/>
      <c r="W436" s="118"/>
      <c r="X436" s="199"/>
      <c r="Y436" s="121"/>
      <c r="Z436" s="121"/>
      <c r="AA436" s="118"/>
      <c r="AB436" s="118"/>
      <c r="AC436" s="126"/>
    </row>
    <row r="437" spans="2:29" ht="45" customHeight="1" x14ac:dyDescent="0.25">
      <c r="B437" s="118">
        <v>434</v>
      </c>
      <c r="C437" s="118"/>
      <c r="D437" s="118"/>
      <c r="E437" s="118"/>
      <c r="F437" s="169"/>
      <c r="G437" s="118"/>
      <c r="H437" s="118"/>
      <c r="I437" s="118"/>
      <c r="J437" s="118"/>
      <c r="K437" s="118"/>
      <c r="L437" s="118"/>
      <c r="M437" s="118"/>
      <c r="N437" s="118"/>
      <c r="O437" s="118"/>
      <c r="P437" s="121"/>
      <c r="Q437" s="118"/>
      <c r="R437" s="198"/>
      <c r="S437" s="123"/>
      <c r="T437" s="118"/>
      <c r="U437" s="118"/>
      <c r="V437" s="118"/>
      <c r="W437" s="118"/>
      <c r="X437" s="199"/>
      <c r="Y437" s="121"/>
      <c r="Z437" s="121"/>
      <c r="AA437" s="118"/>
      <c r="AB437" s="118"/>
      <c r="AC437" s="126"/>
    </row>
    <row r="438" spans="2:29" ht="45" customHeight="1" x14ac:dyDescent="0.25">
      <c r="B438" s="118">
        <v>435</v>
      </c>
      <c r="C438" s="118"/>
      <c r="D438" s="118"/>
      <c r="E438" s="118"/>
      <c r="F438" s="169"/>
      <c r="G438" s="118"/>
      <c r="H438" s="118"/>
      <c r="I438" s="118"/>
      <c r="J438" s="118"/>
      <c r="K438" s="118"/>
      <c r="L438" s="118"/>
      <c r="M438" s="118"/>
      <c r="N438" s="118"/>
      <c r="O438" s="118"/>
      <c r="P438" s="121"/>
      <c r="Q438" s="118"/>
      <c r="R438" s="198"/>
      <c r="S438" s="123"/>
      <c r="T438" s="118"/>
      <c r="U438" s="118"/>
      <c r="V438" s="118"/>
      <c r="W438" s="118"/>
      <c r="X438" s="199"/>
      <c r="Y438" s="121"/>
      <c r="Z438" s="121"/>
      <c r="AA438" s="118"/>
      <c r="AB438" s="118"/>
      <c r="AC438" s="126"/>
    </row>
    <row r="439" spans="2:29" ht="45" customHeight="1" x14ac:dyDescent="0.25">
      <c r="B439" s="118">
        <v>436</v>
      </c>
      <c r="C439" s="118"/>
      <c r="D439" s="118"/>
      <c r="E439" s="118"/>
      <c r="F439" s="169"/>
      <c r="G439" s="118"/>
      <c r="H439" s="118"/>
      <c r="I439" s="118"/>
      <c r="J439" s="118"/>
      <c r="K439" s="118"/>
      <c r="L439" s="118"/>
      <c r="M439" s="118"/>
      <c r="N439" s="118"/>
      <c r="O439" s="118"/>
      <c r="P439" s="121"/>
      <c r="Q439" s="118"/>
      <c r="R439" s="198"/>
      <c r="S439" s="123"/>
      <c r="T439" s="118"/>
      <c r="U439" s="118"/>
      <c r="V439" s="118"/>
      <c r="W439" s="118"/>
      <c r="X439" s="199"/>
      <c r="Y439" s="121"/>
      <c r="Z439" s="121"/>
      <c r="AA439" s="118"/>
      <c r="AB439" s="118"/>
      <c r="AC439" s="126"/>
    </row>
    <row r="440" spans="2:29" ht="45" customHeight="1" x14ac:dyDescent="0.25">
      <c r="B440" s="118">
        <v>437</v>
      </c>
      <c r="C440" s="118"/>
      <c r="D440" s="118"/>
      <c r="E440" s="118"/>
      <c r="F440" s="169"/>
      <c r="G440" s="118"/>
      <c r="H440" s="118"/>
      <c r="I440" s="118"/>
      <c r="J440" s="118"/>
      <c r="K440" s="118"/>
      <c r="L440" s="118"/>
      <c r="M440" s="118"/>
      <c r="N440" s="118"/>
      <c r="O440" s="118"/>
      <c r="P440" s="121"/>
      <c r="Q440" s="118"/>
      <c r="R440" s="198"/>
      <c r="S440" s="123"/>
      <c r="T440" s="118"/>
      <c r="U440" s="118"/>
      <c r="V440" s="118"/>
      <c r="W440" s="118"/>
      <c r="X440" s="199"/>
      <c r="Y440" s="121"/>
      <c r="Z440" s="121"/>
      <c r="AA440" s="118"/>
      <c r="AB440" s="118"/>
      <c r="AC440" s="126"/>
    </row>
    <row r="441" spans="2:29" ht="45" customHeight="1" x14ac:dyDescent="0.25">
      <c r="B441" s="118">
        <v>438</v>
      </c>
      <c r="C441" s="118"/>
      <c r="D441" s="118"/>
      <c r="E441" s="118"/>
      <c r="F441" s="169"/>
      <c r="G441" s="118"/>
      <c r="H441" s="118"/>
      <c r="I441" s="118"/>
      <c r="J441" s="118"/>
      <c r="K441" s="118"/>
      <c r="L441" s="118"/>
      <c r="M441" s="118"/>
      <c r="N441" s="118"/>
      <c r="O441" s="118"/>
      <c r="P441" s="121"/>
      <c r="Q441" s="118"/>
      <c r="R441" s="198"/>
      <c r="S441" s="123"/>
      <c r="T441" s="118"/>
      <c r="U441" s="118"/>
      <c r="V441" s="118"/>
      <c r="W441" s="118"/>
      <c r="X441" s="199"/>
      <c r="Y441" s="121"/>
      <c r="Z441" s="121"/>
      <c r="AA441" s="118"/>
      <c r="AB441" s="118"/>
      <c r="AC441" s="126"/>
    </row>
    <row r="442" spans="2:29" ht="45" customHeight="1" x14ac:dyDescent="0.25">
      <c r="B442" s="118">
        <v>439</v>
      </c>
      <c r="C442" s="118"/>
      <c r="D442" s="118"/>
      <c r="E442" s="118"/>
      <c r="F442" s="169"/>
      <c r="G442" s="118"/>
      <c r="H442" s="118"/>
      <c r="I442" s="118"/>
      <c r="J442" s="118"/>
      <c r="K442" s="118"/>
      <c r="L442" s="118"/>
      <c r="M442" s="118"/>
      <c r="N442" s="118"/>
      <c r="O442" s="118"/>
      <c r="P442" s="121"/>
      <c r="Q442" s="118"/>
      <c r="R442" s="198"/>
      <c r="S442" s="123"/>
      <c r="T442" s="118"/>
      <c r="U442" s="118"/>
      <c r="V442" s="118"/>
      <c r="W442" s="118"/>
      <c r="X442" s="199"/>
      <c r="Y442" s="121"/>
      <c r="Z442" s="121"/>
      <c r="AA442" s="118"/>
      <c r="AB442" s="118"/>
      <c r="AC442" s="126"/>
    </row>
    <row r="443" spans="2:29" ht="45" customHeight="1" x14ac:dyDescent="0.25">
      <c r="B443" s="118">
        <v>440</v>
      </c>
      <c r="C443" s="118"/>
      <c r="D443" s="118"/>
      <c r="E443" s="118"/>
      <c r="F443" s="169"/>
      <c r="G443" s="118"/>
      <c r="H443" s="118"/>
      <c r="I443" s="118"/>
      <c r="J443" s="118"/>
      <c r="K443" s="118"/>
      <c r="L443" s="118"/>
      <c r="M443" s="118"/>
      <c r="N443" s="118"/>
      <c r="O443" s="118"/>
      <c r="P443" s="121"/>
      <c r="Q443" s="118"/>
      <c r="R443" s="198"/>
      <c r="S443" s="123"/>
      <c r="T443" s="118"/>
      <c r="U443" s="118"/>
      <c r="V443" s="118"/>
      <c r="W443" s="118"/>
      <c r="X443" s="199"/>
      <c r="Y443" s="121"/>
      <c r="Z443" s="121"/>
      <c r="AA443" s="118"/>
      <c r="AB443" s="118"/>
      <c r="AC443" s="126"/>
    </row>
    <row r="444" spans="2:29" ht="45" customHeight="1" x14ac:dyDescent="0.25">
      <c r="B444" s="118">
        <v>441</v>
      </c>
      <c r="C444" s="118"/>
      <c r="D444" s="118"/>
      <c r="E444" s="118"/>
      <c r="F444" s="169"/>
      <c r="G444" s="118"/>
      <c r="H444" s="118"/>
      <c r="I444" s="118"/>
      <c r="J444" s="118"/>
      <c r="K444" s="118"/>
      <c r="L444" s="118"/>
      <c r="M444" s="118"/>
      <c r="N444" s="118"/>
      <c r="O444" s="118"/>
      <c r="P444" s="121"/>
      <c r="Q444" s="118"/>
      <c r="R444" s="198"/>
      <c r="S444" s="123"/>
      <c r="T444" s="118"/>
      <c r="U444" s="118"/>
      <c r="V444" s="118"/>
      <c r="W444" s="118"/>
      <c r="X444" s="199"/>
      <c r="Y444" s="121"/>
      <c r="Z444" s="121"/>
      <c r="AA444" s="118"/>
      <c r="AB444" s="118"/>
      <c r="AC444" s="126"/>
    </row>
    <row r="445" spans="2:29" ht="45" customHeight="1" x14ac:dyDescent="0.25">
      <c r="B445" s="118">
        <v>442</v>
      </c>
      <c r="C445" s="118"/>
      <c r="D445" s="118"/>
      <c r="E445" s="118"/>
      <c r="F445" s="169"/>
      <c r="G445" s="118"/>
      <c r="H445" s="118"/>
      <c r="I445" s="118"/>
      <c r="J445" s="118"/>
      <c r="K445" s="118"/>
      <c r="L445" s="118"/>
      <c r="M445" s="118"/>
      <c r="N445" s="118"/>
      <c r="O445" s="118"/>
      <c r="P445" s="121"/>
      <c r="Q445" s="118"/>
      <c r="R445" s="198"/>
      <c r="S445" s="123"/>
      <c r="T445" s="118"/>
      <c r="U445" s="118"/>
      <c r="V445" s="118"/>
      <c r="W445" s="118"/>
      <c r="X445" s="199"/>
      <c r="Y445" s="121"/>
      <c r="Z445" s="121"/>
      <c r="AA445" s="118"/>
      <c r="AB445" s="118"/>
      <c r="AC445" s="126"/>
    </row>
    <row r="446" spans="2:29" ht="45" customHeight="1" x14ac:dyDescent="0.25">
      <c r="B446" s="118">
        <v>443</v>
      </c>
      <c r="C446" s="118"/>
      <c r="D446" s="118"/>
      <c r="E446" s="118"/>
      <c r="F446" s="169"/>
      <c r="G446" s="118"/>
      <c r="H446" s="118"/>
      <c r="I446" s="118"/>
      <c r="J446" s="118"/>
      <c r="K446" s="118"/>
      <c r="L446" s="118"/>
      <c r="M446" s="118"/>
      <c r="N446" s="118"/>
      <c r="O446" s="118"/>
      <c r="P446" s="121"/>
      <c r="Q446" s="118"/>
      <c r="R446" s="198"/>
      <c r="S446" s="123"/>
      <c r="T446" s="118"/>
      <c r="U446" s="118"/>
      <c r="V446" s="118"/>
      <c r="W446" s="118"/>
      <c r="X446" s="199"/>
      <c r="Y446" s="121"/>
      <c r="Z446" s="121"/>
      <c r="AA446" s="118"/>
      <c r="AB446" s="118"/>
      <c r="AC446" s="126"/>
    </row>
    <row r="447" spans="2:29" ht="45" customHeight="1" x14ac:dyDescent="0.25">
      <c r="B447" s="118">
        <v>444</v>
      </c>
      <c r="C447" s="118"/>
      <c r="D447" s="118"/>
      <c r="E447" s="118"/>
      <c r="F447" s="169"/>
      <c r="G447" s="118"/>
      <c r="H447" s="118"/>
      <c r="I447" s="118"/>
      <c r="J447" s="118"/>
      <c r="K447" s="118"/>
      <c r="L447" s="118"/>
      <c r="M447" s="118"/>
      <c r="N447" s="118"/>
      <c r="O447" s="118"/>
      <c r="P447" s="121"/>
      <c r="Q447" s="118"/>
      <c r="R447" s="198"/>
      <c r="S447" s="123"/>
      <c r="T447" s="118"/>
      <c r="U447" s="118"/>
      <c r="V447" s="118"/>
      <c r="W447" s="118"/>
      <c r="X447" s="199"/>
      <c r="Y447" s="121"/>
      <c r="Z447" s="121"/>
      <c r="AA447" s="118"/>
      <c r="AB447" s="118"/>
      <c r="AC447" s="126"/>
    </row>
    <row r="448" spans="2:29" ht="45" customHeight="1" x14ac:dyDescent="0.25">
      <c r="B448" s="118">
        <v>445</v>
      </c>
      <c r="C448" s="118"/>
      <c r="D448" s="118"/>
      <c r="E448" s="118"/>
      <c r="F448" s="169"/>
      <c r="G448" s="118"/>
      <c r="H448" s="118"/>
      <c r="I448" s="118"/>
      <c r="J448" s="118"/>
      <c r="K448" s="118"/>
      <c r="L448" s="118"/>
      <c r="M448" s="118"/>
      <c r="N448" s="118"/>
      <c r="O448" s="118"/>
      <c r="P448" s="121"/>
      <c r="Q448" s="118"/>
      <c r="R448" s="198"/>
      <c r="S448" s="123"/>
      <c r="T448" s="118"/>
      <c r="U448" s="118"/>
      <c r="V448" s="118"/>
      <c r="W448" s="118"/>
      <c r="X448" s="199"/>
      <c r="Y448" s="121"/>
      <c r="Z448" s="121"/>
      <c r="AA448" s="118"/>
      <c r="AB448" s="118"/>
      <c r="AC448" s="126"/>
    </row>
    <row r="449" spans="2:29" ht="45" customHeight="1" x14ac:dyDescent="0.25">
      <c r="B449" s="118">
        <v>446</v>
      </c>
      <c r="C449" s="118"/>
      <c r="D449" s="118"/>
      <c r="E449" s="118"/>
      <c r="F449" s="169"/>
      <c r="G449" s="118"/>
      <c r="H449" s="118"/>
      <c r="I449" s="118"/>
      <c r="J449" s="118"/>
      <c r="K449" s="118"/>
      <c r="L449" s="118"/>
      <c r="M449" s="118"/>
      <c r="N449" s="118"/>
      <c r="O449" s="118"/>
      <c r="P449" s="121"/>
      <c r="Q449" s="118"/>
      <c r="R449" s="198"/>
      <c r="S449" s="123"/>
      <c r="T449" s="118"/>
      <c r="U449" s="118"/>
      <c r="V449" s="118"/>
      <c r="W449" s="118"/>
      <c r="X449" s="199"/>
      <c r="Y449" s="121"/>
      <c r="Z449" s="121"/>
      <c r="AA449" s="118"/>
      <c r="AB449" s="118"/>
      <c r="AC449" s="126"/>
    </row>
    <row r="450" spans="2:29" ht="45" customHeight="1" x14ac:dyDescent="0.25">
      <c r="B450" s="118">
        <v>447</v>
      </c>
      <c r="C450" s="118"/>
      <c r="D450" s="118"/>
      <c r="E450" s="118"/>
      <c r="F450" s="169"/>
      <c r="G450" s="118"/>
      <c r="H450" s="118"/>
      <c r="I450" s="118"/>
      <c r="J450" s="118"/>
      <c r="K450" s="118"/>
      <c r="L450" s="118"/>
      <c r="M450" s="118"/>
      <c r="N450" s="118"/>
      <c r="O450" s="118"/>
      <c r="P450" s="121"/>
      <c r="Q450" s="118"/>
      <c r="R450" s="198"/>
      <c r="S450" s="123"/>
      <c r="T450" s="118"/>
      <c r="U450" s="118"/>
      <c r="V450" s="118"/>
      <c r="W450" s="118"/>
      <c r="X450" s="199"/>
      <c r="Y450" s="121"/>
      <c r="Z450" s="121"/>
      <c r="AA450" s="118"/>
      <c r="AB450" s="118"/>
      <c r="AC450" s="126"/>
    </row>
    <row r="451" spans="2:29" ht="45" customHeight="1" x14ac:dyDescent="0.25">
      <c r="B451" s="118">
        <v>448</v>
      </c>
      <c r="C451" s="118"/>
      <c r="D451" s="118"/>
      <c r="E451" s="118"/>
      <c r="F451" s="169"/>
      <c r="G451" s="118"/>
      <c r="H451" s="118"/>
      <c r="I451" s="118"/>
      <c r="J451" s="118"/>
      <c r="K451" s="118"/>
      <c r="L451" s="118"/>
      <c r="M451" s="118"/>
      <c r="N451" s="118"/>
      <c r="O451" s="118"/>
      <c r="P451" s="121"/>
      <c r="Q451" s="118"/>
      <c r="R451" s="198"/>
      <c r="S451" s="123"/>
      <c r="T451" s="118"/>
      <c r="U451" s="118"/>
      <c r="V451" s="118"/>
      <c r="W451" s="118"/>
      <c r="X451" s="199"/>
      <c r="Y451" s="121"/>
      <c r="Z451" s="121"/>
      <c r="AA451" s="118"/>
      <c r="AB451" s="118"/>
      <c r="AC451" s="126"/>
    </row>
    <row r="452" spans="2:29" ht="45" customHeight="1" x14ac:dyDescent="0.25">
      <c r="B452" s="118">
        <v>449</v>
      </c>
      <c r="C452" s="118"/>
      <c r="D452" s="118"/>
      <c r="E452" s="118"/>
      <c r="F452" s="169"/>
      <c r="G452" s="118"/>
      <c r="H452" s="118"/>
      <c r="I452" s="118"/>
      <c r="J452" s="118"/>
      <c r="K452" s="118"/>
      <c r="L452" s="118"/>
      <c r="M452" s="118"/>
      <c r="N452" s="118"/>
      <c r="O452" s="118"/>
      <c r="P452" s="121"/>
      <c r="Q452" s="118"/>
      <c r="R452" s="198"/>
      <c r="S452" s="123"/>
      <c r="T452" s="118"/>
      <c r="U452" s="118"/>
      <c r="V452" s="118"/>
      <c r="W452" s="118"/>
      <c r="X452" s="199"/>
      <c r="Y452" s="121"/>
      <c r="Z452" s="121"/>
      <c r="AA452" s="118"/>
      <c r="AB452" s="118"/>
      <c r="AC452" s="126"/>
    </row>
    <row r="453" spans="2:29" ht="45" customHeight="1" x14ac:dyDescent="0.25">
      <c r="B453" s="118">
        <v>450</v>
      </c>
      <c r="C453" s="118"/>
      <c r="D453" s="118"/>
      <c r="E453" s="118"/>
      <c r="F453" s="169"/>
      <c r="G453" s="118"/>
      <c r="H453" s="118"/>
      <c r="I453" s="118"/>
      <c r="J453" s="118"/>
      <c r="K453" s="118"/>
      <c r="L453" s="118"/>
      <c r="M453" s="118"/>
      <c r="N453" s="118"/>
      <c r="O453" s="118"/>
      <c r="P453" s="121"/>
      <c r="Q453" s="118"/>
      <c r="R453" s="198"/>
      <c r="S453" s="123"/>
      <c r="T453" s="118"/>
      <c r="U453" s="118"/>
      <c r="V453" s="118"/>
      <c r="W453" s="118"/>
      <c r="X453" s="199"/>
      <c r="Y453" s="121"/>
      <c r="Z453" s="121"/>
      <c r="AA453" s="118"/>
      <c r="AB453" s="118"/>
      <c r="AC453" s="126"/>
    </row>
    <row r="454" spans="2:29" ht="45" customHeight="1" x14ac:dyDescent="0.25">
      <c r="B454" s="118">
        <v>451</v>
      </c>
      <c r="C454" s="118"/>
      <c r="D454" s="118"/>
      <c r="E454" s="118"/>
      <c r="F454" s="169"/>
      <c r="G454" s="118"/>
      <c r="H454" s="118"/>
      <c r="I454" s="118"/>
      <c r="J454" s="118"/>
      <c r="K454" s="118"/>
      <c r="L454" s="118"/>
      <c r="M454" s="118"/>
      <c r="N454" s="118"/>
      <c r="O454" s="118"/>
      <c r="P454" s="121"/>
      <c r="Q454" s="118"/>
      <c r="R454" s="198"/>
      <c r="S454" s="123"/>
      <c r="T454" s="118"/>
      <c r="U454" s="118"/>
      <c r="V454" s="118"/>
      <c r="W454" s="118"/>
      <c r="X454" s="199"/>
      <c r="Y454" s="121"/>
      <c r="Z454" s="121"/>
      <c r="AA454" s="118"/>
      <c r="AB454" s="118"/>
      <c r="AC454" s="126"/>
    </row>
    <row r="455" spans="2:29" ht="45" customHeight="1" x14ac:dyDescent="0.25">
      <c r="B455" s="118">
        <v>452</v>
      </c>
      <c r="C455" s="118"/>
      <c r="D455" s="118"/>
      <c r="E455" s="118"/>
      <c r="F455" s="169"/>
      <c r="G455" s="118"/>
      <c r="H455" s="118"/>
      <c r="I455" s="118"/>
      <c r="J455" s="118"/>
      <c r="K455" s="118"/>
      <c r="L455" s="118"/>
      <c r="M455" s="118"/>
      <c r="N455" s="118"/>
      <c r="O455" s="118"/>
      <c r="P455" s="121"/>
      <c r="Q455" s="118"/>
      <c r="R455" s="198"/>
      <c r="S455" s="123"/>
      <c r="T455" s="118"/>
      <c r="U455" s="118"/>
      <c r="V455" s="118"/>
      <c r="W455" s="118"/>
      <c r="X455" s="199"/>
      <c r="Y455" s="121"/>
      <c r="Z455" s="121"/>
      <c r="AA455" s="118"/>
      <c r="AB455" s="118"/>
      <c r="AC455" s="126"/>
    </row>
    <row r="456" spans="2:29" ht="45" customHeight="1" x14ac:dyDescent="0.25">
      <c r="B456" s="118">
        <v>453</v>
      </c>
      <c r="C456" s="118"/>
      <c r="D456" s="118"/>
      <c r="E456" s="118"/>
      <c r="F456" s="169"/>
      <c r="G456" s="118"/>
      <c r="H456" s="118"/>
      <c r="I456" s="118"/>
      <c r="J456" s="118"/>
      <c r="K456" s="118"/>
      <c r="L456" s="118"/>
      <c r="M456" s="118"/>
      <c r="N456" s="118"/>
      <c r="O456" s="118"/>
      <c r="P456" s="121"/>
      <c r="Q456" s="118"/>
      <c r="R456" s="198"/>
      <c r="S456" s="123"/>
      <c r="T456" s="118"/>
      <c r="U456" s="118"/>
      <c r="V456" s="118"/>
      <c r="W456" s="118"/>
      <c r="X456" s="199"/>
      <c r="Y456" s="121"/>
      <c r="Z456" s="121"/>
      <c r="AA456" s="118"/>
      <c r="AB456" s="118"/>
      <c r="AC456" s="126"/>
    </row>
    <row r="457" spans="2:29" ht="45" customHeight="1" x14ac:dyDescent="0.25">
      <c r="B457" s="118">
        <v>454</v>
      </c>
      <c r="C457" s="118"/>
      <c r="D457" s="118"/>
      <c r="E457" s="118"/>
      <c r="F457" s="169"/>
      <c r="G457" s="118"/>
      <c r="H457" s="118"/>
      <c r="I457" s="118"/>
      <c r="J457" s="118"/>
      <c r="K457" s="118"/>
      <c r="L457" s="118"/>
      <c r="M457" s="118"/>
      <c r="N457" s="118"/>
      <c r="O457" s="118"/>
      <c r="P457" s="121"/>
      <c r="Q457" s="118"/>
      <c r="R457" s="198"/>
      <c r="S457" s="123"/>
      <c r="T457" s="118"/>
      <c r="U457" s="118"/>
      <c r="V457" s="118"/>
      <c r="W457" s="118"/>
      <c r="X457" s="199"/>
      <c r="Y457" s="121"/>
      <c r="Z457" s="121"/>
      <c r="AA457" s="118"/>
      <c r="AB457" s="118"/>
      <c r="AC457" s="126"/>
    </row>
    <row r="458" spans="2:29" ht="45" customHeight="1" x14ac:dyDescent="0.25">
      <c r="B458" s="118">
        <v>455</v>
      </c>
      <c r="C458" s="118"/>
      <c r="D458" s="118"/>
      <c r="E458" s="118"/>
      <c r="F458" s="169"/>
      <c r="G458" s="118"/>
      <c r="H458" s="118"/>
      <c r="I458" s="118"/>
      <c r="J458" s="118"/>
      <c r="K458" s="118"/>
      <c r="L458" s="118"/>
      <c r="M458" s="118"/>
      <c r="N458" s="118"/>
      <c r="O458" s="118"/>
      <c r="P458" s="121"/>
      <c r="Q458" s="118"/>
      <c r="R458" s="198"/>
      <c r="S458" s="123"/>
      <c r="T458" s="118"/>
      <c r="U458" s="118"/>
      <c r="V458" s="118"/>
      <c r="W458" s="118"/>
      <c r="X458" s="199"/>
      <c r="Y458" s="121"/>
      <c r="Z458" s="121"/>
      <c r="AA458" s="118"/>
      <c r="AB458" s="118"/>
      <c r="AC458" s="126"/>
    </row>
    <row r="459" spans="2:29" ht="45" customHeight="1" x14ac:dyDescent="0.25">
      <c r="B459" s="118">
        <v>456</v>
      </c>
      <c r="C459" s="118"/>
      <c r="D459" s="118"/>
      <c r="E459" s="118"/>
      <c r="F459" s="169"/>
      <c r="G459" s="118"/>
      <c r="H459" s="118"/>
      <c r="I459" s="118"/>
      <c r="J459" s="118"/>
      <c r="K459" s="118"/>
      <c r="L459" s="118"/>
      <c r="M459" s="118"/>
      <c r="N459" s="118"/>
      <c r="O459" s="118"/>
      <c r="P459" s="121"/>
      <c r="Q459" s="118"/>
      <c r="R459" s="198"/>
      <c r="S459" s="123"/>
      <c r="T459" s="118"/>
      <c r="U459" s="118"/>
      <c r="V459" s="118"/>
      <c r="W459" s="118"/>
      <c r="X459" s="199"/>
      <c r="Y459" s="121"/>
      <c r="Z459" s="121"/>
      <c r="AA459" s="118"/>
      <c r="AB459" s="118"/>
      <c r="AC459" s="126"/>
    </row>
    <row r="460" spans="2:29" ht="45" customHeight="1" x14ac:dyDescent="0.25">
      <c r="B460" s="118">
        <v>457</v>
      </c>
      <c r="C460" s="118"/>
      <c r="D460" s="118"/>
      <c r="E460" s="118"/>
      <c r="F460" s="169"/>
      <c r="G460" s="118"/>
      <c r="H460" s="118"/>
      <c r="I460" s="118"/>
      <c r="J460" s="118"/>
      <c r="K460" s="118"/>
      <c r="L460" s="118"/>
      <c r="M460" s="118"/>
      <c r="N460" s="118"/>
      <c r="O460" s="118"/>
      <c r="P460" s="121"/>
      <c r="Q460" s="118"/>
      <c r="R460" s="198"/>
      <c r="S460" s="123"/>
      <c r="T460" s="118"/>
      <c r="U460" s="118"/>
      <c r="V460" s="118"/>
      <c r="W460" s="118"/>
      <c r="X460" s="199"/>
      <c r="Y460" s="121"/>
      <c r="Z460" s="121"/>
      <c r="AA460" s="118"/>
      <c r="AB460" s="118"/>
      <c r="AC460" s="126"/>
    </row>
    <row r="461" spans="2:29" ht="45" customHeight="1" x14ac:dyDescent="0.25">
      <c r="B461" s="118">
        <v>458</v>
      </c>
      <c r="C461" s="118"/>
      <c r="D461" s="118"/>
      <c r="E461" s="118"/>
      <c r="F461" s="169"/>
      <c r="G461" s="118"/>
      <c r="H461" s="118"/>
      <c r="I461" s="118"/>
      <c r="J461" s="118"/>
      <c r="K461" s="118"/>
      <c r="L461" s="118"/>
      <c r="M461" s="118"/>
      <c r="N461" s="118"/>
      <c r="O461" s="118"/>
      <c r="P461" s="121"/>
      <c r="Q461" s="118"/>
      <c r="R461" s="198"/>
      <c r="S461" s="123"/>
      <c r="T461" s="118"/>
      <c r="U461" s="118"/>
      <c r="V461" s="118"/>
      <c r="W461" s="118"/>
      <c r="X461" s="199"/>
      <c r="Y461" s="121"/>
      <c r="Z461" s="121"/>
      <c r="AA461" s="118"/>
      <c r="AB461" s="118"/>
      <c r="AC461" s="126"/>
    </row>
    <row r="462" spans="2:29" ht="45" customHeight="1" x14ac:dyDescent="0.25">
      <c r="B462" s="118">
        <v>459</v>
      </c>
      <c r="C462" s="118"/>
      <c r="D462" s="118"/>
      <c r="E462" s="118"/>
      <c r="F462" s="169"/>
      <c r="G462" s="118"/>
      <c r="H462" s="118"/>
      <c r="I462" s="118"/>
      <c r="J462" s="118"/>
      <c r="K462" s="118"/>
      <c r="L462" s="118"/>
      <c r="M462" s="118"/>
      <c r="N462" s="118"/>
      <c r="O462" s="118"/>
      <c r="P462" s="121"/>
      <c r="Q462" s="118"/>
      <c r="R462" s="198"/>
      <c r="S462" s="123"/>
      <c r="T462" s="118"/>
      <c r="U462" s="118"/>
      <c r="V462" s="118"/>
      <c r="W462" s="118"/>
      <c r="X462" s="199"/>
      <c r="Y462" s="121"/>
      <c r="Z462" s="121"/>
      <c r="AA462" s="118"/>
      <c r="AB462" s="118"/>
      <c r="AC462" s="126"/>
    </row>
    <row r="463" spans="2:29" ht="45" customHeight="1" x14ac:dyDescent="0.25">
      <c r="B463" s="118">
        <v>460</v>
      </c>
      <c r="C463" s="118"/>
      <c r="D463" s="118"/>
      <c r="E463" s="118"/>
      <c r="F463" s="169"/>
      <c r="G463" s="118"/>
      <c r="H463" s="118"/>
      <c r="I463" s="118"/>
      <c r="J463" s="118"/>
      <c r="K463" s="118"/>
      <c r="L463" s="118"/>
      <c r="M463" s="118"/>
      <c r="N463" s="118"/>
      <c r="O463" s="118"/>
      <c r="P463" s="121"/>
      <c r="Q463" s="118"/>
      <c r="R463" s="198"/>
      <c r="S463" s="123"/>
      <c r="T463" s="118"/>
      <c r="U463" s="118"/>
      <c r="V463" s="118"/>
      <c r="W463" s="118"/>
      <c r="X463" s="199"/>
      <c r="Y463" s="121"/>
      <c r="Z463" s="121"/>
      <c r="AA463" s="118"/>
      <c r="AB463" s="118"/>
      <c r="AC463" s="126"/>
    </row>
    <row r="464" spans="2:29" ht="45" customHeight="1" x14ac:dyDescent="0.25">
      <c r="B464" s="118">
        <v>461</v>
      </c>
      <c r="C464" s="118"/>
      <c r="D464" s="118"/>
      <c r="E464" s="118"/>
      <c r="F464" s="169"/>
      <c r="G464" s="118"/>
      <c r="H464" s="118"/>
      <c r="I464" s="118"/>
      <c r="J464" s="118"/>
      <c r="K464" s="118"/>
      <c r="L464" s="118"/>
      <c r="M464" s="118"/>
      <c r="N464" s="118"/>
      <c r="O464" s="118"/>
      <c r="P464" s="121"/>
      <c r="Q464" s="118"/>
      <c r="R464" s="198"/>
      <c r="S464" s="123"/>
      <c r="T464" s="118"/>
      <c r="U464" s="118"/>
      <c r="V464" s="118"/>
      <c r="W464" s="118"/>
      <c r="X464" s="199"/>
      <c r="Y464" s="121"/>
      <c r="Z464" s="121"/>
      <c r="AA464" s="118"/>
      <c r="AB464" s="118"/>
      <c r="AC464" s="126"/>
    </row>
    <row r="465" spans="2:29" ht="45" customHeight="1" x14ac:dyDescent="0.25">
      <c r="B465" s="118">
        <v>462</v>
      </c>
      <c r="C465" s="118"/>
      <c r="D465" s="118"/>
      <c r="E465" s="118"/>
      <c r="F465" s="169"/>
      <c r="G465" s="118"/>
      <c r="H465" s="118"/>
      <c r="I465" s="118"/>
      <c r="J465" s="118"/>
      <c r="K465" s="118"/>
      <c r="L465" s="118"/>
      <c r="M465" s="118"/>
      <c r="N465" s="118"/>
      <c r="O465" s="118"/>
      <c r="P465" s="121"/>
      <c r="Q465" s="118"/>
      <c r="R465" s="198"/>
      <c r="S465" s="123"/>
      <c r="T465" s="118"/>
      <c r="U465" s="118"/>
      <c r="V465" s="118"/>
      <c r="W465" s="118"/>
      <c r="X465" s="199"/>
      <c r="Y465" s="121"/>
      <c r="Z465" s="121"/>
      <c r="AA465" s="118"/>
      <c r="AB465" s="118"/>
      <c r="AC465" s="126"/>
    </row>
    <row r="466" spans="2:29" ht="45" customHeight="1" x14ac:dyDescent="0.25">
      <c r="B466" s="118">
        <v>463</v>
      </c>
      <c r="C466" s="118"/>
      <c r="D466" s="118"/>
      <c r="E466" s="118"/>
      <c r="F466" s="169"/>
      <c r="G466" s="118"/>
      <c r="H466" s="118"/>
      <c r="I466" s="118"/>
      <c r="J466" s="118"/>
      <c r="K466" s="118"/>
      <c r="L466" s="118"/>
      <c r="M466" s="118"/>
      <c r="N466" s="118"/>
      <c r="O466" s="118"/>
      <c r="P466" s="121"/>
      <c r="Q466" s="118"/>
      <c r="R466" s="198"/>
      <c r="S466" s="123"/>
      <c r="T466" s="118"/>
      <c r="U466" s="118"/>
      <c r="V466" s="118"/>
      <c r="W466" s="118"/>
      <c r="X466" s="199"/>
      <c r="Y466" s="121"/>
      <c r="Z466" s="121"/>
      <c r="AA466" s="118"/>
      <c r="AB466" s="118"/>
      <c r="AC466" s="126"/>
    </row>
    <row r="467" spans="2:29" ht="45" customHeight="1" x14ac:dyDescent="0.25">
      <c r="B467" s="118">
        <v>464</v>
      </c>
      <c r="C467" s="118"/>
      <c r="D467" s="118"/>
      <c r="E467" s="118"/>
      <c r="F467" s="169"/>
      <c r="G467" s="118"/>
      <c r="H467" s="118"/>
      <c r="I467" s="118"/>
      <c r="J467" s="118"/>
      <c r="K467" s="118"/>
      <c r="L467" s="118"/>
      <c r="M467" s="118"/>
      <c r="N467" s="118"/>
      <c r="O467" s="118"/>
      <c r="P467" s="121"/>
      <c r="Q467" s="118"/>
      <c r="R467" s="198"/>
      <c r="S467" s="123"/>
      <c r="T467" s="118"/>
      <c r="U467" s="118"/>
      <c r="V467" s="118"/>
      <c r="W467" s="118"/>
      <c r="X467" s="199"/>
      <c r="Y467" s="121"/>
      <c r="Z467" s="121"/>
      <c r="AA467" s="118"/>
      <c r="AB467" s="118"/>
      <c r="AC467" s="126"/>
    </row>
    <row r="468" spans="2:29" ht="45" customHeight="1" x14ac:dyDescent="0.25">
      <c r="B468" s="118">
        <v>465</v>
      </c>
      <c r="C468" s="118"/>
      <c r="D468" s="118"/>
      <c r="E468" s="118"/>
      <c r="F468" s="169"/>
      <c r="G468" s="118"/>
      <c r="H468" s="118"/>
      <c r="I468" s="118"/>
      <c r="J468" s="118"/>
      <c r="K468" s="118"/>
      <c r="L468" s="118"/>
      <c r="M468" s="118"/>
      <c r="N468" s="118"/>
      <c r="O468" s="118"/>
      <c r="P468" s="121"/>
      <c r="Q468" s="118"/>
      <c r="R468" s="198"/>
      <c r="S468" s="123"/>
      <c r="T468" s="118"/>
      <c r="U468" s="118"/>
      <c r="V468" s="118"/>
      <c r="W468" s="118"/>
      <c r="X468" s="199"/>
      <c r="Y468" s="121"/>
      <c r="Z468" s="121"/>
      <c r="AA468" s="118"/>
      <c r="AB468" s="118"/>
      <c r="AC468" s="126"/>
    </row>
    <row r="469" spans="2:29" ht="45" customHeight="1" x14ac:dyDescent="0.25">
      <c r="B469" s="118">
        <v>466</v>
      </c>
      <c r="C469" s="118"/>
      <c r="D469" s="118"/>
      <c r="E469" s="118"/>
      <c r="F469" s="169"/>
      <c r="G469" s="118"/>
      <c r="H469" s="118"/>
      <c r="I469" s="118"/>
      <c r="J469" s="118"/>
      <c r="K469" s="118"/>
      <c r="L469" s="118"/>
      <c r="M469" s="118"/>
      <c r="N469" s="118"/>
      <c r="O469" s="118"/>
      <c r="P469" s="121"/>
      <c r="Q469" s="118"/>
      <c r="R469" s="198"/>
      <c r="S469" s="123"/>
      <c r="T469" s="118"/>
      <c r="U469" s="118"/>
      <c r="V469" s="118"/>
      <c r="W469" s="118"/>
      <c r="X469" s="199"/>
      <c r="Y469" s="121"/>
      <c r="Z469" s="121"/>
      <c r="AA469" s="118"/>
      <c r="AB469" s="118"/>
      <c r="AC469" s="126"/>
    </row>
    <row r="470" spans="2:29" ht="45" customHeight="1" x14ac:dyDescent="0.25">
      <c r="B470" s="118">
        <v>467</v>
      </c>
      <c r="C470" s="118"/>
      <c r="D470" s="118"/>
      <c r="E470" s="118"/>
      <c r="F470" s="169"/>
      <c r="G470" s="118"/>
      <c r="H470" s="118"/>
      <c r="I470" s="118"/>
      <c r="J470" s="118"/>
      <c r="K470" s="118"/>
      <c r="L470" s="118"/>
      <c r="M470" s="118"/>
      <c r="N470" s="118"/>
      <c r="O470" s="118"/>
      <c r="P470" s="121"/>
      <c r="Q470" s="118"/>
      <c r="R470" s="198"/>
      <c r="S470" s="123"/>
      <c r="T470" s="118"/>
      <c r="U470" s="118"/>
      <c r="V470" s="118"/>
      <c r="W470" s="118"/>
      <c r="X470" s="199"/>
      <c r="Y470" s="121"/>
      <c r="Z470" s="121"/>
      <c r="AA470" s="118"/>
      <c r="AB470" s="118"/>
      <c r="AC470" s="126"/>
    </row>
    <row r="471" spans="2:29" ht="45" customHeight="1" x14ac:dyDescent="0.25">
      <c r="B471" s="118">
        <v>468</v>
      </c>
      <c r="C471" s="118"/>
      <c r="D471" s="118"/>
      <c r="E471" s="118"/>
      <c r="F471" s="169"/>
      <c r="G471" s="118"/>
      <c r="H471" s="118"/>
      <c r="I471" s="118"/>
      <c r="J471" s="118"/>
      <c r="K471" s="118"/>
      <c r="L471" s="118"/>
      <c r="M471" s="118"/>
      <c r="N471" s="118"/>
      <c r="O471" s="118"/>
      <c r="P471" s="121"/>
      <c r="Q471" s="118"/>
      <c r="R471" s="198"/>
      <c r="S471" s="123"/>
      <c r="T471" s="118"/>
      <c r="U471" s="118"/>
      <c r="V471" s="118"/>
      <c r="W471" s="118"/>
      <c r="X471" s="199"/>
      <c r="Y471" s="121"/>
      <c r="Z471" s="121"/>
      <c r="AA471" s="118"/>
      <c r="AB471" s="118"/>
      <c r="AC471" s="126"/>
    </row>
    <row r="472" spans="2:29" ht="45" customHeight="1" x14ac:dyDescent="0.25">
      <c r="B472" s="118">
        <v>469</v>
      </c>
      <c r="C472" s="118"/>
      <c r="D472" s="118"/>
      <c r="E472" s="118"/>
      <c r="F472" s="169"/>
      <c r="G472" s="118"/>
      <c r="H472" s="118"/>
      <c r="I472" s="118"/>
      <c r="J472" s="118"/>
      <c r="K472" s="118"/>
      <c r="L472" s="118"/>
      <c r="M472" s="118"/>
      <c r="N472" s="118"/>
      <c r="O472" s="118"/>
      <c r="P472" s="121"/>
      <c r="Q472" s="118"/>
      <c r="R472" s="198"/>
      <c r="S472" s="123"/>
      <c r="T472" s="118"/>
      <c r="U472" s="118"/>
      <c r="V472" s="118"/>
      <c r="W472" s="118"/>
      <c r="X472" s="199"/>
      <c r="Y472" s="121"/>
      <c r="Z472" s="121"/>
      <c r="AA472" s="118"/>
      <c r="AB472" s="118"/>
      <c r="AC472" s="126"/>
    </row>
    <row r="473" spans="2:29" ht="45" customHeight="1" x14ac:dyDescent="0.25">
      <c r="B473" s="118">
        <v>470</v>
      </c>
      <c r="C473" s="118"/>
      <c r="D473" s="118"/>
      <c r="E473" s="118"/>
      <c r="F473" s="169"/>
      <c r="G473" s="118"/>
      <c r="H473" s="118"/>
      <c r="I473" s="118"/>
      <c r="J473" s="118"/>
      <c r="K473" s="118"/>
      <c r="L473" s="118"/>
      <c r="M473" s="118"/>
      <c r="N473" s="118"/>
      <c r="O473" s="118"/>
      <c r="P473" s="121"/>
      <c r="Q473" s="118"/>
      <c r="R473" s="198"/>
      <c r="S473" s="123"/>
      <c r="T473" s="118"/>
      <c r="U473" s="118"/>
      <c r="V473" s="118"/>
      <c r="W473" s="118"/>
      <c r="X473" s="199"/>
      <c r="Y473" s="121"/>
      <c r="Z473" s="121"/>
      <c r="AA473" s="118"/>
      <c r="AB473" s="118"/>
      <c r="AC473" s="126"/>
    </row>
    <row r="474" spans="2:29" ht="45" customHeight="1" x14ac:dyDescent="0.25">
      <c r="B474" s="118">
        <v>471</v>
      </c>
      <c r="C474" s="118"/>
      <c r="D474" s="118"/>
      <c r="E474" s="118"/>
      <c r="F474" s="169"/>
      <c r="G474" s="118"/>
      <c r="H474" s="118"/>
      <c r="I474" s="118"/>
      <c r="J474" s="118"/>
      <c r="K474" s="118"/>
      <c r="L474" s="118"/>
      <c r="M474" s="118"/>
      <c r="N474" s="118"/>
      <c r="O474" s="118"/>
      <c r="P474" s="121"/>
      <c r="Q474" s="118"/>
      <c r="R474" s="198"/>
      <c r="S474" s="123"/>
      <c r="T474" s="118"/>
      <c r="U474" s="118"/>
      <c r="V474" s="118"/>
      <c r="W474" s="118"/>
      <c r="X474" s="199"/>
      <c r="Y474" s="121"/>
      <c r="Z474" s="121"/>
      <c r="AA474" s="118"/>
      <c r="AB474" s="118"/>
      <c r="AC474" s="126"/>
    </row>
    <row r="475" spans="2:29" ht="45" customHeight="1" x14ac:dyDescent="0.25">
      <c r="B475" s="118">
        <v>472</v>
      </c>
      <c r="C475" s="118"/>
      <c r="D475" s="118"/>
      <c r="E475" s="118"/>
      <c r="F475" s="169"/>
      <c r="G475" s="118"/>
      <c r="H475" s="118"/>
      <c r="I475" s="118"/>
      <c r="J475" s="118"/>
      <c r="K475" s="118"/>
      <c r="L475" s="118"/>
      <c r="M475" s="118"/>
      <c r="N475" s="118"/>
      <c r="O475" s="118"/>
      <c r="P475" s="121"/>
      <c r="Q475" s="118"/>
      <c r="R475" s="198"/>
      <c r="S475" s="123"/>
      <c r="T475" s="118"/>
      <c r="U475" s="118"/>
      <c r="V475" s="118"/>
      <c r="W475" s="118"/>
      <c r="X475" s="199"/>
      <c r="Y475" s="121"/>
      <c r="Z475" s="121"/>
      <c r="AA475" s="118"/>
      <c r="AB475" s="118"/>
      <c r="AC475" s="126"/>
    </row>
    <row r="476" spans="2:29" ht="45" customHeight="1" x14ac:dyDescent="0.25">
      <c r="B476" s="118">
        <v>473</v>
      </c>
      <c r="C476" s="118"/>
      <c r="D476" s="118"/>
      <c r="E476" s="118"/>
      <c r="F476" s="169"/>
      <c r="G476" s="118"/>
      <c r="H476" s="118"/>
      <c r="I476" s="118"/>
      <c r="J476" s="118"/>
      <c r="K476" s="118"/>
      <c r="L476" s="118"/>
      <c r="M476" s="118"/>
      <c r="N476" s="118"/>
      <c r="O476" s="118"/>
      <c r="P476" s="121"/>
      <c r="Q476" s="118"/>
      <c r="R476" s="198"/>
      <c r="S476" s="123"/>
      <c r="T476" s="118"/>
      <c r="U476" s="118"/>
      <c r="V476" s="118"/>
      <c r="W476" s="118"/>
      <c r="X476" s="199"/>
      <c r="Y476" s="121"/>
      <c r="Z476" s="121"/>
      <c r="AA476" s="118"/>
      <c r="AB476" s="118"/>
      <c r="AC476" s="126"/>
    </row>
    <row r="477" spans="2:29" ht="45" customHeight="1" x14ac:dyDescent="0.25">
      <c r="B477" s="118">
        <v>474</v>
      </c>
      <c r="C477" s="118"/>
      <c r="D477" s="118"/>
      <c r="E477" s="118"/>
      <c r="F477" s="169"/>
      <c r="G477" s="118"/>
      <c r="H477" s="118"/>
      <c r="I477" s="118"/>
      <c r="J477" s="118"/>
      <c r="K477" s="118"/>
      <c r="L477" s="118"/>
      <c r="M477" s="118"/>
      <c r="N477" s="118"/>
      <c r="O477" s="118"/>
      <c r="P477" s="121"/>
      <c r="Q477" s="118"/>
      <c r="R477" s="198"/>
      <c r="S477" s="123"/>
      <c r="T477" s="118"/>
      <c r="U477" s="118"/>
      <c r="V477" s="118"/>
      <c r="W477" s="118"/>
      <c r="X477" s="199"/>
      <c r="Y477" s="121"/>
      <c r="Z477" s="121"/>
      <c r="AA477" s="118"/>
      <c r="AB477" s="118"/>
      <c r="AC477" s="126"/>
    </row>
    <row r="478" spans="2:29" ht="45" customHeight="1" x14ac:dyDescent="0.25">
      <c r="B478" s="118">
        <v>475</v>
      </c>
      <c r="C478" s="118"/>
      <c r="D478" s="118"/>
      <c r="E478" s="118"/>
      <c r="F478" s="169"/>
      <c r="G478" s="118"/>
      <c r="H478" s="118"/>
      <c r="I478" s="118"/>
      <c r="J478" s="118"/>
      <c r="K478" s="118"/>
      <c r="L478" s="118"/>
      <c r="M478" s="118"/>
      <c r="N478" s="118"/>
      <c r="O478" s="118"/>
      <c r="P478" s="121"/>
      <c r="Q478" s="118"/>
      <c r="R478" s="198"/>
      <c r="S478" s="123"/>
      <c r="T478" s="118"/>
      <c r="U478" s="118"/>
      <c r="V478" s="118"/>
      <c r="W478" s="118"/>
      <c r="X478" s="199"/>
      <c r="Y478" s="121"/>
      <c r="Z478" s="121"/>
      <c r="AA478" s="118"/>
      <c r="AB478" s="118"/>
      <c r="AC478" s="126"/>
    </row>
    <row r="479" spans="2:29" ht="45" customHeight="1" x14ac:dyDescent="0.25">
      <c r="B479" s="118">
        <v>476</v>
      </c>
      <c r="C479" s="118"/>
      <c r="D479" s="118"/>
      <c r="E479" s="118"/>
      <c r="F479" s="169"/>
      <c r="G479" s="118"/>
      <c r="H479" s="118"/>
      <c r="I479" s="118"/>
      <c r="J479" s="118"/>
      <c r="K479" s="118"/>
      <c r="L479" s="118"/>
      <c r="M479" s="118"/>
      <c r="N479" s="118"/>
      <c r="O479" s="118"/>
      <c r="P479" s="121"/>
      <c r="Q479" s="118"/>
      <c r="R479" s="198"/>
      <c r="S479" s="123"/>
      <c r="T479" s="118"/>
      <c r="U479" s="118"/>
      <c r="V479" s="118"/>
      <c r="W479" s="118"/>
      <c r="X479" s="199"/>
      <c r="Y479" s="121"/>
      <c r="Z479" s="121"/>
      <c r="AA479" s="118"/>
      <c r="AB479" s="118"/>
      <c r="AC479" s="126"/>
    </row>
    <row r="480" spans="2:29" ht="45" customHeight="1" x14ac:dyDescent="0.25">
      <c r="B480" s="118">
        <v>477</v>
      </c>
      <c r="C480" s="118"/>
      <c r="D480" s="118"/>
      <c r="E480" s="118"/>
      <c r="F480" s="169"/>
      <c r="G480" s="118"/>
      <c r="H480" s="118"/>
      <c r="I480" s="118"/>
      <c r="J480" s="118"/>
      <c r="K480" s="118"/>
      <c r="L480" s="118"/>
      <c r="M480" s="118"/>
      <c r="N480" s="118"/>
      <c r="O480" s="118"/>
      <c r="P480" s="121"/>
      <c r="Q480" s="118"/>
      <c r="R480" s="198"/>
      <c r="S480" s="123"/>
      <c r="T480" s="118"/>
      <c r="U480" s="118"/>
      <c r="V480" s="118"/>
      <c r="W480" s="118"/>
      <c r="X480" s="199"/>
      <c r="Y480" s="121"/>
      <c r="Z480" s="121"/>
      <c r="AA480" s="118"/>
      <c r="AB480" s="118"/>
      <c r="AC480" s="126"/>
    </row>
    <row r="481" spans="2:29" ht="45" customHeight="1" x14ac:dyDescent="0.25">
      <c r="B481" s="118">
        <v>478</v>
      </c>
      <c r="C481" s="118"/>
      <c r="D481" s="118"/>
      <c r="E481" s="118"/>
      <c r="F481" s="169"/>
      <c r="G481" s="118"/>
      <c r="H481" s="118"/>
      <c r="I481" s="118"/>
      <c r="J481" s="118"/>
      <c r="K481" s="118"/>
      <c r="L481" s="118"/>
      <c r="M481" s="118"/>
      <c r="N481" s="118"/>
      <c r="O481" s="118"/>
      <c r="P481" s="121"/>
      <c r="Q481" s="118"/>
      <c r="R481" s="198"/>
      <c r="S481" s="123"/>
      <c r="T481" s="118"/>
      <c r="U481" s="118"/>
      <c r="V481" s="118"/>
      <c r="W481" s="118"/>
      <c r="X481" s="199"/>
      <c r="Y481" s="121"/>
      <c r="Z481" s="121"/>
      <c r="AA481" s="118"/>
      <c r="AB481" s="118"/>
      <c r="AC481" s="126"/>
    </row>
    <row r="482" spans="2:29" ht="45" customHeight="1" x14ac:dyDescent="0.25">
      <c r="B482" s="118">
        <v>479</v>
      </c>
      <c r="C482" s="118"/>
      <c r="D482" s="118"/>
      <c r="E482" s="118"/>
      <c r="F482" s="169"/>
      <c r="G482" s="118"/>
      <c r="H482" s="118"/>
      <c r="I482" s="118"/>
      <c r="J482" s="118"/>
      <c r="K482" s="118"/>
      <c r="L482" s="118"/>
      <c r="M482" s="118"/>
      <c r="N482" s="118"/>
      <c r="O482" s="118"/>
      <c r="P482" s="121"/>
      <c r="Q482" s="118"/>
      <c r="R482" s="198"/>
      <c r="S482" s="123"/>
      <c r="T482" s="118"/>
      <c r="U482" s="118"/>
      <c r="V482" s="118"/>
      <c r="W482" s="118"/>
      <c r="X482" s="199"/>
      <c r="Y482" s="121"/>
      <c r="Z482" s="121"/>
      <c r="AA482" s="118"/>
      <c r="AB482" s="118"/>
      <c r="AC482" s="126"/>
    </row>
    <row r="483" spans="2:29" ht="45" customHeight="1" x14ac:dyDescent="0.25">
      <c r="B483" s="118">
        <v>480</v>
      </c>
      <c r="C483" s="118"/>
      <c r="D483" s="118"/>
      <c r="E483" s="118"/>
      <c r="F483" s="169"/>
      <c r="G483" s="118"/>
      <c r="H483" s="118"/>
      <c r="I483" s="118"/>
      <c r="J483" s="118"/>
      <c r="K483" s="118"/>
      <c r="L483" s="118"/>
      <c r="M483" s="118"/>
      <c r="N483" s="118"/>
      <c r="O483" s="118"/>
      <c r="P483" s="121"/>
      <c r="Q483" s="118"/>
      <c r="R483" s="198"/>
      <c r="S483" s="123"/>
      <c r="T483" s="118"/>
      <c r="U483" s="118"/>
      <c r="V483" s="118"/>
      <c r="W483" s="118"/>
      <c r="X483" s="199"/>
      <c r="Y483" s="121"/>
      <c r="Z483" s="121"/>
      <c r="AA483" s="118"/>
      <c r="AB483" s="118"/>
      <c r="AC483" s="126"/>
    </row>
    <row r="484" spans="2:29" ht="45" customHeight="1" x14ac:dyDescent="0.25">
      <c r="B484" s="118">
        <v>481</v>
      </c>
      <c r="C484" s="118"/>
      <c r="D484" s="118"/>
      <c r="E484" s="118"/>
      <c r="F484" s="169"/>
      <c r="G484" s="118"/>
      <c r="H484" s="118"/>
      <c r="I484" s="118"/>
      <c r="J484" s="118"/>
      <c r="K484" s="118"/>
      <c r="L484" s="118"/>
      <c r="M484" s="118"/>
      <c r="N484" s="118"/>
      <c r="O484" s="118"/>
      <c r="P484" s="121"/>
      <c r="Q484" s="118"/>
      <c r="R484" s="198"/>
      <c r="S484" s="123"/>
      <c r="T484" s="118"/>
      <c r="U484" s="118"/>
      <c r="V484" s="118"/>
      <c r="W484" s="118"/>
      <c r="X484" s="199"/>
      <c r="Y484" s="121"/>
      <c r="Z484" s="121"/>
      <c r="AA484" s="118"/>
      <c r="AB484" s="118"/>
      <c r="AC484" s="126"/>
    </row>
    <row r="485" spans="2:29" ht="45" customHeight="1" x14ac:dyDescent="0.25">
      <c r="B485" s="118">
        <v>482</v>
      </c>
      <c r="C485" s="118"/>
      <c r="D485" s="118"/>
      <c r="E485" s="118"/>
      <c r="F485" s="169"/>
      <c r="G485" s="118"/>
      <c r="H485" s="118"/>
      <c r="I485" s="118"/>
      <c r="J485" s="118"/>
      <c r="K485" s="118"/>
      <c r="L485" s="118"/>
      <c r="M485" s="118"/>
      <c r="N485" s="118"/>
      <c r="O485" s="118"/>
      <c r="P485" s="121"/>
      <c r="Q485" s="118"/>
      <c r="R485" s="198"/>
      <c r="S485" s="123"/>
      <c r="T485" s="118"/>
      <c r="U485" s="118"/>
      <c r="V485" s="118"/>
      <c r="W485" s="118"/>
      <c r="X485" s="199"/>
      <c r="Y485" s="121"/>
      <c r="Z485" s="121"/>
      <c r="AA485" s="118"/>
      <c r="AB485" s="118"/>
      <c r="AC485" s="126"/>
    </row>
    <row r="486" spans="2:29" ht="45" customHeight="1" x14ac:dyDescent="0.25">
      <c r="B486" s="118">
        <v>483</v>
      </c>
      <c r="C486" s="118"/>
      <c r="D486" s="118"/>
      <c r="E486" s="118"/>
      <c r="F486" s="169"/>
      <c r="G486" s="118"/>
      <c r="H486" s="118"/>
      <c r="I486" s="118"/>
      <c r="J486" s="118"/>
      <c r="K486" s="118"/>
      <c r="L486" s="118"/>
      <c r="M486" s="118"/>
      <c r="N486" s="118"/>
      <c r="O486" s="118"/>
      <c r="P486" s="121"/>
      <c r="Q486" s="118"/>
      <c r="R486" s="198"/>
      <c r="S486" s="123"/>
      <c r="T486" s="118"/>
      <c r="U486" s="118"/>
      <c r="V486" s="118"/>
      <c r="W486" s="118"/>
      <c r="X486" s="199"/>
      <c r="Y486" s="121"/>
      <c r="Z486" s="121"/>
      <c r="AA486" s="118"/>
      <c r="AB486" s="118"/>
      <c r="AC486" s="126"/>
    </row>
    <row r="487" spans="2:29" ht="45" customHeight="1" x14ac:dyDescent="0.25">
      <c r="B487" s="118">
        <v>484</v>
      </c>
      <c r="C487" s="118"/>
      <c r="D487" s="118"/>
      <c r="E487" s="118"/>
      <c r="F487" s="169"/>
      <c r="G487" s="118"/>
      <c r="H487" s="118"/>
      <c r="I487" s="118"/>
      <c r="J487" s="118"/>
      <c r="K487" s="118"/>
      <c r="L487" s="118"/>
      <c r="M487" s="118"/>
      <c r="N487" s="118"/>
      <c r="O487" s="118"/>
      <c r="P487" s="121"/>
      <c r="Q487" s="118"/>
      <c r="R487" s="198"/>
      <c r="S487" s="123"/>
      <c r="T487" s="118"/>
      <c r="U487" s="118"/>
      <c r="V487" s="118"/>
      <c r="W487" s="118"/>
      <c r="X487" s="199"/>
      <c r="Y487" s="121"/>
      <c r="Z487" s="121"/>
      <c r="AA487" s="118"/>
      <c r="AB487" s="118"/>
      <c r="AC487" s="126"/>
    </row>
    <row r="488" spans="2:29" ht="45" customHeight="1" x14ac:dyDescent="0.25">
      <c r="B488" s="118">
        <v>485</v>
      </c>
      <c r="C488" s="118"/>
      <c r="D488" s="118"/>
      <c r="E488" s="118"/>
      <c r="F488" s="169"/>
      <c r="G488" s="118"/>
      <c r="H488" s="118"/>
      <c r="I488" s="118"/>
      <c r="J488" s="118"/>
      <c r="K488" s="118"/>
      <c r="L488" s="118"/>
      <c r="M488" s="118"/>
      <c r="N488" s="118"/>
      <c r="O488" s="118"/>
      <c r="P488" s="121"/>
      <c r="Q488" s="118"/>
      <c r="R488" s="198"/>
      <c r="S488" s="123"/>
      <c r="T488" s="118"/>
      <c r="U488" s="118"/>
      <c r="V488" s="118"/>
      <c r="W488" s="118"/>
      <c r="X488" s="199"/>
      <c r="Y488" s="121"/>
      <c r="Z488" s="121"/>
      <c r="AA488" s="118"/>
      <c r="AB488" s="118"/>
      <c r="AC488" s="126"/>
    </row>
    <row r="489" spans="2:29" ht="45" customHeight="1" x14ac:dyDescent="0.25">
      <c r="B489" s="118">
        <v>486</v>
      </c>
      <c r="C489" s="118"/>
      <c r="D489" s="118"/>
      <c r="E489" s="118"/>
      <c r="F489" s="169"/>
      <c r="G489" s="118"/>
      <c r="H489" s="118"/>
      <c r="I489" s="118"/>
      <c r="J489" s="118"/>
      <c r="K489" s="118"/>
      <c r="L489" s="118"/>
      <c r="M489" s="118"/>
      <c r="N489" s="118"/>
      <c r="O489" s="118"/>
      <c r="P489" s="121"/>
      <c r="Q489" s="118"/>
      <c r="R489" s="198"/>
      <c r="S489" s="123"/>
      <c r="T489" s="118"/>
      <c r="U489" s="118"/>
      <c r="V489" s="118"/>
      <c r="W489" s="118"/>
      <c r="X489" s="199"/>
      <c r="Y489" s="121"/>
      <c r="Z489" s="121"/>
      <c r="AA489" s="118"/>
      <c r="AB489" s="118"/>
      <c r="AC489" s="126"/>
    </row>
    <row r="490" spans="2:29" ht="45" customHeight="1" x14ac:dyDescent="0.25">
      <c r="B490" s="118">
        <v>487</v>
      </c>
      <c r="C490" s="118"/>
      <c r="D490" s="118"/>
      <c r="E490" s="118"/>
      <c r="F490" s="169"/>
      <c r="G490" s="118"/>
      <c r="H490" s="118"/>
      <c r="I490" s="118"/>
      <c r="J490" s="118"/>
      <c r="K490" s="118"/>
      <c r="L490" s="118"/>
      <c r="M490" s="118"/>
      <c r="N490" s="118"/>
      <c r="O490" s="118"/>
      <c r="P490" s="121"/>
      <c r="Q490" s="118"/>
      <c r="R490" s="198"/>
      <c r="S490" s="123"/>
      <c r="T490" s="118"/>
      <c r="U490" s="118"/>
      <c r="V490" s="118"/>
      <c r="W490" s="118"/>
      <c r="X490" s="199"/>
      <c r="Y490" s="121"/>
      <c r="Z490" s="121"/>
      <c r="AA490" s="118"/>
      <c r="AB490" s="118"/>
      <c r="AC490" s="126"/>
    </row>
    <row r="491" spans="2:29" ht="45" customHeight="1" x14ac:dyDescent="0.25">
      <c r="B491" s="118">
        <v>488</v>
      </c>
      <c r="C491" s="118"/>
      <c r="D491" s="118"/>
      <c r="E491" s="118"/>
      <c r="F491" s="169"/>
      <c r="G491" s="118"/>
      <c r="H491" s="118"/>
      <c r="I491" s="118"/>
      <c r="J491" s="118"/>
      <c r="K491" s="118"/>
      <c r="L491" s="118"/>
      <c r="M491" s="118"/>
      <c r="N491" s="118"/>
      <c r="O491" s="118"/>
      <c r="P491" s="121"/>
      <c r="Q491" s="118"/>
      <c r="R491" s="198"/>
      <c r="S491" s="123"/>
      <c r="T491" s="118"/>
      <c r="U491" s="118"/>
      <c r="V491" s="118"/>
      <c r="W491" s="118"/>
      <c r="X491" s="199"/>
      <c r="Y491" s="121"/>
      <c r="Z491" s="121"/>
      <c r="AA491" s="118"/>
      <c r="AB491" s="118"/>
      <c r="AC491" s="126"/>
    </row>
    <row r="492" spans="2:29" ht="45" customHeight="1" x14ac:dyDescent="0.25">
      <c r="B492" s="118">
        <v>489</v>
      </c>
      <c r="C492" s="118"/>
      <c r="D492" s="118"/>
      <c r="E492" s="118"/>
      <c r="F492" s="169"/>
      <c r="G492" s="118"/>
      <c r="H492" s="118"/>
      <c r="I492" s="118"/>
      <c r="J492" s="118"/>
      <c r="K492" s="118"/>
      <c r="L492" s="118"/>
      <c r="M492" s="118"/>
      <c r="N492" s="118"/>
      <c r="O492" s="118"/>
      <c r="P492" s="121"/>
      <c r="Q492" s="118"/>
      <c r="R492" s="198"/>
      <c r="S492" s="123"/>
      <c r="T492" s="118"/>
      <c r="U492" s="118"/>
      <c r="V492" s="118"/>
      <c r="W492" s="118"/>
      <c r="X492" s="199"/>
      <c r="Y492" s="121"/>
      <c r="Z492" s="121"/>
      <c r="AA492" s="118"/>
      <c r="AB492" s="118"/>
      <c r="AC492" s="126"/>
    </row>
    <row r="493" spans="2:29" ht="45" customHeight="1" x14ac:dyDescent="0.25">
      <c r="B493" s="118">
        <v>490</v>
      </c>
      <c r="C493" s="118"/>
      <c r="D493" s="118"/>
      <c r="E493" s="118"/>
      <c r="F493" s="169"/>
      <c r="G493" s="118"/>
      <c r="H493" s="118"/>
      <c r="I493" s="118"/>
      <c r="J493" s="118"/>
      <c r="K493" s="118"/>
      <c r="L493" s="118"/>
      <c r="M493" s="118"/>
      <c r="N493" s="118"/>
      <c r="O493" s="118"/>
      <c r="P493" s="121"/>
      <c r="Q493" s="118"/>
      <c r="R493" s="198"/>
      <c r="S493" s="123"/>
      <c r="T493" s="118"/>
      <c r="U493" s="118"/>
      <c r="V493" s="118"/>
      <c r="W493" s="118"/>
      <c r="X493" s="199"/>
      <c r="Y493" s="121"/>
      <c r="Z493" s="121"/>
      <c r="AA493" s="118"/>
      <c r="AB493" s="118"/>
      <c r="AC493" s="126"/>
    </row>
    <row r="494" spans="2:29" ht="45" customHeight="1" x14ac:dyDescent="0.25">
      <c r="B494" s="118">
        <v>491</v>
      </c>
      <c r="C494" s="118"/>
      <c r="D494" s="118"/>
      <c r="E494" s="118"/>
      <c r="F494" s="169"/>
      <c r="G494" s="118"/>
      <c r="H494" s="118"/>
      <c r="I494" s="118"/>
      <c r="J494" s="118"/>
      <c r="K494" s="118"/>
      <c r="L494" s="118"/>
      <c r="M494" s="118"/>
      <c r="N494" s="118"/>
      <c r="O494" s="118"/>
      <c r="P494" s="121"/>
      <c r="Q494" s="118"/>
      <c r="R494" s="198"/>
      <c r="S494" s="123"/>
      <c r="T494" s="118"/>
      <c r="U494" s="118"/>
      <c r="V494" s="118"/>
      <c r="W494" s="118"/>
      <c r="X494" s="199"/>
      <c r="Y494" s="121"/>
      <c r="Z494" s="121"/>
      <c r="AA494" s="118"/>
      <c r="AB494" s="118"/>
      <c r="AC494" s="126"/>
    </row>
    <row r="495" spans="2:29" ht="45" customHeight="1" x14ac:dyDescent="0.25">
      <c r="B495" s="118">
        <v>492</v>
      </c>
      <c r="C495" s="118"/>
      <c r="D495" s="118"/>
      <c r="E495" s="118"/>
      <c r="F495" s="169"/>
      <c r="G495" s="118"/>
      <c r="H495" s="118"/>
      <c r="I495" s="118"/>
      <c r="J495" s="118"/>
      <c r="K495" s="118"/>
      <c r="L495" s="118"/>
      <c r="M495" s="118"/>
      <c r="N495" s="118"/>
      <c r="O495" s="118"/>
      <c r="P495" s="121"/>
      <c r="Q495" s="118"/>
      <c r="R495" s="198"/>
      <c r="S495" s="123"/>
      <c r="T495" s="118"/>
      <c r="U495" s="118"/>
      <c r="V495" s="118"/>
      <c r="W495" s="118"/>
      <c r="X495" s="199"/>
      <c r="Y495" s="121"/>
      <c r="Z495" s="121"/>
      <c r="AA495" s="118"/>
      <c r="AB495" s="118"/>
      <c r="AC495" s="126"/>
    </row>
    <row r="496" spans="2:29" ht="45" customHeight="1" x14ac:dyDescent="0.25">
      <c r="B496" s="118">
        <v>493</v>
      </c>
      <c r="C496" s="118"/>
      <c r="D496" s="118"/>
      <c r="E496" s="118"/>
      <c r="F496" s="169"/>
      <c r="G496" s="118"/>
      <c r="H496" s="118"/>
      <c r="I496" s="118"/>
      <c r="J496" s="118"/>
      <c r="K496" s="118"/>
      <c r="L496" s="118"/>
      <c r="M496" s="118"/>
      <c r="N496" s="118"/>
      <c r="O496" s="118"/>
      <c r="P496" s="121"/>
      <c r="Q496" s="118"/>
      <c r="R496" s="198"/>
      <c r="S496" s="123"/>
      <c r="T496" s="118"/>
      <c r="U496" s="118"/>
      <c r="V496" s="118"/>
      <c r="W496" s="118"/>
      <c r="X496" s="199"/>
      <c r="Y496" s="121"/>
      <c r="Z496" s="121"/>
      <c r="AA496" s="118"/>
      <c r="AB496" s="118"/>
      <c r="AC496" s="126"/>
    </row>
    <row r="497" spans="2:29" ht="45" customHeight="1" x14ac:dyDescent="0.25">
      <c r="B497" s="118">
        <v>494</v>
      </c>
      <c r="C497" s="118"/>
      <c r="D497" s="118"/>
      <c r="E497" s="118"/>
      <c r="F497" s="169"/>
      <c r="G497" s="118"/>
      <c r="H497" s="118"/>
      <c r="I497" s="118"/>
      <c r="J497" s="118"/>
      <c r="K497" s="118"/>
      <c r="L497" s="118"/>
      <c r="M497" s="118"/>
      <c r="N497" s="118"/>
      <c r="O497" s="118"/>
      <c r="P497" s="121"/>
      <c r="Q497" s="118"/>
      <c r="R497" s="198"/>
      <c r="S497" s="123"/>
      <c r="T497" s="118"/>
      <c r="U497" s="118"/>
      <c r="V497" s="118"/>
      <c r="W497" s="118"/>
      <c r="X497" s="199"/>
      <c r="Y497" s="121"/>
      <c r="Z497" s="121"/>
      <c r="AA497" s="118"/>
      <c r="AB497" s="118"/>
      <c r="AC497" s="126"/>
    </row>
    <row r="498" spans="2:29" ht="45" customHeight="1" x14ac:dyDescent="0.25">
      <c r="B498" s="118">
        <v>495</v>
      </c>
      <c r="C498" s="118"/>
      <c r="D498" s="118"/>
      <c r="E498" s="118"/>
      <c r="F498" s="169"/>
      <c r="G498" s="118"/>
      <c r="H498" s="118"/>
      <c r="I498" s="118"/>
      <c r="J498" s="118"/>
      <c r="K498" s="118"/>
      <c r="L498" s="118"/>
      <c r="M498" s="118"/>
      <c r="N498" s="118"/>
      <c r="O498" s="118"/>
      <c r="P498" s="121"/>
      <c r="Q498" s="118"/>
      <c r="R498" s="198"/>
      <c r="S498" s="123"/>
      <c r="T498" s="118"/>
      <c r="U498" s="118"/>
      <c r="V498" s="118"/>
      <c r="W498" s="118"/>
      <c r="X498" s="199"/>
      <c r="Y498" s="121"/>
      <c r="Z498" s="121"/>
      <c r="AA498" s="118"/>
      <c r="AB498" s="118"/>
      <c r="AC498" s="126"/>
    </row>
    <row r="499" spans="2:29" ht="45" customHeight="1" x14ac:dyDescent="0.25">
      <c r="B499" s="118">
        <v>496</v>
      </c>
      <c r="C499" s="118"/>
      <c r="D499" s="118"/>
      <c r="E499" s="118"/>
      <c r="F499" s="169"/>
      <c r="G499" s="118"/>
      <c r="H499" s="118"/>
      <c r="I499" s="118"/>
      <c r="J499" s="118"/>
      <c r="K499" s="118"/>
      <c r="L499" s="118"/>
      <c r="M499" s="118"/>
      <c r="N499" s="118"/>
      <c r="O499" s="118"/>
      <c r="P499" s="121"/>
      <c r="Q499" s="118"/>
      <c r="R499" s="198"/>
      <c r="S499" s="123"/>
      <c r="T499" s="118"/>
      <c r="U499" s="118"/>
      <c r="V499" s="118"/>
      <c r="W499" s="118"/>
      <c r="X499" s="199"/>
      <c r="Y499" s="121"/>
      <c r="Z499" s="121"/>
      <c r="AA499" s="118"/>
      <c r="AB499" s="118"/>
      <c r="AC499" s="126"/>
    </row>
    <row r="500" spans="2:29" ht="45" customHeight="1" x14ac:dyDescent="0.25">
      <c r="B500" s="118">
        <v>497</v>
      </c>
      <c r="C500" s="118"/>
      <c r="D500" s="118"/>
      <c r="E500" s="118"/>
      <c r="F500" s="169"/>
      <c r="G500" s="118"/>
      <c r="H500" s="118"/>
      <c r="I500" s="118"/>
      <c r="J500" s="118"/>
      <c r="K500" s="118"/>
      <c r="L500" s="118"/>
      <c r="M500" s="118"/>
      <c r="N500" s="118"/>
      <c r="O500" s="118"/>
      <c r="P500" s="121"/>
      <c r="Q500" s="118"/>
      <c r="R500" s="198"/>
      <c r="S500" s="123"/>
      <c r="T500" s="118"/>
      <c r="U500" s="118"/>
      <c r="V500" s="118"/>
      <c r="W500" s="118"/>
      <c r="X500" s="199"/>
      <c r="Y500" s="121"/>
      <c r="Z500" s="121"/>
      <c r="AA500" s="118"/>
      <c r="AB500" s="118"/>
      <c r="AC500" s="126"/>
    </row>
    <row r="501" spans="2:29" ht="45" customHeight="1" x14ac:dyDescent="0.25">
      <c r="B501" s="118">
        <v>498</v>
      </c>
      <c r="C501" s="118"/>
      <c r="D501" s="118"/>
      <c r="E501" s="118"/>
      <c r="F501" s="169"/>
      <c r="G501" s="118"/>
      <c r="H501" s="118"/>
      <c r="I501" s="118"/>
      <c r="J501" s="118"/>
      <c r="K501" s="118"/>
      <c r="L501" s="118"/>
      <c r="M501" s="118"/>
      <c r="N501" s="118"/>
      <c r="O501" s="118"/>
      <c r="P501" s="121"/>
      <c r="Q501" s="118"/>
      <c r="R501" s="198"/>
      <c r="S501" s="123"/>
      <c r="T501" s="118"/>
      <c r="U501" s="118"/>
      <c r="V501" s="118"/>
      <c r="W501" s="118"/>
      <c r="X501" s="199"/>
      <c r="Y501" s="121"/>
      <c r="Z501" s="121"/>
      <c r="AA501" s="118"/>
      <c r="AB501" s="118"/>
      <c r="AC501" s="126"/>
    </row>
    <row r="502" spans="2:29" ht="45" customHeight="1" x14ac:dyDescent="0.25">
      <c r="B502" s="118">
        <v>499</v>
      </c>
      <c r="C502" s="118"/>
      <c r="D502" s="118"/>
      <c r="E502" s="118"/>
      <c r="F502" s="169"/>
      <c r="G502" s="118"/>
      <c r="H502" s="118"/>
      <c r="I502" s="118"/>
      <c r="J502" s="118"/>
      <c r="K502" s="118"/>
      <c r="L502" s="118"/>
      <c r="M502" s="118"/>
      <c r="N502" s="118"/>
      <c r="O502" s="118"/>
      <c r="P502" s="121"/>
      <c r="Q502" s="118"/>
      <c r="R502" s="198"/>
      <c r="S502" s="123"/>
      <c r="T502" s="118"/>
      <c r="U502" s="118"/>
      <c r="V502" s="118"/>
      <c r="W502" s="118"/>
      <c r="X502" s="199"/>
      <c r="Y502" s="121"/>
      <c r="Z502" s="121"/>
      <c r="AA502" s="118"/>
      <c r="AB502" s="118"/>
      <c r="AC502" s="126"/>
    </row>
    <row r="503" spans="2:29" ht="45" customHeight="1" x14ac:dyDescent="0.25">
      <c r="B503" s="118">
        <v>500</v>
      </c>
      <c r="C503" s="118"/>
      <c r="D503" s="118"/>
      <c r="E503" s="118"/>
      <c r="F503" s="169"/>
      <c r="G503" s="118"/>
      <c r="H503" s="118"/>
      <c r="I503" s="118"/>
      <c r="J503" s="118"/>
      <c r="K503" s="118"/>
      <c r="L503" s="118"/>
      <c r="M503" s="118"/>
      <c r="N503" s="118"/>
      <c r="O503" s="118"/>
      <c r="P503" s="121"/>
      <c r="Q503" s="118"/>
      <c r="R503" s="198"/>
      <c r="S503" s="123"/>
      <c r="T503" s="118"/>
      <c r="U503" s="118"/>
      <c r="V503" s="118"/>
      <c r="W503" s="118"/>
      <c r="X503" s="199"/>
      <c r="Y503" s="121"/>
      <c r="Z503" s="121"/>
      <c r="AA503" s="118"/>
      <c r="AB503" s="118"/>
      <c r="AC503" s="126"/>
    </row>
    <row r="504" spans="2:29" ht="45" customHeight="1" x14ac:dyDescent="0.25">
      <c r="B504" s="118">
        <v>501</v>
      </c>
      <c r="C504" s="118"/>
      <c r="D504" s="118"/>
      <c r="E504" s="118"/>
      <c r="F504" s="169"/>
      <c r="G504" s="118"/>
      <c r="H504" s="118"/>
      <c r="I504" s="118"/>
      <c r="J504" s="118"/>
      <c r="K504" s="118"/>
      <c r="L504" s="118"/>
      <c r="M504" s="118"/>
      <c r="N504" s="118"/>
      <c r="O504" s="118"/>
      <c r="P504" s="121"/>
      <c r="Q504" s="118"/>
      <c r="R504" s="198"/>
      <c r="S504" s="123"/>
      <c r="T504" s="118"/>
      <c r="U504" s="118"/>
      <c r="V504" s="118"/>
      <c r="W504" s="118"/>
      <c r="X504" s="199"/>
      <c r="Y504" s="121"/>
      <c r="Z504" s="121"/>
      <c r="AA504" s="118"/>
      <c r="AB504" s="118"/>
      <c r="AC504" s="126"/>
    </row>
    <row r="505" spans="2:29" ht="45" customHeight="1" x14ac:dyDescent="0.25">
      <c r="B505" s="118">
        <v>502</v>
      </c>
      <c r="C505" s="118"/>
      <c r="D505" s="118"/>
      <c r="E505" s="118"/>
      <c r="F505" s="169"/>
      <c r="G505" s="118"/>
      <c r="H505" s="118"/>
      <c r="I505" s="118"/>
      <c r="J505" s="118"/>
      <c r="K505" s="118"/>
      <c r="L505" s="118"/>
      <c r="M505" s="118"/>
      <c r="N505" s="118"/>
      <c r="O505" s="118"/>
      <c r="P505" s="121"/>
      <c r="Q505" s="118"/>
      <c r="R505" s="198"/>
      <c r="S505" s="123"/>
      <c r="T505" s="118"/>
      <c r="U505" s="118"/>
      <c r="V505" s="118"/>
      <c r="W505" s="118"/>
      <c r="X505" s="199"/>
      <c r="Y505" s="121"/>
      <c r="Z505" s="121"/>
      <c r="AA505" s="118"/>
      <c r="AB505" s="118"/>
      <c r="AC505" s="126"/>
    </row>
    <row r="506" spans="2:29" ht="45" customHeight="1" x14ac:dyDescent="0.25">
      <c r="B506" s="118">
        <v>503</v>
      </c>
      <c r="C506" s="118"/>
      <c r="D506" s="118"/>
      <c r="E506" s="118"/>
      <c r="F506" s="169"/>
      <c r="G506" s="118"/>
      <c r="H506" s="118"/>
      <c r="I506" s="118"/>
      <c r="J506" s="118"/>
      <c r="K506" s="118"/>
      <c r="L506" s="118"/>
      <c r="M506" s="118"/>
      <c r="N506" s="118"/>
      <c r="O506" s="118"/>
      <c r="P506" s="121"/>
      <c r="Q506" s="118"/>
      <c r="R506" s="198"/>
      <c r="S506" s="123"/>
      <c r="T506" s="118"/>
      <c r="U506" s="118"/>
      <c r="V506" s="118"/>
      <c r="W506" s="118"/>
      <c r="X506" s="199"/>
      <c r="Y506" s="121"/>
      <c r="Z506" s="121"/>
      <c r="AA506" s="118"/>
      <c r="AB506" s="118"/>
      <c r="AC506" s="126"/>
    </row>
    <row r="507" spans="2:29" ht="45" customHeight="1" x14ac:dyDescent="0.25">
      <c r="B507" s="118">
        <v>504</v>
      </c>
      <c r="C507" s="118"/>
      <c r="D507" s="118"/>
      <c r="E507" s="118"/>
      <c r="F507" s="169"/>
      <c r="G507" s="118"/>
      <c r="H507" s="118"/>
      <c r="I507" s="118"/>
      <c r="J507" s="118"/>
      <c r="K507" s="118"/>
      <c r="L507" s="118"/>
      <c r="M507" s="118"/>
      <c r="N507" s="118"/>
      <c r="O507" s="118"/>
      <c r="P507" s="121"/>
      <c r="Q507" s="118"/>
      <c r="R507" s="198"/>
      <c r="S507" s="123"/>
      <c r="T507" s="118"/>
      <c r="U507" s="118"/>
      <c r="V507" s="118"/>
      <c r="W507" s="118"/>
      <c r="X507" s="199"/>
      <c r="Y507" s="121"/>
      <c r="Z507" s="121"/>
      <c r="AA507" s="118"/>
      <c r="AB507" s="118"/>
      <c r="AC507" s="126"/>
    </row>
    <row r="508" spans="2:29" ht="45" customHeight="1" x14ac:dyDescent="0.25">
      <c r="B508" s="118">
        <v>505</v>
      </c>
      <c r="C508" s="118"/>
      <c r="D508" s="118"/>
      <c r="E508" s="118"/>
      <c r="F508" s="169"/>
      <c r="G508" s="118"/>
      <c r="H508" s="118"/>
      <c r="I508" s="118"/>
      <c r="J508" s="118"/>
      <c r="K508" s="118"/>
      <c r="L508" s="118"/>
      <c r="M508" s="118"/>
      <c r="N508" s="118"/>
      <c r="O508" s="118"/>
      <c r="P508" s="121"/>
      <c r="Q508" s="118"/>
      <c r="R508" s="198"/>
      <c r="S508" s="123"/>
      <c r="T508" s="118"/>
      <c r="U508" s="118"/>
      <c r="V508" s="118"/>
      <c r="W508" s="118"/>
      <c r="X508" s="199"/>
      <c r="Y508" s="121"/>
      <c r="Z508" s="121"/>
      <c r="AA508" s="118"/>
      <c r="AB508" s="118"/>
      <c r="AC508" s="126"/>
    </row>
    <row r="509" spans="2:29" ht="45" customHeight="1" x14ac:dyDescent="0.25">
      <c r="B509" s="118">
        <v>506</v>
      </c>
      <c r="C509" s="118"/>
      <c r="D509" s="118"/>
      <c r="E509" s="118"/>
      <c r="F509" s="169"/>
      <c r="G509" s="118"/>
      <c r="H509" s="118"/>
      <c r="I509" s="118"/>
      <c r="J509" s="118"/>
      <c r="K509" s="118"/>
      <c r="L509" s="118"/>
      <c r="M509" s="118"/>
      <c r="N509" s="118"/>
      <c r="O509" s="118"/>
      <c r="P509" s="121"/>
      <c r="Q509" s="118"/>
      <c r="R509" s="198"/>
      <c r="S509" s="123"/>
      <c r="T509" s="118"/>
      <c r="U509" s="118"/>
      <c r="V509" s="118"/>
      <c r="W509" s="118"/>
      <c r="X509" s="199"/>
      <c r="Y509" s="121"/>
      <c r="Z509" s="121"/>
      <c r="AA509" s="118"/>
      <c r="AB509" s="118"/>
      <c r="AC509" s="126"/>
    </row>
    <row r="510" spans="2:29" ht="45" customHeight="1" x14ac:dyDescent="0.25">
      <c r="B510" s="118">
        <v>507</v>
      </c>
      <c r="C510" s="118"/>
      <c r="D510" s="118"/>
      <c r="E510" s="118"/>
      <c r="F510" s="169"/>
      <c r="G510" s="118"/>
      <c r="H510" s="118"/>
      <c r="I510" s="118"/>
      <c r="J510" s="118"/>
      <c r="K510" s="118"/>
      <c r="L510" s="118"/>
      <c r="M510" s="118"/>
      <c r="N510" s="118"/>
      <c r="O510" s="118"/>
      <c r="P510" s="121"/>
      <c r="Q510" s="118"/>
      <c r="R510" s="198"/>
      <c r="S510" s="123"/>
      <c r="T510" s="118"/>
      <c r="U510" s="118"/>
      <c r="V510" s="118"/>
      <c r="W510" s="118"/>
      <c r="X510" s="199"/>
      <c r="Y510" s="121"/>
      <c r="Z510" s="121"/>
      <c r="AA510" s="118"/>
      <c r="AB510" s="118"/>
      <c r="AC510" s="126"/>
    </row>
    <row r="511" spans="2:29" ht="45" customHeight="1" x14ac:dyDescent="0.25">
      <c r="B511" s="118">
        <v>508</v>
      </c>
      <c r="C511" s="118"/>
      <c r="D511" s="118"/>
      <c r="E511" s="118"/>
      <c r="F511" s="169"/>
      <c r="G511" s="118"/>
      <c r="H511" s="118"/>
      <c r="I511" s="118"/>
      <c r="J511" s="118"/>
      <c r="K511" s="118"/>
      <c r="L511" s="118"/>
      <c r="M511" s="118"/>
      <c r="N511" s="118"/>
      <c r="O511" s="118"/>
      <c r="P511" s="121"/>
      <c r="Q511" s="118"/>
      <c r="R511" s="198"/>
      <c r="S511" s="123"/>
      <c r="T511" s="118"/>
      <c r="U511" s="118"/>
      <c r="V511" s="118"/>
      <c r="W511" s="118"/>
      <c r="X511" s="199"/>
      <c r="Y511" s="121"/>
      <c r="Z511" s="121"/>
      <c r="AA511" s="118"/>
      <c r="AB511" s="118"/>
      <c r="AC511" s="126"/>
    </row>
    <row r="512" spans="2:29" ht="45" customHeight="1" x14ac:dyDescent="0.25">
      <c r="B512" s="118">
        <v>509</v>
      </c>
      <c r="C512" s="118"/>
      <c r="D512" s="118"/>
      <c r="E512" s="118"/>
      <c r="F512" s="169"/>
      <c r="G512" s="118"/>
      <c r="H512" s="118"/>
      <c r="I512" s="118"/>
      <c r="J512" s="118"/>
      <c r="K512" s="118"/>
      <c r="L512" s="118"/>
      <c r="M512" s="118"/>
      <c r="N512" s="118"/>
      <c r="O512" s="118"/>
      <c r="P512" s="121"/>
      <c r="Q512" s="118"/>
      <c r="R512" s="198"/>
      <c r="S512" s="123"/>
      <c r="T512" s="118"/>
      <c r="U512" s="118"/>
      <c r="V512" s="118"/>
      <c r="W512" s="118"/>
      <c r="X512" s="199"/>
      <c r="Y512" s="121"/>
      <c r="Z512" s="121"/>
      <c r="AA512" s="118"/>
      <c r="AB512" s="118"/>
      <c r="AC512" s="126"/>
    </row>
    <row r="513" spans="2:29" ht="45" customHeight="1" x14ac:dyDescent="0.25">
      <c r="B513" s="118">
        <v>510</v>
      </c>
      <c r="C513" s="118"/>
      <c r="D513" s="118"/>
      <c r="E513" s="118"/>
      <c r="F513" s="169"/>
      <c r="G513" s="118"/>
      <c r="H513" s="118"/>
      <c r="I513" s="118"/>
      <c r="J513" s="118"/>
      <c r="K513" s="118"/>
      <c r="L513" s="118"/>
      <c r="M513" s="118"/>
      <c r="N513" s="118"/>
      <c r="O513" s="118"/>
      <c r="P513" s="121"/>
      <c r="Q513" s="118"/>
      <c r="R513" s="198"/>
      <c r="S513" s="123"/>
      <c r="T513" s="118"/>
      <c r="U513" s="118"/>
      <c r="V513" s="118"/>
      <c r="W513" s="118"/>
      <c r="X513" s="199"/>
      <c r="Y513" s="121"/>
      <c r="Z513" s="121"/>
      <c r="AA513" s="118"/>
      <c r="AB513" s="118"/>
      <c r="AC513" s="126"/>
    </row>
    <row r="514" spans="2:29" ht="45" customHeight="1" x14ac:dyDescent="0.25">
      <c r="B514" s="118">
        <v>511</v>
      </c>
      <c r="C514" s="118"/>
      <c r="D514" s="118"/>
      <c r="E514" s="118"/>
      <c r="F514" s="169"/>
      <c r="G514" s="118"/>
      <c r="H514" s="118"/>
      <c r="I514" s="118"/>
      <c r="J514" s="118"/>
      <c r="K514" s="118"/>
      <c r="L514" s="118"/>
      <c r="M514" s="118"/>
      <c r="N514" s="118"/>
      <c r="O514" s="118"/>
      <c r="P514" s="121"/>
      <c r="Q514" s="118"/>
      <c r="R514" s="198"/>
      <c r="S514" s="123"/>
      <c r="T514" s="118"/>
      <c r="U514" s="118"/>
      <c r="V514" s="118"/>
      <c r="W514" s="118"/>
      <c r="X514" s="199"/>
      <c r="Y514" s="121"/>
      <c r="Z514" s="121"/>
      <c r="AA514" s="118"/>
      <c r="AB514" s="118"/>
      <c r="AC514" s="126"/>
    </row>
    <row r="515" spans="2:29" ht="45" customHeight="1" x14ac:dyDescent="0.25">
      <c r="B515" s="118">
        <v>512</v>
      </c>
      <c r="C515" s="118"/>
      <c r="D515" s="118"/>
      <c r="E515" s="118"/>
      <c r="F515" s="169"/>
      <c r="G515" s="118"/>
      <c r="H515" s="118"/>
      <c r="I515" s="118"/>
      <c r="J515" s="118"/>
      <c r="K515" s="118"/>
      <c r="L515" s="118"/>
      <c r="M515" s="118"/>
      <c r="N515" s="118"/>
      <c r="O515" s="118"/>
      <c r="P515" s="121"/>
      <c r="Q515" s="118"/>
      <c r="R515" s="198"/>
      <c r="S515" s="123"/>
      <c r="T515" s="118"/>
      <c r="U515" s="118"/>
      <c r="V515" s="118"/>
      <c r="W515" s="118"/>
      <c r="X515" s="199"/>
      <c r="Y515" s="121"/>
      <c r="Z515" s="121"/>
      <c r="AA515" s="118"/>
      <c r="AB515" s="118"/>
      <c r="AC515" s="126"/>
    </row>
    <row r="516" spans="2:29" ht="45" customHeight="1" x14ac:dyDescent="0.25">
      <c r="B516" s="118">
        <v>513</v>
      </c>
      <c r="C516" s="118"/>
      <c r="D516" s="118"/>
      <c r="E516" s="118"/>
      <c r="F516" s="169"/>
      <c r="G516" s="118"/>
      <c r="H516" s="118"/>
      <c r="I516" s="118"/>
      <c r="J516" s="118"/>
      <c r="K516" s="118"/>
      <c r="L516" s="118"/>
      <c r="M516" s="118"/>
      <c r="N516" s="118"/>
      <c r="O516" s="118"/>
      <c r="P516" s="121"/>
      <c r="Q516" s="118"/>
      <c r="R516" s="198"/>
      <c r="S516" s="123"/>
      <c r="T516" s="118"/>
      <c r="U516" s="118"/>
      <c r="V516" s="118"/>
      <c r="W516" s="118"/>
      <c r="X516" s="199"/>
      <c r="Y516" s="121"/>
      <c r="Z516" s="121"/>
      <c r="AA516" s="118"/>
      <c r="AB516" s="118"/>
      <c r="AC516" s="126"/>
    </row>
    <row r="517" spans="2:29" ht="45" customHeight="1" x14ac:dyDescent="0.25">
      <c r="B517" s="118">
        <v>514</v>
      </c>
      <c r="C517" s="118"/>
      <c r="D517" s="118"/>
      <c r="E517" s="118"/>
      <c r="F517" s="169"/>
      <c r="G517" s="118"/>
      <c r="H517" s="118"/>
      <c r="I517" s="118"/>
      <c r="J517" s="118"/>
      <c r="K517" s="118"/>
      <c r="L517" s="118"/>
      <c r="M517" s="118"/>
      <c r="N517" s="118"/>
      <c r="O517" s="118"/>
      <c r="P517" s="121"/>
      <c r="Q517" s="118"/>
      <c r="R517" s="198"/>
      <c r="S517" s="123"/>
      <c r="T517" s="118"/>
      <c r="U517" s="118"/>
      <c r="V517" s="118"/>
      <c r="W517" s="118"/>
      <c r="X517" s="199"/>
      <c r="Y517" s="121"/>
      <c r="Z517" s="121"/>
      <c r="AA517" s="118"/>
      <c r="AB517" s="118"/>
      <c r="AC517" s="126"/>
    </row>
    <row r="518" spans="2:29" ht="45" customHeight="1" x14ac:dyDescent="0.25">
      <c r="B518" s="118">
        <v>515</v>
      </c>
      <c r="C518" s="118"/>
      <c r="D518" s="118"/>
      <c r="E518" s="118"/>
      <c r="F518" s="169"/>
      <c r="G518" s="118"/>
      <c r="H518" s="118"/>
      <c r="I518" s="118"/>
      <c r="J518" s="118"/>
      <c r="K518" s="118"/>
      <c r="L518" s="118"/>
      <c r="M518" s="118"/>
      <c r="N518" s="118"/>
      <c r="O518" s="118"/>
      <c r="P518" s="121"/>
      <c r="Q518" s="118"/>
      <c r="R518" s="198"/>
      <c r="S518" s="123"/>
      <c r="T518" s="118"/>
      <c r="U518" s="118"/>
      <c r="V518" s="118"/>
      <c r="W518" s="118"/>
      <c r="X518" s="199"/>
      <c r="Y518" s="121"/>
      <c r="Z518" s="121"/>
      <c r="AA518" s="118"/>
      <c r="AB518" s="118"/>
      <c r="AC518" s="126"/>
    </row>
    <row r="519" spans="2:29" ht="45" customHeight="1" x14ac:dyDescent="0.25">
      <c r="B519" s="118">
        <v>516</v>
      </c>
      <c r="C519" s="118"/>
      <c r="D519" s="118"/>
      <c r="E519" s="118"/>
      <c r="F519" s="169"/>
      <c r="G519" s="118"/>
      <c r="H519" s="118"/>
      <c r="I519" s="118"/>
      <c r="J519" s="118"/>
      <c r="K519" s="118"/>
      <c r="L519" s="118"/>
      <c r="M519" s="118"/>
      <c r="N519" s="118"/>
      <c r="O519" s="118"/>
      <c r="P519" s="121"/>
      <c r="Q519" s="118"/>
      <c r="R519" s="198"/>
      <c r="S519" s="123"/>
      <c r="T519" s="118"/>
      <c r="U519" s="118"/>
      <c r="V519" s="118"/>
      <c r="W519" s="118"/>
      <c r="X519" s="199"/>
      <c r="Y519" s="121"/>
      <c r="Z519" s="121"/>
      <c r="AA519" s="118"/>
      <c r="AB519" s="118"/>
      <c r="AC519" s="126"/>
    </row>
    <row r="520" spans="2:29" ht="45" customHeight="1" x14ac:dyDescent="0.25">
      <c r="B520" s="118">
        <v>517</v>
      </c>
      <c r="C520" s="118"/>
      <c r="D520" s="118"/>
      <c r="E520" s="118"/>
      <c r="F520" s="169"/>
      <c r="G520" s="118"/>
      <c r="H520" s="118"/>
      <c r="I520" s="118"/>
      <c r="J520" s="118"/>
      <c r="K520" s="118"/>
      <c r="L520" s="118"/>
      <c r="M520" s="118"/>
      <c r="N520" s="118"/>
      <c r="O520" s="118"/>
      <c r="P520" s="121"/>
      <c r="Q520" s="118"/>
      <c r="R520" s="198"/>
      <c r="S520" s="123"/>
      <c r="T520" s="118"/>
      <c r="U520" s="118"/>
      <c r="V520" s="118"/>
      <c r="W520" s="118"/>
      <c r="X520" s="199"/>
      <c r="Y520" s="121"/>
      <c r="Z520" s="121"/>
      <c r="AA520" s="118"/>
      <c r="AB520" s="118"/>
      <c r="AC520" s="126"/>
    </row>
    <row r="521" spans="2:29" ht="45" customHeight="1" x14ac:dyDescent="0.25">
      <c r="B521" s="118">
        <v>518</v>
      </c>
      <c r="C521" s="118"/>
      <c r="D521" s="118"/>
      <c r="E521" s="118"/>
      <c r="F521" s="169"/>
      <c r="G521" s="118"/>
      <c r="H521" s="118"/>
      <c r="I521" s="118"/>
      <c r="J521" s="118"/>
      <c r="K521" s="118"/>
      <c r="L521" s="118"/>
      <c r="M521" s="118"/>
      <c r="N521" s="118"/>
      <c r="O521" s="118"/>
      <c r="P521" s="121"/>
      <c r="Q521" s="118"/>
      <c r="R521" s="198"/>
      <c r="S521" s="123"/>
      <c r="T521" s="118"/>
      <c r="U521" s="118"/>
      <c r="V521" s="118"/>
      <c r="W521" s="118"/>
      <c r="X521" s="199"/>
      <c r="Y521" s="121"/>
      <c r="Z521" s="121"/>
      <c r="AA521" s="118"/>
      <c r="AB521" s="118"/>
      <c r="AC521" s="126"/>
    </row>
    <row r="522" spans="2:29" ht="45" customHeight="1" x14ac:dyDescent="0.25">
      <c r="B522" s="118">
        <v>519</v>
      </c>
      <c r="C522" s="118"/>
      <c r="D522" s="118"/>
      <c r="E522" s="118"/>
      <c r="F522" s="169"/>
      <c r="G522" s="118"/>
      <c r="H522" s="118"/>
      <c r="I522" s="118"/>
      <c r="J522" s="118"/>
      <c r="K522" s="118"/>
      <c r="L522" s="118"/>
      <c r="M522" s="118"/>
      <c r="N522" s="118"/>
      <c r="O522" s="118"/>
      <c r="P522" s="121"/>
      <c r="Q522" s="118"/>
      <c r="R522" s="198"/>
      <c r="S522" s="123"/>
      <c r="T522" s="118"/>
      <c r="U522" s="118"/>
      <c r="V522" s="118"/>
      <c r="W522" s="118"/>
      <c r="X522" s="199"/>
      <c r="Y522" s="121"/>
      <c r="Z522" s="121"/>
      <c r="AA522" s="118"/>
      <c r="AB522" s="118"/>
      <c r="AC522" s="126"/>
    </row>
    <row r="523" spans="2:29" ht="45" customHeight="1" x14ac:dyDescent="0.25">
      <c r="B523" s="118">
        <v>520</v>
      </c>
      <c r="C523" s="118"/>
      <c r="D523" s="118"/>
      <c r="E523" s="118"/>
      <c r="F523" s="169"/>
      <c r="G523" s="118"/>
      <c r="H523" s="118"/>
      <c r="I523" s="118"/>
      <c r="J523" s="118"/>
      <c r="K523" s="118"/>
      <c r="L523" s="118"/>
      <c r="M523" s="118"/>
      <c r="N523" s="118"/>
      <c r="O523" s="118"/>
      <c r="P523" s="121"/>
      <c r="Q523" s="118"/>
      <c r="R523" s="198"/>
      <c r="S523" s="123"/>
      <c r="T523" s="118"/>
      <c r="U523" s="118"/>
      <c r="V523" s="118"/>
      <c r="W523" s="118"/>
      <c r="X523" s="199"/>
      <c r="Y523" s="121"/>
      <c r="Z523" s="121"/>
      <c r="AA523" s="118"/>
      <c r="AB523" s="118"/>
      <c r="AC523" s="126"/>
    </row>
    <row r="524" spans="2:29" ht="45" customHeight="1" x14ac:dyDescent="0.25">
      <c r="B524" s="118">
        <v>521</v>
      </c>
      <c r="C524" s="118"/>
      <c r="D524" s="118"/>
      <c r="E524" s="118"/>
      <c r="F524" s="169"/>
      <c r="G524" s="118"/>
      <c r="H524" s="118"/>
      <c r="I524" s="118"/>
      <c r="J524" s="118"/>
      <c r="K524" s="118"/>
      <c r="L524" s="118"/>
      <c r="M524" s="118"/>
      <c r="N524" s="118"/>
      <c r="O524" s="118"/>
      <c r="P524" s="121"/>
      <c r="Q524" s="118"/>
      <c r="R524" s="198"/>
      <c r="S524" s="123"/>
      <c r="T524" s="118"/>
      <c r="U524" s="118"/>
      <c r="V524" s="118"/>
      <c r="W524" s="118"/>
      <c r="X524" s="199"/>
      <c r="Y524" s="121"/>
      <c r="Z524" s="121"/>
      <c r="AA524" s="118"/>
      <c r="AB524" s="118"/>
      <c r="AC524" s="126"/>
    </row>
    <row r="525" spans="2:29" ht="45" customHeight="1" x14ac:dyDescent="0.25">
      <c r="B525" s="118">
        <v>522</v>
      </c>
      <c r="C525" s="118"/>
      <c r="D525" s="118"/>
      <c r="E525" s="118"/>
      <c r="F525" s="169"/>
      <c r="G525" s="118"/>
      <c r="H525" s="118"/>
      <c r="I525" s="118"/>
      <c r="J525" s="118"/>
      <c r="K525" s="118"/>
      <c r="L525" s="118"/>
      <c r="M525" s="118"/>
      <c r="N525" s="118"/>
      <c r="O525" s="118"/>
      <c r="P525" s="121"/>
      <c r="Q525" s="118"/>
      <c r="R525" s="198"/>
      <c r="S525" s="123"/>
      <c r="T525" s="118"/>
      <c r="U525" s="118"/>
      <c r="V525" s="118"/>
      <c r="W525" s="118"/>
      <c r="X525" s="199"/>
      <c r="Y525" s="121"/>
      <c r="Z525" s="121"/>
      <c r="AA525" s="118"/>
      <c r="AB525" s="118"/>
      <c r="AC525" s="126"/>
    </row>
    <row r="526" spans="2:29" ht="45" customHeight="1" x14ac:dyDescent="0.25">
      <c r="B526" s="118">
        <v>523</v>
      </c>
      <c r="C526" s="118"/>
      <c r="D526" s="118"/>
      <c r="E526" s="118"/>
      <c r="F526" s="169"/>
      <c r="G526" s="118"/>
      <c r="H526" s="118"/>
      <c r="I526" s="118"/>
      <c r="J526" s="118"/>
      <c r="K526" s="118"/>
      <c r="L526" s="118"/>
      <c r="M526" s="118"/>
      <c r="N526" s="118"/>
      <c r="O526" s="118"/>
      <c r="P526" s="121"/>
      <c r="Q526" s="118"/>
      <c r="R526" s="198"/>
      <c r="S526" s="123"/>
      <c r="T526" s="118"/>
      <c r="U526" s="118"/>
      <c r="V526" s="118"/>
      <c r="W526" s="118"/>
      <c r="X526" s="199"/>
      <c r="Y526" s="121"/>
      <c r="Z526" s="121"/>
      <c r="AA526" s="118"/>
      <c r="AB526" s="118"/>
      <c r="AC526" s="126"/>
    </row>
    <row r="527" spans="2:29" ht="45" customHeight="1" x14ac:dyDescent="0.25">
      <c r="B527" s="118">
        <v>524</v>
      </c>
      <c r="C527" s="118"/>
      <c r="D527" s="118"/>
      <c r="E527" s="118"/>
      <c r="F527" s="169"/>
      <c r="G527" s="118"/>
      <c r="H527" s="118"/>
      <c r="I527" s="118"/>
      <c r="J527" s="118"/>
      <c r="K527" s="118"/>
      <c r="L527" s="118"/>
      <c r="M527" s="118"/>
      <c r="N527" s="118"/>
      <c r="O527" s="118"/>
      <c r="P527" s="121"/>
      <c r="Q527" s="118"/>
      <c r="R527" s="198"/>
      <c r="S527" s="123"/>
      <c r="T527" s="118"/>
      <c r="U527" s="118"/>
      <c r="V527" s="118"/>
      <c r="W527" s="118"/>
      <c r="X527" s="199"/>
      <c r="Y527" s="121"/>
      <c r="Z527" s="121"/>
      <c r="AA527" s="118"/>
      <c r="AB527" s="118"/>
      <c r="AC527" s="126"/>
    </row>
    <row r="528" spans="2:29" ht="45" customHeight="1" x14ac:dyDescent="0.25">
      <c r="B528" s="118">
        <v>525</v>
      </c>
      <c r="C528" s="118"/>
      <c r="D528" s="118"/>
      <c r="E528" s="118"/>
      <c r="F528" s="169"/>
      <c r="G528" s="118"/>
      <c r="H528" s="118"/>
      <c r="I528" s="118"/>
      <c r="J528" s="118"/>
      <c r="K528" s="118"/>
      <c r="L528" s="118"/>
      <c r="M528" s="118"/>
      <c r="N528" s="118"/>
      <c r="O528" s="118"/>
      <c r="P528" s="121"/>
      <c r="Q528" s="118"/>
      <c r="R528" s="198"/>
      <c r="S528" s="123"/>
      <c r="T528" s="118"/>
      <c r="U528" s="118"/>
      <c r="V528" s="118"/>
      <c r="W528" s="118"/>
      <c r="X528" s="199"/>
      <c r="Y528" s="121"/>
      <c r="Z528" s="121"/>
      <c r="AA528" s="118"/>
      <c r="AB528" s="118"/>
      <c r="AC528" s="126"/>
    </row>
    <row r="529" spans="2:29" ht="45" customHeight="1" x14ac:dyDescent="0.25">
      <c r="B529" s="118">
        <v>526</v>
      </c>
      <c r="C529" s="118"/>
      <c r="D529" s="118"/>
      <c r="E529" s="118"/>
      <c r="F529" s="169"/>
      <c r="G529" s="118"/>
      <c r="H529" s="118"/>
      <c r="I529" s="118"/>
      <c r="J529" s="118"/>
      <c r="K529" s="118"/>
      <c r="L529" s="118"/>
      <c r="M529" s="118"/>
      <c r="N529" s="118"/>
      <c r="O529" s="118"/>
      <c r="P529" s="121"/>
      <c r="Q529" s="118"/>
      <c r="R529" s="198"/>
      <c r="S529" s="123"/>
      <c r="T529" s="118"/>
      <c r="U529" s="118"/>
      <c r="V529" s="118"/>
      <c r="W529" s="118"/>
      <c r="X529" s="199"/>
      <c r="Y529" s="121"/>
      <c r="Z529" s="121"/>
      <c r="AA529" s="118"/>
      <c r="AB529" s="118"/>
      <c r="AC529" s="126"/>
    </row>
    <row r="530" spans="2:29" ht="45" customHeight="1" x14ac:dyDescent="0.25">
      <c r="B530" s="118">
        <v>527</v>
      </c>
      <c r="C530" s="118"/>
      <c r="D530" s="118"/>
      <c r="E530" s="118"/>
      <c r="F530" s="169"/>
      <c r="G530" s="118"/>
      <c r="H530" s="118"/>
      <c r="I530" s="118"/>
      <c r="J530" s="118"/>
      <c r="K530" s="118"/>
      <c r="L530" s="118"/>
      <c r="M530" s="118"/>
      <c r="N530" s="118"/>
      <c r="O530" s="118"/>
      <c r="P530" s="121"/>
      <c r="Q530" s="118"/>
      <c r="R530" s="198"/>
      <c r="S530" s="123"/>
      <c r="T530" s="118"/>
      <c r="U530" s="118"/>
      <c r="V530" s="118"/>
      <c r="W530" s="118"/>
      <c r="X530" s="199"/>
      <c r="Y530" s="121"/>
      <c r="Z530" s="121"/>
      <c r="AA530" s="118"/>
      <c r="AB530" s="118"/>
      <c r="AC530" s="126"/>
    </row>
    <row r="531" spans="2:29" ht="45" customHeight="1" x14ac:dyDescent="0.25">
      <c r="B531" s="118">
        <v>528</v>
      </c>
      <c r="C531" s="118"/>
      <c r="D531" s="118"/>
      <c r="E531" s="118"/>
      <c r="F531" s="169"/>
      <c r="G531" s="118"/>
      <c r="H531" s="118"/>
      <c r="I531" s="118"/>
      <c r="J531" s="118"/>
      <c r="K531" s="118"/>
      <c r="L531" s="118"/>
      <c r="M531" s="118"/>
      <c r="N531" s="118"/>
      <c r="O531" s="118"/>
      <c r="P531" s="121"/>
      <c r="Q531" s="118"/>
      <c r="R531" s="198"/>
      <c r="S531" s="123"/>
      <c r="T531" s="118"/>
      <c r="U531" s="118"/>
      <c r="V531" s="118"/>
      <c r="W531" s="118"/>
      <c r="X531" s="199"/>
      <c r="Y531" s="121"/>
      <c r="Z531" s="121"/>
      <c r="AA531" s="118"/>
      <c r="AB531" s="118"/>
      <c r="AC531" s="126"/>
    </row>
    <row r="532" spans="2:29" ht="45" customHeight="1" x14ac:dyDescent="0.25">
      <c r="B532" s="118">
        <v>529</v>
      </c>
      <c r="C532" s="118"/>
      <c r="D532" s="118"/>
      <c r="E532" s="118"/>
      <c r="F532" s="169"/>
      <c r="G532" s="118"/>
      <c r="H532" s="118"/>
      <c r="I532" s="118"/>
      <c r="J532" s="118"/>
      <c r="K532" s="118"/>
      <c r="L532" s="118"/>
      <c r="M532" s="118"/>
      <c r="N532" s="118"/>
      <c r="O532" s="118"/>
      <c r="P532" s="121"/>
      <c r="Q532" s="118"/>
      <c r="R532" s="198"/>
      <c r="S532" s="123"/>
      <c r="T532" s="118"/>
      <c r="U532" s="118"/>
      <c r="V532" s="118"/>
      <c r="W532" s="118"/>
      <c r="X532" s="199"/>
      <c r="Y532" s="121"/>
      <c r="Z532" s="121"/>
      <c r="AA532" s="118"/>
      <c r="AB532" s="118"/>
      <c r="AC532" s="126"/>
    </row>
    <row r="533" spans="2:29" ht="45" customHeight="1" x14ac:dyDescent="0.25">
      <c r="B533" s="118">
        <v>530</v>
      </c>
      <c r="C533" s="118"/>
      <c r="D533" s="118"/>
      <c r="E533" s="118"/>
      <c r="F533" s="169"/>
      <c r="G533" s="118"/>
      <c r="H533" s="118"/>
      <c r="I533" s="118"/>
      <c r="J533" s="118"/>
      <c r="K533" s="118"/>
      <c r="L533" s="118"/>
      <c r="M533" s="118"/>
      <c r="N533" s="118"/>
      <c r="O533" s="118"/>
      <c r="P533" s="121"/>
      <c r="Q533" s="118"/>
      <c r="R533" s="198"/>
      <c r="S533" s="123"/>
      <c r="T533" s="118"/>
      <c r="U533" s="118"/>
      <c r="V533" s="118"/>
      <c r="W533" s="118"/>
      <c r="X533" s="199"/>
      <c r="Y533" s="121"/>
      <c r="Z533" s="121"/>
      <c r="AA533" s="118"/>
      <c r="AB533" s="118"/>
      <c r="AC533" s="126"/>
    </row>
    <row r="534" spans="2:29" ht="45" customHeight="1" x14ac:dyDescent="0.25">
      <c r="B534" s="118">
        <v>531</v>
      </c>
      <c r="C534" s="118"/>
      <c r="D534" s="118"/>
      <c r="E534" s="118"/>
      <c r="F534" s="169"/>
      <c r="G534" s="118"/>
      <c r="H534" s="118"/>
      <c r="I534" s="118"/>
      <c r="J534" s="118"/>
      <c r="K534" s="118"/>
      <c r="L534" s="118"/>
      <c r="M534" s="118"/>
      <c r="N534" s="118"/>
      <c r="O534" s="118"/>
      <c r="P534" s="121"/>
      <c r="Q534" s="118"/>
      <c r="R534" s="198"/>
      <c r="S534" s="123"/>
      <c r="T534" s="118"/>
      <c r="U534" s="118"/>
      <c r="V534" s="118"/>
      <c r="W534" s="118"/>
      <c r="X534" s="199"/>
      <c r="Y534" s="121"/>
      <c r="Z534" s="121"/>
      <c r="AA534" s="118"/>
      <c r="AB534" s="118"/>
      <c r="AC534" s="126"/>
    </row>
    <row r="535" spans="2:29" ht="45" customHeight="1" x14ac:dyDescent="0.25">
      <c r="B535" s="118">
        <v>532</v>
      </c>
      <c r="C535" s="118"/>
      <c r="D535" s="118"/>
      <c r="E535" s="118"/>
      <c r="F535" s="169"/>
      <c r="G535" s="118"/>
      <c r="H535" s="118"/>
      <c r="I535" s="118"/>
      <c r="J535" s="118"/>
      <c r="K535" s="118"/>
      <c r="L535" s="118"/>
      <c r="M535" s="118"/>
      <c r="N535" s="118"/>
      <c r="O535" s="118"/>
      <c r="P535" s="121"/>
      <c r="Q535" s="118"/>
      <c r="R535" s="198"/>
      <c r="S535" s="123"/>
      <c r="T535" s="118"/>
      <c r="U535" s="118"/>
      <c r="V535" s="118"/>
      <c r="W535" s="118"/>
      <c r="X535" s="199"/>
      <c r="Y535" s="121"/>
      <c r="Z535" s="121"/>
      <c r="AA535" s="118"/>
      <c r="AB535" s="118"/>
      <c r="AC535" s="126"/>
    </row>
    <row r="536" spans="2:29" ht="45" customHeight="1" x14ac:dyDescent="0.25">
      <c r="B536" s="118">
        <v>533</v>
      </c>
      <c r="C536" s="118"/>
      <c r="D536" s="118"/>
      <c r="E536" s="118"/>
      <c r="F536" s="169"/>
      <c r="G536" s="118"/>
      <c r="H536" s="118"/>
      <c r="I536" s="118"/>
      <c r="J536" s="118"/>
      <c r="K536" s="118"/>
      <c r="L536" s="118"/>
      <c r="M536" s="118"/>
      <c r="N536" s="118"/>
      <c r="O536" s="118"/>
      <c r="P536" s="121"/>
      <c r="Q536" s="118"/>
      <c r="R536" s="198"/>
      <c r="S536" s="123"/>
      <c r="T536" s="118"/>
      <c r="U536" s="118"/>
      <c r="V536" s="118"/>
      <c r="W536" s="118"/>
      <c r="X536" s="199"/>
      <c r="Y536" s="121"/>
      <c r="Z536" s="121"/>
      <c r="AA536" s="118"/>
      <c r="AB536" s="118"/>
      <c r="AC536" s="126"/>
    </row>
    <row r="537" spans="2:29" ht="45" customHeight="1" x14ac:dyDescent="0.25">
      <c r="B537" s="118">
        <v>534</v>
      </c>
      <c r="C537" s="118"/>
      <c r="D537" s="118"/>
      <c r="E537" s="118"/>
      <c r="F537" s="169"/>
      <c r="G537" s="118"/>
      <c r="H537" s="118"/>
      <c r="I537" s="118"/>
      <c r="J537" s="118"/>
      <c r="K537" s="118"/>
      <c r="L537" s="118"/>
      <c r="M537" s="118"/>
      <c r="N537" s="118"/>
      <c r="O537" s="118"/>
      <c r="P537" s="121"/>
      <c r="Q537" s="118"/>
      <c r="R537" s="198"/>
      <c r="S537" s="123"/>
      <c r="T537" s="118"/>
      <c r="U537" s="118"/>
      <c r="V537" s="118"/>
      <c r="W537" s="118"/>
      <c r="X537" s="199"/>
      <c r="Y537" s="121"/>
      <c r="Z537" s="121"/>
      <c r="AA537" s="118"/>
      <c r="AB537" s="118"/>
      <c r="AC537" s="126"/>
    </row>
    <row r="538" spans="2:29" ht="45" customHeight="1" x14ac:dyDescent="0.25">
      <c r="B538" s="118">
        <v>535</v>
      </c>
      <c r="C538" s="118"/>
      <c r="D538" s="118"/>
      <c r="E538" s="118"/>
      <c r="F538" s="169"/>
      <c r="G538" s="118"/>
      <c r="H538" s="118"/>
      <c r="I538" s="118"/>
      <c r="J538" s="118"/>
      <c r="K538" s="118"/>
      <c r="L538" s="118"/>
      <c r="M538" s="118"/>
      <c r="N538" s="118"/>
      <c r="O538" s="118"/>
      <c r="P538" s="121"/>
      <c r="Q538" s="118"/>
      <c r="R538" s="198"/>
      <c r="S538" s="123"/>
      <c r="T538" s="118"/>
      <c r="U538" s="118"/>
      <c r="V538" s="118"/>
      <c r="W538" s="118"/>
      <c r="X538" s="199"/>
      <c r="Y538" s="121"/>
      <c r="Z538" s="121"/>
      <c r="AA538" s="118"/>
      <c r="AB538" s="118"/>
      <c r="AC538" s="126"/>
    </row>
    <row r="539" spans="2:29" ht="45" customHeight="1" x14ac:dyDescent="0.25">
      <c r="B539" s="118">
        <v>536</v>
      </c>
      <c r="C539" s="118"/>
      <c r="D539" s="118"/>
      <c r="E539" s="118"/>
      <c r="F539" s="169"/>
      <c r="G539" s="118"/>
      <c r="H539" s="118"/>
      <c r="I539" s="118"/>
      <c r="J539" s="118"/>
      <c r="K539" s="118"/>
      <c r="L539" s="118"/>
      <c r="M539" s="118"/>
      <c r="N539" s="118"/>
      <c r="O539" s="118"/>
      <c r="P539" s="121"/>
      <c r="Q539" s="118"/>
      <c r="R539" s="198"/>
      <c r="S539" s="123"/>
      <c r="T539" s="118"/>
      <c r="U539" s="118"/>
      <c r="V539" s="118"/>
      <c r="W539" s="118"/>
      <c r="X539" s="199"/>
      <c r="Y539" s="121"/>
      <c r="Z539" s="121"/>
      <c r="AA539" s="118"/>
      <c r="AB539" s="118"/>
      <c r="AC539" s="126"/>
    </row>
    <row r="540" spans="2:29" ht="45" customHeight="1" x14ac:dyDescent="0.25">
      <c r="B540" s="118">
        <v>537</v>
      </c>
      <c r="C540" s="118"/>
      <c r="D540" s="118"/>
      <c r="E540" s="118"/>
      <c r="F540" s="169"/>
      <c r="G540" s="118"/>
      <c r="H540" s="118"/>
      <c r="I540" s="118"/>
      <c r="J540" s="118"/>
      <c r="K540" s="118"/>
      <c r="L540" s="118"/>
      <c r="M540" s="118"/>
      <c r="N540" s="118"/>
      <c r="O540" s="118"/>
      <c r="P540" s="121"/>
      <c r="Q540" s="118"/>
      <c r="R540" s="198"/>
      <c r="S540" s="123"/>
      <c r="T540" s="118"/>
      <c r="U540" s="118"/>
      <c r="V540" s="118"/>
      <c r="W540" s="118"/>
      <c r="X540" s="199"/>
      <c r="Y540" s="121"/>
      <c r="Z540" s="121"/>
      <c r="AA540" s="118"/>
      <c r="AB540" s="118"/>
      <c r="AC540" s="126"/>
    </row>
    <row r="541" spans="2:29" ht="45" customHeight="1" x14ac:dyDescent="0.25">
      <c r="B541" s="118">
        <v>538</v>
      </c>
      <c r="C541" s="118"/>
      <c r="D541" s="118"/>
      <c r="E541" s="118"/>
      <c r="F541" s="169"/>
      <c r="G541" s="118"/>
      <c r="H541" s="118"/>
      <c r="I541" s="118"/>
      <c r="J541" s="118"/>
      <c r="K541" s="118"/>
      <c r="L541" s="118"/>
      <c r="M541" s="118"/>
      <c r="N541" s="118"/>
      <c r="O541" s="118"/>
      <c r="P541" s="121"/>
      <c r="Q541" s="118"/>
      <c r="R541" s="198"/>
      <c r="S541" s="123"/>
      <c r="T541" s="118"/>
      <c r="U541" s="118"/>
      <c r="V541" s="118"/>
      <c r="W541" s="118"/>
      <c r="X541" s="199"/>
      <c r="Y541" s="121"/>
      <c r="Z541" s="121"/>
      <c r="AA541" s="118"/>
      <c r="AB541" s="118"/>
      <c r="AC541" s="126"/>
    </row>
    <row r="542" spans="2:29" ht="45" customHeight="1" x14ac:dyDescent="0.25">
      <c r="B542" s="118">
        <v>539</v>
      </c>
      <c r="C542" s="118"/>
      <c r="D542" s="118"/>
      <c r="E542" s="118"/>
      <c r="F542" s="169"/>
      <c r="G542" s="118"/>
      <c r="H542" s="118"/>
      <c r="I542" s="118"/>
      <c r="J542" s="118"/>
      <c r="K542" s="118"/>
      <c r="L542" s="118"/>
      <c r="M542" s="118"/>
      <c r="N542" s="118"/>
      <c r="O542" s="118"/>
      <c r="P542" s="121"/>
      <c r="Q542" s="118"/>
      <c r="R542" s="198"/>
      <c r="S542" s="123"/>
      <c r="T542" s="118"/>
      <c r="U542" s="118"/>
      <c r="V542" s="118"/>
      <c r="W542" s="118"/>
      <c r="X542" s="199"/>
      <c r="Y542" s="121"/>
      <c r="Z542" s="121"/>
      <c r="AA542" s="118"/>
      <c r="AB542" s="118"/>
      <c r="AC542" s="126"/>
    </row>
    <row r="543" spans="2:29" ht="45" customHeight="1" x14ac:dyDescent="0.25">
      <c r="B543" s="118">
        <v>540</v>
      </c>
      <c r="C543" s="118"/>
      <c r="D543" s="118"/>
      <c r="E543" s="118"/>
      <c r="F543" s="169"/>
      <c r="G543" s="118"/>
      <c r="H543" s="118"/>
      <c r="I543" s="118"/>
      <c r="J543" s="118"/>
      <c r="K543" s="118"/>
      <c r="L543" s="118"/>
      <c r="M543" s="118"/>
      <c r="N543" s="118"/>
      <c r="O543" s="118"/>
      <c r="P543" s="121"/>
      <c r="Q543" s="118"/>
      <c r="R543" s="198"/>
      <c r="S543" s="123"/>
      <c r="T543" s="118"/>
      <c r="U543" s="118"/>
      <c r="V543" s="118"/>
      <c r="W543" s="118"/>
      <c r="X543" s="199"/>
      <c r="Y543" s="121"/>
      <c r="Z543" s="121"/>
      <c r="AA543" s="118"/>
      <c r="AB543" s="118"/>
      <c r="AC543" s="126"/>
    </row>
    <row r="544" spans="2:29" ht="45" customHeight="1" x14ac:dyDescent="0.25">
      <c r="B544" s="118">
        <v>541</v>
      </c>
      <c r="C544" s="118"/>
      <c r="D544" s="118"/>
      <c r="E544" s="118"/>
      <c r="F544" s="169"/>
      <c r="G544" s="118"/>
      <c r="H544" s="118"/>
      <c r="I544" s="118"/>
      <c r="J544" s="118"/>
      <c r="K544" s="118"/>
      <c r="L544" s="118"/>
      <c r="M544" s="118"/>
      <c r="N544" s="118"/>
      <c r="O544" s="118"/>
      <c r="P544" s="121"/>
      <c r="Q544" s="118"/>
      <c r="R544" s="198"/>
      <c r="S544" s="123"/>
      <c r="T544" s="118"/>
      <c r="U544" s="118"/>
      <c r="V544" s="118"/>
      <c r="W544" s="118"/>
      <c r="X544" s="199"/>
      <c r="Y544" s="121"/>
      <c r="Z544" s="121"/>
      <c r="AA544" s="118"/>
      <c r="AB544" s="118"/>
      <c r="AC544" s="126"/>
    </row>
    <row r="545" spans="2:29" ht="45" customHeight="1" x14ac:dyDescent="0.25">
      <c r="B545" s="118">
        <v>542</v>
      </c>
      <c r="C545" s="118"/>
      <c r="D545" s="118"/>
      <c r="E545" s="118"/>
      <c r="F545" s="169"/>
      <c r="G545" s="118"/>
      <c r="H545" s="118"/>
      <c r="I545" s="118"/>
      <c r="J545" s="118"/>
      <c r="K545" s="118"/>
      <c r="L545" s="118"/>
      <c r="M545" s="118"/>
      <c r="N545" s="118"/>
      <c r="O545" s="118"/>
      <c r="P545" s="121"/>
      <c r="Q545" s="118"/>
      <c r="R545" s="198"/>
      <c r="S545" s="123"/>
      <c r="T545" s="118"/>
      <c r="U545" s="118"/>
      <c r="V545" s="118"/>
      <c r="W545" s="118"/>
      <c r="X545" s="199"/>
      <c r="Y545" s="121"/>
      <c r="Z545" s="121"/>
      <c r="AA545" s="118"/>
      <c r="AB545" s="118"/>
      <c r="AC545" s="126"/>
    </row>
    <row r="546" spans="2:29" ht="45" customHeight="1" x14ac:dyDescent="0.25">
      <c r="B546" s="118">
        <v>543</v>
      </c>
      <c r="C546" s="118"/>
      <c r="D546" s="118"/>
      <c r="E546" s="118"/>
      <c r="F546" s="169"/>
      <c r="G546" s="118"/>
      <c r="H546" s="118"/>
      <c r="I546" s="118"/>
      <c r="J546" s="118"/>
      <c r="K546" s="118"/>
      <c r="L546" s="118"/>
      <c r="M546" s="118"/>
      <c r="N546" s="118"/>
      <c r="O546" s="118"/>
      <c r="P546" s="121"/>
      <c r="Q546" s="118"/>
      <c r="R546" s="198"/>
      <c r="S546" s="123"/>
      <c r="T546" s="118"/>
      <c r="U546" s="118"/>
      <c r="V546" s="118"/>
      <c r="W546" s="118"/>
      <c r="X546" s="199"/>
      <c r="Y546" s="121"/>
      <c r="Z546" s="121"/>
      <c r="AA546" s="118"/>
      <c r="AB546" s="118"/>
      <c r="AC546" s="126"/>
    </row>
    <row r="547" spans="2:29" ht="45" customHeight="1" x14ac:dyDescent="0.25">
      <c r="B547" s="118">
        <v>544</v>
      </c>
      <c r="C547" s="118"/>
      <c r="D547" s="118"/>
      <c r="E547" s="118"/>
      <c r="F547" s="169"/>
      <c r="G547" s="118"/>
      <c r="H547" s="118"/>
      <c r="I547" s="118"/>
      <c r="J547" s="118"/>
      <c r="K547" s="118"/>
      <c r="L547" s="118"/>
      <c r="M547" s="118"/>
      <c r="N547" s="118"/>
      <c r="O547" s="118"/>
      <c r="P547" s="121"/>
      <c r="Q547" s="118"/>
      <c r="R547" s="198"/>
      <c r="S547" s="123"/>
      <c r="T547" s="118"/>
      <c r="U547" s="118"/>
      <c r="V547" s="118"/>
      <c r="W547" s="118"/>
      <c r="X547" s="199"/>
      <c r="Y547" s="121"/>
      <c r="Z547" s="121"/>
      <c r="AA547" s="118"/>
      <c r="AB547" s="118"/>
      <c r="AC547" s="126"/>
    </row>
    <row r="548" spans="2:29" ht="45" customHeight="1" x14ac:dyDescent="0.25">
      <c r="B548" s="118">
        <v>545</v>
      </c>
      <c r="C548" s="118"/>
      <c r="D548" s="118"/>
      <c r="E548" s="118"/>
      <c r="F548" s="169"/>
      <c r="G548" s="118"/>
      <c r="H548" s="118"/>
      <c r="I548" s="118"/>
      <c r="J548" s="118"/>
      <c r="K548" s="118"/>
      <c r="L548" s="118"/>
      <c r="M548" s="118"/>
      <c r="N548" s="118"/>
      <c r="O548" s="118"/>
      <c r="P548" s="121"/>
      <c r="Q548" s="118"/>
      <c r="R548" s="198"/>
      <c r="S548" s="123"/>
      <c r="T548" s="118"/>
      <c r="U548" s="118"/>
      <c r="V548" s="118"/>
      <c r="W548" s="118"/>
      <c r="X548" s="199"/>
      <c r="Y548" s="121"/>
      <c r="Z548" s="121"/>
      <c r="AA548" s="118"/>
      <c r="AB548" s="118"/>
      <c r="AC548" s="126"/>
    </row>
    <row r="549" spans="2:29" ht="45" customHeight="1" x14ac:dyDescent="0.25">
      <c r="B549" s="118">
        <v>546</v>
      </c>
      <c r="C549" s="118"/>
      <c r="D549" s="118"/>
      <c r="E549" s="118"/>
      <c r="F549" s="169"/>
      <c r="G549" s="118"/>
      <c r="H549" s="118"/>
      <c r="I549" s="118"/>
      <c r="J549" s="118"/>
      <c r="K549" s="118"/>
      <c r="L549" s="118"/>
      <c r="M549" s="118"/>
      <c r="N549" s="118"/>
      <c r="O549" s="118"/>
      <c r="P549" s="121"/>
      <c r="Q549" s="118"/>
      <c r="R549" s="198"/>
      <c r="S549" s="123"/>
      <c r="T549" s="118"/>
      <c r="U549" s="118"/>
      <c r="V549" s="118"/>
      <c r="W549" s="118"/>
      <c r="X549" s="199"/>
      <c r="Y549" s="121"/>
      <c r="Z549" s="121"/>
      <c r="AA549" s="118"/>
      <c r="AB549" s="118"/>
      <c r="AC549" s="126"/>
    </row>
    <row r="550" spans="2:29" ht="45" customHeight="1" x14ac:dyDescent="0.25">
      <c r="B550" s="118">
        <v>547</v>
      </c>
      <c r="C550" s="118"/>
      <c r="D550" s="118"/>
      <c r="E550" s="118"/>
      <c r="F550" s="169"/>
      <c r="G550" s="118"/>
      <c r="H550" s="118"/>
      <c r="I550" s="118"/>
      <c r="J550" s="118"/>
      <c r="K550" s="118"/>
      <c r="L550" s="118"/>
      <c r="M550" s="118"/>
      <c r="N550" s="118"/>
      <c r="O550" s="118"/>
      <c r="P550" s="121"/>
      <c r="Q550" s="118"/>
      <c r="R550" s="198"/>
      <c r="S550" s="123"/>
      <c r="T550" s="118"/>
      <c r="U550" s="118"/>
      <c r="V550" s="118"/>
      <c r="W550" s="118"/>
      <c r="X550" s="199"/>
      <c r="Y550" s="121"/>
      <c r="Z550" s="121"/>
      <c r="AA550" s="118"/>
      <c r="AB550" s="118"/>
      <c r="AC550" s="126"/>
    </row>
    <row r="551" spans="2:29" ht="45" customHeight="1" x14ac:dyDescent="0.25">
      <c r="B551" s="118">
        <v>548</v>
      </c>
      <c r="C551" s="118"/>
      <c r="D551" s="118"/>
      <c r="E551" s="118"/>
      <c r="F551" s="169"/>
      <c r="G551" s="118"/>
      <c r="H551" s="118"/>
      <c r="I551" s="118"/>
      <c r="J551" s="118"/>
      <c r="K551" s="118"/>
      <c r="L551" s="118"/>
      <c r="M551" s="118"/>
      <c r="N551" s="118"/>
      <c r="O551" s="118"/>
      <c r="P551" s="121"/>
      <c r="Q551" s="118"/>
      <c r="R551" s="198"/>
      <c r="S551" s="123"/>
      <c r="T551" s="118"/>
      <c r="U551" s="118"/>
      <c r="V551" s="118"/>
      <c r="W551" s="118"/>
      <c r="X551" s="199"/>
      <c r="Y551" s="121"/>
      <c r="Z551" s="121"/>
      <c r="AA551" s="118"/>
      <c r="AB551" s="118"/>
      <c r="AC551" s="126"/>
    </row>
    <row r="552" spans="2:29" ht="45" customHeight="1" x14ac:dyDescent="0.25">
      <c r="B552" s="118">
        <v>549</v>
      </c>
      <c r="C552" s="118"/>
      <c r="D552" s="118"/>
      <c r="E552" s="118"/>
      <c r="F552" s="169"/>
      <c r="G552" s="118"/>
      <c r="H552" s="118"/>
      <c r="I552" s="118"/>
      <c r="J552" s="118"/>
      <c r="K552" s="118"/>
      <c r="L552" s="118"/>
      <c r="M552" s="118"/>
      <c r="N552" s="118"/>
      <c r="O552" s="118"/>
      <c r="P552" s="121"/>
      <c r="Q552" s="118"/>
      <c r="R552" s="198"/>
      <c r="S552" s="123"/>
      <c r="T552" s="118"/>
      <c r="U552" s="118"/>
      <c r="V552" s="118"/>
      <c r="W552" s="118"/>
      <c r="X552" s="199"/>
      <c r="Y552" s="121"/>
      <c r="Z552" s="121"/>
      <c r="AA552" s="118"/>
      <c r="AB552" s="118"/>
      <c r="AC552" s="126"/>
    </row>
    <row r="553" spans="2:29" ht="45" customHeight="1" x14ac:dyDescent="0.25">
      <c r="B553" s="118">
        <v>550</v>
      </c>
      <c r="C553" s="118"/>
      <c r="D553" s="118"/>
      <c r="E553" s="118"/>
      <c r="F553" s="169"/>
      <c r="G553" s="118"/>
      <c r="H553" s="118"/>
      <c r="I553" s="118"/>
      <c r="J553" s="118"/>
      <c r="K553" s="118"/>
      <c r="L553" s="118"/>
      <c r="M553" s="118"/>
      <c r="N553" s="118"/>
      <c r="O553" s="118"/>
      <c r="P553" s="121"/>
      <c r="Q553" s="118"/>
      <c r="R553" s="198"/>
      <c r="S553" s="123"/>
      <c r="T553" s="118"/>
      <c r="U553" s="118"/>
      <c r="V553" s="118"/>
      <c r="W553" s="118"/>
      <c r="X553" s="199"/>
      <c r="Y553" s="121"/>
      <c r="Z553" s="121"/>
      <c r="AA553" s="118"/>
      <c r="AB553" s="118"/>
      <c r="AC553" s="126"/>
    </row>
    <row r="554" spans="2:29" ht="45" customHeight="1" x14ac:dyDescent="0.25">
      <c r="B554" s="118">
        <v>551</v>
      </c>
      <c r="C554" s="118"/>
      <c r="D554" s="118"/>
      <c r="E554" s="118"/>
      <c r="F554" s="169"/>
      <c r="G554" s="118"/>
      <c r="H554" s="118"/>
      <c r="I554" s="118"/>
      <c r="J554" s="118"/>
      <c r="K554" s="118"/>
      <c r="L554" s="118"/>
      <c r="M554" s="118"/>
      <c r="N554" s="118"/>
      <c r="O554" s="118"/>
      <c r="P554" s="121"/>
      <c r="Q554" s="118"/>
      <c r="R554" s="198"/>
      <c r="S554" s="123"/>
      <c r="T554" s="118"/>
      <c r="U554" s="118"/>
      <c r="V554" s="118"/>
      <c r="W554" s="118"/>
      <c r="X554" s="199"/>
      <c r="Y554" s="121"/>
      <c r="Z554" s="121"/>
      <c r="AA554" s="118"/>
      <c r="AB554" s="118"/>
      <c r="AC554" s="126"/>
    </row>
    <row r="555" spans="2:29" ht="45" customHeight="1" x14ac:dyDescent="0.25">
      <c r="B555" s="118">
        <v>552</v>
      </c>
      <c r="C555" s="118"/>
      <c r="D555" s="118"/>
      <c r="E555" s="118"/>
      <c r="F555" s="169"/>
      <c r="G555" s="118"/>
      <c r="H555" s="118"/>
      <c r="I555" s="118"/>
      <c r="J555" s="118"/>
      <c r="K555" s="118"/>
      <c r="L555" s="118"/>
      <c r="M555" s="118"/>
      <c r="N555" s="118"/>
      <c r="O555" s="118"/>
      <c r="P555" s="121"/>
      <c r="Q555" s="118"/>
      <c r="R555" s="198"/>
      <c r="S555" s="123"/>
      <c r="T555" s="118"/>
      <c r="U555" s="118"/>
      <c r="V555" s="118"/>
      <c r="W555" s="118"/>
      <c r="X555" s="199"/>
      <c r="Y555" s="121"/>
      <c r="Z555" s="121"/>
      <c r="AA555" s="118"/>
      <c r="AB555" s="118"/>
      <c r="AC555" s="126"/>
    </row>
    <row r="556" spans="2:29" ht="45" customHeight="1" x14ac:dyDescent="0.25">
      <c r="B556" s="118">
        <v>553</v>
      </c>
      <c r="C556" s="118"/>
      <c r="D556" s="118"/>
      <c r="E556" s="118"/>
      <c r="F556" s="169"/>
      <c r="G556" s="118"/>
      <c r="H556" s="118"/>
      <c r="I556" s="118"/>
      <c r="J556" s="118"/>
      <c r="K556" s="118"/>
      <c r="L556" s="118"/>
      <c r="M556" s="118"/>
      <c r="N556" s="118"/>
      <c r="O556" s="118"/>
      <c r="P556" s="121"/>
      <c r="Q556" s="118"/>
      <c r="R556" s="198"/>
      <c r="S556" s="123"/>
      <c r="T556" s="118"/>
      <c r="U556" s="118"/>
      <c r="V556" s="118"/>
      <c r="W556" s="118"/>
      <c r="X556" s="199"/>
      <c r="Y556" s="121"/>
      <c r="Z556" s="121"/>
      <c r="AA556" s="118"/>
      <c r="AB556" s="118"/>
      <c r="AC556" s="126"/>
    </row>
    <row r="557" spans="2:29" ht="45" customHeight="1" x14ac:dyDescent="0.25">
      <c r="B557" s="118">
        <v>554</v>
      </c>
      <c r="C557" s="118"/>
      <c r="D557" s="118"/>
      <c r="E557" s="118"/>
      <c r="F557" s="169"/>
      <c r="G557" s="118"/>
      <c r="H557" s="118"/>
      <c r="I557" s="118"/>
      <c r="J557" s="118"/>
      <c r="K557" s="118"/>
      <c r="L557" s="118"/>
      <c r="M557" s="118"/>
      <c r="N557" s="118"/>
      <c r="O557" s="118"/>
      <c r="P557" s="121"/>
      <c r="Q557" s="118"/>
      <c r="R557" s="198"/>
      <c r="S557" s="123"/>
      <c r="T557" s="118"/>
      <c r="U557" s="118"/>
      <c r="V557" s="118"/>
      <c r="W557" s="118"/>
      <c r="X557" s="199"/>
      <c r="Y557" s="121"/>
      <c r="Z557" s="121"/>
      <c r="AA557" s="118"/>
      <c r="AB557" s="118"/>
      <c r="AC557" s="126"/>
    </row>
    <row r="558" spans="2:29" ht="45" customHeight="1" x14ac:dyDescent="0.25">
      <c r="B558" s="118">
        <v>555</v>
      </c>
      <c r="C558" s="118"/>
      <c r="D558" s="118"/>
      <c r="E558" s="118"/>
      <c r="F558" s="169"/>
      <c r="G558" s="118"/>
      <c r="H558" s="118"/>
      <c r="I558" s="118"/>
      <c r="J558" s="118"/>
      <c r="K558" s="118"/>
      <c r="L558" s="118"/>
      <c r="M558" s="118"/>
      <c r="N558" s="118"/>
      <c r="O558" s="118"/>
      <c r="P558" s="121"/>
      <c r="Q558" s="118"/>
      <c r="R558" s="198"/>
      <c r="S558" s="123"/>
      <c r="T558" s="118"/>
      <c r="U558" s="118"/>
      <c r="V558" s="118"/>
      <c r="W558" s="118"/>
      <c r="X558" s="199"/>
      <c r="Y558" s="121"/>
      <c r="Z558" s="121"/>
      <c r="AA558" s="118"/>
      <c r="AB558" s="118"/>
      <c r="AC558" s="126"/>
    </row>
    <row r="559" spans="2:29" ht="45" customHeight="1" x14ac:dyDescent="0.25">
      <c r="B559" s="118">
        <v>556</v>
      </c>
      <c r="C559" s="118"/>
      <c r="D559" s="118"/>
      <c r="E559" s="118"/>
      <c r="F559" s="169"/>
      <c r="G559" s="118"/>
      <c r="H559" s="118"/>
      <c r="I559" s="118"/>
      <c r="J559" s="118"/>
      <c r="K559" s="118"/>
      <c r="L559" s="118"/>
      <c r="M559" s="118"/>
      <c r="N559" s="118"/>
      <c r="O559" s="118"/>
      <c r="P559" s="121"/>
      <c r="Q559" s="118"/>
      <c r="R559" s="198"/>
      <c r="S559" s="123"/>
      <c r="T559" s="118"/>
      <c r="U559" s="118"/>
      <c r="V559" s="118"/>
      <c r="W559" s="118"/>
      <c r="X559" s="199"/>
      <c r="Y559" s="121"/>
      <c r="Z559" s="121"/>
      <c r="AA559" s="118"/>
      <c r="AB559" s="118"/>
      <c r="AC559" s="126"/>
    </row>
    <row r="560" spans="2:29" ht="45" customHeight="1" x14ac:dyDescent="0.25">
      <c r="B560" s="118">
        <v>557</v>
      </c>
      <c r="C560" s="118"/>
      <c r="D560" s="118"/>
      <c r="E560" s="118"/>
      <c r="F560" s="169"/>
      <c r="G560" s="118"/>
      <c r="H560" s="118"/>
      <c r="I560" s="118"/>
      <c r="J560" s="118"/>
      <c r="K560" s="118"/>
      <c r="L560" s="118"/>
      <c r="M560" s="118"/>
      <c r="N560" s="118"/>
      <c r="O560" s="118"/>
      <c r="P560" s="121"/>
      <c r="Q560" s="118"/>
      <c r="R560" s="198"/>
      <c r="S560" s="123"/>
      <c r="T560" s="118"/>
      <c r="U560" s="118"/>
      <c r="V560" s="118"/>
      <c r="W560" s="118"/>
      <c r="X560" s="199"/>
      <c r="Y560" s="121"/>
      <c r="Z560" s="121"/>
      <c r="AA560" s="118"/>
      <c r="AB560" s="118"/>
      <c r="AC560" s="126"/>
    </row>
    <row r="561" spans="2:29" ht="45" customHeight="1" x14ac:dyDescent="0.25">
      <c r="B561" s="118">
        <v>558</v>
      </c>
      <c r="C561" s="118"/>
      <c r="D561" s="118"/>
      <c r="E561" s="118"/>
      <c r="F561" s="169"/>
      <c r="G561" s="118"/>
      <c r="H561" s="118"/>
      <c r="I561" s="118"/>
      <c r="J561" s="118"/>
      <c r="K561" s="118"/>
      <c r="L561" s="118"/>
      <c r="M561" s="118"/>
      <c r="N561" s="118"/>
      <c r="O561" s="118"/>
      <c r="P561" s="121"/>
      <c r="Q561" s="118"/>
      <c r="R561" s="198"/>
      <c r="S561" s="123"/>
      <c r="T561" s="118"/>
      <c r="U561" s="118"/>
      <c r="V561" s="118"/>
      <c r="W561" s="118"/>
      <c r="X561" s="199"/>
      <c r="Y561" s="121"/>
      <c r="Z561" s="121"/>
      <c r="AA561" s="118"/>
      <c r="AB561" s="118"/>
      <c r="AC561" s="126"/>
    </row>
    <row r="562" spans="2:29" ht="45" customHeight="1" x14ac:dyDescent="0.25">
      <c r="B562" s="118">
        <v>559</v>
      </c>
      <c r="C562" s="118"/>
      <c r="D562" s="118"/>
      <c r="E562" s="118"/>
      <c r="F562" s="169"/>
      <c r="G562" s="118"/>
      <c r="H562" s="118"/>
      <c r="I562" s="118"/>
      <c r="J562" s="118"/>
      <c r="K562" s="118"/>
      <c r="L562" s="118"/>
      <c r="M562" s="118"/>
      <c r="N562" s="118"/>
      <c r="O562" s="118"/>
      <c r="P562" s="121"/>
      <c r="Q562" s="118"/>
      <c r="R562" s="198"/>
      <c r="S562" s="123"/>
      <c r="T562" s="118"/>
      <c r="U562" s="118"/>
      <c r="V562" s="118"/>
      <c r="W562" s="118"/>
      <c r="X562" s="199"/>
      <c r="Y562" s="121"/>
      <c r="Z562" s="121"/>
      <c r="AA562" s="118"/>
      <c r="AB562" s="118"/>
      <c r="AC562" s="126"/>
    </row>
    <row r="563" spans="2:29" ht="45" customHeight="1" x14ac:dyDescent="0.25">
      <c r="B563" s="118">
        <v>560</v>
      </c>
      <c r="C563" s="118"/>
      <c r="D563" s="118"/>
      <c r="E563" s="118"/>
      <c r="F563" s="169"/>
      <c r="G563" s="118"/>
      <c r="H563" s="118"/>
      <c r="I563" s="118"/>
      <c r="J563" s="118"/>
      <c r="K563" s="118"/>
      <c r="L563" s="118"/>
      <c r="M563" s="118"/>
      <c r="N563" s="118"/>
      <c r="O563" s="118"/>
      <c r="P563" s="121"/>
      <c r="Q563" s="118"/>
      <c r="R563" s="198"/>
      <c r="S563" s="123"/>
      <c r="T563" s="118"/>
      <c r="U563" s="118"/>
      <c r="V563" s="118"/>
      <c r="W563" s="118"/>
      <c r="X563" s="199"/>
      <c r="Y563" s="121"/>
      <c r="Z563" s="121"/>
      <c r="AA563" s="118"/>
      <c r="AB563" s="118"/>
      <c r="AC563" s="126"/>
    </row>
    <row r="564" spans="2:29" ht="45" customHeight="1" x14ac:dyDescent="0.25">
      <c r="B564" s="118">
        <v>561</v>
      </c>
      <c r="C564" s="118"/>
      <c r="D564" s="118"/>
      <c r="E564" s="118"/>
      <c r="F564" s="169"/>
      <c r="G564" s="118"/>
      <c r="H564" s="118"/>
      <c r="I564" s="118"/>
      <c r="J564" s="118"/>
      <c r="K564" s="118"/>
      <c r="L564" s="118"/>
      <c r="M564" s="118"/>
      <c r="N564" s="118"/>
      <c r="O564" s="118"/>
      <c r="P564" s="121"/>
      <c r="Q564" s="118"/>
      <c r="R564" s="198"/>
      <c r="S564" s="123"/>
      <c r="T564" s="118"/>
      <c r="U564" s="118"/>
      <c r="V564" s="118"/>
      <c r="W564" s="118"/>
      <c r="X564" s="199"/>
      <c r="Y564" s="121"/>
      <c r="Z564" s="121"/>
      <c r="AA564" s="118"/>
      <c r="AB564" s="118"/>
      <c r="AC564" s="126"/>
    </row>
    <row r="565" spans="2:29" ht="45" customHeight="1" x14ac:dyDescent="0.25">
      <c r="B565" s="118">
        <v>562</v>
      </c>
      <c r="C565" s="118"/>
      <c r="D565" s="118"/>
      <c r="E565" s="118"/>
      <c r="F565" s="169"/>
      <c r="G565" s="118"/>
      <c r="H565" s="118"/>
      <c r="I565" s="118"/>
      <c r="J565" s="118"/>
      <c r="K565" s="118"/>
      <c r="L565" s="118"/>
      <c r="M565" s="118"/>
      <c r="N565" s="118"/>
      <c r="O565" s="118"/>
      <c r="P565" s="121"/>
      <c r="Q565" s="118"/>
      <c r="R565" s="198"/>
      <c r="S565" s="123"/>
      <c r="T565" s="118"/>
      <c r="U565" s="118"/>
      <c r="V565" s="118"/>
      <c r="W565" s="118"/>
      <c r="X565" s="199"/>
      <c r="Y565" s="121"/>
      <c r="Z565" s="121"/>
      <c r="AA565" s="118"/>
      <c r="AB565" s="118"/>
      <c r="AC565" s="126"/>
    </row>
    <row r="566" spans="2:29" ht="45" customHeight="1" x14ac:dyDescent="0.25">
      <c r="B566" s="118">
        <v>563</v>
      </c>
      <c r="C566" s="118"/>
      <c r="D566" s="118"/>
      <c r="E566" s="118"/>
      <c r="F566" s="169"/>
      <c r="G566" s="118"/>
      <c r="H566" s="118"/>
      <c r="I566" s="118"/>
      <c r="J566" s="118"/>
      <c r="K566" s="118"/>
      <c r="L566" s="118"/>
      <c r="M566" s="118"/>
      <c r="N566" s="118"/>
      <c r="O566" s="118"/>
      <c r="P566" s="121"/>
      <c r="Q566" s="118"/>
      <c r="R566" s="198"/>
      <c r="S566" s="123"/>
      <c r="T566" s="118"/>
      <c r="U566" s="118"/>
      <c r="V566" s="118"/>
      <c r="W566" s="118"/>
      <c r="X566" s="199"/>
      <c r="Y566" s="121"/>
      <c r="Z566" s="121"/>
      <c r="AA566" s="118"/>
      <c r="AB566" s="118"/>
      <c r="AC566" s="126"/>
    </row>
    <row r="567" spans="2:29" ht="45" customHeight="1" x14ac:dyDescent="0.25">
      <c r="B567" s="118">
        <v>564</v>
      </c>
      <c r="C567" s="118"/>
      <c r="D567" s="118"/>
      <c r="E567" s="118"/>
      <c r="F567" s="169"/>
      <c r="G567" s="118"/>
      <c r="H567" s="118"/>
      <c r="I567" s="118"/>
      <c r="J567" s="118"/>
      <c r="K567" s="118"/>
      <c r="L567" s="118"/>
      <c r="M567" s="118"/>
      <c r="N567" s="118"/>
      <c r="O567" s="118"/>
      <c r="P567" s="121"/>
      <c r="Q567" s="118"/>
      <c r="R567" s="198"/>
      <c r="S567" s="123"/>
      <c r="T567" s="118"/>
      <c r="U567" s="118"/>
      <c r="V567" s="118"/>
      <c r="W567" s="118"/>
      <c r="X567" s="199"/>
      <c r="Y567" s="121"/>
      <c r="Z567" s="121"/>
      <c r="AA567" s="118"/>
      <c r="AB567" s="118"/>
      <c r="AC567" s="126"/>
    </row>
    <row r="568" spans="2:29" ht="45" customHeight="1" x14ac:dyDescent="0.25">
      <c r="B568" s="118">
        <v>565</v>
      </c>
      <c r="C568" s="118"/>
      <c r="D568" s="118"/>
      <c r="E568" s="118"/>
      <c r="F568" s="169"/>
      <c r="G568" s="118"/>
      <c r="H568" s="118"/>
      <c r="I568" s="118"/>
      <c r="J568" s="118"/>
      <c r="K568" s="118"/>
      <c r="L568" s="118"/>
      <c r="M568" s="118"/>
      <c r="N568" s="118"/>
      <c r="O568" s="118"/>
      <c r="P568" s="121"/>
      <c r="Q568" s="118"/>
      <c r="R568" s="198"/>
      <c r="S568" s="123"/>
      <c r="T568" s="118"/>
      <c r="U568" s="118"/>
      <c r="V568" s="118"/>
      <c r="W568" s="118"/>
      <c r="X568" s="199"/>
      <c r="Y568" s="121"/>
      <c r="Z568" s="121"/>
      <c r="AA568" s="118"/>
      <c r="AB568" s="118"/>
      <c r="AC568" s="126"/>
    </row>
    <row r="569" spans="2:29" ht="45" customHeight="1" x14ac:dyDescent="0.25">
      <c r="B569" s="118">
        <v>566</v>
      </c>
      <c r="C569" s="118"/>
      <c r="D569" s="118"/>
      <c r="E569" s="118"/>
      <c r="F569" s="169"/>
      <c r="G569" s="118"/>
      <c r="H569" s="118"/>
      <c r="I569" s="118"/>
      <c r="J569" s="118"/>
      <c r="K569" s="118"/>
      <c r="L569" s="118"/>
      <c r="M569" s="118"/>
      <c r="N569" s="118"/>
      <c r="O569" s="118"/>
      <c r="P569" s="121"/>
      <c r="Q569" s="118"/>
      <c r="R569" s="198"/>
      <c r="S569" s="123"/>
      <c r="T569" s="118"/>
      <c r="U569" s="118"/>
      <c r="V569" s="118"/>
      <c r="W569" s="118"/>
      <c r="X569" s="199"/>
      <c r="Y569" s="121"/>
      <c r="Z569" s="121"/>
      <c r="AA569" s="118"/>
      <c r="AB569" s="118"/>
      <c r="AC569" s="126"/>
    </row>
    <row r="570" spans="2:29" ht="45" customHeight="1" x14ac:dyDescent="0.25">
      <c r="B570" s="118">
        <v>567</v>
      </c>
      <c r="C570" s="118"/>
      <c r="D570" s="118"/>
      <c r="E570" s="118"/>
      <c r="F570" s="169"/>
      <c r="G570" s="118"/>
      <c r="H570" s="118"/>
      <c r="I570" s="118"/>
      <c r="J570" s="118"/>
      <c r="K570" s="118"/>
      <c r="L570" s="118"/>
      <c r="M570" s="118"/>
      <c r="N570" s="118"/>
      <c r="O570" s="118"/>
      <c r="P570" s="121"/>
      <c r="Q570" s="118"/>
      <c r="R570" s="198"/>
      <c r="S570" s="123"/>
      <c r="T570" s="118"/>
      <c r="U570" s="118"/>
      <c r="V570" s="118"/>
      <c r="W570" s="118"/>
      <c r="X570" s="199"/>
      <c r="Y570" s="121"/>
      <c r="Z570" s="121"/>
      <c r="AA570" s="118"/>
      <c r="AB570" s="118"/>
      <c r="AC570" s="126"/>
    </row>
    <row r="571" spans="2:29" ht="45" customHeight="1" x14ac:dyDescent="0.25">
      <c r="B571" s="118">
        <v>568</v>
      </c>
      <c r="C571" s="118"/>
      <c r="D571" s="118"/>
      <c r="E571" s="118"/>
      <c r="F571" s="169"/>
      <c r="G571" s="118"/>
      <c r="H571" s="118"/>
      <c r="I571" s="118"/>
      <c r="J571" s="118"/>
      <c r="K571" s="118"/>
      <c r="L571" s="118"/>
      <c r="M571" s="118"/>
      <c r="N571" s="118"/>
      <c r="O571" s="118"/>
      <c r="P571" s="121"/>
      <c r="Q571" s="118"/>
      <c r="R571" s="198"/>
      <c r="S571" s="123"/>
      <c r="T571" s="118"/>
      <c r="U571" s="118"/>
      <c r="V571" s="118"/>
      <c r="W571" s="118"/>
      <c r="X571" s="199"/>
      <c r="Y571" s="121"/>
      <c r="Z571" s="121"/>
      <c r="AA571" s="118"/>
      <c r="AB571" s="118"/>
      <c r="AC571" s="126"/>
    </row>
    <row r="572" spans="2:29" ht="45" customHeight="1" x14ac:dyDescent="0.25">
      <c r="B572" s="118">
        <v>569</v>
      </c>
      <c r="C572" s="118"/>
      <c r="D572" s="118"/>
      <c r="E572" s="118"/>
      <c r="F572" s="169"/>
      <c r="G572" s="118"/>
      <c r="H572" s="118"/>
      <c r="I572" s="118"/>
      <c r="J572" s="118"/>
      <c r="K572" s="118"/>
      <c r="L572" s="118"/>
      <c r="M572" s="118"/>
      <c r="N572" s="118"/>
      <c r="O572" s="118"/>
      <c r="P572" s="121"/>
      <c r="Q572" s="118"/>
      <c r="R572" s="198"/>
      <c r="S572" s="123"/>
      <c r="T572" s="118"/>
      <c r="U572" s="118"/>
      <c r="V572" s="118"/>
      <c r="W572" s="118"/>
      <c r="X572" s="199"/>
      <c r="Y572" s="121"/>
      <c r="Z572" s="121"/>
      <c r="AA572" s="118"/>
      <c r="AB572" s="118"/>
      <c r="AC572" s="126"/>
    </row>
    <row r="573" spans="2:29" ht="45" customHeight="1" x14ac:dyDescent="0.25">
      <c r="B573" s="118">
        <v>570</v>
      </c>
      <c r="C573" s="118"/>
      <c r="D573" s="118"/>
      <c r="E573" s="118"/>
      <c r="F573" s="169"/>
      <c r="G573" s="118"/>
      <c r="H573" s="118"/>
      <c r="I573" s="118"/>
      <c r="J573" s="118"/>
      <c r="K573" s="118"/>
      <c r="L573" s="118"/>
      <c r="M573" s="118"/>
      <c r="N573" s="118"/>
      <c r="O573" s="118"/>
      <c r="P573" s="121"/>
      <c r="Q573" s="118"/>
      <c r="R573" s="198"/>
      <c r="S573" s="123"/>
      <c r="T573" s="118"/>
      <c r="U573" s="118"/>
      <c r="V573" s="118"/>
      <c r="W573" s="118"/>
      <c r="X573" s="199"/>
      <c r="Y573" s="121"/>
      <c r="Z573" s="121"/>
      <c r="AA573" s="118"/>
      <c r="AB573" s="118"/>
      <c r="AC573" s="126"/>
    </row>
    <row r="574" spans="2:29" ht="45" customHeight="1" x14ac:dyDescent="0.25">
      <c r="B574" s="118">
        <v>571</v>
      </c>
      <c r="C574" s="118"/>
      <c r="D574" s="118"/>
      <c r="E574" s="118"/>
      <c r="F574" s="169"/>
      <c r="G574" s="118"/>
      <c r="H574" s="118"/>
      <c r="I574" s="118"/>
      <c r="J574" s="118"/>
      <c r="K574" s="118"/>
      <c r="L574" s="118"/>
      <c r="M574" s="118"/>
      <c r="N574" s="118"/>
      <c r="O574" s="118"/>
      <c r="P574" s="121"/>
      <c r="Q574" s="118"/>
      <c r="R574" s="198"/>
      <c r="S574" s="123"/>
      <c r="T574" s="118"/>
      <c r="U574" s="118"/>
      <c r="V574" s="118"/>
      <c r="W574" s="118"/>
      <c r="X574" s="199"/>
      <c r="Y574" s="121"/>
      <c r="Z574" s="121"/>
      <c r="AA574" s="118"/>
      <c r="AB574" s="118"/>
      <c r="AC574" s="126"/>
    </row>
    <row r="575" spans="2:29" ht="45" customHeight="1" x14ac:dyDescent="0.25">
      <c r="B575" s="118">
        <v>572</v>
      </c>
      <c r="C575" s="118"/>
      <c r="D575" s="118"/>
      <c r="E575" s="118"/>
      <c r="F575" s="169"/>
      <c r="G575" s="118"/>
      <c r="H575" s="118"/>
      <c r="I575" s="118"/>
      <c r="J575" s="118"/>
      <c r="K575" s="118"/>
      <c r="L575" s="118"/>
      <c r="M575" s="118"/>
      <c r="N575" s="118"/>
      <c r="O575" s="118"/>
      <c r="P575" s="121"/>
      <c r="Q575" s="118"/>
      <c r="R575" s="198"/>
      <c r="S575" s="123"/>
      <c r="T575" s="118"/>
      <c r="U575" s="118"/>
      <c r="V575" s="118"/>
      <c r="W575" s="118"/>
      <c r="X575" s="199"/>
      <c r="Y575" s="121"/>
      <c r="Z575" s="121"/>
      <c r="AA575" s="118"/>
      <c r="AB575" s="118"/>
      <c r="AC575" s="126"/>
    </row>
    <row r="576" spans="2:29" ht="45" customHeight="1" x14ac:dyDescent="0.25">
      <c r="B576" s="118">
        <v>573</v>
      </c>
      <c r="C576" s="118"/>
      <c r="D576" s="118"/>
      <c r="E576" s="118"/>
      <c r="F576" s="169"/>
      <c r="G576" s="118"/>
      <c r="H576" s="118"/>
      <c r="I576" s="118"/>
      <c r="J576" s="118"/>
      <c r="K576" s="118"/>
      <c r="L576" s="118"/>
      <c r="M576" s="118"/>
      <c r="N576" s="118"/>
      <c r="O576" s="118"/>
      <c r="P576" s="121"/>
      <c r="Q576" s="118"/>
      <c r="R576" s="198"/>
      <c r="S576" s="123"/>
      <c r="T576" s="118"/>
      <c r="U576" s="118"/>
      <c r="V576" s="118"/>
      <c r="W576" s="118"/>
      <c r="X576" s="199"/>
      <c r="Y576" s="121"/>
      <c r="Z576" s="121"/>
      <c r="AA576" s="118"/>
      <c r="AB576" s="118"/>
      <c r="AC576" s="126"/>
    </row>
    <row r="577" spans="2:29" ht="45" customHeight="1" x14ac:dyDescent="0.25">
      <c r="B577" s="118">
        <v>574</v>
      </c>
      <c r="C577" s="118"/>
      <c r="D577" s="118"/>
      <c r="E577" s="118"/>
      <c r="F577" s="169"/>
      <c r="G577" s="118"/>
      <c r="H577" s="118"/>
      <c r="I577" s="118"/>
      <c r="J577" s="118"/>
      <c r="K577" s="118"/>
      <c r="L577" s="118"/>
      <c r="M577" s="118"/>
      <c r="N577" s="118"/>
      <c r="O577" s="118"/>
      <c r="P577" s="121"/>
      <c r="Q577" s="118"/>
      <c r="R577" s="198"/>
      <c r="S577" s="123"/>
      <c r="T577" s="118"/>
      <c r="U577" s="118"/>
      <c r="V577" s="118"/>
      <c r="W577" s="118"/>
      <c r="X577" s="199"/>
      <c r="Y577" s="121"/>
      <c r="Z577" s="121"/>
      <c r="AA577" s="118"/>
      <c r="AB577" s="118"/>
      <c r="AC577" s="126"/>
    </row>
    <row r="578" spans="2:29" ht="45" customHeight="1" x14ac:dyDescent="0.25">
      <c r="B578" s="118">
        <v>575</v>
      </c>
      <c r="C578" s="118"/>
      <c r="D578" s="118"/>
      <c r="E578" s="118"/>
      <c r="F578" s="169"/>
      <c r="G578" s="118"/>
      <c r="H578" s="118"/>
      <c r="I578" s="118"/>
      <c r="J578" s="118"/>
      <c r="K578" s="118"/>
      <c r="L578" s="118"/>
      <c r="M578" s="118"/>
      <c r="N578" s="118"/>
      <c r="O578" s="118"/>
      <c r="P578" s="121"/>
      <c r="Q578" s="118"/>
      <c r="R578" s="198"/>
      <c r="S578" s="123"/>
      <c r="T578" s="118"/>
      <c r="U578" s="118"/>
      <c r="V578" s="118"/>
      <c r="W578" s="118"/>
      <c r="X578" s="199"/>
      <c r="Y578" s="121"/>
      <c r="Z578" s="121"/>
      <c r="AA578" s="118"/>
      <c r="AB578" s="118"/>
      <c r="AC578" s="126"/>
    </row>
    <row r="579" spans="2:29" ht="45" customHeight="1" x14ac:dyDescent="0.25">
      <c r="B579" s="118">
        <v>576</v>
      </c>
      <c r="C579" s="118"/>
      <c r="D579" s="118"/>
      <c r="E579" s="118"/>
      <c r="F579" s="169"/>
      <c r="G579" s="118"/>
      <c r="H579" s="118"/>
      <c r="I579" s="118"/>
      <c r="J579" s="118"/>
      <c r="K579" s="118"/>
      <c r="L579" s="118"/>
      <c r="M579" s="118"/>
      <c r="N579" s="118"/>
      <c r="O579" s="118"/>
      <c r="P579" s="121"/>
      <c r="Q579" s="118"/>
      <c r="R579" s="198"/>
      <c r="S579" s="123"/>
      <c r="T579" s="118"/>
      <c r="U579" s="118"/>
      <c r="V579" s="118"/>
      <c r="W579" s="118"/>
      <c r="X579" s="199"/>
      <c r="Y579" s="121"/>
      <c r="Z579" s="121"/>
      <c r="AA579" s="118"/>
      <c r="AB579" s="118"/>
      <c r="AC579" s="126"/>
    </row>
    <row r="580" spans="2:29" ht="45" customHeight="1" x14ac:dyDescent="0.25">
      <c r="B580" s="118">
        <v>577</v>
      </c>
      <c r="C580" s="118"/>
      <c r="D580" s="118"/>
      <c r="E580" s="118"/>
      <c r="F580" s="169"/>
      <c r="G580" s="118"/>
      <c r="H580" s="118"/>
      <c r="I580" s="118"/>
      <c r="J580" s="118"/>
      <c r="K580" s="118"/>
      <c r="L580" s="118"/>
      <c r="M580" s="118"/>
      <c r="N580" s="118"/>
      <c r="O580" s="118"/>
      <c r="P580" s="121"/>
      <c r="Q580" s="118"/>
      <c r="R580" s="198"/>
      <c r="S580" s="123"/>
      <c r="T580" s="118"/>
      <c r="U580" s="118"/>
      <c r="V580" s="118"/>
      <c r="W580" s="118"/>
      <c r="X580" s="199"/>
      <c r="Y580" s="121"/>
      <c r="Z580" s="121"/>
      <c r="AA580" s="118"/>
      <c r="AB580" s="118"/>
      <c r="AC580" s="126"/>
    </row>
    <row r="581" spans="2:29" ht="45" customHeight="1" x14ac:dyDescent="0.25">
      <c r="B581" s="118">
        <v>578</v>
      </c>
      <c r="C581" s="118"/>
      <c r="D581" s="118"/>
      <c r="E581" s="118"/>
      <c r="F581" s="169"/>
      <c r="G581" s="118"/>
      <c r="H581" s="118"/>
      <c r="I581" s="118"/>
      <c r="J581" s="118"/>
      <c r="K581" s="118"/>
      <c r="L581" s="118"/>
      <c r="M581" s="118"/>
      <c r="N581" s="118"/>
      <c r="O581" s="118"/>
      <c r="P581" s="121"/>
      <c r="Q581" s="118"/>
      <c r="R581" s="198"/>
      <c r="S581" s="123"/>
      <c r="T581" s="118"/>
      <c r="U581" s="118"/>
      <c r="V581" s="118"/>
      <c r="W581" s="118"/>
      <c r="X581" s="199"/>
      <c r="Y581" s="121"/>
      <c r="Z581" s="121"/>
      <c r="AA581" s="118"/>
      <c r="AB581" s="118"/>
      <c r="AC581" s="126"/>
    </row>
    <row r="582" spans="2:29" ht="45" customHeight="1" x14ac:dyDescent="0.25">
      <c r="B582" s="118">
        <v>579</v>
      </c>
      <c r="C582" s="118"/>
      <c r="D582" s="118"/>
      <c r="E582" s="118"/>
      <c r="F582" s="169"/>
      <c r="G582" s="118"/>
      <c r="H582" s="118"/>
      <c r="I582" s="118"/>
      <c r="J582" s="118"/>
      <c r="K582" s="118"/>
      <c r="L582" s="118"/>
      <c r="M582" s="118"/>
      <c r="N582" s="118"/>
      <c r="O582" s="118"/>
      <c r="P582" s="121"/>
      <c r="Q582" s="118"/>
      <c r="R582" s="198"/>
      <c r="S582" s="123"/>
      <c r="T582" s="118"/>
      <c r="U582" s="118"/>
      <c r="V582" s="118"/>
      <c r="W582" s="118"/>
      <c r="X582" s="199"/>
      <c r="Y582" s="121"/>
      <c r="Z582" s="121"/>
      <c r="AA582" s="118"/>
      <c r="AB582" s="118"/>
      <c r="AC582" s="126"/>
    </row>
    <row r="583" spans="2:29" ht="45" customHeight="1" x14ac:dyDescent="0.25">
      <c r="B583" s="118">
        <v>580</v>
      </c>
      <c r="C583" s="118"/>
      <c r="D583" s="118"/>
      <c r="E583" s="118"/>
      <c r="F583" s="169"/>
      <c r="G583" s="118"/>
      <c r="H583" s="118"/>
      <c r="I583" s="118"/>
      <c r="J583" s="118"/>
      <c r="K583" s="118"/>
      <c r="L583" s="118"/>
      <c r="M583" s="118"/>
      <c r="N583" s="118"/>
      <c r="O583" s="118"/>
      <c r="P583" s="121"/>
      <c r="Q583" s="118"/>
      <c r="R583" s="198"/>
      <c r="S583" s="123"/>
      <c r="T583" s="118"/>
      <c r="U583" s="118"/>
      <c r="V583" s="118"/>
      <c r="W583" s="118"/>
      <c r="X583" s="199"/>
      <c r="Y583" s="121"/>
      <c r="Z583" s="121"/>
      <c r="AA583" s="118"/>
      <c r="AB583" s="118"/>
      <c r="AC583" s="126"/>
    </row>
    <row r="584" spans="2:29" ht="45" customHeight="1" x14ac:dyDescent="0.25">
      <c r="B584" s="118">
        <v>581</v>
      </c>
      <c r="C584" s="118"/>
      <c r="D584" s="118"/>
      <c r="E584" s="118"/>
      <c r="F584" s="169"/>
      <c r="G584" s="118"/>
      <c r="H584" s="118"/>
      <c r="I584" s="118"/>
      <c r="J584" s="118"/>
      <c r="K584" s="118"/>
      <c r="L584" s="118"/>
      <c r="M584" s="118"/>
      <c r="N584" s="118"/>
      <c r="O584" s="118"/>
      <c r="P584" s="121"/>
      <c r="Q584" s="118"/>
      <c r="R584" s="198"/>
      <c r="S584" s="123"/>
      <c r="T584" s="118"/>
      <c r="U584" s="118"/>
      <c r="V584" s="118"/>
      <c r="W584" s="118"/>
      <c r="X584" s="199"/>
      <c r="Y584" s="121"/>
      <c r="Z584" s="121"/>
      <c r="AA584" s="118"/>
      <c r="AB584" s="118"/>
      <c r="AC584" s="126"/>
    </row>
    <row r="585" spans="2:29" ht="45" customHeight="1" x14ac:dyDescent="0.25">
      <c r="B585" s="118">
        <v>582</v>
      </c>
      <c r="C585" s="118"/>
      <c r="D585" s="118"/>
      <c r="E585" s="118"/>
      <c r="F585" s="169"/>
      <c r="G585" s="118"/>
      <c r="H585" s="118"/>
      <c r="I585" s="118"/>
      <c r="J585" s="118"/>
      <c r="K585" s="118"/>
      <c r="L585" s="118"/>
      <c r="M585" s="118"/>
      <c r="N585" s="118"/>
      <c r="O585" s="118"/>
      <c r="P585" s="121"/>
      <c r="Q585" s="118"/>
      <c r="R585" s="198"/>
      <c r="S585" s="123"/>
      <c r="T585" s="118"/>
      <c r="U585" s="118"/>
      <c r="V585" s="118"/>
      <c r="W585" s="118"/>
      <c r="X585" s="199"/>
      <c r="Y585" s="121"/>
      <c r="Z585" s="121"/>
      <c r="AA585" s="118"/>
      <c r="AB585" s="118"/>
      <c r="AC585" s="126"/>
    </row>
    <row r="586" spans="2:29" ht="45" customHeight="1" x14ac:dyDescent="0.25">
      <c r="B586" s="118">
        <v>583</v>
      </c>
      <c r="C586" s="118"/>
      <c r="D586" s="118"/>
      <c r="E586" s="118"/>
      <c r="F586" s="169"/>
      <c r="G586" s="118"/>
      <c r="H586" s="118"/>
      <c r="I586" s="118"/>
      <c r="J586" s="118"/>
      <c r="K586" s="118"/>
      <c r="L586" s="118"/>
      <c r="M586" s="118"/>
      <c r="N586" s="118"/>
      <c r="O586" s="118"/>
      <c r="P586" s="121"/>
      <c r="Q586" s="118"/>
      <c r="R586" s="198"/>
      <c r="S586" s="123"/>
      <c r="T586" s="118"/>
      <c r="U586" s="118"/>
      <c r="V586" s="118"/>
      <c r="W586" s="118"/>
      <c r="X586" s="199"/>
      <c r="Y586" s="121"/>
      <c r="Z586" s="121"/>
      <c r="AA586" s="118"/>
      <c r="AB586" s="118"/>
      <c r="AC586" s="126"/>
    </row>
    <row r="587" spans="2:29" ht="45" customHeight="1" x14ac:dyDescent="0.25">
      <c r="B587" s="118">
        <v>584</v>
      </c>
      <c r="C587" s="118"/>
      <c r="D587" s="118"/>
      <c r="E587" s="118"/>
      <c r="F587" s="169"/>
      <c r="G587" s="118"/>
      <c r="H587" s="118"/>
      <c r="I587" s="118"/>
      <c r="J587" s="118"/>
      <c r="K587" s="118"/>
      <c r="L587" s="118"/>
      <c r="M587" s="118"/>
      <c r="N587" s="118"/>
      <c r="O587" s="118"/>
      <c r="P587" s="121"/>
      <c r="Q587" s="118"/>
      <c r="R587" s="198"/>
      <c r="S587" s="123"/>
      <c r="T587" s="118"/>
      <c r="U587" s="118"/>
      <c r="V587" s="118"/>
      <c r="W587" s="118"/>
      <c r="X587" s="199"/>
      <c r="Y587" s="121"/>
      <c r="Z587" s="121"/>
      <c r="AA587" s="118"/>
      <c r="AB587" s="118"/>
      <c r="AC587" s="126"/>
    </row>
    <row r="588" spans="2:29" ht="45" customHeight="1" x14ac:dyDescent="0.25">
      <c r="B588" s="118">
        <v>585</v>
      </c>
      <c r="C588" s="118"/>
      <c r="D588" s="118"/>
      <c r="E588" s="118"/>
      <c r="F588" s="169"/>
      <c r="G588" s="118"/>
      <c r="H588" s="118"/>
      <c r="I588" s="118"/>
      <c r="J588" s="118"/>
      <c r="K588" s="118"/>
      <c r="L588" s="118"/>
      <c r="M588" s="118"/>
      <c r="N588" s="118"/>
      <c r="O588" s="118"/>
      <c r="P588" s="121"/>
      <c r="Q588" s="118"/>
      <c r="R588" s="198"/>
      <c r="S588" s="123"/>
      <c r="T588" s="118"/>
      <c r="U588" s="118"/>
      <c r="V588" s="118"/>
      <c r="W588" s="118"/>
      <c r="X588" s="199"/>
      <c r="Y588" s="121"/>
      <c r="Z588" s="121"/>
      <c r="AA588" s="118"/>
      <c r="AB588" s="118"/>
      <c r="AC588" s="126"/>
    </row>
    <row r="589" spans="2:29" ht="45" customHeight="1" x14ac:dyDescent="0.25">
      <c r="B589" s="118">
        <v>586</v>
      </c>
      <c r="C589" s="118"/>
      <c r="D589" s="118"/>
      <c r="E589" s="118"/>
      <c r="F589" s="169"/>
      <c r="G589" s="118"/>
      <c r="H589" s="118"/>
      <c r="I589" s="118"/>
      <c r="J589" s="118"/>
      <c r="K589" s="118"/>
      <c r="L589" s="118"/>
      <c r="M589" s="118"/>
      <c r="N589" s="118"/>
      <c r="O589" s="118"/>
      <c r="P589" s="121"/>
      <c r="Q589" s="118"/>
      <c r="R589" s="198"/>
      <c r="S589" s="123"/>
      <c r="T589" s="118"/>
      <c r="U589" s="118"/>
      <c r="V589" s="118"/>
      <c r="W589" s="118"/>
      <c r="X589" s="199"/>
      <c r="Y589" s="121"/>
      <c r="Z589" s="121"/>
      <c r="AA589" s="118"/>
      <c r="AB589" s="118"/>
      <c r="AC589" s="126"/>
    </row>
    <row r="590" spans="2:29" ht="45" customHeight="1" x14ac:dyDescent="0.25">
      <c r="B590" s="118">
        <v>587</v>
      </c>
      <c r="C590" s="118"/>
      <c r="D590" s="118"/>
      <c r="E590" s="118"/>
      <c r="F590" s="169"/>
      <c r="G590" s="118"/>
      <c r="H590" s="118"/>
      <c r="I590" s="118"/>
      <c r="J590" s="118"/>
      <c r="K590" s="118"/>
      <c r="L590" s="118"/>
      <c r="M590" s="118"/>
      <c r="N590" s="118"/>
      <c r="O590" s="118"/>
      <c r="P590" s="121"/>
      <c r="Q590" s="118"/>
      <c r="R590" s="198"/>
      <c r="S590" s="123"/>
      <c r="T590" s="118"/>
      <c r="U590" s="118"/>
      <c r="V590" s="118"/>
      <c r="W590" s="118"/>
      <c r="X590" s="199"/>
      <c r="Y590" s="121"/>
      <c r="Z590" s="121"/>
      <c r="AA590" s="118"/>
      <c r="AB590" s="118"/>
      <c r="AC590" s="126"/>
    </row>
    <row r="591" spans="2:29" ht="45" customHeight="1" x14ac:dyDescent="0.25">
      <c r="B591" s="118">
        <v>588</v>
      </c>
      <c r="C591" s="118"/>
      <c r="D591" s="118"/>
      <c r="E591" s="118"/>
      <c r="F591" s="169"/>
      <c r="G591" s="118"/>
      <c r="H591" s="118"/>
      <c r="I591" s="118"/>
      <c r="J591" s="118"/>
      <c r="K591" s="118"/>
      <c r="L591" s="118"/>
      <c r="M591" s="118"/>
      <c r="N591" s="118"/>
      <c r="O591" s="118"/>
      <c r="P591" s="121"/>
      <c r="Q591" s="118"/>
      <c r="R591" s="198"/>
      <c r="S591" s="123"/>
      <c r="T591" s="118"/>
      <c r="U591" s="118"/>
      <c r="V591" s="118"/>
      <c r="W591" s="118"/>
      <c r="X591" s="199"/>
      <c r="Y591" s="121"/>
      <c r="Z591" s="121"/>
      <c r="AA591" s="118"/>
      <c r="AB591" s="118"/>
      <c r="AC591" s="126"/>
    </row>
    <row r="592" spans="2:29" ht="45" customHeight="1" x14ac:dyDescent="0.25">
      <c r="B592" s="118">
        <v>589</v>
      </c>
      <c r="C592" s="118"/>
      <c r="D592" s="118"/>
      <c r="E592" s="118"/>
      <c r="F592" s="169"/>
      <c r="G592" s="118"/>
      <c r="H592" s="118"/>
      <c r="I592" s="118"/>
      <c r="J592" s="118"/>
      <c r="K592" s="118"/>
      <c r="L592" s="118"/>
      <c r="M592" s="118"/>
      <c r="N592" s="118"/>
      <c r="O592" s="118"/>
      <c r="P592" s="121"/>
      <c r="Q592" s="118"/>
      <c r="R592" s="198"/>
      <c r="S592" s="123"/>
      <c r="T592" s="118"/>
      <c r="U592" s="118"/>
      <c r="V592" s="118"/>
      <c r="W592" s="118"/>
      <c r="X592" s="199"/>
      <c r="Y592" s="121"/>
      <c r="Z592" s="121"/>
      <c r="AA592" s="118"/>
      <c r="AB592" s="118"/>
      <c r="AC592" s="126"/>
    </row>
    <row r="593" spans="2:29" ht="45" customHeight="1" x14ac:dyDescent="0.25">
      <c r="B593" s="118">
        <v>590</v>
      </c>
      <c r="C593" s="118"/>
      <c r="D593" s="118"/>
      <c r="E593" s="118"/>
      <c r="F593" s="169"/>
      <c r="G593" s="118"/>
      <c r="H593" s="118"/>
      <c r="I593" s="118"/>
      <c r="J593" s="118"/>
      <c r="K593" s="118"/>
      <c r="L593" s="118"/>
      <c r="M593" s="118"/>
      <c r="N593" s="118"/>
      <c r="O593" s="118"/>
      <c r="P593" s="121"/>
      <c r="Q593" s="118"/>
      <c r="R593" s="198"/>
      <c r="S593" s="123"/>
      <c r="T593" s="118"/>
      <c r="U593" s="118"/>
      <c r="V593" s="118"/>
      <c r="W593" s="118"/>
      <c r="X593" s="199"/>
      <c r="Y593" s="121"/>
      <c r="Z593" s="121"/>
      <c r="AA593" s="118"/>
      <c r="AB593" s="118"/>
      <c r="AC593" s="126"/>
    </row>
    <row r="594" spans="2:29" ht="45" customHeight="1" x14ac:dyDescent="0.25">
      <c r="B594" s="118">
        <v>591</v>
      </c>
      <c r="C594" s="118"/>
      <c r="D594" s="118"/>
      <c r="E594" s="118"/>
      <c r="F594" s="169"/>
      <c r="G594" s="118"/>
      <c r="H594" s="118"/>
      <c r="I594" s="118"/>
      <c r="J594" s="118"/>
      <c r="K594" s="118"/>
      <c r="L594" s="118"/>
      <c r="M594" s="118"/>
      <c r="N594" s="118"/>
      <c r="O594" s="118"/>
      <c r="P594" s="121"/>
      <c r="Q594" s="118"/>
      <c r="R594" s="198"/>
      <c r="S594" s="123"/>
      <c r="T594" s="118"/>
      <c r="U594" s="118"/>
      <c r="V594" s="118"/>
      <c r="W594" s="118"/>
      <c r="X594" s="199"/>
      <c r="Y594" s="121"/>
      <c r="Z594" s="121"/>
      <c r="AA594" s="118"/>
      <c r="AB594" s="118"/>
      <c r="AC594" s="126"/>
    </row>
    <row r="595" spans="2:29" ht="45" customHeight="1" x14ac:dyDescent="0.25">
      <c r="B595" s="118">
        <v>592</v>
      </c>
      <c r="C595" s="118"/>
      <c r="D595" s="118"/>
      <c r="E595" s="118"/>
      <c r="F595" s="169"/>
      <c r="G595" s="118"/>
      <c r="H595" s="118"/>
      <c r="I595" s="118"/>
      <c r="J595" s="118"/>
      <c r="K595" s="118"/>
      <c r="L595" s="118"/>
      <c r="M595" s="118"/>
      <c r="N595" s="118"/>
      <c r="O595" s="118"/>
      <c r="P595" s="121"/>
      <c r="Q595" s="118"/>
      <c r="R595" s="198"/>
      <c r="S595" s="123"/>
      <c r="T595" s="118"/>
      <c r="U595" s="118"/>
      <c r="V595" s="118"/>
      <c r="W595" s="118"/>
      <c r="X595" s="199"/>
      <c r="Y595" s="121"/>
      <c r="Z595" s="121"/>
      <c r="AA595" s="118"/>
      <c r="AB595" s="118"/>
      <c r="AC595" s="126"/>
    </row>
    <row r="596" spans="2:29" ht="45" customHeight="1" x14ac:dyDescent="0.25">
      <c r="B596" s="118">
        <v>593</v>
      </c>
      <c r="C596" s="118"/>
      <c r="D596" s="118"/>
      <c r="E596" s="118"/>
      <c r="F596" s="169"/>
      <c r="G596" s="118"/>
      <c r="H596" s="118"/>
      <c r="I596" s="118"/>
      <c r="J596" s="118"/>
      <c r="K596" s="118"/>
      <c r="L596" s="118"/>
      <c r="M596" s="118"/>
      <c r="N596" s="118"/>
      <c r="O596" s="118"/>
      <c r="P596" s="121"/>
      <c r="Q596" s="118"/>
      <c r="R596" s="198"/>
      <c r="S596" s="123"/>
      <c r="T596" s="118"/>
      <c r="U596" s="118"/>
      <c r="V596" s="118"/>
      <c r="W596" s="118"/>
      <c r="X596" s="199"/>
      <c r="Y596" s="121"/>
      <c r="Z596" s="121"/>
      <c r="AA596" s="118"/>
      <c r="AB596" s="118"/>
      <c r="AC596" s="126"/>
    </row>
    <row r="597" spans="2:29" ht="45" customHeight="1" x14ac:dyDescent="0.25">
      <c r="B597" s="118">
        <v>594</v>
      </c>
      <c r="C597" s="118"/>
      <c r="D597" s="118"/>
      <c r="E597" s="118"/>
      <c r="F597" s="169"/>
      <c r="G597" s="118"/>
      <c r="H597" s="118"/>
      <c r="I597" s="118"/>
      <c r="J597" s="118"/>
      <c r="K597" s="118"/>
      <c r="L597" s="118"/>
      <c r="M597" s="118"/>
      <c r="N597" s="118"/>
      <c r="O597" s="118"/>
      <c r="P597" s="121"/>
      <c r="Q597" s="118"/>
      <c r="R597" s="198"/>
      <c r="S597" s="123"/>
      <c r="T597" s="118"/>
      <c r="U597" s="118"/>
      <c r="V597" s="118"/>
      <c r="W597" s="118"/>
      <c r="X597" s="199"/>
      <c r="Y597" s="121"/>
      <c r="Z597" s="121"/>
      <c r="AA597" s="118"/>
      <c r="AB597" s="118"/>
      <c r="AC597" s="126"/>
    </row>
    <row r="598" spans="2:29" ht="45" customHeight="1" x14ac:dyDescent="0.25">
      <c r="B598" s="118">
        <v>595</v>
      </c>
      <c r="C598" s="118"/>
      <c r="D598" s="118"/>
      <c r="E598" s="118"/>
      <c r="F598" s="169"/>
      <c r="G598" s="118"/>
      <c r="H598" s="118"/>
      <c r="I598" s="118"/>
      <c r="J598" s="118"/>
      <c r="K598" s="118"/>
      <c r="L598" s="118"/>
      <c r="M598" s="118"/>
      <c r="N598" s="118"/>
      <c r="O598" s="118"/>
      <c r="P598" s="121"/>
      <c r="Q598" s="118"/>
      <c r="R598" s="198"/>
      <c r="S598" s="123"/>
      <c r="T598" s="118"/>
      <c r="U598" s="118"/>
      <c r="V598" s="118"/>
      <c r="W598" s="118"/>
      <c r="X598" s="199"/>
      <c r="Y598" s="121"/>
      <c r="Z598" s="121"/>
      <c r="AA598" s="118"/>
      <c r="AB598" s="118"/>
      <c r="AC598" s="126"/>
    </row>
    <row r="599" spans="2:29" ht="45" customHeight="1" x14ac:dyDescent="0.25">
      <c r="B599" s="118">
        <v>596</v>
      </c>
      <c r="C599" s="118"/>
      <c r="D599" s="118"/>
      <c r="E599" s="118"/>
      <c r="F599" s="169"/>
      <c r="G599" s="118"/>
      <c r="H599" s="118"/>
      <c r="I599" s="118"/>
      <c r="J599" s="118"/>
      <c r="K599" s="118"/>
      <c r="L599" s="118"/>
      <c r="M599" s="118"/>
      <c r="N599" s="118"/>
      <c r="O599" s="118"/>
      <c r="P599" s="121"/>
      <c r="Q599" s="118"/>
      <c r="R599" s="198"/>
      <c r="S599" s="123"/>
      <c r="T599" s="118"/>
      <c r="U599" s="118"/>
      <c r="V599" s="118"/>
      <c r="W599" s="118"/>
      <c r="X599" s="199"/>
      <c r="Y599" s="121"/>
      <c r="Z599" s="121"/>
      <c r="AA599" s="118"/>
      <c r="AB599" s="118"/>
      <c r="AC599" s="126"/>
    </row>
    <row r="600" spans="2:29" ht="45" customHeight="1" x14ac:dyDescent="0.25">
      <c r="B600" s="118">
        <v>597</v>
      </c>
      <c r="C600" s="118"/>
      <c r="D600" s="118"/>
      <c r="E600" s="118"/>
      <c r="F600" s="169"/>
      <c r="G600" s="118"/>
      <c r="H600" s="118"/>
      <c r="I600" s="118"/>
      <c r="J600" s="118"/>
      <c r="K600" s="118"/>
      <c r="L600" s="118"/>
      <c r="M600" s="118"/>
      <c r="N600" s="118"/>
      <c r="O600" s="118"/>
      <c r="P600" s="121"/>
      <c r="Q600" s="118"/>
      <c r="R600" s="198"/>
      <c r="S600" s="123"/>
      <c r="T600" s="118"/>
      <c r="U600" s="118"/>
      <c r="V600" s="118"/>
      <c r="W600" s="118"/>
      <c r="X600" s="199"/>
      <c r="Y600" s="121"/>
      <c r="Z600" s="121"/>
      <c r="AA600" s="118"/>
      <c r="AB600" s="118"/>
      <c r="AC600" s="126"/>
    </row>
    <row r="601" spans="2:29" ht="45" customHeight="1" x14ac:dyDescent="0.25">
      <c r="B601" s="118">
        <v>598</v>
      </c>
      <c r="C601" s="118"/>
      <c r="D601" s="118"/>
      <c r="E601" s="118"/>
      <c r="F601" s="169"/>
      <c r="G601" s="118"/>
      <c r="H601" s="118"/>
      <c r="I601" s="118"/>
      <c r="J601" s="118"/>
      <c r="K601" s="118"/>
      <c r="L601" s="118"/>
      <c r="M601" s="118"/>
      <c r="N601" s="118"/>
      <c r="O601" s="118"/>
      <c r="P601" s="121"/>
      <c r="Q601" s="118"/>
      <c r="R601" s="198"/>
      <c r="S601" s="123"/>
      <c r="T601" s="118"/>
      <c r="U601" s="118"/>
      <c r="V601" s="118"/>
      <c r="W601" s="118"/>
      <c r="X601" s="199"/>
      <c r="Y601" s="121"/>
      <c r="Z601" s="121"/>
      <c r="AA601" s="118"/>
      <c r="AB601" s="118"/>
      <c r="AC601" s="126"/>
    </row>
    <row r="602" spans="2:29" ht="45" customHeight="1" x14ac:dyDescent="0.25">
      <c r="B602" s="118">
        <v>599</v>
      </c>
      <c r="C602" s="118"/>
      <c r="D602" s="118"/>
      <c r="E602" s="118"/>
      <c r="F602" s="169"/>
      <c r="G602" s="118"/>
      <c r="H602" s="118"/>
      <c r="I602" s="118"/>
      <c r="J602" s="118"/>
      <c r="K602" s="118"/>
      <c r="L602" s="118"/>
      <c r="M602" s="118"/>
      <c r="N602" s="118"/>
      <c r="O602" s="118"/>
      <c r="P602" s="121"/>
      <c r="Q602" s="118"/>
      <c r="R602" s="198"/>
      <c r="S602" s="123"/>
      <c r="T602" s="118"/>
      <c r="U602" s="118"/>
      <c r="V602" s="118"/>
      <c r="W602" s="118"/>
      <c r="X602" s="199"/>
      <c r="Y602" s="121"/>
      <c r="Z602" s="121"/>
      <c r="AA602" s="118"/>
      <c r="AB602" s="118"/>
      <c r="AC602" s="126"/>
    </row>
    <row r="603" spans="2:29" ht="45" customHeight="1" x14ac:dyDescent="0.25">
      <c r="B603" s="118">
        <v>600</v>
      </c>
      <c r="C603" s="118"/>
      <c r="D603" s="118"/>
      <c r="E603" s="118"/>
      <c r="F603" s="169"/>
      <c r="G603" s="118"/>
      <c r="H603" s="118"/>
      <c r="I603" s="118"/>
      <c r="J603" s="118"/>
      <c r="K603" s="118"/>
      <c r="L603" s="118"/>
      <c r="M603" s="118"/>
      <c r="N603" s="118"/>
      <c r="O603" s="118"/>
      <c r="P603" s="121"/>
      <c r="Q603" s="118"/>
      <c r="R603" s="198"/>
      <c r="S603" s="123"/>
      <c r="T603" s="118"/>
      <c r="U603" s="118"/>
      <c r="V603" s="118"/>
      <c r="W603" s="118"/>
      <c r="X603" s="199"/>
      <c r="Y603" s="121"/>
      <c r="Z603" s="121"/>
      <c r="AA603" s="118"/>
      <c r="AB603" s="118"/>
      <c r="AC603" s="126"/>
    </row>
    <row r="604" spans="2:29" ht="45" customHeight="1" x14ac:dyDescent="0.25">
      <c r="B604" s="118">
        <v>601</v>
      </c>
      <c r="C604" s="118"/>
      <c r="D604" s="118"/>
      <c r="E604" s="118"/>
      <c r="F604" s="169"/>
      <c r="G604" s="118"/>
      <c r="H604" s="118"/>
      <c r="I604" s="118"/>
      <c r="J604" s="118"/>
      <c r="K604" s="118"/>
      <c r="L604" s="118"/>
      <c r="M604" s="118"/>
      <c r="N604" s="118"/>
      <c r="O604" s="118"/>
      <c r="P604" s="121"/>
      <c r="Q604" s="118"/>
      <c r="R604" s="198"/>
      <c r="S604" s="123"/>
      <c r="T604" s="118"/>
      <c r="U604" s="118"/>
      <c r="V604" s="118"/>
      <c r="W604" s="118"/>
      <c r="X604" s="199"/>
      <c r="Y604" s="121"/>
      <c r="Z604" s="121"/>
      <c r="AA604" s="118"/>
      <c r="AB604" s="118"/>
      <c r="AC604" s="126"/>
    </row>
    <row r="605" spans="2:29" ht="45" customHeight="1" x14ac:dyDescent="0.25">
      <c r="B605" s="118">
        <v>602</v>
      </c>
      <c r="C605" s="118"/>
      <c r="D605" s="118"/>
      <c r="E605" s="118"/>
      <c r="F605" s="169"/>
      <c r="G605" s="118"/>
      <c r="H605" s="118"/>
      <c r="I605" s="118"/>
      <c r="J605" s="118"/>
      <c r="K605" s="118"/>
      <c r="L605" s="118"/>
      <c r="M605" s="118"/>
      <c r="N605" s="118"/>
      <c r="O605" s="118"/>
      <c r="P605" s="121"/>
      <c r="Q605" s="118"/>
      <c r="R605" s="198"/>
      <c r="S605" s="123"/>
      <c r="T605" s="118"/>
      <c r="U605" s="118"/>
      <c r="V605" s="118"/>
      <c r="W605" s="118"/>
      <c r="X605" s="199"/>
      <c r="Y605" s="121"/>
      <c r="Z605" s="121"/>
      <c r="AA605" s="118"/>
      <c r="AB605" s="118"/>
      <c r="AC605" s="126"/>
    </row>
    <row r="606" spans="2:29" ht="45" customHeight="1" x14ac:dyDescent="0.25">
      <c r="B606" s="118">
        <v>603</v>
      </c>
      <c r="C606" s="118"/>
      <c r="D606" s="118"/>
      <c r="E606" s="118"/>
      <c r="F606" s="169"/>
      <c r="G606" s="118"/>
      <c r="H606" s="118"/>
      <c r="I606" s="118"/>
      <c r="J606" s="118"/>
      <c r="K606" s="118"/>
      <c r="L606" s="118"/>
      <c r="M606" s="118"/>
      <c r="N606" s="118"/>
      <c r="O606" s="118"/>
      <c r="P606" s="121"/>
      <c r="Q606" s="118"/>
      <c r="R606" s="198"/>
      <c r="S606" s="123"/>
      <c r="T606" s="118"/>
      <c r="U606" s="118"/>
      <c r="V606" s="118"/>
      <c r="W606" s="118"/>
      <c r="X606" s="199"/>
      <c r="Y606" s="121"/>
      <c r="Z606" s="121"/>
      <c r="AA606" s="118"/>
      <c r="AB606" s="118"/>
      <c r="AC606" s="126"/>
    </row>
    <row r="607" spans="2:29" ht="45" customHeight="1" x14ac:dyDescent="0.25">
      <c r="B607" s="118">
        <v>604</v>
      </c>
      <c r="C607" s="118"/>
      <c r="D607" s="118"/>
      <c r="E607" s="118"/>
      <c r="F607" s="169"/>
      <c r="G607" s="118"/>
      <c r="H607" s="118"/>
      <c r="I607" s="118"/>
      <c r="J607" s="118"/>
      <c r="K607" s="118"/>
      <c r="L607" s="118"/>
      <c r="M607" s="118"/>
      <c r="N607" s="118"/>
      <c r="O607" s="118"/>
      <c r="P607" s="121"/>
      <c r="Q607" s="118"/>
      <c r="R607" s="198"/>
      <c r="S607" s="123"/>
      <c r="T607" s="118"/>
      <c r="U607" s="118"/>
      <c r="V607" s="118"/>
      <c r="W607" s="118"/>
      <c r="X607" s="199"/>
      <c r="Y607" s="121"/>
      <c r="Z607" s="121"/>
      <c r="AA607" s="118"/>
      <c r="AB607" s="118"/>
      <c r="AC607" s="126"/>
    </row>
    <row r="608" spans="2:29" ht="45" customHeight="1" x14ac:dyDescent="0.25">
      <c r="B608" s="118">
        <v>605</v>
      </c>
      <c r="C608" s="118"/>
      <c r="D608" s="118"/>
      <c r="E608" s="118"/>
      <c r="F608" s="169"/>
      <c r="G608" s="118"/>
      <c r="H608" s="118"/>
      <c r="I608" s="118"/>
      <c r="J608" s="118"/>
      <c r="K608" s="118"/>
      <c r="L608" s="118"/>
      <c r="M608" s="118"/>
      <c r="N608" s="118"/>
      <c r="O608" s="118"/>
      <c r="P608" s="121"/>
      <c r="Q608" s="118"/>
      <c r="R608" s="198"/>
      <c r="S608" s="123"/>
      <c r="T608" s="118"/>
      <c r="U608" s="118"/>
      <c r="V608" s="118"/>
      <c r="W608" s="118"/>
      <c r="X608" s="199"/>
      <c r="Y608" s="121"/>
      <c r="Z608" s="121"/>
      <c r="AA608" s="118"/>
      <c r="AB608" s="118"/>
      <c r="AC608" s="126"/>
    </row>
    <row r="609" spans="2:29" ht="45" customHeight="1" x14ac:dyDescent="0.25">
      <c r="B609" s="118">
        <v>606</v>
      </c>
      <c r="C609" s="118"/>
      <c r="D609" s="118"/>
      <c r="E609" s="118"/>
      <c r="F609" s="169"/>
      <c r="G609" s="118"/>
      <c r="H609" s="118"/>
      <c r="I609" s="118"/>
      <c r="J609" s="118"/>
      <c r="K609" s="118"/>
      <c r="L609" s="118"/>
      <c r="M609" s="118"/>
      <c r="N609" s="118"/>
      <c r="O609" s="118"/>
      <c r="P609" s="121"/>
      <c r="Q609" s="118"/>
      <c r="R609" s="198"/>
      <c r="S609" s="123"/>
      <c r="T609" s="118"/>
      <c r="U609" s="118"/>
      <c r="V609" s="118"/>
      <c r="W609" s="118"/>
      <c r="X609" s="199"/>
      <c r="Y609" s="121"/>
      <c r="Z609" s="121"/>
      <c r="AA609" s="118"/>
      <c r="AB609" s="118"/>
      <c r="AC609" s="126"/>
    </row>
    <row r="610" spans="2:29" ht="45" customHeight="1" x14ac:dyDescent="0.25">
      <c r="B610" s="118">
        <v>607</v>
      </c>
      <c r="C610" s="118"/>
      <c r="D610" s="118"/>
      <c r="E610" s="118"/>
      <c r="F610" s="169"/>
      <c r="G610" s="118"/>
      <c r="H610" s="118"/>
      <c r="I610" s="118"/>
      <c r="J610" s="118"/>
      <c r="K610" s="118"/>
      <c r="L610" s="118"/>
      <c r="M610" s="118"/>
      <c r="N610" s="118"/>
      <c r="O610" s="118"/>
      <c r="P610" s="121"/>
      <c r="Q610" s="118"/>
      <c r="R610" s="198"/>
      <c r="S610" s="123"/>
      <c r="T610" s="118"/>
      <c r="U610" s="118"/>
      <c r="V610" s="118"/>
      <c r="W610" s="118"/>
      <c r="X610" s="199"/>
      <c r="Y610" s="121"/>
      <c r="Z610" s="121"/>
      <c r="AA610" s="118"/>
      <c r="AB610" s="118"/>
      <c r="AC610" s="126"/>
    </row>
    <row r="611" spans="2:29" ht="45" customHeight="1" x14ac:dyDescent="0.25">
      <c r="B611" s="118">
        <v>608</v>
      </c>
      <c r="C611" s="118"/>
      <c r="D611" s="118"/>
      <c r="E611" s="118"/>
      <c r="F611" s="169"/>
      <c r="G611" s="118"/>
      <c r="H611" s="118"/>
      <c r="I611" s="118"/>
      <c r="J611" s="118"/>
      <c r="K611" s="118"/>
      <c r="L611" s="118"/>
      <c r="M611" s="118"/>
      <c r="N611" s="118"/>
      <c r="O611" s="118"/>
      <c r="P611" s="121"/>
      <c r="Q611" s="118"/>
      <c r="R611" s="198"/>
      <c r="S611" s="123"/>
      <c r="T611" s="118"/>
      <c r="U611" s="118"/>
      <c r="V611" s="118"/>
      <c r="W611" s="118"/>
      <c r="X611" s="199"/>
      <c r="Y611" s="121"/>
      <c r="Z611" s="121"/>
      <c r="AA611" s="118"/>
      <c r="AB611" s="118"/>
      <c r="AC611" s="126"/>
    </row>
    <row r="612" spans="2:29" ht="45" customHeight="1" x14ac:dyDescent="0.25">
      <c r="B612" s="118">
        <v>609</v>
      </c>
      <c r="C612" s="118"/>
      <c r="D612" s="118"/>
      <c r="E612" s="118"/>
      <c r="F612" s="169"/>
      <c r="G612" s="118"/>
      <c r="H612" s="118"/>
      <c r="I612" s="118"/>
      <c r="J612" s="118"/>
      <c r="K612" s="118"/>
      <c r="L612" s="118"/>
      <c r="M612" s="118"/>
      <c r="N612" s="118"/>
      <c r="O612" s="118"/>
      <c r="P612" s="121"/>
      <c r="Q612" s="118"/>
      <c r="R612" s="198"/>
      <c r="S612" s="123"/>
      <c r="T612" s="118"/>
      <c r="U612" s="118"/>
      <c r="V612" s="118"/>
      <c r="W612" s="118"/>
      <c r="X612" s="199"/>
      <c r="Y612" s="121"/>
      <c r="Z612" s="121"/>
      <c r="AA612" s="118"/>
      <c r="AB612" s="118"/>
      <c r="AC612" s="126"/>
    </row>
    <row r="613" spans="2:29" ht="45" customHeight="1" x14ac:dyDescent="0.25">
      <c r="B613" s="118">
        <v>610</v>
      </c>
      <c r="C613" s="118"/>
      <c r="D613" s="118"/>
      <c r="E613" s="118"/>
      <c r="F613" s="169"/>
      <c r="G613" s="118"/>
      <c r="H613" s="118"/>
      <c r="I613" s="118"/>
      <c r="J613" s="118"/>
      <c r="K613" s="118"/>
      <c r="L613" s="118"/>
      <c r="M613" s="118"/>
      <c r="N613" s="118"/>
      <c r="O613" s="118"/>
      <c r="P613" s="121"/>
      <c r="Q613" s="118"/>
      <c r="R613" s="198"/>
      <c r="S613" s="123"/>
      <c r="T613" s="118"/>
      <c r="U613" s="118"/>
      <c r="V613" s="118"/>
      <c r="W613" s="118"/>
      <c r="X613" s="199"/>
      <c r="Y613" s="121"/>
      <c r="Z613" s="121"/>
      <c r="AA613" s="118"/>
      <c r="AB613" s="118"/>
      <c r="AC613" s="126"/>
    </row>
    <row r="614" spans="2:29" ht="45" customHeight="1" x14ac:dyDescent="0.25">
      <c r="B614" s="118">
        <v>611</v>
      </c>
      <c r="C614" s="118"/>
      <c r="D614" s="118"/>
      <c r="E614" s="118"/>
      <c r="F614" s="169"/>
      <c r="G614" s="118"/>
      <c r="H614" s="118"/>
      <c r="I614" s="118"/>
      <c r="J614" s="118"/>
      <c r="K614" s="118"/>
      <c r="L614" s="118"/>
      <c r="M614" s="118"/>
      <c r="N614" s="118"/>
      <c r="O614" s="118"/>
      <c r="P614" s="121"/>
      <c r="Q614" s="118"/>
      <c r="R614" s="198"/>
      <c r="S614" s="123"/>
      <c r="T614" s="118"/>
      <c r="U614" s="118"/>
      <c r="V614" s="118"/>
      <c r="W614" s="118"/>
      <c r="X614" s="199"/>
      <c r="Y614" s="121"/>
      <c r="Z614" s="121"/>
      <c r="AA614" s="118"/>
      <c r="AB614" s="118"/>
      <c r="AC614" s="126"/>
    </row>
    <row r="615" spans="2:29" ht="45" customHeight="1" x14ac:dyDescent="0.25">
      <c r="B615" s="118">
        <v>612</v>
      </c>
      <c r="C615" s="118"/>
      <c r="D615" s="118"/>
      <c r="E615" s="118"/>
      <c r="F615" s="169"/>
      <c r="G615" s="118"/>
      <c r="H615" s="118"/>
      <c r="I615" s="118"/>
      <c r="J615" s="118"/>
      <c r="K615" s="118"/>
      <c r="L615" s="118"/>
      <c r="M615" s="118"/>
      <c r="N615" s="118"/>
      <c r="O615" s="118"/>
      <c r="P615" s="121"/>
      <c r="Q615" s="118"/>
      <c r="R615" s="198"/>
      <c r="S615" s="123"/>
      <c r="T615" s="118"/>
      <c r="U615" s="118"/>
      <c r="V615" s="118"/>
      <c r="W615" s="118"/>
      <c r="X615" s="199"/>
      <c r="Y615" s="121"/>
      <c r="Z615" s="121"/>
      <c r="AA615" s="118"/>
      <c r="AB615" s="118"/>
      <c r="AC615" s="126"/>
    </row>
    <row r="616" spans="2:29" ht="45" customHeight="1" x14ac:dyDescent="0.25">
      <c r="B616" s="118">
        <v>613</v>
      </c>
      <c r="C616" s="118"/>
      <c r="D616" s="118"/>
      <c r="E616" s="118"/>
      <c r="F616" s="169"/>
      <c r="G616" s="118"/>
      <c r="H616" s="118"/>
      <c r="I616" s="118"/>
      <c r="J616" s="118"/>
      <c r="K616" s="118"/>
      <c r="L616" s="118"/>
      <c r="M616" s="118"/>
      <c r="N616" s="118"/>
      <c r="O616" s="118"/>
      <c r="P616" s="121"/>
      <c r="Q616" s="118"/>
      <c r="R616" s="198"/>
      <c r="S616" s="123"/>
      <c r="T616" s="118"/>
      <c r="U616" s="118"/>
      <c r="V616" s="118"/>
      <c r="W616" s="118"/>
      <c r="X616" s="199"/>
      <c r="Y616" s="121"/>
      <c r="Z616" s="121"/>
      <c r="AA616" s="118"/>
      <c r="AB616" s="118"/>
      <c r="AC616" s="126"/>
    </row>
    <row r="617" spans="2:29" ht="45" customHeight="1" x14ac:dyDescent="0.25">
      <c r="B617" s="118">
        <v>614</v>
      </c>
      <c r="C617" s="118"/>
      <c r="D617" s="118"/>
      <c r="E617" s="118"/>
      <c r="F617" s="169"/>
      <c r="G617" s="118"/>
      <c r="H617" s="118"/>
      <c r="I617" s="118"/>
      <c r="J617" s="118"/>
      <c r="K617" s="118"/>
      <c r="L617" s="118"/>
      <c r="M617" s="118"/>
      <c r="N617" s="118"/>
      <c r="O617" s="118"/>
      <c r="P617" s="121"/>
      <c r="Q617" s="118"/>
      <c r="R617" s="198"/>
      <c r="S617" s="123"/>
      <c r="T617" s="118"/>
      <c r="U617" s="118"/>
      <c r="V617" s="118"/>
      <c r="W617" s="118"/>
      <c r="X617" s="199"/>
      <c r="Y617" s="121"/>
      <c r="Z617" s="121"/>
      <c r="AA617" s="118"/>
      <c r="AB617" s="118"/>
      <c r="AC617" s="126"/>
    </row>
    <row r="618" spans="2:29" ht="45" customHeight="1" x14ac:dyDescent="0.25">
      <c r="B618" s="118">
        <v>615</v>
      </c>
      <c r="C618" s="118"/>
      <c r="D618" s="118"/>
      <c r="E618" s="118"/>
      <c r="F618" s="169"/>
      <c r="G618" s="118"/>
      <c r="H618" s="118"/>
      <c r="I618" s="118"/>
      <c r="J618" s="118"/>
      <c r="K618" s="118"/>
      <c r="L618" s="118"/>
      <c r="M618" s="118"/>
      <c r="N618" s="118"/>
      <c r="O618" s="118"/>
      <c r="P618" s="121"/>
      <c r="Q618" s="118"/>
      <c r="R618" s="198"/>
      <c r="S618" s="123"/>
      <c r="T618" s="118"/>
      <c r="U618" s="118"/>
      <c r="V618" s="118"/>
      <c r="W618" s="118"/>
      <c r="X618" s="199"/>
      <c r="Y618" s="121"/>
      <c r="Z618" s="121"/>
      <c r="AA618" s="118"/>
      <c r="AB618" s="118"/>
      <c r="AC618" s="126"/>
    </row>
    <row r="619" spans="2:29" ht="45" customHeight="1" x14ac:dyDescent="0.25">
      <c r="B619" s="118">
        <v>616</v>
      </c>
      <c r="C619" s="118"/>
      <c r="D619" s="118"/>
      <c r="E619" s="118"/>
      <c r="F619" s="169"/>
      <c r="G619" s="118"/>
      <c r="H619" s="118"/>
      <c r="I619" s="118"/>
      <c r="J619" s="118"/>
      <c r="K619" s="118"/>
      <c r="L619" s="118"/>
      <c r="M619" s="118"/>
      <c r="N619" s="118"/>
      <c r="O619" s="118"/>
      <c r="P619" s="121"/>
      <c r="Q619" s="118"/>
      <c r="R619" s="198"/>
      <c r="S619" s="123"/>
      <c r="T619" s="118"/>
      <c r="U619" s="118"/>
      <c r="V619" s="118"/>
      <c r="W619" s="118"/>
      <c r="X619" s="199"/>
      <c r="Y619" s="121"/>
      <c r="Z619" s="121"/>
      <c r="AA619" s="118"/>
      <c r="AB619" s="118"/>
      <c r="AC619" s="126"/>
    </row>
    <row r="620" spans="2:29" ht="45" customHeight="1" x14ac:dyDescent="0.25">
      <c r="B620" s="118">
        <v>617</v>
      </c>
      <c r="C620" s="118"/>
      <c r="D620" s="118"/>
      <c r="E620" s="118"/>
      <c r="F620" s="169"/>
      <c r="G620" s="118"/>
      <c r="H620" s="118"/>
      <c r="I620" s="118"/>
      <c r="J620" s="118"/>
      <c r="K620" s="118"/>
      <c r="L620" s="118"/>
      <c r="M620" s="118"/>
      <c r="N620" s="118"/>
      <c r="O620" s="118"/>
      <c r="P620" s="121"/>
      <c r="Q620" s="118"/>
      <c r="R620" s="198"/>
      <c r="S620" s="123"/>
      <c r="T620" s="118"/>
      <c r="U620" s="118"/>
      <c r="V620" s="118"/>
      <c r="W620" s="118"/>
      <c r="X620" s="199"/>
      <c r="Y620" s="121"/>
      <c r="Z620" s="121"/>
      <c r="AA620" s="118"/>
      <c r="AB620" s="118"/>
      <c r="AC620" s="126"/>
    </row>
    <row r="621" spans="2:29" ht="45" customHeight="1" x14ac:dyDescent="0.25">
      <c r="B621" s="118">
        <v>618</v>
      </c>
      <c r="C621" s="118"/>
      <c r="D621" s="118"/>
      <c r="E621" s="118"/>
      <c r="F621" s="169"/>
      <c r="G621" s="118"/>
      <c r="H621" s="118"/>
      <c r="I621" s="118"/>
      <c r="J621" s="118"/>
      <c r="K621" s="118"/>
      <c r="L621" s="118"/>
      <c r="M621" s="118"/>
      <c r="N621" s="118"/>
      <c r="O621" s="118"/>
      <c r="P621" s="121"/>
      <c r="Q621" s="118"/>
      <c r="R621" s="198"/>
      <c r="S621" s="123"/>
      <c r="T621" s="118"/>
      <c r="U621" s="118"/>
      <c r="V621" s="118"/>
      <c r="W621" s="118"/>
      <c r="X621" s="199"/>
      <c r="Y621" s="121"/>
      <c r="Z621" s="121"/>
      <c r="AA621" s="118"/>
      <c r="AB621" s="118"/>
      <c r="AC621" s="126"/>
    </row>
    <row r="622" spans="2:29" ht="45" customHeight="1" x14ac:dyDescent="0.25">
      <c r="B622" s="118">
        <v>619</v>
      </c>
      <c r="C622" s="118"/>
      <c r="D622" s="118"/>
      <c r="E622" s="118"/>
      <c r="F622" s="169"/>
      <c r="G622" s="118"/>
      <c r="H622" s="118"/>
      <c r="I622" s="118"/>
      <c r="J622" s="118"/>
      <c r="K622" s="118"/>
      <c r="L622" s="118"/>
      <c r="M622" s="118"/>
      <c r="N622" s="118"/>
      <c r="O622" s="118"/>
      <c r="P622" s="121"/>
      <c r="Q622" s="118"/>
      <c r="R622" s="198"/>
      <c r="S622" s="123"/>
      <c r="T622" s="118"/>
      <c r="U622" s="118"/>
      <c r="V622" s="118"/>
      <c r="W622" s="118"/>
      <c r="X622" s="199"/>
      <c r="Y622" s="121"/>
      <c r="Z622" s="121"/>
      <c r="AA622" s="118"/>
      <c r="AB622" s="118"/>
      <c r="AC622" s="126"/>
    </row>
    <row r="623" spans="2:29" ht="45" customHeight="1" x14ac:dyDescent="0.25">
      <c r="B623" s="118">
        <v>620</v>
      </c>
      <c r="C623" s="118"/>
      <c r="D623" s="118"/>
      <c r="E623" s="118"/>
      <c r="F623" s="169"/>
      <c r="G623" s="118"/>
      <c r="H623" s="118"/>
      <c r="I623" s="118"/>
      <c r="J623" s="118"/>
      <c r="K623" s="118"/>
      <c r="L623" s="118"/>
      <c r="M623" s="118"/>
      <c r="N623" s="118"/>
      <c r="O623" s="118"/>
      <c r="P623" s="121"/>
      <c r="Q623" s="118"/>
      <c r="R623" s="198"/>
      <c r="S623" s="123"/>
      <c r="T623" s="118"/>
      <c r="U623" s="118"/>
      <c r="V623" s="118"/>
      <c r="W623" s="118"/>
      <c r="X623" s="199"/>
      <c r="Y623" s="121"/>
      <c r="Z623" s="121"/>
      <c r="AA623" s="118"/>
      <c r="AB623" s="118"/>
      <c r="AC623" s="126"/>
    </row>
    <row r="624" spans="2:29" ht="45" customHeight="1" x14ac:dyDescent="0.25">
      <c r="B624" s="118">
        <v>621</v>
      </c>
      <c r="C624" s="118"/>
      <c r="D624" s="118"/>
      <c r="E624" s="118"/>
      <c r="F624" s="169"/>
      <c r="G624" s="118"/>
      <c r="H624" s="118"/>
      <c r="I624" s="118"/>
      <c r="J624" s="118"/>
      <c r="K624" s="118"/>
      <c r="L624" s="118"/>
      <c r="M624" s="118"/>
      <c r="N624" s="118"/>
      <c r="O624" s="118"/>
      <c r="P624" s="121"/>
      <c r="Q624" s="118"/>
      <c r="R624" s="198"/>
      <c r="S624" s="123"/>
      <c r="T624" s="118"/>
      <c r="U624" s="118"/>
      <c r="V624" s="118"/>
      <c r="W624" s="118"/>
      <c r="X624" s="199"/>
      <c r="Y624" s="121"/>
      <c r="Z624" s="121"/>
      <c r="AA624" s="118"/>
      <c r="AB624" s="118"/>
      <c r="AC624" s="126"/>
    </row>
    <row r="625" spans="2:29" ht="45" customHeight="1" x14ac:dyDescent="0.25">
      <c r="B625" s="118">
        <v>622</v>
      </c>
      <c r="C625" s="118"/>
      <c r="D625" s="118"/>
      <c r="E625" s="118"/>
      <c r="F625" s="169"/>
      <c r="G625" s="118"/>
      <c r="H625" s="118"/>
      <c r="I625" s="118"/>
      <c r="J625" s="118"/>
      <c r="K625" s="118"/>
      <c r="L625" s="118"/>
      <c r="M625" s="118"/>
      <c r="N625" s="118"/>
      <c r="O625" s="118"/>
      <c r="P625" s="121"/>
      <c r="Q625" s="118"/>
      <c r="R625" s="198"/>
      <c r="S625" s="123"/>
      <c r="T625" s="118"/>
      <c r="U625" s="118"/>
      <c r="V625" s="118"/>
      <c r="W625" s="118"/>
      <c r="X625" s="199"/>
      <c r="Y625" s="121"/>
      <c r="Z625" s="121"/>
      <c r="AA625" s="118"/>
      <c r="AB625" s="118"/>
      <c r="AC625" s="126"/>
    </row>
    <row r="626" spans="2:29" ht="45" customHeight="1" x14ac:dyDescent="0.25">
      <c r="B626" s="118">
        <v>623</v>
      </c>
      <c r="C626" s="118"/>
      <c r="D626" s="118"/>
      <c r="E626" s="118"/>
      <c r="F626" s="169"/>
      <c r="G626" s="118"/>
      <c r="H626" s="118"/>
      <c r="I626" s="118"/>
      <c r="J626" s="118"/>
      <c r="K626" s="118"/>
      <c r="L626" s="118"/>
      <c r="M626" s="118"/>
      <c r="N626" s="118"/>
      <c r="O626" s="118"/>
      <c r="P626" s="121"/>
      <c r="Q626" s="118"/>
      <c r="R626" s="198"/>
      <c r="S626" s="123"/>
      <c r="T626" s="118"/>
      <c r="U626" s="118"/>
      <c r="V626" s="118"/>
      <c r="W626" s="118"/>
      <c r="X626" s="199"/>
      <c r="Y626" s="121"/>
      <c r="Z626" s="121"/>
      <c r="AA626" s="118"/>
      <c r="AB626" s="118"/>
      <c r="AC626" s="126"/>
    </row>
    <row r="627" spans="2:29" ht="45" customHeight="1" x14ac:dyDescent="0.25">
      <c r="B627" s="118">
        <v>624</v>
      </c>
      <c r="C627" s="118"/>
      <c r="D627" s="118"/>
      <c r="E627" s="118"/>
      <c r="F627" s="169"/>
      <c r="G627" s="118"/>
      <c r="H627" s="118"/>
      <c r="I627" s="118"/>
      <c r="J627" s="118"/>
      <c r="K627" s="118"/>
      <c r="L627" s="118"/>
      <c r="M627" s="118"/>
      <c r="N627" s="118"/>
      <c r="O627" s="118"/>
      <c r="P627" s="121"/>
      <c r="Q627" s="118"/>
      <c r="R627" s="198"/>
      <c r="S627" s="123"/>
      <c r="T627" s="118"/>
      <c r="U627" s="118"/>
      <c r="V627" s="118"/>
      <c r="W627" s="118"/>
      <c r="X627" s="199"/>
      <c r="Y627" s="121"/>
      <c r="Z627" s="121"/>
      <c r="AA627" s="118"/>
      <c r="AB627" s="118"/>
      <c r="AC627" s="126"/>
    </row>
    <row r="628" spans="2:29" ht="45" customHeight="1" x14ac:dyDescent="0.25">
      <c r="B628" s="118">
        <v>625</v>
      </c>
      <c r="C628" s="118"/>
      <c r="D628" s="118"/>
      <c r="E628" s="118"/>
      <c r="F628" s="169"/>
      <c r="G628" s="118"/>
      <c r="H628" s="118"/>
      <c r="I628" s="118"/>
      <c r="J628" s="118"/>
      <c r="K628" s="118"/>
      <c r="L628" s="118"/>
      <c r="M628" s="118"/>
      <c r="N628" s="118"/>
      <c r="O628" s="118"/>
      <c r="P628" s="121"/>
      <c r="Q628" s="118"/>
      <c r="R628" s="198"/>
      <c r="S628" s="123"/>
      <c r="T628" s="118"/>
      <c r="U628" s="118"/>
      <c r="V628" s="118"/>
      <c r="W628" s="118"/>
      <c r="X628" s="199"/>
      <c r="Y628" s="121"/>
      <c r="Z628" s="121"/>
      <c r="AA628" s="118"/>
      <c r="AB628" s="118"/>
      <c r="AC628" s="126"/>
    </row>
    <row r="629" spans="2:29" ht="45" customHeight="1" x14ac:dyDescent="0.25">
      <c r="B629" s="118">
        <v>626</v>
      </c>
      <c r="C629" s="118"/>
      <c r="D629" s="118"/>
      <c r="E629" s="118"/>
      <c r="F629" s="169"/>
      <c r="G629" s="118"/>
      <c r="H629" s="118"/>
      <c r="I629" s="118"/>
      <c r="J629" s="118"/>
      <c r="K629" s="118"/>
      <c r="L629" s="118"/>
      <c r="M629" s="118"/>
      <c r="N629" s="118"/>
      <c r="O629" s="118"/>
      <c r="P629" s="121"/>
      <c r="Q629" s="118"/>
      <c r="R629" s="198"/>
      <c r="S629" s="123"/>
      <c r="T629" s="118"/>
      <c r="U629" s="118"/>
      <c r="V629" s="118"/>
      <c r="W629" s="118"/>
      <c r="X629" s="199"/>
      <c r="Y629" s="121"/>
      <c r="Z629" s="121"/>
      <c r="AA629" s="118"/>
      <c r="AB629" s="118"/>
      <c r="AC629" s="126"/>
    </row>
    <row r="630" spans="2:29" ht="45" customHeight="1" x14ac:dyDescent="0.25">
      <c r="B630" s="118">
        <v>627</v>
      </c>
      <c r="C630" s="118"/>
      <c r="D630" s="118"/>
      <c r="E630" s="118"/>
      <c r="F630" s="169"/>
      <c r="G630" s="118"/>
      <c r="H630" s="118"/>
      <c r="I630" s="118"/>
      <c r="J630" s="118"/>
      <c r="K630" s="118"/>
      <c r="L630" s="118"/>
      <c r="M630" s="118"/>
      <c r="N630" s="118"/>
      <c r="O630" s="118"/>
      <c r="P630" s="121"/>
      <c r="Q630" s="118"/>
      <c r="R630" s="198"/>
      <c r="S630" s="123"/>
      <c r="T630" s="118"/>
      <c r="U630" s="118"/>
      <c r="V630" s="118"/>
      <c r="W630" s="118"/>
      <c r="X630" s="199"/>
      <c r="Y630" s="121"/>
      <c r="Z630" s="121"/>
      <c r="AA630" s="118"/>
      <c r="AB630" s="118"/>
      <c r="AC630" s="126"/>
    </row>
    <row r="631" spans="2:29" ht="45" customHeight="1" x14ac:dyDescent="0.25">
      <c r="B631" s="118">
        <v>628</v>
      </c>
      <c r="C631" s="118"/>
      <c r="D631" s="118"/>
      <c r="E631" s="118"/>
      <c r="F631" s="169"/>
      <c r="G631" s="118"/>
      <c r="H631" s="118"/>
      <c r="I631" s="118"/>
      <c r="J631" s="118"/>
      <c r="K631" s="118"/>
      <c r="L631" s="118"/>
      <c r="M631" s="118"/>
      <c r="N631" s="118"/>
      <c r="O631" s="118"/>
      <c r="P631" s="121"/>
      <c r="Q631" s="118"/>
      <c r="R631" s="198"/>
      <c r="S631" s="123"/>
      <c r="T631" s="118"/>
      <c r="U631" s="118"/>
      <c r="V631" s="118"/>
      <c r="W631" s="118"/>
      <c r="X631" s="199"/>
      <c r="Y631" s="121"/>
      <c r="Z631" s="121"/>
      <c r="AA631" s="118"/>
      <c r="AB631" s="118"/>
      <c r="AC631" s="126"/>
    </row>
    <row r="632" spans="2:29" ht="45" customHeight="1" x14ac:dyDescent="0.25">
      <c r="B632" s="118">
        <v>629</v>
      </c>
      <c r="C632" s="118"/>
      <c r="D632" s="118"/>
      <c r="E632" s="118"/>
      <c r="F632" s="169"/>
      <c r="G632" s="118"/>
      <c r="H632" s="118"/>
      <c r="I632" s="118"/>
      <c r="J632" s="118"/>
      <c r="K632" s="118"/>
      <c r="L632" s="118"/>
      <c r="M632" s="118"/>
      <c r="N632" s="118"/>
      <c r="O632" s="118"/>
      <c r="P632" s="121"/>
      <c r="Q632" s="118"/>
      <c r="R632" s="198"/>
      <c r="S632" s="123"/>
      <c r="T632" s="118"/>
      <c r="U632" s="118"/>
      <c r="V632" s="118"/>
      <c r="W632" s="118"/>
      <c r="X632" s="199"/>
      <c r="Y632" s="121"/>
      <c r="Z632" s="121"/>
      <c r="AA632" s="118"/>
      <c r="AB632" s="118"/>
      <c r="AC632" s="126"/>
    </row>
    <row r="633" spans="2:29" ht="45" customHeight="1" x14ac:dyDescent="0.25">
      <c r="B633" s="118">
        <v>630</v>
      </c>
      <c r="C633" s="118"/>
      <c r="D633" s="118"/>
      <c r="E633" s="118"/>
      <c r="F633" s="169"/>
      <c r="G633" s="118"/>
      <c r="H633" s="118"/>
      <c r="I633" s="118"/>
      <c r="J633" s="118"/>
      <c r="K633" s="118"/>
      <c r="L633" s="118"/>
      <c r="M633" s="118"/>
      <c r="N633" s="118"/>
      <c r="O633" s="118"/>
      <c r="P633" s="121"/>
      <c r="Q633" s="118"/>
      <c r="R633" s="198"/>
      <c r="S633" s="123"/>
      <c r="T633" s="118"/>
      <c r="U633" s="118"/>
      <c r="V633" s="118"/>
      <c r="W633" s="118"/>
      <c r="X633" s="199"/>
      <c r="Y633" s="121"/>
      <c r="Z633" s="121"/>
      <c r="AA633" s="118"/>
      <c r="AB633" s="118"/>
      <c r="AC633" s="126"/>
    </row>
    <row r="634" spans="2:29" ht="45" customHeight="1" x14ac:dyDescent="0.25">
      <c r="B634" s="118">
        <v>631</v>
      </c>
      <c r="C634" s="118"/>
      <c r="D634" s="118"/>
      <c r="E634" s="118"/>
      <c r="F634" s="169"/>
      <c r="G634" s="118"/>
      <c r="H634" s="118"/>
      <c r="I634" s="118"/>
      <c r="J634" s="118"/>
      <c r="K634" s="118"/>
      <c r="L634" s="118"/>
      <c r="M634" s="118"/>
      <c r="N634" s="118"/>
      <c r="O634" s="118"/>
      <c r="P634" s="121"/>
      <c r="Q634" s="118"/>
      <c r="R634" s="198"/>
      <c r="S634" s="123"/>
      <c r="T634" s="118"/>
      <c r="U634" s="118"/>
      <c r="V634" s="118"/>
      <c r="W634" s="118"/>
      <c r="X634" s="199"/>
      <c r="Y634" s="121"/>
      <c r="Z634" s="121"/>
      <c r="AA634" s="118"/>
      <c r="AB634" s="118"/>
      <c r="AC634" s="126"/>
    </row>
    <row r="635" spans="2:29" ht="45" customHeight="1" x14ac:dyDescent="0.25">
      <c r="B635" s="118">
        <v>632</v>
      </c>
      <c r="C635" s="118"/>
      <c r="D635" s="118"/>
      <c r="E635" s="118"/>
      <c r="F635" s="169"/>
      <c r="G635" s="118"/>
      <c r="H635" s="118"/>
      <c r="I635" s="118"/>
      <c r="J635" s="118"/>
      <c r="K635" s="118"/>
      <c r="L635" s="118"/>
      <c r="M635" s="118"/>
      <c r="N635" s="118"/>
      <c r="O635" s="118"/>
      <c r="P635" s="121"/>
      <c r="Q635" s="118"/>
      <c r="R635" s="198"/>
      <c r="S635" s="123"/>
      <c r="T635" s="118"/>
      <c r="U635" s="118"/>
      <c r="V635" s="118"/>
      <c r="W635" s="118"/>
      <c r="X635" s="199"/>
      <c r="Y635" s="121"/>
      <c r="Z635" s="121"/>
      <c r="AA635" s="118"/>
      <c r="AB635" s="118"/>
      <c r="AC635" s="126"/>
    </row>
    <row r="636" spans="2:29" ht="45" customHeight="1" x14ac:dyDescent="0.25">
      <c r="B636" s="118">
        <v>633</v>
      </c>
      <c r="C636" s="118"/>
      <c r="D636" s="118"/>
      <c r="E636" s="118"/>
      <c r="F636" s="169"/>
      <c r="G636" s="118"/>
      <c r="H636" s="118"/>
      <c r="I636" s="118"/>
      <c r="J636" s="118"/>
      <c r="K636" s="118"/>
      <c r="L636" s="118"/>
      <c r="M636" s="118"/>
      <c r="N636" s="118"/>
      <c r="O636" s="118"/>
      <c r="P636" s="121"/>
      <c r="Q636" s="118"/>
      <c r="R636" s="198"/>
      <c r="S636" s="123"/>
      <c r="T636" s="118"/>
      <c r="U636" s="118"/>
      <c r="V636" s="118"/>
      <c r="W636" s="118"/>
      <c r="X636" s="199"/>
      <c r="Y636" s="121"/>
      <c r="Z636" s="121"/>
      <c r="AA636" s="118"/>
      <c r="AB636" s="118"/>
      <c r="AC636" s="126"/>
    </row>
    <row r="637" spans="2:29" ht="45" customHeight="1" x14ac:dyDescent="0.25">
      <c r="B637" s="118">
        <v>634</v>
      </c>
      <c r="C637" s="118"/>
      <c r="D637" s="118"/>
      <c r="E637" s="118"/>
      <c r="F637" s="169"/>
      <c r="G637" s="118"/>
      <c r="H637" s="118"/>
      <c r="I637" s="118"/>
      <c r="J637" s="118"/>
      <c r="K637" s="118"/>
      <c r="L637" s="118"/>
      <c r="M637" s="118"/>
      <c r="N637" s="118"/>
      <c r="O637" s="118"/>
      <c r="P637" s="121"/>
      <c r="Q637" s="118"/>
      <c r="R637" s="198"/>
      <c r="S637" s="123"/>
      <c r="T637" s="118"/>
      <c r="U637" s="118"/>
      <c r="V637" s="118"/>
      <c r="W637" s="118"/>
      <c r="X637" s="199"/>
      <c r="Y637" s="121"/>
      <c r="Z637" s="121"/>
      <c r="AA637" s="118"/>
      <c r="AB637" s="118"/>
      <c r="AC637" s="126"/>
    </row>
    <row r="638" spans="2:29" ht="45" customHeight="1" x14ac:dyDescent="0.25">
      <c r="B638" s="118">
        <v>635</v>
      </c>
      <c r="C638" s="118"/>
      <c r="D638" s="118"/>
      <c r="E638" s="118"/>
      <c r="F638" s="169"/>
      <c r="G638" s="118"/>
      <c r="H638" s="118"/>
      <c r="I638" s="118"/>
      <c r="J638" s="118"/>
      <c r="K638" s="118"/>
      <c r="L638" s="118"/>
      <c r="M638" s="118"/>
      <c r="N638" s="118"/>
      <c r="O638" s="118"/>
      <c r="P638" s="121"/>
      <c r="Q638" s="118"/>
      <c r="R638" s="198"/>
      <c r="S638" s="123"/>
      <c r="T638" s="118"/>
      <c r="U638" s="118"/>
      <c r="V638" s="118"/>
      <c r="W638" s="118"/>
      <c r="X638" s="199"/>
      <c r="Y638" s="121"/>
      <c r="Z638" s="121"/>
      <c r="AA638" s="118"/>
      <c r="AB638" s="118"/>
      <c r="AC638" s="126"/>
    </row>
    <row r="639" spans="2:29" ht="45" customHeight="1" x14ac:dyDescent="0.25">
      <c r="B639" s="118">
        <v>636</v>
      </c>
      <c r="C639" s="118"/>
      <c r="D639" s="118"/>
      <c r="E639" s="118"/>
      <c r="F639" s="169"/>
      <c r="G639" s="118"/>
      <c r="H639" s="118"/>
      <c r="I639" s="118"/>
      <c r="J639" s="118"/>
      <c r="K639" s="118"/>
      <c r="L639" s="118"/>
      <c r="M639" s="118"/>
      <c r="N639" s="118"/>
      <c r="O639" s="118"/>
      <c r="P639" s="121"/>
      <c r="Q639" s="118"/>
      <c r="R639" s="198"/>
      <c r="S639" s="123"/>
      <c r="T639" s="118"/>
      <c r="U639" s="118"/>
      <c r="V639" s="118"/>
      <c r="W639" s="118"/>
      <c r="X639" s="199"/>
      <c r="Y639" s="121"/>
      <c r="Z639" s="121"/>
      <c r="AA639" s="118"/>
      <c r="AB639" s="118"/>
      <c r="AC639" s="126"/>
    </row>
    <row r="640" spans="2:29" ht="45" customHeight="1" x14ac:dyDescent="0.25">
      <c r="B640" s="118">
        <v>637</v>
      </c>
      <c r="C640" s="118"/>
      <c r="D640" s="118"/>
      <c r="E640" s="118"/>
      <c r="F640" s="169"/>
      <c r="G640" s="118"/>
      <c r="H640" s="118"/>
      <c r="I640" s="118"/>
      <c r="J640" s="118"/>
      <c r="K640" s="118"/>
      <c r="L640" s="118"/>
      <c r="M640" s="118"/>
      <c r="N640" s="118"/>
      <c r="O640" s="118"/>
      <c r="P640" s="121"/>
      <c r="Q640" s="118"/>
      <c r="R640" s="198"/>
      <c r="S640" s="123"/>
      <c r="T640" s="118"/>
      <c r="U640" s="118"/>
      <c r="V640" s="118"/>
      <c r="W640" s="118"/>
      <c r="X640" s="199"/>
      <c r="Y640" s="121"/>
      <c r="Z640" s="121"/>
      <c r="AA640" s="118"/>
      <c r="AB640" s="118"/>
      <c r="AC640" s="126"/>
    </row>
    <row r="641" spans="2:29" ht="45" customHeight="1" x14ac:dyDescent="0.25">
      <c r="B641" s="118">
        <v>638</v>
      </c>
      <c r="C641" s="118"/>
      <c r="D641" s="118"/>
      <c r="E641" s="118"/>
      <c r="F641" s="169"/>
      <c r="G641" s="118"/>
      <c r="H641" s="118"/>
      <c r="I641" s="118"/>
      <c r="J641" s="118"/>
      <c r="K641" s="118"/>
      <c r="L641" s="118"/>
      <c r="M641" s="118"/>
      <c r="N641" s="118"/>
      <c r="O641" s="118"/>
      <c r="P641" s="121"/>
      <c r="Q641" s="118"/>
      <c r="R641" s="198"/>
      <c r="S641" s="123"/>
      <c r="T641" s="118"/>
      <c r="U641" s="118"/>
      <c r="V641" s="118"/>
      <c r="W641" s="118"/>
      <c r="X641" s="199"/>
      <c r="Y641" s="121"/>
      <c r="Z641" s="121"/>
      <c r="AA641" s="118"/>
      <c r="AB641" s="118"/>
      <c r="AC641" s="126"/>
    </row>
    <row r="642" spans="2:29" ht="45" customHeight="1" x14ac:dyDescent="0.25">
      <c r="B642" s="118">
        <v>639</v>
      </c>
      <c r="C642" s="118"/>
      <c r="D642" s="118"/>
      <c r="E642" s="118"/>
      <c r="F642" s="169"/>
      <c r="G642" s="118"/>
      <c r="H642" s="118"/>
      <c r="I642" s="118"/>
      <c r="J642" s="118"/>
      <c r="K642" s="118"/>
      <c r="L642" s="118"/>
      <c r="M642" s="118"/>
      <c r="N642" s="118"/>
      <c r="O642" s="118"/>
      <c r="P642" s="121"/>
      <c r="Q642" s="118"/>
      <c r="R642" s="198"/>
      <c r="S642" s="123"/>
      <c r="T642" s="118"/>
      <c r="U642" s="118"/>
      <c r="V642" s="118"/>
      <c r="W642" s="118"/>
      <c r="X642" s="199"/>
      <c r="Y642" s="121"/>
      <c r="Z642" s="121"/>
      <c r="AA642" s="118"/>
      <c r="AB642" s="118"/>
      <c r="AC642" s="126"/>
    </row>
    <row r="643" spans="2:29" ht="45" customHeight="1" x14ac:dyDescent="0.25">
      <c r="B643" s="118">
        <v>640</v>
      </c>
      <c r="C643" s="118"/>
      <c r="D643" s="118"/>
      <c r="E643" s="118"/>
      <c r="F643" s="169"/>
      <c r="G643" s="118"/>
      <c r="H643" s="118"/>
      <c r="I643" s="118"/>
      <c r="J643" s="118"/>
      <c r="K643" s="118"/>
      <c r="L643" s="118"/>
      <c r="M643" s="118"/>
      <c r="N643" s="118"/>
      <c r="O643" s="118"/>
      <c r="P643" s="121"/>
      <c r="Q643" s="118"/>
      <c r="R643" s="198"/>
      <c r="S643" s="123"/>
      <c r="T643" s="118"/>
      <c r="U643" s="118"/>
      <c r="V643" s="118"/>
      <c r="W643" s="118"/>
      <c r="X643" s="199"/>
      <c r="Y643" s="121"/>
      <c r="Z643" s="121"/>
      <c r="AA643" s="118"/>
      <c r="AB643" s="118"/>
      <c r="AC643" s="126"/>
    </row>
    <row r="644" spans="2:29" ht="45" customHeight="1" x14ac:dyDescent="0.25">
      <c r="B644" s="118">
        <v>641</v>
      </c>
      <c r="C644" s="118"/>
      <c r="D644" s="118"/>
      <c r="E644" s="118"/>
      <c r="F644" s="169"/>
      <c r="G644" s="118"/>
      <c r="H644" s="118"/>
      <c r="I644" s="118"/>
      <c r="J644" s="118"/>
      <c r="K644" s="118"/>
      <c r="L644" s="118"/>
      <c r="M644" s="118"/>
      <c r="N644" s="118"/>
      <c r="O644" s="118"/>
      <c r="P644" s="121"/>
      <c r="Q644" s="118"/>
      <c r="R644" s="198"/>
      <c r="S644" s="123"/>
      <c r="T644" s="118"/>
      <c r="U644" s="118"/>
      <c r="V644" s="118"/>
      <c r="W644" s="118"/>
      <c r="X644" s="199"/>
      <c r="Y644" s="121"/>
      <c r="Z644" s="121"/>
      <c r="AA644" s="118"/>
      <c r="AB644" s="118"/>
      <c r="AC644" s="126"/>
    </row>
    <row r="645" spans="2:29" ht="45" customHeight="1" x14ac:dyDescent="0.25">
      <c r="B645" s="118">
        <v>642</v>
      </c>
      <c r="C645" s="118"/>
      <c r="D645" s="118"/>
      <c r="E645" s="118"/>
      <c r="F645" s="169"/>
      <c r="G645" s="118"/>
      <c r="H645" s="118"/>
      <c r="I645" s="118"/>
      <c r="J645" s="118"/>
      <c r="K645" s="118"/>
      <c r="L645" s="118"/>
      <c r="M645" s="118"/>
      <c r="N645" s="118"/>
      <c r="O645" s="118"/>
      <c r="P645" s="121"/>
      <c r="Q645" s="118"/>
      <c r="R645" s="198"/>
      <c r="S645" s="123"/>
      <c r="T645" s="118"/>
      <c r="U645" s="118"/>
      <c r="V645" s="118"/>
      <c r="W645" s="118"/>
      <c r="X645" s="199"/>
      <c r="Y645" s="121"/>
      <c r="Z645" s="121"/>
      <c r="AA645" s="118"/>
      <c r="AB645" s="118"/>
      <c r="AC645" s="126"/>
    </row>
    <row r="646" spans="2:29" ht="45" customHeight="1" x14ac:dyDescent="0.25">
      <c r="B646" s="118">
        <v>643</v>
      </c>
      <c r="C646" s="118"/>
      <c r="D646" s="118"/>
      <c r="E646" s="118"/>
      <c r="F646" s="169"/>
      <c r="G646" s="118"/>
      <c r="H646" s="118"/>
      <c r="I646" s="118"/>
      <c r="J646" s="118"/>
      <c r="K646" s="118"/>
      <c r="L646" s="118"/>
      <c r="M646" s="118"/>
      <c r="N646" s="118"/>
      <c r="O646" s="118"/>
      <c r="P646" s="121"/>
      <c r="Q646" s="118"/>
      <c r="R646" s="198"/>
      <c r="S646" s="123"/>
      <c r="T646" s="118"/>
      <c r="U646" s="118"/>
      <c r="V646" s="118"/>
      <c r="W646" s="118"/>
      <c r="X646" s="199"/>
      <c r="Y646" s="121"/>
      <c r="Z646" s="121"/>
      <c r="AA646" s="118"/>
      <c r="AB646" s="118"/>
      <c r="AC646" s="126"/>
    </row>
    <row r="647" spans="2:29" ht="45" customHeight="1" x14ac:dyDescent="0.25">
      <c r="B647" s="118">
        <v>644</v>
      </c>
      <c r="C647" s="118"/>
      <c r="D647" s="118"/>
      <c r="E647" s="118"/>
      <c r="F647" s="169"/>
      <c r="G647" s="118"/>
      <c r="H647" s="118"/>
      <c r="I647" s="118"/>
      <c r="J647" s="118"/>
      <c r="K647" s="118"/>
      <c r="L647" s="118"/>
      <c r="M647" s="118"/>
      <c r="N647" s="118"/>
      <c r="O647" s="118"/>
      <c r="P647" s="121"/>
      <c r="Q647" s="118"/>
      <c r="R647" s="198"/>
      <c r="S647" s="123"/>
      <c r="T647" s="118"/>
      <c r="U647" s="118"/>
      <c r="V647" s="118"/>
      <c r="W647" s="118"/>
      <c r="X647" s="199"/>
      <c r="Y647" s="121"/>
      <c r="Z647" s="121"/>
      <c r="AA647" s="118"/>
      <c r="AB647" s="118"/>
      <c r="AC647" s="126"/>
    </row>
    <row r="648" spans="2:29" ht="45" customHeight="1" x14ac:dyDescent="0.25">
      <c r="B648" s="118">
        <v>645</v>
      </c>
      <c r="C648" s="118"/>
      <c r="D648" s="118"/>
      <c r="E648" s="118"/>
      <c r="F648" s="169"/>
      <c r="G648" s="118"/>
      <c r="H648" s="118"/>
      <c r="I648" s="118"/>
      <c r="J648" s="118"/>
      <c r="K648" s="118"/>
      <c r="L648" s="118"/>
      <c r="M648" s="118"/>
      <c r="N648" s="118"/>
      <c r="O648" s="118"/>
      <c r="P648" s="121"/>
      <c r="Q648" s="118"/>
      <c r="R648" s="198"/>
      <c r="S648" s="123"/>
      <c r="T648" s="118"/>
      <c r="U648" s="118"/>
      <c r="V648" s="118"/>
      <c r="W648" s="118"/>
      <c r="X648" s="199"/>
      <c r="Y648" s="121"/>
      <c r="Z648" s="121"/>
      <c r="AA648" s="118"/>
      <c r="AB648" s="118"/>
      <c r="AC648" s="126"/>
    </row>
    <row r="649" spans="2:29" ht="45" customHeight="1" x14ac:dyDescent="0.25">
      <c r="B649" s="118">
        <v>646</v>
      </c>
      <c r="C649" s="118"/>
      <c r="D649" s="118"/>
      <c r="E649" s="118"/>
      <c r="F649" s="169"/>
      <c r="G649" s="118"/>
      <c r="H649" s="118"/>
      <c r="I649" s="118"/>
      <c r="J649" s="118"/>
      <c r="K649" s="118"/>
      <c r="L649" s="118"/>
      <c r="M649" s="118"/>
      <c r="N649" s="118"/>
      <c r="O649" s="118"/>
      <c r="P649" s="121"/>
      <c r="Q649" s="118"/>
      <c r="R649" s="198"/>
      <c r="S649" s="123"/>
      <c r="T649" s="118"/>
      <c r="U649" s="118"/>
      <c r="V649" s="118"/>
      <c r="W649" s="118"/>
      <c r="X649" s="199"/>
      <c r="Y649" s="121"/>
      <c r="Z649" s="121"/>
      <c r="AA649" s="118"/>
      <c r="AB649" s="118"/>
      <c r="AC649" s="126"/>
    </row>
    <row r="650" spans="2:29" ht="45" customHeight="1" x14ac:dyDescent="0.25">
      <c r="B650" s="118">
        <v>647</v>
      </c>
      <c r="C650" s="118"/>
      <c r="D650" s="118"/>
      <c r="E650" s="118"/>
      <c r="F650" s="169"/>
      <c r="G650" s="118"/>
      <c r="H650" s="118"/>
      <c r="I650" s="118"/>
      <c r="J650" s="118"/>
      <c r="K650" s="118"/>
      <c r="L650" s="118"/>
      <c r="M650" s="118"/>
      <c r="N650" s="118"/>
      <c r="O650" s="118"/>
      <c r="P650" s="121"/>
      <c r="Q650" s="118"/>
      <c r="R650" s="198"/>
      <c r="S650" s="123"/>
      <c r="T650" s="118"/>
      <c r="U650" s="118"/>
      <c r="V650" s="118"/>
      <c r="W650" s="118"/>
      <c r="X650" s="199"/>
      <c r="Y650" s="121"/>
      <c r="Z650" s="121"/>
      <c r="AA650" s="118"/>
      <c r="AB650" s="118"/>
      <c r="AC650" s="126"/>
    </row>
    <row r="651" spans="2:29" ht="45" customHeight="1" x14ac:dyDescent="0.25">
      <c r="B651" s="118">
        <v>648</v>
      </c>
      <c r="C651" s="118"/>
      <c r="D651" s="118"/>
      <c r="E651" s="118"/>
      <c r="F651" s="169"/>
      <c r="G651" s="118"/>
      <c r="H651" s="118"/>
      <c r="I651" s="118"/>
      <c r="J651" s="118"/>
      <c r="K651" s="118"/>
      <c r="L651" s="118"/>
      <c r="M651" s="118"/>
      <c r="N651" s="118"/>
      <c r="O651" s="118"/>
      <c r="P651" s="121"/>
      <c r="Q651" s="118"/>
      <c r="R651" s="198"/>
      <c r="S651" s="123"/>
      <c r="T651" s="118"/>
      <c r="U651" s="118"/>
      <c r="V651" s="118"/>
      <c r="W651" s="118"/>
      <c r="X651" s="199"/>
      <c r="Y651" s="121"/>
      <c r="Z651" s="121"/>
      <c r="AA651" s="118"/>
      <c r="AB651" s="118"/>
      <c r="AC651" s="126"/>
    </row>
    <row r="652" spans="2:29" ht="45" customHeight="1" x14ac:dyDescent="0.25">
      <c r="B652" s="118">
        <v>649</v>
      </c>
      <c r="C652" s="118"/>
      <c r="D652" s="118"/>
      <c r="E652" s="118"/>
      <c r="F652" s="169"/>
      <c r="G652" s="118"/>
      <c r="H652" s="118"/>
      <c r="I652" s="118"/>
      <c r="J652" s="118"/>
      <c r="K652" s="118"/>
      <c r="L652" s="118"/>
      <c r="M652" s="118"/>
      <c r="N652" s="118"/>
      <c r="O652" s="118"/>
      <c r="P652" s="121"/>
      <c r="Q652" s="118"/>
      <c r="R652" s="198"/>
      <c r="S652" s="123"/>
      <c r="T652" s="118"/>
      <c r="U652" s="118"/>
      <c r="V652" s="118"/>
      <c r="W652" s="118"/>
      <c r="X652" s="199"/>
      <c r="Y652" s="121"/>
      <c r="Z652" s="121"/>
      <c r="AA652" s="118"/>
      <c r="AB652" s="118"/>
      <c r="AC652" s="126"/>
    </row>
    <row r="653" spans="2:29" ht="45" customHeight="1" x14ac:dyDescent="0.25">
      <c r="B653" s="118">
        <v>650</v>
      </c>
      <c r="C653" s="118"/>
      <c r="D653" s="118"/>
      <c r="E653" s="118"/>
      <c r="F653" s="169"/>
      <c r="G653" s="118"/>
      <c r="H653" s="118"/>
      <c r="I653" s="118"/>
      <c r="J653" s="118"/>
      <c r="K653" s="118"/>
      <c r="L653" s="118"/>
      <c r="M653" s="118"/>
      <c r="N653" s="118"/>
      <c r="O653" s="118"/>
      <c r="P653" s="121"/>
      <c r="Q653" s="118"/>
      <c r="R653" s="198"/>
      <c r="S653" s="123"/>
      <c r="T653" s="118"/>
      <c r="U653" s="118"/>
      <c r="V653" s="118"/>
      <c r="W653" s="118"/>
      <c r="X653" s="199"/>
      <c r="Y653" s="121"/>
      <c r="Z653" s="121"/>
      <c r="AA653" s="118"/>
      <c r="AB653" s="118"/>
      <c r="AC653" s="126"/>
    </row>
    <row r="654" spans="2:29" ht="45" customHeight="1" x14ac:dyDescent="0.25">
      <c r="B654" s="118">
        <v>651</v>
      </c>
      <c r="C654" s="118"/>
      <c r="D654" s="118"/>
      <c r="E654" s="118"/>
      <c r="F654" s="169"/>
      <c r="G654" s="118"/>
      <c r="H654" s="118"/>
      <c r="I654" s="118"/>
      <c r="J654" s="118"/>
      <c r="K654" s="118"/>
      <c r="L654" s="118"/>
      <c r="M654" s="118"/>
      <c r="N654" s="118"/>
      <c r="O654" s="118"/>
      <c r="P654" s="121"/>
      <c r="Q654" s="118"/>
      <c r="R654" s="198"/>
      <c r="S654" s="123"/>
      <c r="T654" s="118"/>
      <c r="U654" s="118"/>
      <c r="V654" s="118"/>
      <c r="W654" s="118"/>
      <c r="X654" s="199"/>
      <c r="Y654" s="121"/>
      <c r="Z654" s="121"/>
      <c r="AA654" s="118"/>
      <c r="AB654" s="118"/>
      <c r="AC654" s="126"/>
    </row>
    <row r="655" spans="2:29" ht="45" customHeight="1" x14ac:dyDescent="0.25">
      <c r="B655" s="118">
        <v>652</v>
      </c>
      <c r="C655" s="118"/>
      <c r="D655" s="118"/>
      <c r="E655" s="118"/>
      <c r="F655" s="169"/>
      <c r="G655" s="118"/>
      <c r="H655" s="118"/>
      <c r="I655" s="118"/>
      <c r="J655" s="118"/>
      <c r="K655" s="118"/>
      <c r="L655" s="118"/>
      <c r="M655" s="118"/>
      <c r="N655" s="118"/>
      <c r="O655" s="118"/>
      <c r="P655" s="121"/>
      <c r="Q655" s="118"/>
      <c r="R655" s="198"/>
      <c r="S655" s="123"/>
      <c r="T655" s="118"/>
      <c r="U655" s="118"/>
      <c r="V655" s="118"/>
      <c r="W655" s="118"/>
      <c r="X655" s="199"/>
      <c r="Y655" s="121"/>
      <c r="Z655" s="121"/>
      <c r="AA655" s="118"/>
      <c r="AB655" s="118"/>
      <c r="AC655" s="126"/>
    </row>
    <row r="656" spans="2:29" ht="45" customHeight="1" x14ac:dyDescent="0.25">
      <c r="B656" s="118">
        <v>653</v>
      </c>
      <c r="C656" s="118"/>
      <c r="D656" s="118"/>
      <c r="E656" s="118"/>
      <c r="F656" s="169"/>
      <c r="G656" s="118"/>
      <c r="H656" s="118"/>
      <c r="I656" s="118"/>
      <c r="J656" s="118"/>
      <c r="K656" s="118"/>
      <c r="L656" s="118"/>
      <c r="M656" s="118"/>
      <c r="N656" s="118"/>
      <c r="O656" s="118"/>
      <c r="P656" s="121"/>
      <c r="Q656" s="118"/>
      <c r="R656" s="198"/>
      <c r="S656" s="123"/>
      <c r="T656" s="118"/>
      <c r="U656" s="118"/>
      <c r="V656" s="118"/>
      <c r="W656" s="118"/>
      <c r="X656" s="199"/>
      <c r="Y656" s="121"/>
      <c r="Z656" s="121"/>
      <c r="AA656" s="118"/>
      <c r="AB656" s="118"/>
      <c r="AC656" s="126"/>
    </row>
    <row r="657" spans="2:29" ht="45" customHeight="1" x14ac:dyDescent="0.25">
      <c r="B657" s="118">
        <v>654</v>
      </c>
      <c r="C657" s="118"/>
      <c r="D657" s="118"/>
      <c r="E657" s="118"/>
      <c r="F657" s="169"/>
      <c r="G657" s="118"/>
      <c r="H657" s="118"/>
      <c r="I657" s="118"/>
      <c r="J657" s="118"/>
      <c r="K657" s="118"/>
      <c r="L657" s="118"/>
      <c r="M657" s="118"/>
      <c r="N657" s="118"/>
      <c r="O657" s="118"/>
      <c r="P657" s="121"/>
      <c r="Q657" s="118"/>
      <c r="R657" s="198"/>
      <c r="S657" s="123"/>
      <c r="T657" s="118"/>
      <c r="U657" s="118"/>
      <c r="V657" s="118"/>
      <c r="W657" s="118"/>
      <c r="X657" s="199"/>
      <c r="Y657" s="121"/>
      <c r="Z657" s="121"/>
      <c r="AA657" s="118"/>
      <c r="AB657" s="118"/>
      <c r="AC657" s="126"/>
    </row>
    <row r="658" spans="2:29" ht="45" customHeight="1" x14ac:dyDescent="0.25">
      <c r="B658" s="118">
        <v>655</v>
      </c>
      <c r="C658" s="118"/>
      <c r="D658" s="118"/>
      <c r="E658" s="118"/>
      <c r="F658" s="169"/>
      <c r="G658" s="118"/>
      <c r="H658" s="118"/>
      <c r="I658" s="118"/>
      <c r="J658" s="118"/>
      <c r="K658" s="118"/>
      <c r="L658" s="118"/>
      <c r="M658" s="118"/>
      <c r="N658" s="118"/>
      <c r="O658" s="118"/>
      <c r="P658" s="121"/>
      <c r="Q658" s="118"/>
      <c r="R658" s="198"/>
      <c r="S658" s="123"/>
      <c r="T658" s="118"/>
      <c r="U658" s="118"/>
      <c r="V658" s="118"/>
      <c r="W658" s="118"/>
      <c r="X658" s="199"/>
      <c r="Y658" s="121"/>
      <c r="Z658" s="121"/>
      <c r="AA658" s="118"/>
      <c r="AB658" s="118"/>
      <c r="AC658" s="126"/>
    </row>
    <row r="659" spans="2:29" ht="45" customHeight="1" x14ac:dyDescent="0.25">
      <c r="B659" s="118">
        <v>656</v>
      </c>
      <c r="C659" s="118"/>
      <c r="D659" s="118"/>
      <c r="E659" s="118"/>
      <c r="F659" s="169"/>
      <c r="G659" s="118"/>
      <c r="H659" s="118"/>
      <c r="I659" s="118"/>
      <c r="J659" s="118"/>
      <c r="K659" s="118"/>
      <c r="L659" s="118"/>
      <c r="M659" s="118"/>
      <c r="N659" s="118"/>
      <c r="O659" s="118"/>
      <c r="P659" s="121"/>
      <c r="Q659" s="118"/>
      <c r="R659" s="198"/>
      <c r="S659" s="123"/>
      <c r="T659" s="118"/>
      <c r="U659" s="118"/>
      <c r="V659" s="118"/>
      <c r="W659" s="118"/>
      <c r="X659" s="199"/>
      <c r="Y659" s="121"/>
      <c r="Z659" s="121"/>
      <c r="AA659" s="118"/>
      <c r="AB659" s="118"/>
      <c r="AC659" s="126"/>
    </row>
    <row r="660" spans="2:29" ht="45" customHeight="1" x14ac:dyDescent="0.25">
      <c r="B660" s="118">
        <v>657</v>
      </c>
      <c r="C660" s="118"/>
      <c r="D660" s="118"/>
      <c r="E660" s="118"/>
      <c r="F660" s="169"/>
      <c r="G660" s="118"/>
      <c r="H660" s="118"/>
      <c r="I660" s="118"/>
      <c r="J660" s="118"/>
      <c r="K660" s="118"/>
      <c r="L660" s="118"/>
      <c r="M660" s="118"/>
      <c r="N660" s="118"/>
      <c r="O660" s="118"/>
      <c r="P660" s="121"/>
      <c r="Q660" s="118"/>
      <c r="R660" s="198"/>
      <c r="S660" s="123"/>
      <c r="T660" s="118"/>
      <c r="U660" s="118"/>
      <c r="V660" s="118"/>
      <c r="W660" s="118"/>
      <c r="X660" s="199"/>
      <c r="Y660" s="121"/>
      <c r="Z660" s="121"/>
      <c r="AA660" s="118"/>
      <c r="AB660" s="118"/>
      <c r="AC660" s="126"/>
    </row>
    <row r="661" spans="2:29" ht="45" customHeight="1" x14ac:dyDescent="0.25">
      <c r="B661" s="118">
        <v>658</v>
      </c>
      <c r="C661" s="118"/>
      <c r="D661" s="118"/>
      <c r="E661" s="118"/>
      <c r="F661" s="169"/>
      <c r="G661" s="118"/>
      <c r="H661" s="118"/>
      <c r="I661" s="118"/>
      <c r="J661" s="118"/>
      <c r="K661" s="118"/>
      <c r="L661" s="118"/>
      <c r="M661" s="118"/>
      <c r="N661" s="118"/>
      <c r="O661" s="118"/>
      <c r="P661" s="121"/>
      <c r="Q661" s="118"/>
      <c r="R661" s="198"/>
      <c r="S661" s="123"/>
      <c r="T661" s="118"/>
      <c r="U661" s="118"/>
      <c r="V661" s="118"/>
      <c r="W661" s="118"/>
      <c r="X661" s="199"/>
      <c r="Y661" s="121"/>
      <c r="Z661" s="121"/>
      <c r="AA661" s="118"/>
      <c r="AB661" s="118"/>
      <c r="AC661" s="126"/>
    </row>
    <row r="662" spans="2:29" ht="45" customHeight="1" x14ac:dyDescent="0.25">
      <c r="B662" s="118">
        <v>659</v>
      </c>
      <c r="C662" s="118"/>
      <c r="D662" s="118"/>
      <c r="E662" s="118"/>
      <c r="F662" s="169"/>
      <c r="G662" s="118"/>
      <c r="H662" s="118"/>
      <c r="I662" s="118"/>
      <c r="J662" s="118"/>
      <c r="K662" s="118"/>
      <c r="L662" s="118"/>
      <c r="M662" s="118"/>
      <c r="N662" s="118"/>
      <c r="O662" s="118"/>
      <c r="P662" s="121"/>
      <c r="Q662" s="118"/>
      <c r="R662" s="198"/>
      <c r="S662" s="123"/>
      <c r="T662" s="118"/>
      <c r="U662" s="118"/>
      <c r="V662" s="118"/>
      <c r="W662" s="118"/>
      <c r="X662" s="199"/>
      <c r="Y662" s="121"/>
      <c r="Z662" s="121"/>
      <c r="AA662" s="118"/>
      <c r="AB662" s="118"/>
      <c r="AC662" s="126"/>
    </row>
    <row r="663" spans="2:29" ht="45" customHeight="1" x14ac:dyDescent="0.25">
      <c r="B663" s="118">
        <v>660</v>
      </c>
      <c r="C663" s="118"/>
      <c r="D663" s="118"/>
      <c r="E663" s="118"/>
      <c r="F663" s="169"/>
      <c r="G663" s="118"/>
      <c r="H663" s="118"/>
      <c r="I663" s="118"/>
      <c r="J663" s="118"/>
      <c r="K663" s="118"/>
      <c r="L663" s="118"/>
      <c r="M663" s="118"/>
      <c r="N663" s="118"/>
      <c r="O663" s="118"/>
      <c r="P663" s="121"/>
      <c r="Q663" s="118"/>
      <c r="R663" s="198"/>
      <c r="S663" s="123"/>
      <c r="T663" s="118"/>
      <c r="U663" s="118"/>
      <c r="V663" s="118"/>
      <c r="W663" s="118"/>
      <c r="X663" s="199"/>
      <c r="Y663" s="121"/>
      <c r="Z663" s="121"/>
      <c r="AA663" s="118"/>
      <c r="AB663" s="118"/>
      <c r="AC663" s="126"/>
    </row>
    <row r="664" spans="2:29" ht="45" customHeight="1" x14ac:dyDescent="0.25">
      <c r="B664" s="118">
        <v>661</v>
      </c>
      <c r="C664" s="118"/>
      <c r="D664" s="118"/>
      <c r="E664" s="118"/>
      <c r="F664" s="169"/>
      <c r="G664" s="118"/>
      <c r="H664" s="118"/>
      <c r="I664" s="118"/>
      <c r="J664" s="118"/>
      <c r="K664" s="118"/>
      <c r="L664" s="118"/>
      <c r="M664" s="118"/>
      <c r="N664" s="118"/>
      <c r="O664" s="118"/>
      <c r="P664" s="121"/>
      <c r="Q664" s="118"/>
      <c r="R664" s="198"/>
      <c r="S664" s="123"/>
      <c r="T664" s="118"/>
      <c r="U664" s="118"/>
      <c r="V664" s="118"/>
      <c r="W664" s="118"/>
      <c r="X664" s="199"/>
      <c r="Y664" s="121"/>
      <c r="Z664" s="121"/>
      <c r="AA664" s="118"/>
      <c r="AB664" s="118"/>
      <c r="AC664" s="126"/>
    </row>
    <row r="665" spans="2:29" ht="45" customHeight="1" x14ac:dyDescent="0.25">
      <c r="B665" s="118">
        <v>662</v>
      </c>
      <c r="C665" s="118"/>
      <c r="D665" s="118"/>
      <c r="E665" s="118"/>
      <c r="F665" s="169"/>
      <c r="G665" s="118"/>
      <c r="H665" s="118"/>
      <c r="I665" s="118"/>
      <c r="J665" s="118"/>
      <c r="K665" s="118"/>
      <c r="L665" s="118"/>
      <c r="M665" s="118"/>
      <c r="N665" s="118"/>
      <c r="O665" s="118"/>
      <c r="P665" s="121"/>
      <c r="Q665" s="118"/>
      <c r="R665" s="198"/>
      <c r="S665" s="123"/>
      <c r="T665" s="118"/>
      <c r="U665" s="118"/>
      <c r="V665" s="118"/>
      <c r="W665" s="118"/>
      <c r="X665" s="199"/>
      <c r="Y665" s="121"/>
      <c r="Z665" s="121"/>
      <c r="AA665" s="118"/>
      <c r="AB665" s="118"/>
      <c r="AC665" s="126"/>
    </row>
    <row r="666" spans="2:29" ht="45" customHeight="1" x14ac:dyDescent="0.25">
      <c r="B666" s="118">
        <v>663</v>
      </c>
      <c r="C666" s="118"/>
      <c r="D666" s="118"/>
      <c r="E666" s="118"/>
      <c r="F666" s="169"/>
      <c r="G666" s="118"/>
      <c r="H666" s="118"/>
      <c r="I666" s="118"/>
      <c r="J666" s="118"/>
      <c r="K666" s="118"/>
      <c r="L666" s="118"/>
      <c r="M666" s="118"/>
      <c r="N666" s="118"/>
      <c r="O666" s="118"/>
      <c r="P666" s="121"/>
      <c r="Q666" s="118"/>
      <c r="R666" s="198"/>
      <c r="S666" s="123"/>
      <c r="T666" s="118"/>
      <c r="U666" s="118"/>
      <c r="V666" s="118"/>
      <c r="W666" s="118"/>
      <c r="X666" s="199"/>
      <c r="Y666" s="121"/>
      <c r="Z666" s="121"/>
      <c r="AA666" s="118"/>
      <c r="AB666" s="118"/>
      <c r="AC666" s="126"/>
    </row>
    <row r="667" spans="2:29" ht="45" customHeight="1" x14ac:dyDescent="0.25">
      <c r="B667" s="118">
        <v>664</v>
      </c>
      <c r="C667" s="118"/>
      <c r="D667" s="118"/>
      <c r="E667" s="118"/>
      <c r="F667" s="169"/>
      <c r="G667" s="118"/>
      <c r="H667" s="118"/>
      <c r="I667" s="118"/>
      <c r="J667" s="118"/>
      <c r="K667" s="118"/>
      <c r="L667" s="118"/>
      <c r="M667" s="118"/>
      <c r="N667" s="118"/>
      <c r="O667" s="118"/>
      <c r="P667" s="121"/>
      <c r="Q667" s="118"/>
      <c r="R667" s="198"/>
      <c r="S667" s="123"/>
      <c r="T667" s="118"/>
      <c r="U667" s="118"/>
      <c r="V667" s="118"/>
      <c r="W667" s="118"/>
      <c r="X667" s="199"/>
      <c r="Y667" s="121"/>
      <c r="Z667" s="121"/>
      <c r="AA667" s="118"/>
      <c r="AB667" s="118"/>
      <c r="AC667" s="126"/>
    </row>
    <row r="668" spans="2:29" ht="45" customHeight="1" x14ac:dyDescent="0.25">
      <c r="B668" s="118">
        <v>665</v>
      </c>
      <c r="C668" s="118"/>
      <c r="D668" s="118"/>
      <c r="E668" s="118"/>
      <c r="F668" s="169"/>
      <c r="G668" s="118"/>
      <c r="H668" s="118"/>
      <c r="I668" s="118"/>
      <c r="J668" s="118"/>
      <c r="K668" s="118"/>
      <c r="L668" s="118"/>
      <c r="M668" s="118"/>
      <c r="N668" s="118"/>
      <c r="O668" s="118"/>
      <c r="P668" s="121"/>
      <c r="Q668" s="118"/>
      <c r="R668" s="198"/>
      <c r="S668" s="123"/>
      <c r="T668" s="118"/>
      <c r="U668" s="118"/>
      <c r="V668" s="118"/>
      <c r="W668" s="118"/>
      <c r="X668" s="199"/>
      <c r="Y668" s="121"/>
      <c r="Z668" s="121"/>
      <c r="AA668" s="118"/>
      <c r="AB668" s="118"/>
      <c r="AC668" s="126"/>
    </row>
    <row r="669" spans="2:29" ht="45" customHeight="1" x14ac:dyDescent="0.25">
      <c r="B669" s="118">
        <v>666</v>
      </c>
      <c r="C669" s="118"/>
      <c r="D669" s="118"/>
      <c r="E669" s="118"/>
      <c r="F669" s="169"/>
      <c r="G669" s="118"/>
      <c r="H669" s="118"/>
      <c r="I669" s="118"/>
      <c r="J669" s="118"/>
      <c r="K669" s="118"/>
      <c r="L669" s="118"/>
      <c r="M669" s="118"/>
      <c r="N669" s="118"/>
      <c r="O669" s="118"/>
      <c r="P669" s="121"/>
      <c r="Q669" s="118"/>
      <c r="R669" s="198"/>
      <c r="S669" s="123"/>
      <c r="T669" s="118"/>
      <c r="U669" s="118"/>
      <c r="V669" s="118"/>
      <c r="W669" s="118"/>
      <c r="X669" s="199"/>
      <c r="Y669" s="121"/>
      <c r="Z669" s="121"/>
      <c r="AA669" s="118"/>
      <c r="AB669" s="118"/>
      <c r="AC669" s="126"/>
    </row>
    <row r="670" spans="2:29" ht="45" customHeight="1" x14ac:dyDescent="0.25">
      <c r="B670" s="118">
        <v>667</v>
      </c>
      <c r="C670" s="118"/>
      <c r="D670" s="118"/>
      <c r="E670" s="118"/>
      <c r="F670" s="169"/>
      <c r="G670" s="118"/>
      <c r="H670" s="118"/>
      <c r="I670" s="118"/>
      <c r="J670" s="118"/>
      <c r="K670" s="118"/>
      <c r="L670" s="118"/>
      <c r="M670" s="118"/>
      <c r="N670" s="118"/>
      <c r="O670" s="118"/>
      <c r="P670" s="121"/>
      <c r="Q670" s="118"/>
      <c r="R670" s="198"/>
      <c r="S670" s="123"/>
      <c r="T670" s="118"/>
      <c r="U670" s="118"/>
      <c r="V670" s="118"/>
      <c r="W670" s="118"/>
      <c r="X670" s="199"/>
      <c r="Y670" s="121"/>
      <c r="Z670" s="121"/>
      <c r="AA670" s="118"/>
      <c r="AB670" s="118"/>
      <c r="AC670" s="126"/>
    </row>
    <row r="671" spans="2:29" ht="45" customHeight="1" x14ac:dyDescent="0.25">
      <c r="B671" s="118">
        <v>668</v>
      </c>
      <c r="C671" s="118"/>
      <c r="D671" s="118"/>
      <c r="E671" s="118"/>
      <c r="F671" s="169"/>
      <c r="G671" s="118"/>
      <c r="H671" s="118"/>
      <c r="I671" s="118"/>
      <c r="J671" s="118"/>
      <c r="K671" s="118"/>
      <c r="L671" s="118"/>
      <c r="M671" s="118"/>
      <c r="N671" s="118"/>
      <c r="O671" s="118"/>
      <c r="P671" s="121"/>
      <c r="Q671" s="118"/>
      <c r="R671" s="198"/>
      <c r="S671" s="123"/>
      <c r="T671" s="118"/>
      <c r="U671" s="118"/>
      <c r="V671" s="118"/>
      <c r="W671" s="118"/>
      <c r="X671" s="199"/>
      <c r="Y671" s="121"/>
      <c r="Z671" s="121"/>
      <c r="AA671" s="118"/>
      <c r="AB671" s="118"/>
      <c r="AC671" s="126"/>
    </row>
    <row r="672" spans="2:29" ht="45" customHeight="1" x14ac:dyDescent="0.25">
      <c r="B672" s="118">
        <v>669</v>
      </c>
      <c r="C672" s="118"/>
      <c r="D672" s="118"/>
      <c r="E672" s="118"/>
      <c r="F672" s="169"/>
      <c r="G672" s="118"/>
      <c r="H672" s="118"/>
      <c r="I672" s="118"/>
      <c r="J672" s="118"/>
      <c r="K672" s="118"/>
      <c r="L672" s="118"/>
      <c r="M672" s="118"/>
      <c r="N672" s="118"/>
      <c r="O672" s="118"/>
      <c r="P672" s="121"/>
      <c r="Q672" s="118"/>
      <c r="R672" s="198"/>
      <c r="S672" s="123"/>
      <c r="T672" s="118"/>
      <c r="U672" s="118"/>
      <c r="V672" s="118"/>
      <c r="W672" s="118"/>
      <c r="X672" s="199"/>
      <c r="Y672" s="121"/>
      <c r="Z672" s="121"/>
      <c r="AA672" s="118"/>
      <c r="AB672" s="118"/>
      <c r="AC672" s="126"/>
    </row>
    <row r="673" spans="2:29" ht="45" customHeight="1" x14ac:dyDescent="0.25">
      <c r="B673" s="118">
        <v>670</v>
      </c>
      <c r="C673" s="118"/>
      <c r="D673" s="118"/>
      <c r="E673" s="118"/>
      <c r="F673" s="169"/>
      <c r="G673" s="118"/>
      <c r="H673" s="118"/>
      <c r="I673" s="118"/>
      <c r="J673" s="118"/>
      <c r="K673" s="118"/>
      <c r="L673" s="118"/>
      <c r="M673" s="118"/>
      <c r="N673" s="118"/>
      <c r="O673" s="118"/>
      <c r="P673" s="121"/>
      <c r="Q673" s="118"/>
      <c r="R673" s="198"/>
      <c r="S673" s="123"/>
      <c r="T673" s="118"/>
      <c r="U673" s="118"/>
      <c r="V673" s="118"/>
      <c r="W673" s="118"/>
      <c r="X673" s="199"/>
      <c r="Y673" s="121"/>
      <c r="Z673" s="121"/>
      <c r="AA673" s="118"/>
      <c r="AB673" s="118"/>
      <c r="AC673" s="126"/>
    </row>
    <row r="674" spans="2:29" ht="45" customHeight="1" x14ac:dyDescent="0.25">
      <c r="B674" s="118">
        <v>671</v>
      </c>
      <c r="C674" s="118"/>
      <c r="D674" s="118"/>
      <c r="E674" s="118"/>
      <c r="F674" s="169"/>
      <c r="G674" s="118"/>
      <c r="H674" s="118"/>
      <c r="I674" s="118"/>
      <c r="J674" s="118"/>
      <c r="K674" s="118"/>
      <c r="L674" s="118"/>
      <c r="M674" s="118"/>
      <c r="N674" s="118"/>
      <c r="O674" s="118"/>
      <c r="P674" s="121"/>
      <c r="Q674" s="118"/>
      <c r="R674" s="198"/>
      <c r="S674" s="123"/>
      <c r="T674" s="118"/>
      <c r="U674" s="118"/>
      <c r="V674" s="118"/>
      <c r="W674" s="118"/>
      <c r="X674" s="199"/>
      <c r="Y674" s="121"/>
      <c r="Z674" s="121"/>
      <c r="AA674" s="118"/>
      <c r="AB674" s="118"/>
      <c r="AC674" s="126"/>
    </row>
    <row r="675" spans="2:29" ht="45" customHeight="1" x14ac:dyDescent="0.25">
      <c r="B675" s="118">
        <v>672</v>
      </c>
      <c r="C675" s="118"/>
      <c r="D675" s="118"/>
      <c r="E675" s="118"/>
      <c r="F675" s="169"/>
      <c r="G675" s="118"/>
      <c r="H675" s="118"/>
      <c r="I675" s="118"/>
      <c r="J675" s="118"/>
      <c r="K675" s="118"/>
      <c r="L675" s="118"/>
      <c r="M675" s="118"/>
      <c r="N675" s="118"/>
      <c r="O675" s="118"/>
      <c r="P675" s="121"/>
      <c r="Q675" s="118"/>
      <c r="R675" s="198"/>
      <c r="S675" s="123"/>
      <c r="T675" s="118"/>
      <c r="U675" s="118"/>
      <c r="V675" s="118"/>
      <c r="W675" s="118"/>
      <c r="X675" s="199"/>
      <c r="Y675" s="121"/>
      <c r="Z675" s="121"/>
      <c r="AA675" s="118"/>
      <c r="AB675" s="118"/>
      <c r="AC675" s="126"/>
    </row>
    <row r="676" spans="2:29" ht="45" customHeight="1" x14ac:dyDescent="0.25">
      <c r="B676" s="118">
        <v>673</v>
      </c>
      <c r="C676" s="118"/>
      <c r="D676" s="118"/>
      <c r="E676" s="118"/>
      <c r="F676" s="169"/>
      <c r="G676" s="118"/>
      <c r="H676" s="118"/>
      <c r="I676" s="118"/>
      <c r="J676" s="118"/>
      <c r="K676" s="118"/>
      <c r="L676" s="118"/>
      <c r="M676" s="118"/>
      <c r="N676" s="118"/>
      <c r="O676" s="118"/>
      <c r="P676" s="121"/>
      <c r="Q676" s="118"/>
      <c r="R676" s="198"/>
      <c r="S676" s="123"/>
      <c r="T676" s="118"/>
      <c r="U676" s="118"/>
      <c r="V676" s="118"/>
      <c r="W676" s="118"/>
      <c r="X676" s="199"/>
      <c r="Y676" s="121"/>
      <c r="Z676" s="121"/>
      <c r="AA676" s="118"/>
      <c r="AB676" s="118"/>
      <c r="AC676" s="126"/>
    </row>
    <row r="677" spans="2:29" ht="45" customHeight="1" x14ac:dyDescent="0.25">
      <c r="B677" s="118">
        <v>674</v>
      </c>
      <c r="C677" s="118"/>
      <c r="D677" s="118"/>
      <c r="E677" s="118"/>
      <c r="F677" s="169"/>
      <c r="G677" s="118"/>
      <c r="H677" s="118"/>
      <c r="I677" s="118"/>
      <c r="J677" s="118"/>
      <c r="K677" s="118"/>
      <c r="L677" s="118"/>
      <c r="M677" s="118"/>
      <c r="N677" s="118"/>
      <c r="O677" s="118"/>
      <c r="P677" s="121"/>
      <c r="Q677" s="118"/>
      <c r="R677" s="198"/>
      <c r="S677" s="123"/>
      <c r="T677" s="118"/>
      <c r="U677" s="118"/>
      <c r="V677" s="118"/>
      <c r="W677" s="118"/>
      <c r="X677" s="199"/>
      <c r="Y677" s="121"/>
      <c r="Z677" s="121"/>
      <c r="AA677" s="118"/>
      <c r="AB677" s="118"/>
      <c r="AC677" s="126"/>
    </row>
    <row r="678" spans="2:29" ht="45" customHeight="1" x14ac:dyDescent="0.25">
      <c r="B678" s="118">
        <v>675</v>
      </c>
      <c r="C678" s="118"/>
      <c r="D678" s="118"/>
      <c r="E678" s="118"/>
      <c r="F678" s="169"/>
      <c r="G678" s="118"/>
      <c r="H678" s="118"/>
      <c r="I678" s="118"/>
      <c r="J678" s="118"/>
      <c r="K678" s="118"/>
      <c r="L678" s="118"/>
      <c r="M678" s="118"/>
      <c r="N678" s="118"/>
      <c r="O678" s="118"/>
      <c r="P678" s="121"/>
      <c r="Q678" s="118"/>
      <c r="R678" s="198"/>
      <c r="S678" s="123"/>
      <c r="T678" s="118"/>
      <c r="U678" s="118"/>
      <c r="V678" s="118"/>
      <c r="W678" s="118"/>
      <c r="X678" s="199"/>
      <c r="Y678" s="121"/>
      <c r="Z678" s="121"/>
      <c r="AA678" s="118"/>
      <c r="AB678" s="118"/>
      <c r="AC678" s="126"/>
    </row>
    <row r="679" spans="2:29" ht="45" customHeight="1" x14ac:dyDescent="0.25">
      <c r="B679" s="118">
        <v>676</v>
      </c>
      <c r="C679" s="118"/>
      <c r="D679" s="118"/>
      <c r="E679" s="118"/>
      <c r="F679" s="169"/>
      <c r="G679" s="118"/>
      <c r="H679" s="118"/>
      <c r="I679" s="118"/>
      <c r="J679" s="118"/>
      <c r="K679" s="118"/>
      <c r="L679" s="118"/>
      <c r="M679" s="118"/>
      <c r="N679" s="118"/>
      <c r="O679" s="118"/>
      <c r="P679" s="121"/>
      <c r="Q679" s="118"/>
      <c r="R679" s="198"/>
      <c r="S679" s="123"/>
      <c r="T679" s="118"/>
      <c r="U679" s="118"/>
      <c r="V679" s="118"/>
      <c r="W679" s="118"/>
      <c r="X679" s="199"/>
      <c r="Y679" s="121"/>
      <c r="Z679" s="121"/>
      <c r="AA679" s="118"/>
      <c r="AB679" s="118"/>
      <c r="AC679" s="126"/>
    </row>
    <row r="680" spans="2:29" ht="45" customHeight="1" x14ac:dyDescent="0.25">
      <c r="B680" s="118">
        <v>677</v>
      </c>
      <c r="C680" s="118"/>
      <c r="D680" s="118"/>
      <c r="E680" s="118"/>
      <c r="F680" s="169"/>
      <c r="G680" s="118"/>
      <c r="H680" s="118"/>
      <c r="I680" s="118"/>
      <c r="J680" s="118"/>
      <c r="K680" s="118"/>
      <c r="L680" s="118"/>
      <c r="M680" s="118"/>
      <c r="N680" s="118"/>
      <c r="O680" s="118"/>
      <c r="P680" s="121"/>
      <c r="Q680" s="118"/>
      <c r="R680" s="198"/>
      <c r="S680" s="123"/>
      <c r="T680" s="118"/>
      <c r="U680" s="118"/>
      <c r="V680" s="118"/>
      <c r="W680" s="118"/>
      <c r="X680" s="199"/>
      <c r="Y680" s="121"/>
      <c r="Z680" s="121"/>
      <c r="AA680" s="118"/>
      <c r="AB680" s="118"/>
      <c r="AC680" s="126"/>
    </row>
    <row r="681" spans="2:29" ht="45" customHeight="1" x14ac:dyDescent="0.25">
      <c r="B681" s="118">
        <v>678</v>
      </c>
      <c r="C681" s="118"/>
      <c r="D681" s="118"/>
      <c r="E681" s="118"/>
      <c r="F681" s="169"/>
      <c r="G681" s="118"/>
      <c r="H681" s="118"/>
      <c r="I681" s="118"/>
      <c r="J681" s="118"/>
      <c r="K681" s="118"/>
      <c r="L681" s="118"/>
      <c r="M681" s="118"/>
      <c r="N681" s="118"/>
      <c r="O681" s="118"/>
      <c r="P681" s="121"/>
      <c r="Q681" s="118"/>
      <c r="R681" s="198"/>
      <c r="S681" s="123"/>
      <c r="T681" s="118"/>
      <c r="U681" s="118"/>
      <c r="V681" s="118"/>
      <c r="W681" s="118"/>
      <c r="X681" s="199"/>
      <c r="Y681" s="121"/>
      <c r="Z681" s="121"/>
      <c r="AA681" s="118"/>
      <c r="AB681" s="118"/>
      <c r="AC681" s="126"/>
    </row>
    <row r="682" spans="2:29" ht="45" customHeight="1" x14ac:dyDescent="0.25">
      <c r="B682" s="118">
        <v>679</v>
      </c>
      <c r="C682" s="118"/>
      <c r="D682" s="118"/>
      <c r="E682" s="118"/>
      <c r="F682" s="169"/>
      <c r="G682" s="118"/>
      <c r="H682" s="118"/>
      <c r="I682" s="118"/>
      <c r="J682" s="118"/>
      <c r="K682" s="118"/>
      <c r="L682" s="118"/>
      <c r="M682" s="118"/>
      <c r="N682" s="118"/>
      <c r="O682" s="118"/>
      <c r="P682" s="121"/>
      <c r="Q682" s="118"/>
      <c r="R682" s="198"/>
      <c r="S682" s="123"/>
      <c r="T682" s="118"/>
      <c r="U682" s="118"/>
      <c r="V682" s="118"/>
      <c r="W682" s="118"/>
      <c r="X682" s="199"/>
      <c r="Y682" s="121"/>
      <c r="Z682" s="121"/>
      <c r="AA682" s="118"/>
      <c r="AB682" s="118"/>
      <c r="AC682" s="126"/>
    </row>
    <row r="683" spans="2:29" ht="45" customHeight="1" x14ac:dyDescent="0.25">
      <c r="B683" s="118">
        <v>680</v>
      </c>
      <c r="C683" s="118"/>
      <c r="D683" s="118"/>
      <c r="E683" s="118"/>
      <c r="F683" s="169"/>
      <c r="G683" s="118"/>
      <c r="H683" s="118"/>
      <c r="I683" s="118"/>
      <c r="J683" s="118"/>
      <c r="K683" s="118"/>
      <c r="L683" s="118"/>
      <c r="M683" s="118"/>
      <c r="N683" s="118"/>
      <c r="O683" s="118"/>
      <c r="P683" s="121"/>
      <c r="Q683" s="118"/>
      <c r="R683" s="198"/>
      <c r="S683" s="123"/>
      <c r="T683" s="118"/>
      <c r="U683" s="118"/>
      <c r="V683" s="118"/>
      <c r="W683" s="118"/>
      <c r="X683" s="199"/>
      <c r="Y683" s="121"/>
      <c r="Z683" s="121"/>
      <c r="AA683" s="118"/>
      <c r="AB683" s="118"/>
      <c r="AC683" s="126"/>
    </row>
    <row r="684" spans="2:29" ht="45" customHeight="1" x14ac:dyDescent="0.25">
      <c r="B684" s="118">
        <v>681</v>
      </c>
      <c r="C684" s="118"/>
      <c r="D684" s="118"/>
      <c r="E684" s="118"/>
      <c r="F684" s="169"/>
      <c r="G684" s="118"/>
      <c r="H684" s="118"/>
      <c r="I684" s="118"/>
      <c r="J684" s="118"/>
      <c r="K684" s="118"/>
      <c r="L684" s="118"/>
      <c r="M684" s="118"/>
      <c r="N684" s="118"/>
      <c r="O684" s="118"/>
      <c r="P684" s="121"/>
      <c r="Q684" s="118"/>
      <c r="R684" s="198"/>
      <c r="S684" s="123"/>
      <c r="T684" s="118"/>
      <c r="U684" s="118"/>
      <c r="V684" s="118"/>
      <c r="W684" s="118"/>
      <c r="X684" s="199"/>
      <c r="Y684" s="121"/>
      <c r="Z684" s="121"/>
      <c r="AA684" s="118"/>
      <c r="AB684" s="118"/>
      <c r="AC684" s="126"/>
    </row>
    <row r="685" spans="2:29" ht="45" customHeight="1" x14ac:dyDescent="0.25">
      <c r="B685" s="118">
        <v>682</v>
      </c>
      <c r="C685" s="118"/>
      <c r="D685" s="118"/>
      <c r="E685" s="118"/>
      <c r="F685" s="169"/>
      <c r="G685" s="118"/>
      <c r="H685" s="118"/>
      <c r="I685" s="118"/>
      <c r="J685" s="118"/>
      <c r="K685" s="118"/>
      <c r="L685" s="118"/>
      <c r="M685" s="118"/>
      <c r="N685" s="118"/>
      <c r="O685" s="118"/>
      <c r="P685" s="121"/>
      <c r="Q685" s="118"/>
      <c r="R685" s="198"/>
      <c r="S685" s="123"/>
      <c r="T685" s="118"/>
      <c r="U685" s="118"/>
      <c r="V685" s="118"/>
      <c r="W685" s="118"/>
      <c r="X685" s="199"/>
      <c r="Y685" s="121"/>
      <c r="Z685" s="121"/>
      <c r="AA685" s="118"/>
      <c r="AB685" s="118"/>
      <c r="AC685" s="126"/>
    </row>
    <row r="686" spans="2:29" ht="45" customHeight="1" x14ac:dyDescent="0.25">
      <c r="B686" s="118">
        <v>683</v>
      </c>
      <c r="C686" s="118"/>
      <c r="D686" s="118"/>
      <c r="E686" s="118"/>
      <c r="F686" s="169"/>
      <c r="G686" s="118"/>
      <c r="H686" s="118"/>
      <c r="I686" s="118"/>
      <c r="J686" s="118"/>
      <c r="K686" s="118"/>
      <c r="L686" s="118"/>
      <c r="M686" s="118"/>
      <c r="N686" s="118"/>
      <c r="O686" s="118"/>
      <c r="P686" s="121"/>
      <c r="Q686" s="118"/>
      <c r="R686" s="198"/>
      <c r="S686" s="123"/>
      <c r="T686" s="118"/>
      <c r="U686" s="118"/>
      <c r="V686" s="118"/>
      <c r="W686" s="118"/>
      <c r="X686" s="199"/>
      <c r="Y686" s="121"/>
      <c r="Z686" s="121"/>
      <c r="AA686" s="118"/>
      <c r="AB686" s="118"/>
      <c r="AC686" s="126"/>
    </row>
    <row r="687" spans="2:29" ht="45" customHeight="1" x14ac:dyDescent="0.25">
      <c r="B687" s="118">
        <v>684</v>
      </c>
      <c r="C687" s="118"/>
      <c r="D687" s="118"/>
      <c r="E687" s="118"/>
      <c r="F687" s="169"/>
      <c r="G687" s="118"/>
      <c r="H687" s="118"/>
      <c r="I687" s="118"/>
      <c r="J687" s="118"/>
      <c r="K687" s="118"/>
      <c r="L687" s="118"/>
      <c r="M687" s="118"/>
      <c r="N687" s="118"/>
      <c r="O687" s="118"/>
      <c r="P687" s="121"/>
      <c r="Q687" s="118"/>
      <c r="R687" s="198"/>
      <c r="S687" s="123"/>
      <c r="T687" s="118"/>
      <c r="U687" s="118"/>
      <c r="V687" s="118"/>
      <c r="W687" s="118"/>
      <c r="X687" s="199"/>
      <c r="Y687" s="121"/>
      <c r="Z687" s="121"/>
      <c r="AA687" s="118"/>
      <c r="AB687" s="118"/>
      <c r="AC687" s="126"/>
    </row>
    <row r="688" spans="2:29" ht="45" customHeight="1" x14ac:dyDescent="0.25">
      <c r="B688" s="118">
        <v>685</v>
      </c>
      <c r="C688" s="118"/>
      <c r="D688" s="118"/>
      <c r="E688" s="118"/>
      <c r="F688" s="169"/>
      <c r="G688" s="118"/>
      <c r="H688" s="118"/>
      <c r="I688" s="118"/>
      <c r="J688" s="118"/>
      <c r="K688" s="118"/>
      <c r="L688" s="118"/>
      <c r="M688" s="118"/>
      <c r="N688" s="118"/>
      <c r="O688" s="118"/>
      <c r="P688" s="121"/>
      <c r="Q688" s="118"/>
      <c r="R688" s="198"/>
      <c r="S688" s="123"/>
      <c r="T688" s="118"/>
      <c r="U688" s="118"/>
      <c r="V688" s="118"/>
      <c r="W688" s="118"/>
      <c r="X688" s="199"/>
      <c r="Y688" s="121"/>
      <c r="Z688" s="121"/>
      <c r="AA688" s="118"/>
      <c r="AB688" s="118"/>
      <c r="AC688" s="126"/>
    </row>
    <row r="689" spans="2:29" ht="45" customHeight="1" x14ac:dyDescent="0.25">
      <c r="B689" s="118">
        <v>686</v>
      </c>
      <c r="C689" s="118"/>
      <c r="D689" s="118"/>
      <c r="E689" s="118"/>
      <c r="F689" s="169"/>
      <c r="G689" s="118"/>
      <c r="H689" s="118"/>
      <c r="I689" s="118"/>
      <c r="J689" s="118"/>
      <c r="K689" s="118"/>
      <c r="L689" s="118"/>
      <c r="M689" s="118"/>
      <c r="N689" s="118"/>
      <c r="O689" s="118"/>
      <c r="P689" s="121"/>
      <c r="Q689" s="118"/>
      <c r="R689" s="198"/>
      <c r="S689" s="123"/>
      <c r="T689" s="118"/>
      <c r="U689" s="118"/>
      <c r="V689" s="118"/>
      <c r="W689" s="118"/>
      <c r="X689" s="199"/>
      <c r="Y689" s="121"/>
      <c r="Z689" s="121"/>
      <c r="AA689" s="118"/>
      <c r="AB689" s="118"/>
      <c r="AC689" s="126"/>
    </row>
    <row r="690" spans="2:29" ht="45" customHeight="1" x14ac:dyDescent="0.25">
      <c r="B690" s="118">
        <v>687</v>
      </c>
      <c r="C690" s="118"/>
      <c r="D690" s="118"/>
      <c r="E690" s="118"/>
      <c r="F690" s="169"/>
      <c r="G690" s="118"/>
      <c r="H690" s="118"/>
      <c r="I690" s="118"/>
      <c r="J690" s="118"/>
      <c r="K690" s="118"/>
      <c r="L690" s="118"/>
      <c r="M690" s="118"/>
      <c r="N690" s="118"/>
      <c r="O690" s="118"/>
      <c r="P690" s="121"/>
      <c r="Q690" s="118"/>
      <c r="R690" s="198"/>
      <c r="S690" s="123"/>
      <c r="T690" s="118"/>
      <c r="U690" s="118"/>
      <c r="V690" s="118"/>
      <c r="W690" s="118"/>
      <c r="X690" s="199"/>
      <c r="Y690" s="121"/>
      <c r="Z690" s="121"/>
      <c r="AA690" s="118"/>
      <c r="AB690" s="118"/>
      <c r="AC690" s="126"/>
    </row>
    <row r="691" spans="2:29" ht="45" customHeight="1" x14ac:dyDescent="0.25">
      <c r="B691" s="118">
        <v>688</v>
      </c>
      <c r="C691" s="118"/>
      <c r="D691" s="118"/>
      <c r="E691" s="118"/>
      <c r="F691" s="169"/>
      <c r="G691" s="118"/>
      <c r="H691" s="118"/>
      <c r="I691" s="118"/>
      <c r="J691" s="118"/>
      <c r="K691" s="118"/>
      <c r="L691" s="118"/>
      <c r="M691" s="118"/>
      <c r="N691" s="118"/>
      <c r="O691" s="118"/>
      <c r="P691" s="121"/>
      <c r="Q691" s="118"/>
      <c r="R691" s="198"/>
      <c r="S691" s="123"/>
      <c r="T691" s="118"/>
      <c r="U691" s="118"/>
      <c r="V691" s="118"/>
      <c r="W691" s="118"/>
      <c r="X691" s="199"/>
      <c r="Y691" s="121"/>
      <c r="Z691" s="121"/>
      <c r="AA691" s="118"/>
      <c r="AB691" s="118"/>
      <c r="AC691" s="126"/>
    </row>
    <row r="692" spans="2:29" ht="45" customHeight="1" x14ac:dyDescent="0.25">
      <c r="B692" s="118">
        <v>689</v>
      </c>
      <c r="C692" s="118"/>
      <c r="D692" s="118"/>
      <c r="E692" s="118"/>
      <c r="F692" s="169"/>
      <c r="G692" s="118"/>
      <c r="H692" s="118"/>
      <c r="I692" s="118"/>
      <c r="J692" s="118"/>
      <c r="K692" s="118"/>
      <c r="L692" s="118"/>
      <c r="M692" s="118"/>
      <c r="N692" s="118"/>
      <c r="O692" s="118"/>
      <c r="P692" s="121"/>
      <c r="Q692" s="118"/>
      <c r="R692" s="198"/>
      <c r="S692" s="123"/>
      <c r="T692" s="118"/>
      <c r="U692" s="118"/>
      <c r="V692" s="118"/>
      <c r="W692" s="118"/>
      <c r="X692" s="199"/>
      <c r="Y692" s="121"/>
      <c r="Z692" s="121"/>
      <c r="AA692" s="118"/>
      <c r="AB692" s="118"/>
      <c r="AC692" s="126"/>
    </row>
    <row r="693" spans="2:29" ht="45" customHeight="1" x14ac:dyDescent="0.25">
      <c r="B693" s="118">
        <v>690</v>
      </c>
      <c r="C693" s="118"/>
      <c r="D693" s="118"/>
      <c r="E693" s="118"/>
      <c r="F693" s="169"/>
      <c r="G693" s="118"/>
      <c r="H693" s="118"/>
      <c r="I693" s="118"/>
      <c r="J693" s="118"/>
      <c r="K693" s="118"/>
      <c r="L693" s="118"/>
      <c r="M693" s="118"/>
      <c r="N693" s="118"/>
      <c r="O693" s="118"/>
      <c r="P693" s="121"/>
      <c r="Q693" s="118"/>
      <c r="R693" s="198"/>
      <c r="S693" s="123"/>
      <c r="T693" s="118"/>
      <c r="U693" s="118"/>
      <c r="V693" s="118"/>
      <c r="W693" s="118"/>
      <c r="X693" s="199"/>
      <c r="Y693" s="121"/>
      <c r="Z693" s="121"/>
      <c r="AA693" s="118"/>
      <c r="AB693" s="118"/>
      <c r="AC693" s="126"/>
    </row>
    <row r="694" spans="2:29" ht="45" customHeight="1" x14ac:dyDescent="0.25">
      <c r="B694" s="118">
        <v>691</v>
      </c>
      <c r="C694" s="118"/>
      <c r="D694" s="118"/>
      <c r="E694" s="118"/>
      <c r="F694" s="169"/>
      <c r="G694" s="118"/>
      <c r="H694" s="118"/>
      <c r="I694" s="118"/>
      <c r="J694" s="118"/>
      <c r="K694" s="118"/>
      <c r="L694" s="118"/>
      <c r="M694" s="118"/>
      <c r="N694" s="118"/>
      <c r="O694" s="118"/>
      <c r="P694" s="121"/>
      <c r="Q694" s="118"/>
      <c r="R694" s="198"/>
      <c r="S694" s="123"/>
      <c r="T694" s="118"/>
      <c r="U694" s="118"/>
      <c r="V694" s="118"/>
      <c r="W694" s="118"/>
      <c r="X694" s="199"/>
      <c r="Y694" s="121"/>
      <c r="Z694" s="121"/>
      <c r="AA694" s="118"/>
      <c r="AB694" s="118"/>
      <c r="AC694" s="126"/>
    </row>
    <row r="695" spans="2:29" ht="45" customHeight="1" x14ac:dyDescent="0.25">
      <c r="B695" s="118">
        <v>692</v>
      </c>
      <c r="C695" s="118"/>
      <c r="D695" s="118"/>
      <c r="E695" s="118"/>
      <c r="F695" s="169"/>
      <c r="G695" s="118"/>
      <c r="H695" s="118"/>
      <c r="I695" s="118"/>
      <c r="J695" s="118"/>
      <c r="K695" s="118"/>
      <c r="L695" s="118"/>
      <c r="M695" s="118"/>
      <c r="N695" s="118"/>
      <c r="O695" s="118"/>
      <c r="P695" s="121"/>
      <c r="Q695" s="118"/>
      <c r="R695" s="198"/>
      <c r="S695" s="123"/>
      <c r="T695" s="118"/>
      <c r="U695" s="118"/>
      <c r="V695" s="118"/>
      <c r="W695" s="118"/>
      <c r="X695" s="199"/>
      <c r="Y695" s="121"/>
      <c r="Z695" s="121"/>
      <c r="AA695" s="118"/>
      <c r="AB695" s="118"/>
      <c r="AC695" s="126"/>
    </row>
    <row r="696" spans="2:29" ht="45" customHeight="1" x14ac:dyDescent="0.25">
      <c r="B696" s="118">
        <v>693</v>
      </c>
      <c r="C696" s="118"/>
      <c r="D696" s="118"/>
      <c r="E696" s="118"/>
      <c r="F696" s="169"/>
      <c r="G696" s="118"/>
      <c r="H696" s="118"/>
      <c r="I696" s="118"/>
      <c r="J696" s="118"/>
      <c r="K696" s="118"/>
      <c r="L696" s="118"/>
      <c r="M696" s="118"/>
      <c r="N696" s="118"/>
      <c r="O696" s="118"/>
      <c r="P696" s="121"/>
      <c r="Q696" s="118"/>
      <c r="R696" s="198"/>
      <c r="S696" s="123"/>
      <c r="T696" s="118"/>
      <c r="U696" s="118"/>
      <c r="V696" s="118"/>
      <c r="W696" s="118"/>
      <c r="X696" s="199"/>
      <c r="Y696" s="121"/>
      <c r="Z696" s="121"/>
      <c r="AA696" s="118"/>
      <c r="AB696" s="118"/>
      <c r="AC696" s="126"/>
    </row>
    <row r="697" spans="2:29" ht="45" customHeight="1" x14ac:dyDescent="0.25">
      <c r="B697" s="118">
        <v>694</v>
      </c>
      <c r="C697" s="118"/>
      <c r="D697" s="118"/>
      <c r="E697" s="118"/>
      <c r="F697" s="169"/>
      <c r="G697" s="118"/>
      <c r="H697" s="118"/>
      <c r="I697" s="118"/>
      <c r="J697" s="118"/>
      <c r="K697" s="118"/>
      <c r="L697" s="118"/>
      <c r="M697" s="118"/>
      <c r="N697" s="118"/>
      <c r="O697" s="118"/>
      <c r="P697" s="121"/>
      <c r="Q697" s="118"/>
      <c r="R697" s="198"/>
      <c r="S697" s="123"/>
      <c r="T697" s="118"/>
      <c r="U697" s="118"/>
      <c r="V697" s="118"/>
      <c r="W697" s="118"/>
      <c r="X697" s="199"/>
      <c r="Y697" s="121"/>
      <c r="Z697" s="121"/>
      <c r="AA697" s="118"/>
      <c r="AB697" s="118"/>
      <c r="AC697" s="126"/>
    </row>
    <row r="698" spans="2:29" ht="45" customHeight="1" x14ac:dyDescent="0.25">
      <c r="B698" s="118">
        <v>695</v>
      </c>
      <c r="C698" s="118"/>
      <c r="D698" s="118"/>
      <c r="E698" s="118"/>
      <c r="F698" s="169"/>
      <c r="G698" s="118"/>
      <c r="H698" s="118"/>
      <c r="I698" s="118"/>
      <c r="J698" s="118"/>
      <c r="K698" s="118"/>
      <c r="L698" s="118"/>
      <c r="M698" s="118"/>
      <c r="N698" s="118"/>
      <c r="O698" s="118"/>
      <c r="P698" s="121"/>
      <c r="Q698" s="118"/>
      <c r="R698" s="198"/>
      <c r="S698" s="123"/>
      <c r="T698" s="118"/>
      <c r="U698" s="118"/>
      <c r="V698" s="118"/>
      <c r="W698" s="118"/>
      <c r="X698" s="199"/>
      <c r="Y698" s="121"/>
      <c r="Z698" s="121"/>
      <c r="AA698" s="118"/>
      <c r="AB698" s="118"/>
      <c r="AC698" s="126"/>
    </row>
    <row r="699" spans="2:29" ht="45" customHeight="1" x14ac:dyDescent="0.25">
      <c r="B699" s="118">
        <v>696</v>
      </c>
      <c r="C699" s="118"/>
      <c r="D699" s="118"/>
      <c r="E699" s="118"/>
      <c r="F699" s="169"/>
      <c r="G699" s="118"/>
      <c r="H699" s="118"/>
      <c r="I699" s="118"/>
      <c r="J699" s="118"/>
      <c r="K699" s="118"/>
      <c r="L699" s="118"/>
      <c r="M699" s="118"/>
      <c r="N699" s="118"/>
      <c r="O699" s="118"/>
      <c r="P699" s="121"/>
      <c r="Q699" s="118"/>
      <c r="R699" s="198"/>
      <c r="S699" s="123"/>
      <c r="T699" s="118"/>
      <c r="U699" s="118"/>
      <c r="V699" s="118"/>
      <c r="W699" s="118"/>
      <c r="X699" s="199"/>
      <c r="Y699" s="121"/>
      <c r="Z699" s="121"/>
      <c r="AA699" s="118"/>
      <c r="AB699" s="118"/>
      <c r="AC699" s="126"/>
    </row>
    <row r="700" spans="2:29" ht="45" customHeight="1" x14ac:dyDescent="0.25">
      <c r="B700" s="118">
        <v>697</v>
      </c>
      <c r="C700" s="118"/>
      <c r="D700" s="118"/>
      <c r="E700" s="118"/>
      <c r="F700" s="169"/>
      <c r="G700" s="118"/>
      <c r="H700" s="118"/>
      <c r="I700" s="118"/>
      <c r="J700" s="118"/>
      <c r="K700" s="118"/>
      <c r="L700" s="118"/>
      <c r="M700" s="118"/>
      <c r="N700" s="118"/>
      <c r="O700" s="118"/>
      <c r="P700" s="121"/>
      <c r="Q700" s="118"/>
      <c r="R700" s="198"/>
      <c r="S700" s="123"/>
      <c r="T700" s="118"/>
      <c r="U700" s="118"/>
      <c r="V700" s="118"/>
      <c r="W700" s="118"/>
      <c r="X700" s="199"/>
      <c r="Y700" s="121"/>
      <c r="Z700" s="121"/>
      <c r="AA700" s="118"/>
      <c r="AB700" s="118"/>
      <c r="AC700" s="126"/>
    </row>
    <row r="701" spans="2:29" ht="45" customHeight="1" x14ac:dyDescent="0.25">
      <c r="B701" s="118">
        <v>698</v>
      </c>
      <c r="C701" s="118"/>
      <c r="D701" s="118"/>
      <c r="E701" s="118"/>
      <c r="F701" s="169"/>
      <c r="G701" s="118"/>
      <c r="H701" s="118"/>
      <c r="I701" s="118"/>
      <c r="J701" s="118"/>
      <c r="K701" s="118"/>
      <c r="L701" s="118"/>
      <c r="M701" s="118"/>
      <c r="N701" s="118"/>
      <c r="O701" s="118"/>
      <c r="P701" s="121"/>
      <c r="Q701" s="118"/>
      <c r="R701" s="198"/>
      <c r="S701" s="123"/>
      <c r="T701" s="118"/>
      <c r="U701" s="118"/>
      <c r="V701" s="118"/>
      <c r="W701" s="118"/>
      <c r="X701" s="199"/>
      <c r="Y701" s="121"/>
      <c r="Z701" s="121"/>
      <c r="AA701" s="118"/>
      <c r="AB701" s="118"/>
      <c r="AC701" s="126"/>
    </row>
    <row r="702" spans="2:29" ht="45" customHeight="1" x14ac:dyDescent="0.25">
      <c r="B702" s="118">
        <v>699</v>
      </c>
      <c r="C702" s="118"/>
      <c r="D702" s="118"/>
      <c r="E702" s="118"/>
      <c r="F702" s="169"/>
      <c r="G702" s="118"/>
      <c r="H702" s="118"/>
      <c r="I702" s="118"/>
      <c r="J702" s="118"/>
      <c r="K702" s="118"/>
      <c r="L702" s="118"/>
      <c r="M702" s="118"/>
      <c r="N702" s="118"/>
      <c r="O702" s="118"/>
      <c r="P702" s="121"/>
      <c r="Q702" s="118"/>
      <c r="R702" s="198"/>
      <c r="S702" s="123"/>
      <c r="T702" s="118"/>
      <c r="U702" s="118"/>
      <c r="V702" s="118"/>
      <c r="W702" s="118"/>
      <c r="X702" s="199"/>
      <c r="Y702" s="121"/>
      <c r="Z702" s="121"/>
      <c r="AA702" s="118"/>
      <c r="AB702" s="118"/>
      <c r="AC702" s="126"/>
    </row>
    <row r="703" spans="2:29" ht="45" customHeight="1" x14ac:dyDescent="0.25">
      <c r="B703" s="118">
        <v>700</v>
      </c>
      <c r="C703" s="118"/>
      <c r="D703" s="118"/>
      <c r="E703" s="118"/>
      <c r="F703" s="169"/>
      <c r="G703" s="118"/>
      <c r="H703" s="118"/>
      <c r="I703" s="118"/>
      <c r="J703" s="118"/>
      <c r="K703" s="118"/>
      <c r="L703" s="118"/>
      <c r="M703" s="118"/>
      <c r="N703" s="118"/>
      <c r="O703" s="118"/>
      <c r="P703" s="121"/>
      <c r="Q703" s="118"/>
      <c r="R703" s="198"/>
      <c r="S703" s="123"/>
      <c r="T703" s="118"/>
      <c r="U703" s="118"/>
      <c r="V703" s="118"/>
      <c r="W703" s="118"/>
      <c r="X703" s="199"/>
      <c r="Y703" s="121"/>
      <c r="Z703" s="121"/>
      <c r="AA703" s="118"/>
      <c r="AB703" s="118"/>
      <c r="AC703" s="126"/>
    </row>
    <row r="704" spans="2:29" ht="45" customHeight="1" x14ac:dyDescent="0.25">
      <c r="R704" s="175"/>
    </row>
    <row r="705" spans="18:18" ht="45" customHeight="1" x14ac:dyDescent="0.25">
      <c r="R705" s="175"/>
    </row>
    <row r="706" spans="18:18" ht="45" customHeight="1" x14ac:dyDescent="0.25">
      <c r="R706" s="175"/>
    </row>
    <row r="707" spans="18:18" ht="45" customHeight="1" x14ac:dyDescent="0.25">
      <c r="R707" s="175"/>
    </row>
    <row r="708" spans="18:18" ht="45" customHeight="1" x14ac:dyDescent="0.25">
      <c r="R708" s="175"/>
    </row>
    <row r="709" spans="18:18" ht="45" customHeight="1" x14ac:dyDescent="0.25">
      <c r="R709" s="175"/>
    </row>
    <row r="710" spans="18:18" ht="45" customHeight="1" x14ac:dyDescent="0.25">
      <c r="R710" s="175"/>
    </row>
    <row r="711" spans="18:18" ht="45" customHeight="1" x14ac:dyDescent="0.25">
      <c r="R711" s="175"/>
    </row>
    <row r="712" spans="18:18" ht="45" customHeight="1" x14ac:dyDescent="0.25">
      <c r="R712" s="175"/>
    </row>
    <row r="713" spans="18:18" ht="45" customHeight="1" x14ac:dyDescent="0.25">
      <c r="R713" s="175"/>
    </row>
    <row r="714" spans="18:18" ht="45" customHeight="1" x14ac:dyDescent="0.25">
      <c r="R714" s="175"/>
    </row>
    <row r="715" spans="18:18" ht="45" customHeight="1" x14ac:dyDescent="0.25">
      <c r="R715" s="175"/>
    </row>
    <row r="716" spans="18:18" ht="45" customHeight="1" x14ac:dyDescent="0.25">
      <c r="R716" s="175"/>
    </row>
    <row r="717" spans="18:18" ht="45" customHeight="1" x14ac:dyDescent="0.25">
      <c r="R717" s="175"/>
    </row>
    <row r="718" spans="18:18" ht="45" customHeight="1" x14ac:dyDescent="0.25">
      <c r="R718" s="175"/>
    </row>
    <row r="719" spans="18:18" ht="45" customHeight="1" x14ac:dyDescent="0.25">
      <c r="R719" s="175"/>
    </row>
    <row r="720" spans="18:18" ht="45" customHeight="1" x14ac:dyDescent="0.25">
      <c r="R720" s="175"/>
    </row>
    <row r="721" spans="18:18" ht="45" customHeight="1" x14ac:dyDescent="0.25">
      <c r="R721" s="175"/>
    </row>
    <row r="722" spans="18:18" ht="45" customHeight="1" x14ac:dyDescent="0.25">
      <c r="R722" s="175"/>
    </row>
    <row r="723" spans="18:18" ht="45" customHeight="1" x14ac:dyDescent="0.25">
      <c r="R723" s="175"/>
    </row>
    <row r="724" spans="18:18" ht="45" customHeight="1" x14ac:dyDescent="0.25">
      <c r="R724" s="175"/>
    </row>
    <row r="725" spans="18:18" ht="45" customHeight="1" x14ac:dyDescent="0.25">
      <c r="R725" s="175"/>
    </row>
    <row r="726" spans="18:18" ht="45" customHeight="1" x14ac:dyDescent="0.25">
      <c r="R726" s="175"/>
    </row>
    <row r="727" spans="18:18" ht="45" customHeight="1" x14ac:dyDescent="0.25">
      <c r="R727" s="175"/>
    </row>
    <row r="728" spans="18:18" ht="45" customHeight="1" x14ac:dyDescent="0.25">
      <c r="R728" s="175"/>
    </row>
    <row r="729" spans="18:18" ht="45" customHeight="1" x14ac:dyDescent="0.25">
      <c r="R729" s="175"/>
    </row>
    <row r="730" spans="18:18" ht="45" customHeight="1" x14ac:dyDescent="0.25">
      <c r="R730" s="175"/>
    </row>
    <row r="731" spans="18:18" ht="45" customHeight="1" x14ac:dyDescent="0.25">
      <c r="R731" s="175"/>
    </row>
    <row r="732" spans="18:18" ht="45" customHeight="1" x14ac:dyDescent="0.25">
      <c r="R732" s="175"/>
    </row>
    <row r="733" spans="18:18" ht="45" customHeight="1" x14ac:dyDescent="0.25">
      <c r="R733" s="175"/>
    </row>
    <row r="734" spans="18:18" ht="45" customHeight="1" x14ac:dyDescent="0.25">
      <c r="R734" s="175"/>
    </row>
    <row r="735" spans="18:18" ht="45" customHeight="1" x14ac:dyDescent="0.25">
      <c r="R735" s="175"/>
    </row>
    <row r="736" spans="18:18" ht="45" customHeight="1" x14ac:dyDescent="0.25">
      <c r="R736" s="175"/>
    </row>
    <row r="737" spans="18:18" ht="45" customHeight="1" x14ac:dyDescent="0.25">
      <c r="R737" s="175"/>
    </row>
    <row r="738" spans="18:18" ht="45" customHeight="1" x14ac:dyDescent="0.25">
      <c r="R738" s="175"/>
    </row>
    <row r="739" spans="18:18" ht="45" customHeight="1" x14ac:dyDescent="0.25">
      <c r="R739" s="175"/>
    </row>
    <row r="740" spans="18:18" ht="45" customHeight="1" x14ac:dyDescent="0.25">
      <c r="R740" s="175"/>
    </row>
    <row r="741" spans="18:18" ht="45" customHeight="1" x14ac:dyDescent="0.25">
      <c r="R741" s="175"/>
    </row>
    <row r="742" spans="18:18" ht="45" customHeight="1" x14ac:dyDescent="0.25">
      <c r="R742" s="175"/>
    </row>
    <row r="743" spans="18:18" ht="45" customHeight="1" x14ac:dyDescent="0.25">
      <c r="R743" s="175"/>
    </row>
    <row r="744" spans="18:18" ht="45" customHeight="1" x14ac:dyDescent="0.25">
      <c r="R744" s="175"/>
    </row>
    <row r="745" spans="18:18" ht="45" customHeight="1" x14ac:dyDescent="0.25">
      <c r="R745" s="175"/>
    </row>
    <row r="746" spans="18:18" ht="45" customHeight="1" x14ac:dyDescent="0.25">
      <c r="R746" s="175"/>
    </row>
    <row r="747" spans="18:18" ht="45" customHeight="1" x14ac:dyDescent="0.25">
      <c r="R747" s="175"/>
    </row>
    <row r="748" spans="18:18" ht="45" customHeight="1" x14ac:dyDescent="0.25">
      <c r="R748" s="175"/>
    </row>
    <row r="749" spans="18:18" ht="45" customHeight="1" x14ac:dyDescent="0.25">
      <c r="R749" s="175"/>
    </row>
    <row r="750" spans="18:18" ht="45" customHeight="1" x14ac:dyDescent="0.25">
      <c r="R750" s="175"/>
    </row>
    <row r="751" spans="18:18" ht="45" customHeight="1" x14ac:dyDescent="0.25">
      <c r="R751" s="175"/>
    </row>
    <row r="752" spans="18:18" ht="45" customHeight="1" x14ac:dyDescent="0.25">
      <c r="R752" s="175"/>
    </row>
    <row r="753" spans="18:18" ht="45" customHeight="1" x14ac:dyDescent="0.25">
      <c r="R753" s="175"/>
    </row>
    <row r="754" spans="18:18" ht="45" customHeight="1" x14ac:dyDescent="0.25">
      <c r="R754" s="175"/>
    </row>
    <row r="755" spans="18:18" ht="45" customHeight="1" x14ac:dyDescent="0.25">
      <c r="R755" s="175"/>
    </row>
    <row r="756" spans="18:18" ht="45" customHeight="1" x14ac:dyDescent="0.25">
      <c r="R756" s="175"/>
    </row>
    <row r="757" spans="18:18" ht="45" customHeight="1" x14ac:dyDescent="0.25">
      <c r="R757" s="175"/>
    </row>
    <row r="758" spans="18:18" ht="45" customHeight="1" x14ac:dyDescent="0.25">
      <c r="R758" s="175"/>
    </row>
    <row r="759" spans="18:18" ht="45" customHeight="1" x14ac:dyDescent="0.25">
      <c r="R759" s="175"/>
    </row>
    <row r="760" spans="18:18" ht="45" customHeight="1" x14ac:dyDescent="0.25">
      <c r="R760" s="175"/>
    </row>
    <row r="761" spans="18:18" ht="45" customHeight="1" x14ac:dyDescent="0.25">
      <c r="R761" s="175"/>
    </row>
    <row r="762" spans="18:18" ht="45" customHeight="1" x14ac:dyDescent="0.25">
      <c r="R762" s="175"/>
    </row>
    <row r="763" spans="18:18" ht="45" customHeight="1" x14ac:dyDescent="0.25">
      <c r="R763" s="175"/>
    </row>
    <row r="764" spans="18:18" ht="45" customHeight="1" x14ac:dyDescent="0.25">
      <c r="R764" s="175"/>
    </row>
    <row r="765" spans="18:18" ht="45" customHeight="1" x14ac:dyDescent="0.25">
      <c r="R765" s="175"/>
    </row>
    <row r="766" spans="18:18" ht="45" customHeight="1" x14ac:dyDescent="0.25">
      <c r="R766" s="175"/>
    </row>
    <row r="767" spans="18:18" ht="45" customHeight="1" x14ac:dyDescent="0.25">
      <c r="R767" s="175"/>
    </row>
    <row r="768" spans="18:18" ht="45" customHeight="1" x14ac:dyDescent="0.25">
      <c r="R768" s="175"/>
    </row>
    <row r="769" spans="18:18" ht="45" customHeight="1" x14ac:dyDescent="0.25">
      <c r="R769" s="175"/>
    </row>
    <row r="770" spans="18:18" ht="45" customHeight="1" x14ac:dyDescent="0.25">
      <c r="R770" s="175"/>
    </row>
    <row r="771" spans="18:18" ht="45" customHeight="1" x14ac:dyDescent="0.25">
      <c r="R771" s="175"/>
    </row>
    <row r="772" spans="18:18" ht="45" customHeight="1" x14ac:dyDescent="0.25">
      <c r="R772" s="175"/>
    </row>
    <row r="773" spans="18:18" ht="45" customHeight="1" x14ac:dyDescent="0.25">
      <c r="R773" s="175"/>
    </row>
    <row r="774" spans="18:18" ht="45" customHeight="1" x14ac:dyDescent="0.25">
      <c r="R774" s="175"/>
    </row>
    <row r="775" spans="18:18" ht="45" customHeight="1" x14ac:dyDescent="0.25">
      <c r="R775" s="175"/>
    </row>
    <row r="776" spans="18:18" ht="45" customHeight="1" x14ac:dyDescent="0.25">
      <c r="R776" s="175"/>
    </row>
    <row r="777" spans="18:18" ht="45" customHeight="1" x14ac:dyDescent="0.25">
      <c r="R777" s="175"/>
    </row>
    <row r="778" spans="18:18" ht="45" customHeight="1" x14ac:dyDescent="0.25">
      <c r="R778" s="175"/>
    </row>
    <row r="779" spans="18:18" ht="45" customHeight="1" x14ac:dyDescent="0.25">
      <c r="R779" s="175"/>
    </row>
    <row r="780" spans="18:18" ht="45" customHeight="1" x14ac:dyDescent="0.25">
      <c r="R780" s="175"/>
    </row>
    <row r="781" spans="18:18" ht="45" customHeight="1" x14ac:dyDescent="0.25">
      <c r="R781" s="175"/>
    </row>
    <row r="782" spans="18:18" ht="45" customHeight="1" x14ac:dyDescent="0.25">
      <c r="R782" s="175"/>
    </row>
    <row r="783" spans="18:18" ht="45" customHeight="1" x14ac:dyDescent="0.25">
      <c r="R783" s="175"/>
    </row>
    <row r="784" spans="18:18" ht="45" customHeight="1" x14ac:dyDescent="0.25">
      <c r="R784" s="175"/>
    </row>
    <row r="785" spans="18:18" ht="45" customHeight="1" x14ac:dyDescent="0.25">
      <c r="R785" s="175"/>
    </row>
    <row r="786" spans="18:18" ht="45" customHeight="1" x14ac:dyDescent="0.25">
      <c r="R786" s="175"/>
    </row>
    <row r="787" spans="18:18" ht="45" customHeight="1" x14ac:dyDescent="0.25">
      <c r="R787" s="175"/>
    </row>
    <row r="788" spans="18:18" ht="45" customHeight="1" x14ac:dyDescent="0.25">
      <c r="R788" s="175"/>
    </row>
    <row r="789" spans="18:18" ht="45" customHeight="1" x14ac:dyDescent="0.25">
      <c r="R789" s="175"/>
    </row>
    <row r="790" spans="18:18" ht="45" customHeight="1" x14ac:dyDescent="0.25">
      <c r="R790" s="175"/>
    </row>
    <row r="791" spans="18:18" ht="45" customHeight="1" x14ac:dyDescent="0.25">
      <c r="R791" s="175"/>
    </row>
    <row r="792" spans="18:18" ht="45" customHeight="1" x14ac:dyDescent="0.25">
      <c r="R792" s="175"/>
    </row>
    <row r="793" spans="18:18" ht="45" customHeight="1" x14ac:dyDescent="0.25">
      <c r="R793" s="175"/>
    </row>
    <row r="794" spans="18:18" ht="45" customHeight="1" x14ac:dyDescent="0.25">
      <c r="R794" s="175"/>
    </row>
    <row r="795" spans="18:18" ht="45" customHeight="1" x14ac:dyDescent="0.25">
      <c r="R795" s="175"/>
    </row>
    <row r="796" spans="18:18" ht="45" customHeight="1" x14ac:dyDescent="0.25">
      <c r="R796" s="175"/>
    </row>
    <row r="797" spans="18:18" ht="45" customHeight="1" x14ac:dyDescent="0.25">
      <c r="R797" s="175"/>
    </row>
  </sheetData>
  <sheetProtection formatCells="0" formatColumns="0" formatRows="0" insertColumns="0" insertRows="0" insertHyperlinks="0" sort="0" autoFilter="0" pivotTables="0"/>
  <autoFilter ref="C3:AC398" xr:uid="{00000000-0009-0000-0000-000000000000}"/>
  <mergeCells count="4">
    <mergeCell ref="T2:Z2"/>
    <mergeCell ref="F2:S2"/>
    <mergeCell ref="AA2:AC2"/>
    <mergeCell ref="C2:E2"/>
  </mergeCells>
  <conditionalFormatting sqref="A1:B2 A704:B1048576 A3:A149 A151:A703">
    <cfRule type="containsText" dxfId="246" priority="30" operator="containsText" text="TORNO">
      <formula>NOT(ISERROR(SEARCH("TORNO",A1)))</formula>
    </cfRule>
  </conditionalFormatting>
  <conditionalFormatting sqref="R2:R247 R251:R281 R283:R304 R306:R362 R364:R1048576">
    <cfRule type="cellIs" dxfId="245" priority="29" operator="lessThanOrEqual">
      <formula>550</formula>
    </cfRule>
  </conditionalFormatting>
  <conditionalFormatting sqref="X17">
    <cfRule type="cellIs" dxfId="244" priority="13" operator="lessThanOrEqual">
      <formula>550</formula>
    </cfRule>
  </conditionalFormatting>
  <conditionalFormatting sqref="X21">
    <cfRule type="cellIs" dxfId="243" priority="23" operator="lessThanOrEqual">
      <formula>550</formula>
    </cfRule>
  </conditionalFormatting>
  <conditionalFormatting sqref="X25">
    <cfRule type="cellIs" dxfId="242" priority="24" operator="lessThanOrEqual">
      <formula>550</formula>
    </cfRule>
  </conditionalFormatting>
  <conditionalFormatting sqref="X34">
    <cfRule type="cellIs" dxfId="241" priority="26" operator="lessThanOrEqual">
      <formula>550</formula>
    </cfRule>
  </conditionalFormatting>
  <conditionalFormatting sqref="X37">
    <cfRule type="cellIs" dxfId="240" priority="25" operator="lessThanOrEqual">
      <formula>550</formula>
    </cfRule>
  </conditionalFormatting>
  <conditionalFormatting sqref="X40">
    <cfRule type="cellIs" dxfId="239" priority="22" operator="lessThanOrEqual">
      <formula>550</formula>
    </cfRule>
  </conditionalFormatting>
  <conditionalFormatting sqref="X44">
    <cfRule type="cellIs" dxfId="238" priority="27" operator="lessThanOrEqual">
      <formula>550</formula>
    </cfRule>
  </conditionalFormatting>
  <conditionalFormatting sqref="X85">
    <cfRule type="cellIs" dxfId="237" priority="28" operator="lessThanOrEqual">
      <formula>550</formula>
    </cfRule>
  </conditionalFormatting>
  <conditionalFormatting sqref="X160">
    <cfRule type="cellIs" dxfId="236" priority="14" operator="lessThanOrEqual">
      <formula>550</formula>
    </cfRule>
  </conditionalFormatting>
  <conditionalFormatting sqref="X176">
    <cfRule type="cellIs" dxfId="235" priority="10" operator="lessThanOrEqual">
      <formula>550</formula>
    </cfRule>
  </conditionalFormatting>
  <conditionalFormatting sqref="X186">
    <cfRule type="cellIs" dxfId="234" priority="9" operator="lessThanOrEqual">
      <formula>550</formula>
    </cfRule>
  </conditionalFormatting>
  <conditionalFormatting sqref="X192">
    <cfRule type="cellIs" dxfId="233" priority="11" operator="lessThanOrEqual">
      <formula>550</formula>
    </cfRule>
  </conditionalFormatting>
  <conditionalFormatting sqref="X195">
    <cfRule type="cellIs" dxfId="232" priority="12" operator="lessThanOrEqual">
      <formula>550</formula>
    </cfRule>
  </conditionalFormatting>
  <conditionalFormatting sqref="X199">
    <cfRule type="cellIs" dxfId="231" priority="8" operator="lessThanOrEqual">
      <formula>550</formula>
    </cfRule>
  </conditionalFormatting>
  <conditionalFormatting sqref="X290">
    <cfRule type="cellIs" dxfId="230" priority="6" operator="lessThanOrEqual">
      <formula>550</formula>
    </cfRule>
  </conditionalFormatting>
  <conditionalFormatting sqref="X304:X305">
    <cfRule type="cellIs" dxfId="229" priority="5" operator="lessThanOrEqual">
      <formula>550</formula>
    </cfRule>
  </conditionalFormatting>
  <conditionalFormatting sqref="AA1:AA1048576">
    <cfRule type="containsText" dxfId="228" priority="31" operator="containsText" text="NF - PENDENTE">
      <formula>NOT(ISERROR(SEARCH("NF - PENDENTE",AA1)))</formula>
    </cfRule>
    <cfRule type="containsText" dxfId="227" priority="32" operator="containsText" text="NF - AGUARDANDO NF SUBSTITUTA">
      <formula>NOT(ISERROR(SEARCH("NF - AGUARDANDO NF SUBSTITUTA",AA1)))</formula>
    </cfRule>
    <cfRule type="containsText" dxfId="226" priority="33" operator="containsText" text="NF - AGUARDANDO APROVAÇÃO PARA LANÇAMENTO">
      <formula>NOT(ISERROR(SEARCH("NF - AGUARDANDO APROVAÇÃO PARA LANÇAMENTO",AA1)))</formula>
    </cfRule>
    <cfRule type="containsText" dxfId="225" priority="34" operator="containsText" text="RC - AGUARDANDO RETORNO DO SOLICITANTE">
      <formula>NOT(ISERROR(SEARCH("RC - AGUARDANDO RETORNO DO SOLICITANTE",AA1)))</formula>
    </cfRule>
    <cfRule type="containsText" dxfId="224" priority="35" operator="containsText" text="FINALIZADO 100%">
      <formula>NOT(ISERROR(SEARCH("FINALIZADO 100%",AA1)))</formula>
    </cfRule>
    <cfRule type="containsText" dxfId="223" priority="36" operator="containsText" text="7. NF - APROVADO, LANÇAR">
      <formula>NOT(ISERROR(SEARCH("7. NF - APROVADO, LANÇAR",AA1)))</formula>
    </cfRule>
    <cfRule type="containsText" dxfId="222" priority="37" operator="containsText" text="NF INCLUSA NA 198">
      <formula>NOT(ISERROR(SEARCH("NF INCLUSA NA 198",AA1)))</formula>
    </cfRule>
    <cfRule type="containsText" dxfId="221" priority="38" operator="containsText" text="4. RC - RC ABERTA, AGUARDANDO GERAR PEDIDO">
      <formula>NOT(ISERROR(SEARCH("4. RC - RC ABERTA, AGUARDANDO GERAR PEDIDO",AA1)))</formula>
    </cfRule>
    <cfRule type="containsText" dxfId="220" priority="39" operator="containsText" text="5. NF - PEDIDO GERADO, AGUARDANDO NF">
      <formula>NOT(ISERROR(SEARCH("5. NF - PEDIDO GERADO, AGUARDANDO NF",AA1)))</formula>
    </cfRule>
    <cfRule type="containsText" dxfId="219" priority="40" operator="containsText" text="RC - AGUARDANDO APROVAÇÃO CRISTIANO">
      <formula>NOT(ISERROR(SEARCH("RC - AGUARDANDO APROVAÇÃO CRISTIANO",AA1)))</formula>
    </cfRule>
  </conditionalFormatting>
  <pageMargins left="0.511811024" right="0.511811024" top="0.78740157499999996" bottom="0.78740157499999996" header="0.31496062000000002" footer="0.31496062000000002"/>
  <pageSetup paperSize="9" orientation="portrait" verticalDpi="0"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1000000}">
          <x14:formula1>
            <xm:f>'LISTA SUSPENSA - NÃO ALTERAR '!$C$2:$C$27</xm:f>
          </x14:formula1>
          <xm:sqref>C191:C265 C267 C4:C189 C269:C703</xm:sqref>
        </x14:dataValidation>
        <x14:dataValidation type="list" allowBlank="1" showInputMessage="1" showErrorMessage="1" xr:uid="{00000000-0002-0000-0000-000000000000}">
          <x14:formula1>
            <xm:f>'LISTA SUSPENSA - NÃO ALTERAR '!$E$2:$E$9</xm:f>
          </x14:formula1>
          <xm:sqref>I4:I703</xm:sqref>
        </x14:dataValidation>
        <x14:dataValidation type="list" allowBlank="1" showInputMessage="1" showErrorMessage="1" xr:uid="{00000000-0002-0000-0000-000002000000}">
          <x14:formula1>
            <xm:f>'LISTA SUSPENSA - NÃO ALTERAR '!$H$2:$H$15</xm:f>
          </x14:formula1>
          <xm:sqref>AA4:AA703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7"/>
  <sheetViews>
    <sheetView showGridLines="0" workbookViewId="0">
      <selection activeCell="H10" sqref="H10"/>
    </sheetView>
  </sheetViews>
  <sheetFormatPr defaultRowHeight="15" x14ac:dyDescent="0.25"/>
  <cols>
    <col min="3" max="3" width="19.85546875" customWidth="1"/>
    <col min="5" max="5" width="14.85546875" customWidth="1"/>
    <col min="8" max="8" width="57.85546875" customWidth="1"/>
    <col min="9" max="9" width="37.7109375" customWidth="1"/>
  </cols>
  <sheetData>
    <row r="1" spans="1:8" ht="24" customHeight="1" x14ac:dyDescent="0.25">
      <c r="A1" s="1"/>
      <c r="B1" s="1"/>
      <c r="C1" s="2" t="s">
        <v>4</v>
      </c>
      <c r="E1" s="3" t="s">
        <v>1255</v>
      </c>
      <c r="H1" s="4" t="s">
        <v>27</v>
      </c>
    </row>
    <row r="2" spans="1:8" ht="14.45" customHeight="1" x14ac:dyDescent="0.25">
      <c r="A2" s="1"/>
      <c r="B2" s="1"/>
      <c r="C2" s="1" t="s">
        <v>561</v>
      </c>
      <c r="E2" t="s">
        <v>226</v>
      </c>
      <c r="H2" s="5" t="s">
        <v>634</v>
      </c>
    </row>
    <row r="3" spans="1:8" ht="14.45" customHeight="1" x14ac:dyDescent="0.25">
      <c r="A3" s="1"/>
      <c r="B3" s="1"/>
      <c r="C3" s="1"/>
      <c r="E3" t="s">
        <v>1256</v>
      </c>
      <c r="H3" s="5" t="s">
        <v>1257</v>
      </c>
    </row>
    <row r="4" spans="1:8" ht="14.45" customHeight="1" x14ac:dyDescent="0.25">
      <c r="A4" s="1"/>
      <c r="B4" s="1"/>
      <c r="C4" s="1" t="s">
        <v>226</v>
      </c>
      <c r="E4" t="s">
        <v>33</v>
      </c>
      <c r="H4" s="5" t="s">
        <v>1235</v>
      </c>
    </row>
    <row r="5" spans="1:8" x14ac:dyDescent="0.25">
      <c r="A5" s="1"/>
      <c r="B5" s="1"/>
      <c r="C5" s="1" t="s">
        <v>33</v>
      </c>
      <c r="E5" t="s">
        <v>49</v>
      </c>
      <c r="H5" s="5" t="s">
        <v>940</v>
      </c>
    </row>
    <row r="6" spans="1:8" x14ac:dyDescent="0.25">
      <c r="A6" s="1"/>
      <c r="B6" s="1"/>
      <c r="C6" s="1" t="s">
        <v>300</v>
      </c>
      <c r="E6" t="s">
        <v>340</v>
      </c>
      <c r="H6" s="6" t="s">
        <v>48</v>
      </c>
    </row>
    <row r="7" spans="1:8" ht="14.45" customHeight="1" x14ac:dyDescent="0.25">
      <c r="A7" s="1"/>
      <c r="B7" s="1"/>
      <c r="C7" s="1" t="s">
        <v>893</v>
      </c>
      <c r="E7" t="s">
        <v>188</v>
      </c>
      <c r="H7" s="6" t="s">
        <v>336</v>
      </c>
    </row>
    <row r="8" spans="1:8" ht="14.45" customHeight="1" x14ac:dyDescent="0.25">
      <c r="A8" s="1"/>
      <c r="B8" s="1"/>
      <c r="C8" s="1" t="s">
        <v>267</v>
      </c>
      <c r="E8" t="s">
        <v>605</v>
      </c>
      <c r="H8" s="6" t="s">
        <v>584</v>
      </c>
    </row>
    <row r="9" spans="1:8" ht="14.45" customHeight="1" x14ac:dyDescent="0.25">
      <c r="A9" s="1"/>
      <c r="B9" s="1"/>
      <c r="C9" s="1" t="s">
        <v>30</v>
      </c>
      <c r="E9" t="s">
        <v>354</v>
      </c>
      <c r="H9" s="6" t="s">
        <v>1258</v>
      </c>
    </row>
    <row r="10" spans="1:8" ht="14.45" customHeight="1" x14ac:dyDescent="0.25">
      <c r="A10" s="1"/>
      <c r="B10" s="1"/>
      <c r="C10" s="1" t="s">
        <v>49</v>
      </c>
      <c r="H10" s="6" t="s">
        <v>780</v>
      </c>
    </row>
    <row r="11" spans="1:8" ht="14.45" customHeight="1" x14ac:dyDescent="0.25">
      <c r="A11" s="1"/>
      <c r="B11" s="1"/>
      <c r="C11" s="1" t="s">
        <v>239</v>
      </c>
      <c r="H11" s="6" t="s">
        <v>39</v>
      </c>
    </row>
    <row r="12" spans="1:8" ht="14.45" customHeight="1" x14ac:dyDescent="0.25">
      <c r="C12" s="1" t="s">
        <v>529</v>
      </c>
      <c r="H12" s="6" t="s">
        <v>1259</v>
      </c>
    </row>
    <row r="13" spans="1:8" x14ac:dyDescent="0.25">
      <c r="C13" s="1" t="s">
        <v>901</v>
      </c>
      <c r="H13" s="5" t="s">
        <v>262</v>
      </c>
    </row>
    <row r="14" spans="1:8" x14ac:dyDescent="0.25">
      <c r="C14" s="1" t="s">
        <v>106</v>
      </c>
      <c r="H14" s="5" t="s">
        <v>154</v>
      </c>
    </row>
    <row r="15" spans="1:8" x14ac:dyDescent="0.25">
      <c r="C15" s="1" t="s">
        <v>257</v>
      </c>
      <c r="H15" s="5" t="s">
        <v>160</v>
      </c>
    </row>
    <row r="16" spans="1:8" x14ac:dyDescent="0.25">
      <c r="C16" s="1" t="s">
        <v>247</v>
      </c>
    </row>
    <row r="17" spans="3:3" x14ac:dyDescent="0.25">
      <c r="C17" s="1" t="s">
        <v>1260</v>
      </c>
    </row>
    <row r="18" spans="3:3" x14ac:dyDescent="0.25">
      <c r="C18" s="1" t="s">
        <v>126</v>
      </c>
    </row>
    <row r="19" spans="3:3" x14ac:dyDescent="0.25">
      <c r="C19" s="1" t="s">
        <v>292</v>
      </c>
    </row>
    <row r="20" spans="3:3" x14ac:dyDescent="0.25">
      <c r="C20" s="1" t="s">
        <v>351</v>
      </c>
    </row>
    <row r="21" spans="3:3" x14ac:dyDescent="0.25">
      <c r="C21" s="1" t="s">
        <v>43</v>
      </c>
    </row>
    <row r="22" spans="3:3" x14ac:dyDescent="0.25">
      <c r="C22" s="1" t="s">
        <v>150</v>
      </c>
    </row>
    <row r="23" spans="3:3" x14ac:dyDescent="0.25">
      <c r="C23" s="1" t="s">
        <v>398</v>
      </c>
    </row>
    <row r="24" spans="3:3" x14ac:dyDescent="0.25">
      <c r="C24" s="1" t="s">
        <v>887</v>
      </c>
    </row>
    <row r="25" spans="3:3" x14ac:dyDescent="0.25">
      <c r="C25" s="1" t="s">
        <v>545</v>
      </c>
    </row>
    <row r="26" spans="3:3" x14ac:dyDescent="0.25">
      <c r="C26" s="1" t="s">
        <v>235</v>
      </c>
    </row>
    <row r="27" spans="3:3" x14ac:dyDescent="0.25">
      <c r="C27" s="1" t="s">
        <v>186</v>
      </c>
    </row>
  </sheetData>
  <autoFilter ref="E1:E9" xr:uid="{00000000-0009-0000-0000-000001000000}">
    <sortState xmlns:xlrd2="http://schemas.microsoft.com/office/spreadsheetml/2017/richdata2" ref="E2:E8">
      <sortCondition ref="E1:E8"/>
    </sortState>
  </autoFilter>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73"/>
  <sheetViews>
    <sheetView showGridLines="0" workbookViewId="0">
      <pane ySplit="1" topLeftCell="A262" activePane="bottomLeft" state="frozen"/>
      <selection pane="bottomLeft" activeCell="A267" sqref="A267"/>
    </sheetView>
  </sheetViews>
  <sheetFormatPr defaultRowHeight="15" x14ac:dyDescent="0.25"/>
  <cols>
    <col min="1" max="2" width="10.5703125" style="1" customWidth="1"/>
    <col min="3" max="3" width="64" style="61" customWidth="1"/>
    <col min="4" max="4" width="21.42578125" customWidth="1"/>
    <col min="5" max="5" width="11" style="1" customWidth="1"/>
    <col min="6" max="6" width="13.85546875" style="1" customWidth="1"/>
    <col min="7" max="7" width="11.28515625" style="1" customWidth="1"/>
    <col min="8" max="8" width="15.140625" style="1" customWidth="1"/>
    <col min="9" max="10" width="10.7109375" style="1" customWidth="1"/>
    <col min="11" max="11" width="20.42578125" style="1" customWidth="1"/>
    <col min="12" max="12" width="35.5703125" style="1" customWidth="1"/>
    <col min="13" max="13" width="9.140625" style="1"/>
    <col min="14" max="14" width="16.140625" style="1" customWidth="1"/>
    <col min="15" max="15" width="17.7109375" style="1" customWidth="1"/>
    <col min="16" max="16" width="27.28515625" customWidth="1"/>
  </cols>
  <sheetData>
    <row r="1" spans="1:16" ht="45" x14ac:dyDescent="0.25">
      <c r="A1" s="47" t="s">
        <v>15</v>
      </c>
      <c r="B1" s="47" t="s">
        <v>17</v>
      </c>
      <c r="C1" s="47" t="s">
        <v>6</v>
      </c>
      <c r="D1" s="47" t="s">
        <v>1261</v>
      </c>
      <c r="E1" s="47" t="s">
        <v>22</v>
      </c>
      <c r="F1" s="47" t="s">
        <v>1262</v>
      </c>
      <c r="G1" s="48" t="s">
        <v>1263</v>
      </c>
      <c r="H1" s="49" t="s">
        <v>1264</v>
      </c>
      <c r="I1" s="47" t="s">
        <v>1265</v>
      </c>
      <c r="J1" s="47" t="s">
        <v>1266</v>
      </c>
      <c r="K1" s="47" t="s">
        <v>1267</v>
      </c>
      <c r="L1" s="47" t="s">
        <v>1268</v>
      </c>
      <c r="M1" s="47" t="s">
        <v>1269</v>
      </c>
      <c r="N1" s="47" t="s">
        <v>27</v>
      </c>
      <c r="O1" s="47" t="s">
        <v>1270</v>
      </c>
      <c r="P1" s="47" t="s">
        <v>1271</v>
      </c>
    </row>
    <row r="2" spans="1:16" ht="45" x14ac:dyDescent="0.25">
      <c r="A2" s="27">
        <v>3590944</v>
      </c>
      <c r="B2" s="27">
        <v>3738200</v>
      </c>
      <c r="C2" s="25" t="s">
        <v>1272</v>
      </c>
      <c r="D2" s="27" t="s">
        <v>1273</v>
      </c>
      <c r="E2" s="27" t="s">
        <v>71</v>
      </c>
      <c r="F2" s="27" t="s">
        <v>1274</v>
      </c>
      <c r="G2" s="27" t="s">
        <v>64</v>
      </c>
      <c r="H2" s="70">
        <v>3928.66</v>
      </c>
      <c r="I2" s="50">
        <v>45274</v>
      </c>
      <c r="J2" s="50">
        <v>45286</v>
      </c>
      <c r="K2" s="27">
        <v>444542</v>
      </c>
      <c r="L2" s="39" t="s">
        <v>1275</v>
      </c>
      <c r="M2" s="52">
        <v>153</v>
      </c>
      <c r="N2" s="68" t="s">
        <v>1276</v>
      </c>
      <c r="O2" s="27" t="s">
        <v>35</v>
      </c>
    </row>
    <row r="3" spans="1:16" ht="45" x14ac:dyDescent="0.25">
      <c r="A3" s="27">
        <v>3590965</v>
      </c>
      <c r="B3" s="27">
        <v>3738201</v>
      </c>
      <c r="C3" s="25" t="s">
        <v>1272</v>
      </c>
      <c r="D3" s="27" t="s">
        <v>1273</v>
      </c>
      <c r="E3" s="27" t="s">
        <v>71</v>
      </c>
      <c r="F3" s="27" t="s">
        <v>1274</v>
      </c>
      <c r="G3" s="27" t="s">
        <v>64</v>
      </c>
      <c r="H3" s="70">
        <v>3928.66</v>
      </c>
      <c r="I3" s="50">
        <v>45274</v>
      </c>
      <c r="J3" s="50">
        <v>45286</v>
      </c>
      <c r="K3" s="27">
        <v>444520</v>
      </c>
      <c r="L3" s="39" t="s">
        <v>1275</v>
      </c>
      <c r="M3" s="52">
        <v>153</v>
      </c>
      <c r="N3" s="68" t="s">
        <v>1276</v>
      </c>
      <c r="O3" s="27" t="s">
        <v>35</v>
      </c>
    </row>
    <row r="4" spans="1:16" ht="45" x14ac:dyDescent="0.25">
      <c r="A4" s="27">
        <v>3619858</v>
      </c>
      <c r="B4" s="27">
        <v>3766711</v>
      </c>
      <c r="C4" s="25" t="s">
        <v>1272</v>
      </c>
      <c r="D4" s="27" t="s">
        <v>1273</v>
      </c>
      <c r="E4" s="27" t="s">
        <v>71</v>
      </c>
      <c r="F4" s="27" t="s">
        <v>1274</v>
      </c>
      <c r="G4" s="27" t="s">
        <v>64</v>
      </c>
      <c r="H4" s="70">
        <v>3928.66</v>
      </c>
      <c r="I4" s="50">
        <v>45309</v>
      </c>
      <c r="J4" s="50">
        <v>45315</v>
      </c>
      <c r="K4" s="27">
        <v>450446</v>
      </c>
      <c r="L4" s="39" t="s">
        <v>1275</v>
      </c>
      <c r="M4" s="52">
        <v>153</v>
      </c>
      <c r="N4" s="68" t="s">
        <v>1276</v>
      </c>
      <c r="O4" s="27" t="s">
        <v>1277</v>
      </c>
    </row>
    <row r="5" spans="1:16" ht="45" x14ac:dyDescent="0.25">
      <c r="A5" s="27">
        <v>3619858</v>
      </c>
      <c r="B5" s="27">
        <v>3738201</v>
      </c>
      <c r="C5" s="25" t="s">
        <v>1272</v>
      </c>
      <c r="D5" s="27" t="s">
        <v>1273</v>
      </c>
      <c r="E5" s="27" t="s">
        <v>37</v>
      </c>
      <c r="F5" s="27" t="s">
        <v>1274</v>
      </c>
      <c r="G5" s="27" t="s">
        <v>64</v>
      </c>
      <c r="H5" s="70">
        <v>3928.66</v>
      </c>
      <c r="I5" s="50">
        <v>45341</v>
      </c>
      <c r="J5" s="50">
        <v>45343</v>
      </c>
      <c r="K5" s="27">
        <v>456508</v>
      </c>
      <c r="L5" s="39" t="s">
        <v>1275</v>
      </c>
      <c r="M5" s="52">
        <v>153</v>
      </c>
      <c r="N5" s="68" t="s">
        <v>1276</v>
      </c>
      <c r="O5" s="27" t="s">
        <v>1278</v>
      </c>
    </row>
    <row r="6" spans="1:16" ht="45" x14ac:dyDescent="0.25">
      <c r="A6" s="27">
        <v>3619858</v>
      </c>
      <c r="B6" s="27">
        <v>3738201</v>
      </c>
      <c r="C6" s="25" t="s">
        <v>1272</v>
      </c>
      <c r="D6" s="27" t="s">
        <v>1273</v>
      </c>
      <c r="E6" s="27" t="s">
        <v>37</v>
      </c>
      <c r="F6" s="27" t="s">
        <v>1274</v>
      </c>
      <c r="G6" s="27" t="s">
        <v>64</v>
      </c>
      <c r="H6" s="70">
        <v>3928.66</v>
      </c>
      <c r="I6" s="50">
        <v>45369</v>
      </c>
      <c r="J6" s="50">
        <v>45370</v>
      </c>
      <c r="K6" s="27">
        <v>462968</v>
      </c>
      <c r="L6" s="39" t="s">
        <v>1275</v>
      </c>
      <c r="M6" s="52">
        <v>153</v>
      </c>
      <c r="N6" s="68" t="s">
        <v>1276</v>
      </c>
      <c r="O6" s="27" t="s">
        <v>1278</v>
      </c>
    </row>
    <row r="7" spans="1:16" ht="45" x14ac:dyDescent="0.25">
      <c r="A7" s="27">
        <v>3619858</v>
      </c>
      <c r="B7" s="27">
        <v>3738201</v>
      </c>
      <c r="C7" s="25" t="s">
        <v>1272</v>
      </c>
      <c r="D7" s="27" t="s">
        <v>1273</v>
      </c>
      <c r="E7" s="27" t="s">
        <v>37</v>
      </c>
      <c r="F7" s="27" t="s">
        <v>1274</v>
      </c>
      <c r="G7" s="27" t="s">
        <v>64</v>
      </c>
      <c r="H7" s="70">
        <v>3928.66</v>
      </c>
      <c r="I7" s="50">
        <v>45400</v>
      </c>
      <c r="J7" s="50">
        <v>45401</v>
      </c>
      <c r="K7" s="27">
        <v>469114</v>
      </c>
      <c r="L7" s="39" t="s">
        <v>1275</v>
      </c>
      <c r="M7" s="52">
        <v>153</v>
      </c>
      <c r="N7" s="68" t="s">
        <v>1276</v>
      </c>
      <c r="O7" s="27" t="s">
        <v>1278</v>
      </c>
    </row>
    <row r="8" spans="1:16" ht="45" x14ac:dyDescent="0.25">
      <c r="A8" s="27">
        <v>3619858</v>
      </c>
      <c r="B8" s="27">
        <v>3766711</v>
      </c>
      <c r="C8" s="25" t="s">
        <v>1272</v>
      </c>
      <c r="D8" s="27" t="s">
        <v>1273</v>
      </c>
      <c r="E8" s="27" t="s">
        <v>37</v>
      </c>
      <c r="F8" s="27" t="s">
        <v>1274</v>
      </c>
      <c r="G8" s="27" t="s">
        <v>64</v>
      </c>
      <c r="H8" s="70">
        <v>3928.66</v>
      </c>
      <c r="I8" s="50">
        <v>45433</v>
      </c>
      <c r="J8" s="50">
        <v>45433</v>
      </c>
      <c r="K8" s="27">
        <v>475875</v>
      </c>
      <c r="L8" s="39" t="s">
        <v>1275</v>
      </c>
      <c r="M8" s="52">
        <v>153</v>
      </c>
      <c r="N8" s="68" t="s">
        <v>1276</v>
      </c>
      <c r="O8" s="27" t="s">
        <v>1278</v>
      </c>
    </row>
    <row r="9" spans="1:16" ht="45" x14ac:dyDescent="0.25">
      <c r="A9" s="27">
        <v>3619858</v>
      </c>
      <c r="B9" s="27">
        <v>3766711</v>
      </c>
      <c r="C9" s="25" t="s">
        <v>1272</v>
      </c>
      <c r="D9" s="27" t="s">
        <v>1273</v>
      </c>
      <c r="E9" s="27" t="s">
        <v>37</v>
      </c>
      <c r="F9" s="27" t="s">
        <v>1274</v>
      </c>
      <c r="G9" s="27" t="s">
        <v>64</v>
      </c>
      <c r="H9" s="70">
        <v>3928.66</v>
      </c>
      <c r="I9" s="50">
        <v>45460</v>
      </c>
      <c r="J9" s="50">
        <v>45461</v>
      </c>
      <c r="K9" s="27">
        <v>482073</v>
      </c>
      <c r="L9" s="39" t="s">
        <v>1275</v>
      </c>
      <c r="M9" s="52">
        <v>153</v>
      </c>
      <c r="N9" s="68" t="s">
        <v>1276</v>
      </c>
      <c r="O9" s="27" t="s">
        <v>1278</v>
      </c>
    </row>
    <row r="10" spans="1:16" ht="45" x14ac:dyDescent="0.25">
      <c r="A10" s="27">
        <v>3619858</v>
      </c>
      <c r="B10" s="27">
        <v>3766711</v>
      </c>
      <c r="C10" s="25" t="s">
        <v>1272</v>
      </c>
      <c r="D10" s="27" t="s">
        <v>1273</v>
      </c>
      <c r="E10" s="27" t="s">
        <v>37</v>
      </c>
      <c r="F10" s="27" t="s">
        <v>1274</v>
      </c>
      <c r="G10" s="27" t="s">
        <v>64</v>
      </c>
      <c r="H10" s="72">
        <v>3928.66</v>
      </c>
      <c r="I10" s="50">
        <v>45483</v>
      </c>
      <c r="J10" s="50">
        <v>45484</v>
      </c>
      <c r="K10" s="27">
        <v>487246</v>
      </c>
      <c r="L10" s="39" t="s">
        <v>1275</v>
      </c>
      <c r="M10" s="52">
        <v>153</v>
      </c>
      <c r="N10" s="68" t="s">
        <v>1276</v>
      </c>
      <c r="O10" s="27" t="s">
        <v>1278</v>
      </c>
    </row>
    <row r="11" spans="1:16" ht="45" x14ac:dyDescent="0.25">
      <c r="A11" s="27">
        <v>3619858</v>
      </c>
      <c r="B11" s="27">
        <v>3766711</v>
      </c>
      <c r="C11" s="25" t="s">
        <v>1272</v>
      </c>
      <c r="D11" s="27" t="s">
        <v>1273</v>
      </c>
      <c r="E11" s="27" t="s">
        <v>37</v>
      </c>
      <c r="F11" s="27" t="s">
        <v>1274</v>
      </c>
      <c r="G11" s="27" t="s">
        <v>64</v>
      </c>
      <c r="H11" s="72">
        <v>3928.66</v>
      </c>
      <c r="I11" s="50">
        <v>45516</v>
      </c>
      <c r="J11" s="50">
        <v>45519</v>
      </c>
      <c r="K11" s="27">
        <v>494248</v>
      </c>
      <c r="L11" s="39" t="s">
        <v>1275</v>
      </c>
      <c r="M11" s="52">
        <v>153</v>
      </c>
      <c r="N11" s="68" t="s">
        <v>1276</v>
      </c>
      <c r="O11" s="27" t="s">
        <v>1278</v>
      </c>
    </row>
    <row r="12" spans="1:16" ht="45" x14ac:dyDescent="0.25">
      <c r="A12" s="27">
        <v>3619858</v>
      </c>
      <c r="B12" s="27">
        <v>3766711</v>
      </c>
      <c r="C12" s="25" t="s">
        <v>1272</v>
      </c>
      <c r="D12" s="27" t="s">
        <v>1273</v>
      </c>
      <c r="E12" s="27" t="s">
        <v>37</v>
      </c>
      <c r="F12" s="27" t="s">
        <v>1274</v>
      </c>
      <c r="G12" s="27" t="s">
        <v>64</v>
      </c>
      <c r="H12" s="67">
        <v>3928.66</v>
      </c>
      <c r="I12" s="50">
        <v>45545</v>
      </c>
      <c r="J12" s="50">
        <v>45546</v>
      </c>
      <c r="K12" s="27">
        <v>500234</v>
      </c>
      <c r="L12" s="39" t="s">
        <v>1275</v>
      </c>
      <c r="M12" s="52">
        <v>153</v>
      </c>
      <c r="N12" s="71" t="s">
        <v>1276</v>
      </c>
      <c r="O12" s="27" t="s">
        <v>1278</v>
      </c>
    </row>
    <row r="13" spans="1:16" ht="45" x14ac:dyDescent="0.25">
      <c r="A13" s="27">
        <v>3619858</v>
      </c>
      <c r="B13" s="27">
        <v>3766711</v>
      </c>
      <c r="C13" s="25" t="s">
        <v>1272</v>
      </c>
      <c r="D13" s="27" t="s">
        <v>1273</v>
      </c>
      <c r="E13" s="27" t="s">
        <v>37</v>
      </c>
      <c r="F13" s="27" t="s">
        <v>1274</v>
      </c>
      <c r="G13" s="27" t="s">
        <v>64</v>
      </c>
      <c r="H13" s="67">
        <v>4074.44</v>
      </c>
      <c r="I13" s="50">
        <v>45580</v>
      </c>
      <c r="J13" s="50">
        <v>45582</v>
      </c>
      <c r="K13" s="27">
        <v>508739</v>
      </c>
      <c r="L13" s="39" t="s">
        <v>1275</v>
      </c>
      <c r="M13" s="52">
        <v>153</v>
      </c>
      <c r="N13" s="71" t="s">
        <v>1276</v>
      </c>
      <c r="O13" s="52" t="s">
        <v>1278</v>
      </c>
    </row>
    <row r="14" spans="1:16" ht="45" x14ac:dyDescent="0.25">
      <c r="A14" s="27">
        <v>3619858</v>
      </c>
      <c r="B14" s="27">
        <v>3766711</v>
      </c>
      <c r="C14" s="25" t="s">
        <v>1272</v>
      </c>
      <c r="D14" s="27" t="s">
        <v>1273</v>
      </c>
      <c r="E14" s="27" t="s">
        <v>37</v>
      </c>
      <c r="F14" s="27" t="s">
        <v>1274</v>
      </c>
      <c r="G14" s="27" t="s">
        <v>64</v>
      </c>
      <c r="H14" s="67">
        <v>4074.44</v>
      </c>
      <c r="I14" s="50">
        <v>45607</v>
      </c>
      <c r="J14" s="50">
        <v>45608</v>
      </c>
      <c r="K14" s="27">
        <v>514210</v>
      </c>
      <c r="L14" s="39" t="s">
        <v>1275</v>
      </c>
      <c r="M14" s="52">
        <v>153</v>
      </c>
      <c r="N14" s="68" t="s">
        <v>1276</v>
      </c>
      <c r="O14" s="52" t="s">
        <v>1278</v>
      </c>
    </row>
    <row r="15" spans="1:16" ht="45" x14ac:dyDescent="0.25">
      <c r="A15" s="27">
        <v>3619858</v>
      </c>
      <c r="B15" s="27">
        <v>3766711</v>
      </c>
      <c r="C15" s="25" t="s">
        <v>1272</v>
      </c>
      <c r="D15" s="27" t="s">
        <v>1273</v>
      </c>
      <c r="E15" s="27" t="s">
        <v>37</v>
      </c>
      <c r="F15" s="27" t="s">
        <v>1274</v>
      </c>
      <c r="G15" s="27" t="s">
        <v>64</v>
      </c>
      <c r="H15" s="67">
        <v>4074.44</v>
      </c>
      <c r="I15" s="50">
        <v>45636</v>
      </c>
      <c r="J15" s="50">
        <v>45297</v>
      </c>
      <c r="K15" s="27">
        <v>521397</v>
      </c>
      <c r="L15" s="39" t="s">
        <v>1275</v>
      </c>
      <c r="M15" s="52">
        <v>153</v>
      </c>
      <c r="N15" s="71" t="s">
        <v>1276</v>
      </c>
      <c r="O15" s="52" t="s">
        <v>1278</v>
      </c>
    </row>
    <row r="16" spans="1:16" ht="45" x14ac:dyDescent="0.25">
      <c r="A16" s="27">
        <v>3619858</v>
      </c>
      <c r="B16" s="27">
        <v>3766711</v>
      </c>
      <c r="C16" s="25" t="s">
        <v>1272</v>
      </c>
      <c r="D16" s="27" t="s">
        <v>1273</v>
      </c>
      <c r="E16" s="27" t="s">
        <v>37</v>
      </c>
      <c r="F16" s="27" t="s">
        <v>1274</v>
      </c>
      <c r="G16" s="27" t="s">
        <v>64</v>
      </c>
      <c r="H16" s="67">
        <v>4074.44</v>
      </c>
      <c r="I16" s="50">
        <v>45667</v>
      </c>
      <c r="J16" s="50">
        <v>45668</v>
      </c>
      <c r="K16" s="27">
        <v>527919</v>
      </c>
      <c r="L16" s="39" t="s">
        <v>1275</v>
      </c>
      <c r="M16" s="52">
        <v>153</v>
      </c>
      <c r="N16" s="71" t="s">
        <v>1276</v>
      </c>
      <c r="O16" s="52" t="s">
        <v>1278</v>
      </c>
    </row>
    <row r="17" spans="1:15" ht="45" x14ac:dyDescent="0.25">
      <c r="A17" s="27">
        <v>3619858</v>
      </c>
      <c r="B17" s="27">
        <v>3766711</v>
      </c>
      <c r="C17" s="25" t="s">
        <v>1272</v>
      </c>
      <c r="D17" s="27" t="s">
        <v>1273</v>
      </c>
      <c r="E17" s="27" t="s">
        <v>37</v>
      </c>
      <c r="F17" s="27" t="s">
        <v>1274</v>
      </c>
      <c r="G17" s="27" t="s">
        <v>64</v>
      </c>
      <c r="H17" s="67">
        <v>4074.44</v>
      </c>
      <c r="I17" s="50">
        <v>45698</v>
      </c>
      <c r="J17" s="50">
        <v>45699</v>
      </c>
      <c r="K17" s="27">
        <v>534625</v>
      </c>
      <c r="L17" s="39" t="s">
        <v>1275</v>
      </c>
      <c r="M17" s="52">
        <v>153</v>
      </c>
      <c r="N17" s="73" t="s">
        <v>1276</v>
      </c>
      <c r="O17" s="55" t="s">
        <v>1278</v>
      </c>
    </row>
    <row r="18" spans="1:15" ht="45" x14ac:dyDescent="0.25">
      <c r="A18" s="27">
        <v>3619858</v>
      </c>
      <c r="B18" s="27">
        <v>3766711</v>
      </c>
      <c r="C18" s="25" t="s">
        <v>1272</v>
      </c>
      <c r="D18" s="27" t="s">
        <v>1273</v>
      </c>
      <c r="E18" s="27" t="s">
        <v>37</v>
      </c>
      <c r="F18" s="27" t="s">
        <v>1274</v>
      </c>
      <c r="G18" s="27" t="s">
        <v>64</v>
      </c>
      <c r="H18" s="67">
        <v>4074.44</v>
      </c>
      <c r="I18" s="50">
        <v>45726</v>
      </c>
      <c r="J18" s="50">
        <v>45727</v>
      </c>
      <c r="K18" s="27">
        <v>541743</v>
      </c>
      <c r="L18" s="39" t="s">
        <v>1275</v>
      </c>
      <c r="M18" s="52">
        <v>153</v>
      </c>
      <c r="N18" s="73" t="s">
        <v>1276</v>
      </c>
      <c r="O18" s="55" t="s">
        <v>1278</v>
      </c>
    </row>
    <row r="19" spans="1:15" ht="45" x14ac:dyDescent="0.25">
      <c r="A19" s="27">
        <v>3619858</v>
      </c>
      <c r="B19" s="27">
        <v>3766711</v>
      </c>
      <c r="C19" s="25" t="s">
        <v>1272</v>
      </c>
      <c r="D19" s="27" t="s">
        <v>1273</v>
      </c>
      <c r="E19" s="27" t="s">
        <v>37</v>
      </c>
      <c r="F19" s="27" t="s">
        <v>1274</v>
      </c>
      <c r="G19" s="27" t="s">
        <v>64</v>
      </c>
      <c r="H19" s="67">
        <v>4074.44</v>
      </c>
      <c r="I19" s="50">
        <v>45757</v>
      </c>
      <c r="J19" s="50">
        <v>45759</v>
      </c>
      <c r="K19" s="27">
        <v>549420</v>
      </c>
      <c r="L19" s="39" t="s">
        <v>1275</v>
      </c>
      <c r="M19" s="52">
        <v>153</v>
      </c>
      <c r="N19" s="73" t="s">
        <v>1276</v>
      </c>
      <c r="O19" s="55" t="s">
        <v>1278</v>
      </c>
    </row>
    <row r="20" spans="1:15" ht="45" x14ac:dyDescent="0.25">
      <c r="A20" s="27">
        <v>3619858</v>
      </c>
      <c r="B20" s="27">
        <v>3766711</v>
      </c>
      <c r="C20" s="25" t="s">
        <v>1272</v>
      </c>
      <c r="D20" s="27" t="s">
        <v>1273</v>
      </c>
      <c r="E20" s="27" t="s">
        <v>37</v>
      </c>
      <c r="F20" s="27" t="s">
        <v>1274</v>
      </c>
      <c r="G20" s="27" t="s">
        <v>64</v>
      </c>
      <c r="H20" s="67">
        <v>4074.44</v>
      </c>
      <c r="I20" s="50">
        <v>45789</v>
      </c>
      <c r="J20" s="50">
        <v>45790</v>
      </c>
      <c r="K20" s="57">
        <v>555823</v>
      </c>
      <c r="L20" s="39" t="s">
        <v>1275</v>
      </c>
      <c r="M20" s="52">
        <v>153</v>
      </c>
      <c r="N20" s="73" t="s">
        <v>1276</v>
      </c>
      <c r="O20" s="55" t="s">
        <v>1278</v>
      </c>
    </row>
    <row r="21" spans="1:15" ht="45" x14ac:dyDescent="0.25">
      <c r="A21" s="27">
        <v>3619858</v>
      </c>
      <c r="B21" s="27">
        <v>3766711</v>
      </c>
      <c r="C21" s="25" t="s">
        <v>1272</v>
      </c>
      <c r="D21" s="27" t="s">
        <v>1273</v>
      </c>
      <c r="E21" s="27" t="s">
        <v>37</v>
      </c>
      <c r="F21" s="27" t="s">
        <v>1274</v>
      </c>
      <c r="G21" s="27" t="s">
        <v>64</v>
      </c>
      <c r="H21" s="67">
        <v>4074.44</v>
      </c>
      <c r="I21" s="50">
        <v>45818</v>
      </c>
      <c r="J21" s="50">
        <v>45820</v>
      </c>
      <c r="K21" s="57">
        <v>563897</v>
      </c>
      <c r="L21" s="39" t="s">
        <v>1275</v>
      </c>
      <c r="M21" s="52">
        <v>153</v>
      </c>
      <c r="N21" s="73" t="s">
        <v>1276</v>
      </c>
      <c r="O21" s="27" t="s">
        <v>1277</v>
      </c>
    </row>
    <row r="22" spans="1:15" ht="45" x14ac:dyDescent="0.25">
      <c r="A22" s="27">
        <v>3619858</v>
      </c>
      <c r="B22" s="27">
        <v>3766711</v>
      </c>
      <c r="C22" s="25" t="s">
        <v>1272</v>
      </c>
      <c r="D22" s="27" t="s">
        <v>1273</v>
      </c>
      <c r="E22" s="27" t="s">
        <v>37</v>
      </c>
      <c r="F22" s="27" t="s">
        <v>1274</v>
      </c>
      <c r="G22" s="27" t="s">
        <v>64</v>
      </c>
      <c r="H22" s="67">
        <v>4074.44</v>
      </c>
      <c r="I22" s="50">
        <v>45848</v>
      </c>
      <c r="J22" s="50">
        <v>45849</v>
      </c>
      <c r="K22" s="57">
        <v>571072</v>
      </c>
      <c r="L22" s="39" t="s">
        <v>1275</v>
      </c>
      <c r="M22" s="52">
        <v>153</v>
      </c>
      <c r="N22" s="73" t="s">
        <v>1276</v>
      </c>
      <c r="O22" s="55" t="s">
        <v>1278</v>
      </c>
    </row>
    <row r="23" spans="1:15" ht="45" x14ac:dyDescent="0.25">
      <c r="A23" s="27">
        <v>3619858</v>
      </c>
      <c r="B23" s="27">
        <v>3766711</v>
      </c>
      <c r="C23" s="25" t="s">
        <v>1272</v>
      </c>
      <c r="D23" s="27" t="s">
        <v>1273</v>
      </c>
      <c r="E23" s="27" t="s">
        <v>37</v>
      </c>
      <c r="F23" s="27" t="s">
        <v>1274</v>
      </c>
      <c r="G23" s="27" t="s">
        <v>64</v>
      </c>
      <c r="H23" s="67">
        <v>4074.44</v>
      </c>
      <c r="I23" s="50">
        <v>45880</v>
      </c>
      <c r="J23" s="50">
        <v>45881</v>
      </c>
      <c r="K23" s="57">
        <v>577883</v>
      </c>
      <c r="L23" s="39" t="s">
        <v>1275</v>
      </c>
      <c r="M23" s="52">
        <v>153</v>
      </c>
      <c r="N23" s="73" t="s">
        <v>1276</v>
      </c>
      <c r="O23" s="55" t="s">
        <v>1278</v>
      </c>
    </row>
    <row r="24" spans="1:15" ht="45" x14ac:dyDescent="0.25">
      <c r="A24" s="27">
        <v>3619858</v>
      </c>
      <c r="B24" s="27">
        <v>3766711</v>
      </c>
      <c r="C24" s="25" t="s">
        <v>1272</v>
      </c>
      <c r="D24" s="27" t="s">
        <v>1273</v>
      </c>
      <c r="E24" s="27" t="s">
        <v>37</v>
      </c>
      <c r="F24" s="27" t="s">
        <v>1274</v>
      </c>
      <c r="G24" s="27" t="s">
        <v>64</v>
      </c>
      <c r="H24" s="67">
        <v>4074.44</v>
      </c>
      <c r="I24" s="50">
        <v>45910</v>
      </c>
      <c r="J24" s="50">
        <v>45911</v>
      </c>
      <c r="K24" s="57">
        <v>586291</v>
      </c>
      <c r="L24" s="39" t="s">
        <v>1275</v>
      </c>
      <c r="M24" s="52">
        <v>153</v>
      </c>
      <c r="N24" s="73" t="s">
        <v>1276</v>
      </c>
      <c r="O24" s="55" t="s">
        <v>1278</v>
      </c>
    </row>
    <row r="25" spans="1:15" ht="45" x14ac:dyDescent="0.25">
      <c r="A25" s="27">
        <v>3619858</v>
      </c>
      <c r="B25" s="27">
        <v>3766711</v>
      </c>
      <c r="C25" s="25" t="s">
        <v>1272</v>
      </c>
      <c r="D25" s="27" t="s">
        <v>1273</v>
      </c>
      <c r="E25" s="27" t="s">
        <v>37</v>
      </c>
      <c r="F25" s="27" t="s">
        <v>1274</v>
      </c>
      <c r="G25" s="27" t="s">
        <v>64</v>
      </c>
      <c r="H25" s="67">
        <v>4208.75</v>
      </c>
      <c r="I25" s="50">
        <v>45945</v>
      </c>
      <c r="J25" s="50">
        <v>45947</v>
      </c>
      <c r="K25" s="57">
        <v>594916</v>
      </c>
      <c r="L25" s="39" t="s">
        <v>1275</v>
      </c>
      <c r="M25" s="52">
        <v>153</v>
      </c>
      <c r="N25" s="73" t="s">
        <v>1279</v>
      </c>
      <c r="O25" s="55" t="s">
        <v>1278</v>
      </c>
    </row>
    <row r="26" spans="1:15" ht="30" x14ac:dyDescent="0.25">
      <c r="A26" s="30">
        <v>3627916</v>
      </c>
      <c r="B26" s="30">
        <v>3773474</v>
      </c>
      <c r="C26" s="25" t="s">
        <v>1280</v>
      </c>
      <c r="D26" s="27" t="s">
        <v>1281</v>
      </c>
      <c r="E26" s="27" t="s">
        <v>37</v>
      </c>
      <c r="F26" s="27" t="s">
        <v>1282</v>
      </c>
      <c r="G26" s="27" t="s">
        <v>64</v>
      </c>
      <c r="H26" s="70">
        <v>1483.71</v>
      </c>
      <c r="I26" s="50">
        <v>45531</v>
      </c>
      <c r="J26" s="50">
        <v>45532</v>
      </c>
      <c r="K26" s="27">
        <v>86976541</v>
      </c>
      <c r="L26" s="39">
        <v>2488</v>
      </c>
      <c r="M26" s="52">
        <v>153</v>
      </c>
      <c r="N26" s="68" t="s">
        <v>1276</v>
      </c>
      <c r="O26" s="27" t="s">
        <v>1277</v>
      </c>
    </row>
    <row r="27" spans="1:15" ht="30" x14ac:dyDescent="0.25">
      <c r="A27" s="27">
        <v>3631801</v>
      </c>
      <c r="B27" s="27">
        <v>3776543</v>
      </c>
      <c r="C27" s="25" t="s">
        <v>1283</v>
      </c>
      <c r="D27" s="27" t="s">
        <v>1281</v>
      </c>
      <c r="E27" s="27" t="s">
        <v>37</v>
      </c>
      <c r="F27" s="27" t="s">
        <v>1282</v>
      </c>
      <c r="G27" s="27" t="s">
        <v>64</v>
      </c>
      <c r="H27" s="70">
        <v>485.26</v>
      </c>
      <c r="I27" s="50">
        <v>45536</v>
      </c>
      <c r="J27" s="50">
        <v>45561</v>
      </c>
      <c r="K27" s="27">
        <v>6017</v>
      </c>
      <c r="L27" s="39">
        <v>2488</v>
      </c>
      <c r="M27" s="52">
        <v>242</v>
      </c>
      <c r="N27" s="68" t="s">
        <v>1276</v>
      </c>
      <c r="O27" s="27" t="s">
        <v>1277</v>
      </c>
    </row>
    <row r="28" spans="1:15" ht="30" x14ac:dyDescent="0.25">
      <c r="A28" s="30">
        <v>3627916</v>
      </c>
      <c r="B28" s="30">
        <v>3773474</v>
      </c>
      <c r="C28" s="25" t="s">
        <v>1280</v>
      </c>
      <c r="D28" s="27" t="s">
        <v>1281</v>
      </c>
      <c r="E28" s="27" t="s">
        <v>37</v>
      </c>
      <c r="F28" s="27" t="s">
        <v>1282</v>
      </c>
      <c r="G28" s="27" t="s">
        <v>64</v>
      </c>
      <c r="H28" s="70">
        <v>1483.71</v>
      </c>
      <c r="I28" s="50">
        <v>45562</v>
      </c>
      <c r="J28" s="50">
        <v>45563</v>
      </c>
      <c r="K28" s="27">
        <v>87032521</v>
      </c>
      <c r="L28" s="39">
        <v>2488</v>
      </c>
      <c r="M28" s="52">
        <v>153</v>
      </c>
      <c r="N28" s="68" t="s">
        <v>1276</v>
      </c>
      <c r="O28" s="27" t="s">
        <v>1277</v>
      </c>
    </row>
    <row r="29" spans="1:15" ht="30" x14ac:dyDescent="0.25">
      <c r="A29" s="27">
        <v>3631801</v>
      </c>
      <c r="B29" s="27">
        <v>3776543</v>
      </c>
      <c r="C29" s="25" t="s">
        <v>1283</v>
      </c>
      <c r="D29" s="27" t="s">
        <v>1281</v>
      </c>
      <c r="E29" s="27" t="s">
        <v>37</v>
      </c>
      <c r="F29" s="27" t="s">
        <v>1282</v>
      </c>
      <c r="G29" s="27" t="s">
        <v>64</v>
      </c>
      <c r="H29" s="70">
        <v>485.26</v>
      </c>
      <c r="I29" s="50">
        <v>45566</v>
      </c>
      <c r="J29" s="50">
        <v>45576</v>
      </c>
      <c r="K29" s="27">
        <v>6056</v>
      </c>
      <c r="L29" s="39">
        <v>2488</v>
      </c>
      <c r="M29" s="52">
        <v>242</v>
      </c>
      <c r="N29" s="68" t="s">
        <v>1276</v>
      </c>
      <c r="O29" s="27" t="s">
        <v>1277</v>
      </c>
    </row>
    <row r="30" spans="1:15" ht="30" x14ac:dyDescent="0.25">
      <c r="A30" s="30">
        <v>3627916</v>
      </c>
      <c r="B30" s="30">
        <v>3773474</v>
      </c>
      <c r="C30" s="25" t="s">
        <v>1280</v>
      </c>
      <c r="D30" s="27" t="s">
        <v>1281</v>
      </c>
      <c r="E30" s="27" t="s">
        <v>37</v>
      </c>
      <c r="F30" s="27" t="s">
        <v>1282</v>
      </c>
      <c r="G30" s="27" t="s">
        <v>64</v>
      </c>
      <c r="H30" s="70">
        <v>1483.71</v>
      </c>
      <c r="I30" s="50">
        <v>45592</v>
      </c>
      <c r="J30" s="50">
        <v>45593</v>
      </c>
      <c r="K30" s="27">
        <v>87081242</v>
      </c>
      <c r="L30" s="39">
        <v>2488</v>
      </c>
      <c r="M30" s="52">
        <v>153</v>
      </c>
      <c r="N30" s="68" t="s">
        <v>1276</v>
      </c>
      <c r="O30" s="27" t="s">
        <v>1277</v>
      </c>
    </row>
    <row r="31" spans="1:15" ht="30" x14ac:dyDescent="0.25">
      <c r="A31" s="27">
        <v>3631801</v>
      </c>
      <c r="B31" s="27">
        <v>3776543</v>
      </c>
      <c r="C31" s="25" t="s">
        <v>1283</v>
      </c>
      <c r="D31" s="27" t="s">
        <v>1281</v>
      </c>
      <c r="E31" s="27" t="s">
        <v>37</v>
      </c>
      <c r="F31" s="27" t="s">
        <v>1282</v>
      </c>
      <c r="G31" s="27" t="s">
        <v>64</v>
      </c>
      <c r="H31" s="70">
        <v>485.26</v>
      </c>
      <c r="I31" s="50">
        <v>45597</v>
      </c>
      <c r="J31" s="50">
        <v>45600</v>
      </c>
      <c r="K31" s="27">
        <v>6083</v>
      </c>
      <c r="L31" s="39">
        <v>2488</v>
      </c>
      <c r="M31" s="52">
        <v>242</v>
      </c>
      <c r="N31" s="68" t="s">
        <v>1276</v>
      </c>
      <c r="O31" s="27" t="s">
        <v>1277</v>
      </c>
    </row>
    <row r="32" spans="1:15" ht="30" x14ac:dyDescent="0.25">
      <c r="A32" s="30">
        <v>3627916</v>
      </c>
      <c r="B32" s="30">
        <v>3773474</v>
      </c>
      <c r="C32" s="25" t="s">
        <v>1280</v>
      </c>
      <c r="D32" s="27" t="s">
        <v>1281</v>
      </c>
      <c r="E32" s="27" t="s">
        <v>37</v>
      </c>
      <c r="F32" s="27" t="s">
        <v>1282</v>
      </c>
      <c r="G32" s="27" t="s">
        <v>64</v>
      </c>
      <c r="H32" s="70">
        <v>1483.71</v>
      </c>
      <c r="I32" s="50">
        <v>45623</v>
      </c>
      <c r="J32" s="50">
        <v>45624</v>
      </c>
      <c r="K32" s="27">
        <v>87133815</v>
      </c>
      <c r="L32" s="39">
        <v>2488</v>
      </c>
      <c r="M32" s="52">
        <v>153</v>
      </c>
      <c r="N32" s="68" t="s">
        <v>1276</v>
      </c>
      <c r="O32" s="27" t="s">
        <v>1277</v>
      </c>
    </row>
    <row r="33" spans="1:15" ht="30" x14ac:dyDescent="0.25">
      <c r="A33" s="27">
        <v>3631801</v>
      </c>
      <c r="B33" s="27">
        <v>3776543</v>
      </c>
      <c r="C33" s="25" t="s">
        <v>1283</v>
      </c>
      <c r="D33" s="27" t="s">
        <v>1281</v>
      </c>
      <c r="E33" s="27" t="s">
        <v>71</v>
      </c>
      <c r="F33" s="27" t="s">
        <v>1282</v>
      </c>
      <c r="G33" s="27" t="s">
        <v>64</v>
      </c>
      <c r="H33" s="70">
        <v>485.26</v>
      </c>
      <c r="I33" s="50">
        <v>45627</v>
      </c>
      <c r="J33" s="50">
        <v>45630</v>
      </c>
      <c r="K33" s="27">
        <v>6119</v>
      </c>
      <c r="L33" s="39">
        <v>2488</v>
      </c>
      <c r="M33" s="52">
        <v>242</v>
      </c>
      <c r="N33" s="73" t="s">
        <v>1276</v>
      </c>
      <c r="O33" s="27" t="s">
        <v>1277</v>
      </c>
    </row>
    <row r="34" spans="1:15" ht="30" x14ac:dyDescent="0.25">
      <c r="A34" s="30">
        <v>3627916</v>
      </c>
      <c r="B34" s="30">
        <v>3773474</v>
      </c>
      <c r="C34" s="25" t="s">
        <v>1280</v>
      </c>
      <c r="D34" s="27" t="s">
        <v>1281</v>
      </c>
      <c r="E34" s="27" t="s">
        <v>71</v>
      </c>
      <c r="F34" s="27" t="s">
        <v>1282</v>
      </c>
      <c r="G34" s="27" t="s">
        <v>64</v>
      </c>
      <c r="H34" s="70">
        <v>1483.71</v>
      </c>
      <c r="I34" s="50">
        <v>45653</v>
      </c>
      <c r="J34" s="50">
        <v>45654</v>
      </c>
      <c r="K34" s="27">
        <v>87184486</v>
      </c>
      <c r="L34" s="39">
        <v>2488</v>
      </c>
      <c r="M34" s="52">
        <v>153</v>
      </c>
      <c r="N34" s="73" t="s">
        <v>1276</v>
      </c>
      <c r="O34" s="27" t="s">
        <v>337</v>
      </c>
    </row>
    <row r="35" spans="1:15" ht="30" x14ac:dyDescent="0.25">
      <c r="A35" s="27">
        <v>3631801</v>
      </c>
      <c r="B35" s="27">
        <v>3776543</v>
      </c>
      <c r="C35" s="25" t="s">
        <v>1283</v>
      </c>
      <c r="D35" s="27" t="s">
        <v>1281</v>
      </c>
      <c r="E35" s="27" t="s">
        <v>71</v>
      </c>
      <c r="F35" s="27" t="s">
        <v>1282</v>
      </c>
      <c r="G35" s="27" t="s">
        <v>64</v>
      </c>
      <c r="H35" s="70">
        <v>485.26</v>
      </c>
      <c r="I35" s="50">
        <v>45658</v>
      </c>
      <c r="J35" s="50">
        <v>45659</v>
      </c>
      <c r="K35" s="27">
        <v>6140</v>
      </c>
      <c r="L35" s="39">
        <v>2488</v>
      </c>
      <c r="M35" s="52">
        <v>242</v>
      </c>
      <c r="N35" s="73" t="s">
        <v>1276</v>
      </c>
      <c r="O35" s="27" t="s">
        <v>337</v>
      </c>
    </row>
    <row r="36" spans="1:15" ht="30" x14ac:dyDescent="0.25">
      <c r="A36" s="30">
        <v>3627916</v>
      </c>
      <c r="B36" s="30">
        <v>3773474</v>
      </c>
      <c r="C36" s="25" t="s">
        <v>1280</v>
      </c>
      <c r="D36" s="27" t="s">
        <v>1281</v>
      </c>
      <c r="E36" s="27" t="s">
        <v>71</v>
      </c>
      <c r="F36" s="27" t="s">
        <v>1282</v>
      </c>
      <c r="G36" s="27" t="s">
        <v>64</v>
      </c>
      <c r="H36" s="67">
        <v>1483.71</v>
      </c>
      <c r="I36" s="50">
        <v>45684</v>
      </c>
      <c r="J36" s="50">
        <v>45685</v>
      </c>
      <c r="K36" s="27">
        <v>87229572</v>
      </c>
      <c r="L36" s="39">
        <v>2488</v>
      </c>
      <c r="M36" s="52">
        <v>153</v>
      </c>
      <c r="N36" s="73" t="s">
        <v>1276</v>
      </c>
      <c r="O36" s="27" t="s">
        <v>1277</v>
      </c>
    </row>
    <row r="37" spans="1:15" ht="30" x14ac:dyDescent="0.25">
      <c r="A37" s="27">
        <v>3631801</v>
      </c>
      <c r="B37" s="27">
        <v>3776543</v>
      </c>
      <c r="C37" s="25" t="s">
        <v>1284</v>
      </c>
      <c r="D37" s="27" t="s">
        <v>1281</v>
      </c>
      <c r="E37" s="27" t="s">
        <v>37</v>
      </c>
      <c r="F37" s="27" t="s">
        <v>1282</v>
      </c>
      <c r="G37" s="27" t="s">
        <v>64</v>
      </c>
      <c r="H37" s="70">
        <v>485.26</v>
      </c>
      <c r="I37" s="50">
        <v>45689</v>
      </c>
      <c r="J37" s="50">
        <v>45692</v>
      </c>
      <c r="K37" s="27">
        <v>6171</v>
      </c>
      <c r="L37" s="39">
        <v>2488</v>
      </c>
      <c r="M37" s="52">
        <v>242</v>
      </c>
      <c r="N37" s="73" t="s">
        <v>1276</v>
      </c>
      <c r="O37" s="27" t="s">
        <v>1277</v>
      </c>
    </row>
    <row r="38" spans="1:15" ht="30" x14ac:dyDescent="0.25">
      <c r="A38" s="30">
        <v>3627916</v>
      </c>
      <c r="B38" s="30">
        <v>3773474</v>
      </c>
      <c r="C38" s="25" t="s">
        <v>1280</v>
      </c>
      <c r="D38" s="27" t="s">
        <v>1281</v>
      </c>
      <c r="E38" s="27" t="s">
        <v>37</v>
      </c>
      <c r="F38" s="27" t="s">
        <v>1282</v>
      </c>
      <c r="G38" s="27" t="s">
        <v>64</v>
      </c>
      <c r="H38" s="67">
        <v>1483.71</v>
      </c>
      <c r="I38" s="50">
        <v>45715</v>
      </c>
      <c r="J38" s="50">
        <v>45716</v>
      </c>
      <c r="K38" s="27">
        <v>87282190</v>
      </c>
      <c r="L38" s="39">
        <v>2488</v>
      </c>
      <c r="M38" s="52">
        <v>153</v>
      </c>
      <c r="N38" s="73" t="s">
        <v>1276</v>
      </c>
      <c r="O38" s="27" t="s">
        <v>1277</v>
      </c>
    </row>
    <row r="39" spans="1:15" ht="30" x14ac:dyDescent="0.25">
      <c r="A39" s="27">
        <v>3631801</v>
      </c>
      <c r="B39" s="27">
        <v>3776543</v>
      </c>
      <c r="C39" s="25" t="s">
        <v>1284</v>
      </c>
      <c r="D39" s="27" t="s">
        <v>1281</v>
      </c>
      <c r="E39" s="27" t="s">
        <v>37</v>
      </c>
      <c r="F39" s="27" t="s">
        <v>1282</v>
      </c>
      <c r="G39" s="27" t="s">
        <v>64</v>
      </c>
      <c r="H39" s="70">
        <v>485.26</v>
      </c>
      <c r="I39" s="50">
        <v>45717</v>
      </c>
      <c r="J39" s="50">
        <v>45723</v>
      </c>
      <c r="K39" s="27">
        <v>6204</v>
      </c>
      <c r="L39" s="39">
        <v>2488</v>
      </c>
      <c r="M39" s="52">
        <v>242</v>
      </c>
      <c r="N39" s="74" t="s">
        <v>1276</v>
      </c>
      <c r="O39" s="27" t="s">
        <v>1277</v>
      </c>
    </row>
    <row r="40" spans="1:15" ht="30" x14ac:dyDescent="0.25">
      <c r="A40" s="30">
        <v>3627916</v>
      </c>
      <c r="B40" s="30">
        <v>3773474</v>
      </c>
      <c r="C40" s="25" t="s">
        <v>1280</v>
      </c>
      <c r="D40" s="27" t="s">
        <v>1281</v>
      </c>
      <c r="E40" s="27" t="s">
        <v>37</v>
      </c>
      <c r="F40" s="27" t="s">
        <v>1282</v>
      </c>
      <c r="G40" s="27" t="s">
        <v>64</v>
      </c>
      <c r="H40" s="67">
        <v>1595.88</v>
      </c>
      <c r="I40" s="50">
        <v>45743</v>
      </c>
      <c r="J40" s="50">
        <v>45744</v>
      </c>
      <c r="K40" s="27">
        <v>87330192</v>
      </c>
      <c r="L40" s="39">
        <v>2488</v>
      </c>
      <c r="M40" s="52">
        <v>153</v>
      </c>
      <c r="N40" s="75" t="s">
        <v>1276</v>
      </c>
      <c r="O40" s="27" t="s">
        <v>1277</v>
      </c>
    </row>
    <row r="41" spans="1:15" ht="30" x14ac:dyDescent="0.25">
      <c r="A41" s="27">
        <v>3631801</v>
      </c>
      <c r="B41" s="27">
        <v>3776543</v>
      </c>
      <c r="C41" s="25" t="s">
        <v>1284</v>
      </c>
      <c r="D41" s="27" t="s">
        <v>1281</v>
      </c>
      <c r="E41" s="27" t="s">
        <v>71</v>
      </c>
      <c r="F41" s="27" t="s">
        <v>1282</v>
      </c>
      <c r="G41" s="27" t="s">
        <v>64</v>
      </c>
      <c r="H41" s="67">
        <v>521.95000000000005</v>
      </c>
      <c r="I41" s="50">
        <v>45748</v>
      </c>
      <c r="J41" s="50">
        <v>45749</v>
      </c>
      <c r="K41" s="27">
        <v>6242</v>
      </c>
      <c r="L41" s="39">
        <v>2488</v>
      </c>
      <c r="M41" s="52">
        <v>242</v>
      </c>
      <c r="N41" s="68" t="s">
        <v>1276</v>
      </c>
      <c r="O41" s="27" t="s">
        <v>1277</v>
      </c>
    </row>
    <row r="42" spans="1:15" ht="30" x14ac:dyDescent="0.25">
      <c r="A42" s="30">
        <v>3627916</v>
      </c>
      <c r="B42" s="30">
        <v>3773474</v>
      </c>
      <c r="C42" s="25" t="s">
        <v>1280</v>
      </c>
      <c r="D42" s="27" t="s">
        <v>1281</v>
      </c>
      <c r="E42" s="27" t="s">
        <v>37</v>
      </c>
      <c r="F42" s="27" t="s">
        <v>1282</v>
      </c>
      <c r="G42" s="27" t="s">
        <v>64</v>
      </c>
      <c r="H42" s="67">
        <v>1595.88</v>
      </c>
      <c r="I42" s="50">
        <v>45774</v>
      </c>
      <c r="J42" s="50">
        <v>45775</v>
      </c>
      <c r="K42" s="57">
        <v>87377081</v>
      </c>
      <c r="L42" s="39">
        <v>2488</v>
      </c>
      <c r="M42" s="52">
        <v>153</v>
      </c>
      <c r="N42" s="75" t="s">
        <v>1276</v>
      </c>
      <c r="O42" s="27" t="s">
        <v>1277</v>
      </c>
    </row>
    <row r="43" spans="1:15" ht="30" x14ac:dyDescent="0.25">
      <c r="A43" s="27">
        <v>3631801</v>
      </c>
      <c r="B43" s="27">
        <v>3776543</v>
      </c>
      <c r="C43" s="25" t="s">
        <v>1284</v>
      </c>
      <c r="D43" s="27" t="s">
        <v>1281</v>
      </c>
      <c r="E43" s="27" t="s">
        <v>37</v>
      </c>
      <c r="F43" s="27" t="s">
        <v>1282</v>
      </c>
      <c r="G43" s="27" t="s">
        <v>64</v>
      </c>
      <c r="H43" s="67">
        <v>521.95000000000005</v>
      </c>
      <c r="I43" s="50">
        <v>45778</v>
      </c>
      <c r="J43" s="50">
        <v>45783</v>
      </c>
      <c r="K43" s="57">
        <v>6278</v>
      </c>
      <c r="L43" s="39">
        <v>2488</v>
      </c>
      <c r="M43" s="52">
        <v>242</v>
      </c>
      <c r="N43" s="68" t="s">
        <v>1276</v>
      </c>
      <c r="O43" s="27" t="s">
        <v>1277</v>
      </c>
    </row>
    <row r="44" spans="1:15" ht="30" x14ac:dyDescent="0.25">
      <c r="A44" s="30">
        <v>3627916</v>
      </c>
      <c r="B44" s="30">
        <v>3773474</v>
      </c>
      <c r="C44" s="25" t="s">
        <v>1280</v>
      </c>
      <c r="D44" s="27" t="s">
        <v>1281</v>
      </c>
      <c r="E44" s="27" t="s">
        <v>37</v>
      </c>
      <c r="F44" s="27" t="s">
        <v>1282</v>
      </c>
      <c r="G44" s="27" t="s">
        <v>64</v>
      </c>
      <c r="H44" s="67">
        <v>1595.88</v>
      </c>
      <c r="I44" s="50">
        <v>45804</v>
      </c>
      <c r="J44" s="50">
        <v>45805</v>
      </c>
      <c r="K44" s="57">
        <v>87428900</v>
      </c>
      <c r="L44" s="39">
        <v>2488</v>
      </c>
      <c r="M44" s="52">
        <v>153</v>
      </c>
      <c r="N44" s="75" t="s">
        <v>1276</v>
      </c>
      <c r="O44" s="27" t="s">
        <v>1277</v>
      </c>
    </row>
    <row r="45" spans="1:15" ht="30" x14ac:dyDescent="0.25">
      <c r="A45" s="27">
        <v>3631801</v>
      </c>
      <c r="B45" s="27">
        <v>3776543</v>
      </c>
      <c r="C45" s="25" t="s">
        <v>1284</v>
      </c>
      <c r="D45" s="27" t="s">
        <v>1281</v>
      </c>
      <c r="E45" s="27" t="s">
        <v>37</v>
      </c>
      <c r="F45" s="27" t="s">
        <v>1282</v>
      </c>
      <c r="G45" s="27" t="s">
        <v>64</v>
      </c>
      <c r="H45" s="67">
        <v>521.95000000000005</v>
      </c>
      <c r="I45" s="50">
        <v>45809</v>
      </c>
      <c r="J45" s="50">
        <v>45810</v>
      </c>
      <c r="K45" s="57">
        <v>6803</v>
      </c>
      <c r="L45" s="39">
        <v>2488</v>
      </c>
      <c r="M45" s="52">
        <v>242</v>
      </c>
      <c r="N45" s="75" t="s">
        <v>1276</v>
      </c>
      <c r="O45" s="27" t="s">
        <v>1277</v>
      </c>
    </row>
    <row r="46" spans="1:15" ht="30" x14ac:dyDescent="0.25">
      <c r="A46" s="30">
        <v>3627916</v>
      </c>
      <c r="B46" s="30">
        <v>3773474</v>
      </c>
      <c r="C46" s="25" t="s">
        <v>1280</v>
      </c>
      <c r="D46" s="27" t="s">
        <v>1281</v>
      </c>
      <c r="E46" s="27" t="s">
        <v>37</v>
      </c>
      <c r="F46" s="27" t="s">
        <v>1282</v>
      </c>
      <c r="G46" s="27" t="s">
        <v>64</v>
      </c>
      <c r="H46" s="67">
        <v>1595.88</v>
      </c>
      <c r="I46" s="50">
        <v>45835</v>
      </c>
      <c r="J46" s="50">
        <v>45836</v>
      </c>
      <c r="K46" s="57">
        <v>87482132</v>
      </c>
      <c r="L46" s="39">
        <v>2488</v>
      </c>
      <c r="M46" s="52">
        <v>153</v>
      </c>
      <c r="N46" s="75" t="s">
        <v>1276</v>
      </c>
      <c r="O46" s="27" t="s">
        <v>1277</v>
      </c>
    </row>
    <row r="47" spans="1:15" ht="30" x14ac:dyDescent="0.25">
      <c r="A47" s="27">
        <v>3631801</v>
      </c>
      <c r="B47" s="27">
        <v>3776543</v>
      </c>
      <c r="C47" s="25" t="s">
        <v>1284</v>
      </c>
      <c r="D47" s="27" t="s">
        <v>1281</v>
      </c>
      <c r="E47" s="27" t="s">
        <v>37</v>
      </c>
      <c r="F47" s="27" t="s">
        <v>1282</v>
      </c>
      <c r="G47" s="27" t="s">
        <v>64</v>
      </c>
      <c r="H47" s="67">
        <v>521.95000000000005</v>
      </c>
      <c r="I47" s="50">
        <v>45839</v>
      </c>
      <c r="J47" s="50">
        <v>45841</v>
      </c>
      <c r="K47" s="57">
        <v>6345</v>
      </c>
      <c r="L47" s="39">
        <v>2488</v>
      </c>
      <c r="M47" s="52">
        <v>242</v>
      </c>
      <c r="N47" s="68" t="s">
        <v>1276</v>
      </c>
      <c r="O47" s="27" t="s">
        <v>1277</v>
      </c>
    </row>
    <row r="48" spans="1:15" ht="30" x14ac:dyDescent="0.25">
      <c r="A48" s="30">
        <v>3627916</v>
      </c>
      <c r="B48" s="30">
        <v>3773474</v>
      </c>
      <c r="C48" s="25" t="s">
        <v>1280</v>
      </c>
      <c r="D48" s="27" t="s">
        <v>1281</v>
      </c>
      <c r="E48" s="27" t="s">
        <v>37</v>
      </c>
      <c r="F48" s="27" t="s">
        <v>1282</v>
      </c>
      <c r="G48" s="27" t="s">
        <v>64</v>
      </c>
      <c r="H48" s="67">
        <v>1595.88</v>
      </c>
      <c r="I48" s="50">
        <v>45865</v>
      </c>
      <c r="J48" s="50">
        <v>45866</v>
      </c>
      <c r="K48" s="57">
        <v>87532428</v>
      </c>
      <c r="L48" s="39">
        <v>2488</v>
      </c>
      <c r="M48" s="52">
        <v>153</v>
      </c>
      <c r="N48" s="68" t="s">
        <v>1276</v>
      </c>
      <c r="O48" s="27" t="s">
        <v>1277</v>
      </c>
    </row>
    <row r="49" spans="1:15" ht="30" x14ac:dyDescent="0.25">
      <c r="A49" s="27">
        <v>3631801</v>
      </c>
      <c r="B49" s="27">
        <v>3776543</v>
      </c>
      <c r="C49" s="25" t="s">
        <v>1284</v>
      </c>
      <c r="D49" s="27" t="s">
        <v>1281</v>
      </c>
      <c r="E49" s="27" t="s">
        <v>37</v>
      </c>
      <c r="F49" s="27" t="s">
        <v>1282</v>
      </c>
      <c r="G49" s="27" t="s">
        <v>64</v>
      </c>
      <c r="H49" s="67">
        <v>521.95000000000005</v>
      </c>
      <c r="I49" s="50">
        <v>45870</v>
      </c>
      <c r="J49" s="50">
        <v>45873</v>
      </c>
      <c r="K49" s="57">
        <v>6382</v>
      </c>
      <c r="L49" s="39">
        <v>2488</v>
      </c>
      <c r="M49" s="52">
        <v>242</v>
      </c>
      <c r="N49" s="68" t="s">
        <v>1276</v>
      </c>
      <c r="O49" s="27" t="s">
        <v>1277</v>
      </c>
    </row>
    <row r="50" spans="1:15" ht="30" x14ac:dyDescent="0.25">
      <c r="A50" s="30">
        <v>3627916</v>
      </c>
      <c r="B50" s="30">
        <v>3773474</v>
      </c>
      <c r="C50" s="25" t="s">
        <v>1280</v>
      </c>
      <c r="D50" s="27" t="s">
        <v>1281</v>
      </c>
      <c r="E50" s="27" t="s">
        <v>37</v>
      </c>
      <c r="F50" s="27" t="s">
        <v>1282</v>
      </c>
      <c r="G50" s="27" t="s">
        <v>64</v>
      </c>
      <c r="H50" s="67">
        <v>1595.88</v>
      </c>
      <c r="I50" s="50">
        <v>45896</v>
      </c>
      <c r="J50" s="50">
        <v>45897</v>
      </c>
      <c r="K50" s="57">
        <v>87585582</v>
      </c>
      <c r="L50" s="39">
        <v>2488</v>
      </c>
      <c r="M50" s="52">
        <v>153</v>
      </c>
      <c r="N50" s="68" t="s">
        <v>1276</v>
      </c>
      <c r="O50" s="27" t="s">
        <v>1277</v>
      </c>
    </row>
    <row r="51" spans="1:15" ht="30" x14ac:dyDescent="0.25">
      <c r="A51" s="27">
        <v>3631801</v>
      </c>
      <c r="B51" s="27">
        <v>3776543</v>
      </c>
      <c r="C51" s="25" t="s">
        <v>1284</v>
      </c>
      <c r="D51" s="27" t="s">
        <v>1281</v>
      </c>
      <c r="E51" s="27" t="s">
        <v>37</v>
      </c>
      <c r="F51" s="27" t="s">
        <v>1282</v>
      </c>
      <c r="G51" s="27" t="s">
        <v>64</v>
      </c>
      <c r="H51" s="67">
        <v>521.95000000000005</v>
      </c>
      <c r="I51" s="50">
        <v>45902</v>
      </c>
      <c r="J51" s="50">
        <v>45902</v>
      </c>
      <c r="K51" s="57">
        <v>6403</v>
      </c>
      <c r="L51" s="39">
        <v>2488</v>
      </c>
      <c r="M51" s="52">
        <v>242</v>
      </c>
      <c r="N51" s="73" t="s">
        <v>1276</v>
      </c>
      <c r="O51" s="55" t="s">
        <v>1278</v>
      </c>
    </row>
    <row r="52" spans="1:15" ht="30" x14ac:dyDescent="0.25">
      <c r="A52" s="30">
        <v>3627916</v>
      </c>
      <c r="B52" s="30">
        <v>3773474</v>
      </c>
      <c r="C52" s="25" t="s">
        <v>1280</v>
      </c>
      <c r="D52" s="27" t="s">
        <v>1281</v>
      </c>
      <c r="E52" s="27" t="s">
        <v>37</v>
      </c>
      <c r="F52" s="27" t="s">
        <v>1282</v>
      </c>
      <c r="G52" s="27" t="s">
        <v>64</v>
      </c>
      <c r="H52" s="67">
        <v>1595.88</v>
      </c>
      <c r="I52" s="50">
        <v>45927</v>
      </c>
      <c r="J52" s="50">
        <v>45929</v>
      </c>
      <c r="K52" s="57">
        <v>87637785</v>
      </c>
      <c r="L52" s="39">
        <v>2488</v>
      </c>
      <c r="M52" s="52">
        <v>153</v>
      </c>
      <c r="N52" s="68" t="s">
        <v>1276</v>
      </c>
      <c r="O52" s="27" t="s">
        <v>1277</v>
      </c>
    </row>
    <row r="53" spans="1:15" ht="30" x14ac:dyDescent="0.25">
      <c r="A53" s="27">
        <v>3631801</v>
      </c>
      <c r="B53" s="27">
        <v>3776543</v>
      </c>
      <c r="C53" s="25" t="s">
        <v>1284</v>
      </c>
      <c r="D53" s="27" t="s">
        <v>1281</v>
      </c>
      <c r="E53" s="27" t="s">
        <v>37</v>
      </c>
      <c r="F53" s="27" t="s">
        <v>1282</v>
      </c>
      <c r="G53" s="27" t="s">
        <v>64</v>
      </c>
      <c r="H53" s="67">
        <v>521.95000000000005</v>
      </c>
      <c r="I53" s="50">
        <v>45931</v>
      </c>
      <c r="J53" s="50">
        <v>45933</v>
      </c>
      <c r="K53" s="57">
        <v>6444</v>
      </c>
      <c r="L53" s="39">
        <v>2488</v>
      </c>
      <c r="M53" s="52">
        <v>242</v>
      </c>
      <c r="N53" s="73" t="s">
        <v>1276</v>
      </c>
      <c r="O53" s="27" t="s">
        <v>1277</v>
      </c>
    </row>
    <row r="54" spans="1:15" ht="30" x14ac:dyDescent="0.25">
      <c r="A54" s="30">
        <v>3627916</v>
      </c>
      <c r="B54" s="30">
        <v>3773474</v>
      </c>
      <c r="C54" s="25" t="s">
        <v>1280</v>
      </c>
      <c r="D54" s="27" t="s">
        <v>1281</v>
      </c>
      <c r="E54" s="27" t="s">
        <v>37</v>
      </c>
      <c r="F54" s="27" t="s">
        <v>1282</v>
      </c>
      <c r="G54" s="27" t="s">
        <v>64</v>
      </c>
      <c r="H54" s="67">
        <v>1595.88</v>
      </c>
      <c r="I54" s="50">
        <v>45957</v>
      </c>
      <c r="J54" s="50">
        <v>45958</v>
      </c>
      <c r="K54" s="57">
        <v>87688187</v>
      </c>
      <c r="L54" s="39">
        <v>2488</v>
      </c>
      <c r="M54" s="52">
        <v>153</v>
      </c>
      <c r="N54" s="68" t="s">
        <v>1276</v>
      </c>
      <c r="O54" s="27" t="s">
        <v>1277</v>
      </c>
    </row>
    <row r="55" spans="1:15" ht="80.25" customHeight="1" x14ac:dyDescent="0.25">
      <c r="A55" s="27">
        <v>3796459</v>
      </c>
      <c r="B55" s="27">
        <v>3934135</v>
      </c>
      <c r="C55" s="25" t="s">
        <v>1285</v>
      </c>
      <c r="D55" s="27" t="s">
        <v>1286</v>
      </c>
      <c r="E55" s="27" t="s">
        <v>37</v>
      </c>
      <c r="F55" s="27" t="s">
        <v>1287</v>
      </c>
      <c r="G55" s="27" t="s">
        <v>64</v>
      </c>
      <c r="H55" s="67">
        <v>400</v>
      </c>
      <c r="I55" s="50">
        <v>45475</v>
      </c>
      <c r="J55" s="50">
        <v>45506</v>
      </c>
      <c r="K55" s="27">
        <v>47</v>
      </c>
      <c r="L55" s="39" t="s">
        <v>1288</v>
      </c>
      <c r="M55" s="52">
        <v>81</v>
      </c>
      <c r="N55" s="68" t="s">
        <v>1276</v>
      </c>
      <c r="O55" s="27" t="s">
        <v>1277</v>
      </c>
    </row>
    <row r="56" spans="1:15" ht="80.25" customHeight="1" x14ac:dyDescent="0.25">
      <c r="A56" s="27">
        <v>3796459</v>
      </c>
      <c r="B56" s="27">
        <v>3934135</v>
      </c>
      <c r="C56" s="25" t="s">
        <v>1285</v>
      </c>
      <c r="D56" s="27" t="s">
        <v>1286</v>
      </c>
      <c r="E56" s="27" t="s">
        <v>37</v>
      </c>
      <c r="F56" s="27" t="s">
        <v>1287</v>
      </c>
      <c r="G56" s="62" t="s">
        <v>64</v>
      </c>
      <c r="H56" s="67">
        <v>400</v>
      </c>
      <c r="I56" s="50">
        <v>45513</v>
      </c>
      <c r="J56" s="50">
        <v>45516</v>
      </c>
      <c r="K56" s="27">
        <v>269</v>
      </c>
      <c r="L56" s="39" t="s">
        <v>1288</v>
      </c>
      <c r="M56" s="52">
        <v>81</v>
      </c>
      <c r="N56" s="68" t="s">
        <v>1276</v>
      </c>
      <c r="O56" s="27" t="s">
        <v>1277</v>
      </c>
    </row>
    <row r="57" spans="1:15" ht="30" x14ac:dyDescent="0.25">
      <c r="A57" s="27">
        <v>3796459</v>
      </c>
      <c r="B57" s="27">
        <v>3934135</v>
      </c>
      <c r="C57" s="25" t="s">
        <v>1285</v>
      </c>
      <c r="D57" s="27" t="s">
        <v>1286</v>
      </c>
      <c r="E57" s="27" t="s">
        <v>37</v>
      </c>
      <c r="F57" s="27" t="s">
        <v>1287</v>
      </c>
      <c r="G57" s="62" t="s">
        <v>64</v>
      </c>
      <c r="H57" s="67">
        <v>400</v>
      </c>
      <c r="I57" s="50">
        <v>45541</v>
      </c>
      <c r="J57" s="50">
        <v>45548</v>
      </c>
      <c r="K57" s="27">
        <v>146</v>
      </c>
      <c r="L57" s="39">
        <v>2054</v>
      </c>
      <c r="M57" s="52" t="s">
        <v>1289</v>
      </c>
      <c r="N57" s="74" t="s">
        <v>1276</v>
      </c>
      <c r="O57" s="27" t="s">
        <v>1277</v>
      </c>
    </row>
    <row r="58" spans="1:15" ht="30" x14ac:dyDescent="0.25">
      <c r="A58" s="27">
        <v>3796459</v>
      </c>
      <c r="B58" s="27">
        <v>3934135</v>
      </c>
      <c r="C58" s="25" t="s">
        <v>1285</v>
      </c>
      <c r="D58" s="27" t="s">
        <v>1286</v>
      </c>
      <c r="E58" s="27" t="s">
        <v>37</v>
      </c>
      <c r="F58" s="27" t="s">
        <v>1287</v>
      </c>
      <c r="G58" s="62" t="s">
        <v>64</v>
      </c>
      <c r="H58" s="67">
        <v>400</v>
      </c>
      <c r="I58" s="50">
        <v>45583</v>
      </c>
      <c r="J58" s="50">
        <v>45583</v>
      </c>
      <c r="K58" s="58" t="s">
        <v>1290</v>
      </c>
      <c r="L58" s="39">
        <v>2054</v>
      </c>
      <c r="M58" s="52" t="s">
        <v>1289</v>
      </c>
      <c r="N58" s="73" t="s">
        <v>1276</v>
      </c>
      <c r="O58" s="27" t="s">
        <v>1277</v>
      </c>
    </row>
    <row r="59" spans="1:15" ht="30" x14ac:dyDescent="0.25">
      <c r="A59" s="27">
        <v>3796459</v>
      </c>
      <c r="B59" s="27">
        <v>3934135</v>
      </c>
      <c r="C59" s="25" t="s">
        <v>1285</v>
      </c>
      <c r="D59" s="27" t="s">
        <v>1286</v>
      </c>
      <c r="E59" s="27" t="s">
        <v>71</v>
      </c>
      <c r="F59" s="27" t="s">
        <v>1287</v>
      </c>
      <c r="G59" s="62" t="s">
        <v>64</v>
      </c>
      <c r="H59" s="67">
        <v>400</v>
      </c>
      <c r="I59" s="50">
        <v>45604</v>
      </c>
      <c r="J59" s="50">
        <v>45608</v>
      </c>
      <c r="K59" s="27">
        <v>218</v>
      </c>
      <c r="L59" s="39">
        <v>2054</v>
      </c>
      <c r="M59" s="52" t="s">
        <v>1289</v>
      </c>
      <c r="N59" s="73" t="s">
        <v>1276</v>
      </c>
      <c r="O59" s="27" t="s">
        <v>1277</v>
      </c>
    </row>
    <row r="60" spans="1:15" ht="30" x14ac:dyDescent="0.25">
      <c r="A60" s="27">
        <v>3796459</v>
      </c>
      <c r="B60" s="27">
        <v>3934135</v>
      </c>
      <c r="C60" s="25" t="s">
        <v>1285</v>
      </c>
      <c r="D60" s="27" t="s">
        <v>1286</v>
      </c>
      <c r="E60" s="27" t="s">
        <v>37</v>
      </c>
      <c r="F60" s="27" t="s">
        <v>1287</v>
      </c>
      <c r="G60" s="62" t="s">
        <v>64</v>
      </c>
      <c r="H60" s="67">
        <v>400</v>
      </c>
      <c r="I60" s="50">
        <v>45632</v>
      </c>
      <c r="J60" s="50">
        <v>45635</v>
      </c>
      <c r="K60" s="27">
        <v>175</v>
      </c>
      <c r="L60" s="39">
        <v>2054</v>
      </c>
      <c r="M60" s="52" t="s">
        <v>1289</v>
      </c>
      <c r="N60" s="73" t="s">
        <v>1276</v>
      </c>
      <c r="O60" s="27" t="s">
        <v>1277</v>
      </c>
    </row>
    <row r="61" spans="1:15" ht="30" x14ac:dyDescent="0.25">
      <c r="A61" s="27">
        <v>3796459</v>
      </c>
      <c r="B61" s="27">
        <v>3934135</v>
      </c>
      <c r="C61" s="25" t="s">
        <v>1285</v>
      </c>
      <c r="D61" s="27" t="s">
        <v>1286</v>
      </c>
      <c r="E61" s="27" t="s">
        <v>37</v>
      </c>
      <c r="F61" s="27" t="s">
        <v>1287</v>
      </c>
      <c r="G61" s="27" t="s">
        <v>64</v>
      </c>
      <c r="H61" s="67">
        <v>400</v>
      </c>
      <c r="I61" s="50">
        <v>45664</v>
      </c>
      <c r="J61" s="50">
        <v>45667</v>
      </c>
      <c r="K61" s="27">
        <v>136</v>
      </c>
      <c r="L61" s="39">
        <v>2054</v>
      </c>
      <c r="M61" s="52">
        <v>71</v>
      </c>
      <c r="N61" s="68" t="s">
        <v>1276</v>
      </c>
      <c r="O61" s="27" t="s">
        <v>1277</v>
      </c>
    </row>
    <row r="62" spans="1:15" ht="30" x14ac:dyDescent="0.25">
      <c r="A62" s="27">
        <v>3796459</v>
      </c>
      <c r="B62" s="27">
        <v>3934135</v>
      </c>
      <c r="C62" s="25" t="s">
        <v>1285</v>
      </c>
      <c r="D62" s="27" t="s">
        <v>1286</v>
      </c>
      <c r="E62" s="27" t="s">
        <v>37</v>
      </c>
      <c r="F62" s="27" t="s">
        <v>1287</v>
      </c>
      <c r="G62" s="27" t="s">
        <v>64</v>
      </c>
      <c r="H62" s="67">
        <v>400</v>
      </c>
      <c r="I62" s="50">
        <v>45700</v>
      </c>
      <c r="J62" s="50">
        <v>45700</v>
      </c>
      <c r="K62" s="27">
        <v>294</v>
      </c>
      <c r="L62" s="39">
        <v>2054</v>
      </c>
      <c r="M62" s="52">
        <v>71</v>
      </c>
      <c r="N62" s="73" t="s">
        <v>1276</v>
      </c>
      <c r="O62" s="27" t="s">
        <v>1277</v>
      </c>
    </row>
    <row r="63" spans="1:15" ht="30" x14ac:dyDescent="0.25">
      <c r="A63" s="27">
        <v>3796459</v>
      </c>
      <c r="B63" s="27">
        <v>3934135</v>
      </c>
      <c r="C63" s="25" t="s">
        <v>1285</v>
      </c>
      <c r="D63" s="27" t="s">
        <v>1286</v>
      </c>
      <c r="E63" s="27" t="s">
        <v>37</v>
      </c>
      <c r="F63" s="27" t="s">
        <v>1287</v>
      </c>
      <c r="G63" s="27" t="s">
        <v>64</v>
      </c>
      <c r="H63" s="67">
        <v>400</v>
      </c>
      <c r="I63" s="50">
        <v>45729</v>
      </c>
      <c r="J63" s="50">
        <v>45729</v>
      </c>
      <c r="K63" s="27">
        <v>232</v>
      </c>
      <c r="L63" s="39">
        <v>2054</v>
      </c>
      <c r="M63" s="52">
        <v>71</v>
      </c>
      <c r="N63" s="68" t="s">
        <v>1276</v>
      </c>
      <c r="O63" s="27" t="s">
        <v>1277</v>
      </c>
    </row>
    <row r="64" spans="1:15" ht="30" x14ac:dyDescent="0.25">
      <c r="A64" s="27">
        <v>3796459</v>
      </c>
      <c r="B64" s="27">
        <v>3934135</v>
      </c>
      <c r="C64" s="25" t="s">
        <v>1285</v>
      </c>
      <c r="D64" s="27" t="s">
        <v>1286</v>
      </c>
      <c r="E64" s="27" t="s">
        <v>37</v>
      </c>
      <c r="F64" s="27" t="s">
        <v>1287</v>
      </c>
      <c r="G64" s="27" t="s">
        <v>64</v>
      </c>
      <c r="H64" s="67">
        <v>400</v>
      </c>
      <c r="I64" s="50">
        <v>45758</v>
      </c>
      <c r="J64" s="50">
        <v>45762</v>
      </c>
      <c r="K64" s="27">
        <v>299</v>
      </c>
      <c r="L64" s="39">
        <v>2054</v>
      </c>
      <c r="M64" s="52">
        <v>71</v>
      </c>
      <c r="N64" s="73" t="s">
        <v>1276</v>
      </c>
      <c r="O64" s="27" t="s">
        <v>1277</v>
      </c>
    </row>
    <row r="65" spans="1:15" ht="30" x14ac:dyDescent="0.25">
      <c r="A65" s="27">
        <v>3796459</v>
      </c>
      <c r="B65" s="27">
        <v>3934135</v>
      </c>
      <c r="C65" s="25" t="s">
        <v>1285</v>
      </c>
      <c r="D65" s="27" t="s">
        <v>1286</v>
      </c>
      <c r="E65" s="27" t="s">
        <v>37</v>
      </c>
      <c r="F65" s="27" t="s">
        <v>1287</v>
      </c>
      <c r="G65" s="27" t="s">
        <v>64</v>
      </c>
      <c r="H65" s="67">
        <v>395</v>
      </c>
      <c r="I65" s="50">
        <v>45790</v>
      </c>
      <c r="J65" s="50">
        <v>45790</v>
      </c>
      <c r="K65" s="57">
        <v>307</v>
      </c>
      <c r="L65" s="39">
        <v>2054</v>
      </c>
      <c r="M65" s="52">
        <v>71</v>
      </c>
      <c r="N65" s="68" t="s">
        <v>1276</v>
      </c>
      <c r="O65" s="27" t="s">
        <v>1278</v>
      </c>
    </row>
    <row r="66" spans="1:15" ht="30" x14ac:dyDescent="0.25">
      <c r="A66" s="27">
        <v>3796459</v>
      </c>
      <c r="B66" s="27">
        <v>3934135</v>
      </c>
      <c r="C66" s="25" t="s">
        <v>1285</v>
      </c>
      <c r="D66" s="27" t="s">
        <v>1286</v>
      </c>
      <c r="E66" s="27" t="s">
        <v>37</v>
      </c>
      <c r="F66" s="27" t="s">
        <v>1287</v>
      </c>
      <c r="G66" s="27" t="s">
        <v>64</v>
      </c>
      <c r="H66" s="67">
        <v>400</v>
      </c>
      <c r="I66" s="50">
        <v>45819</v>
      </c>
      <c r="J66" s="50">
        <v>45820</v>
      </c>
      <c r="K66" s="57">
        <v>194</v>
      </c>
      <c r="L66" s="39">
        <v>2054</v>
      </c>
      <c r="M66" s="52">
        <v>71</v>
      </c>
      <c r="N66" s="73" t="s">
        <v>1276</v>
      </c>
      <c r="O66" s="27" t="s">
        <v>1277</v>
      </c>
    </row>
    <row r="67" spans="1:15" ht="30" x14ac:dyDescent="0.25">
      <c r="A67" s="27">
        <v>3796459</v>
      </c>
      <c r="B67" s="27">
        <v>3934135</v>
      </c>
      <c r="C67" s="25" t="s">
        <v>1285</v>
      </c>
      <c r="D67" s="27" t="s">
        <v>1286</v>
      </c>
      <c r="E67" s="27" t="s">
        <v>37</v>
      </c>
      <c r="F67" s="27" t="s">
        <v>1287</v>
      </c>
      <c r="G67" s="27" t="s">
        <v>64</v>
      </c>
      <c r="H67" s="67">
        <v>400</v>
      </c>
      <c r="I67" s="50">
        <v>45849</v>
      </c>
      <c r="J67" s="50">
        <v>45854</v>
      </c>
      <c r="K67" s="57">
        <v>261</v>
      </c>
      <c r="L67" s="39">
        <v>2054</v>
      </c>
      <c r="M67" s="52">
        <v>71</v>
      </c>
      <c r="N67" s="68" t="s">
        <v>1276</v>
      </c>
      <c r="O67" s="27" t="s">
        <v>1277</v>
      </c>
    </row>
    <row r="68" spans="1:15" ht="30" x14ac:dyDescent="0.25">
      <c r="A68" s="27">
        <v>3796459</v>
      </c>
      <c r="B68" s="27">
        <v>3934135</v>
      </c>
      <c r="C68" s="25" t="s">
        <v>1285</v>
      </c>
      <c r="D68" s="27" t="s">
        <v>1286</v>
      </c>
      <c r="E68" s="27" t="s">
        <v>71</v>
      </c>
      <c r="F68" s="27" t="s">
        <v>1287</v>
      </c>
      <c r="G68" s="27" t="s">
        <v>64</v>
      </c>
      <c r="H68" s="67">
        <v>400</v>
      </c>
      <c r="I68" s="50">
        <v>45876</v>
      </c>
      <c r="J68" s="50">
        <v>45877</v>
      </c>
      <c r="K68" s="57">
        <v>135</v>
      </c>
      <c r="L68" s="39">
        <v>2054</v>
      </c>
      <c r="M68" s="52">
        <v>71</v>
      </c>
      <c r="N68" s="75" t="s">
        <v>1276</v>
      </c>
      <c r="O68" s="27" t="s">
        <v>1277</v>
      </c>
    </row>
    <row r="69" spans="1:15" ht="30" x14ac:dyDescent="0.25">
      <c r="A69" s="27">
        <v>3796459</v>
      </c>
      <c r="B69" s="27">
        <v>3934135</v>
      </c>
      <c r="C69" s="25" t="s">
        <v>1285</v>
      </c>
      <c r="D69" s="27" t="s">
        <v>1286</v>
      </c>
      <c r="E69" s="27" t="s">
        <v>37</v>
      </c>
      <c r="F69" s="27" t="s">
        <v>1287</v>
      </c>
      <c r="G69" s="27" t="s">
        <v>64</v>
      </c>
      <c r="H69" s="67">
        <v>400</v>
      </c>
      <c r="I69" s="50">
        <v>45910</v>
      </c>
      <c r="J69" s="50">
        <v>45910</v>
      </c>
      <c r="K69" s="57">
        <v>213</v>
      </c>
      <c r="L69" s="39">
        <v>2054</v>
      </c>
      <c r="M69" s="52">
        <v>71</v>
      </c>
      <c r="N69" s="73" t="s">
        <v>1276</v>
      </c>
      <c r="O69" s="27" t="s">
        <v>337</v>
      </c>
    </row>
    <row r="70" spans="1:15" ht="30" x14ac:dyDescent="0.25">
      <c r="A70" s="27">
        <v>3796459</v>
      </c>
      <c r="B70" s="27">
        <v>3934135</v>
      </c>
      <c r="C70" s="25" t="s">
        <v>1285</v>
      </c>
      <c r="D70" s="27" t="s">
        <v>1286</v>
      </c>
      <c r="E70" s="27" t="s">
        <v>37</v>
      </c>
      <c r="F70" s="27" t="s">
        <v>1287</v>
      </c>
      <c r="G70" s="27" t="s">
        <v>64</v>
      </c>
      <c r="H70" s="67">
        <v>400</v>
      </c>
      <c r="I70" s="50">
        <v>45938</v>
      </c>
      <c r="J70" s="50">
        <v>45939</v>
      </c>
      <c r="K70" s="57">
        <v>204</v>
      </c>
      <c r="L70" s="39">
        <v>2054</v>
      </c>
      <c r="M70" s="52">
        <v>71</v>
      </c>
      <c r="N70" s="73" t="s">
        <v>1276</v>
      </c>
      <c r="O70" s="27" t="s">
        <v>1277</v>
      </c>
    </row>
    <row r="71" spans="1:15" ht="108.75" customHeight="1" x14ac:dyDescent="0.25">
      <c r="A71" s="27" t="s">
        <v>1291</v>
      </c>
      <c r="B71" s="27">
        <v>3934796</v>
      </c>
      <c r="C71" s="25" t="s">
        <v>1292</v>
      </c>
      <c r="D71" s="27" t="s">
        <v>1293</v>
      </c>
      <c r="E71" s="27" t="s">
        <v>37</v>
      </c>
      <c r="F71" s="27" t="s">
        <v>1294</v>
      </c>
      <c r="G71" s="27" t="s">
        <v>64</v>
      </c>
      <c r="H71" s="76">
        <v>6391.44</v>
      </c>
      <c r="I71" s="50">
        <v>45475</v>
      </c>
      <c r="J71" s="50">
        <v>45489</v>
      </c>
      <c r="K71" s="27">
        <v>1001</v>
      </c>
      <c r="L71" s="39" t="s">
        <v>1295</v>
      </c>
      <c r="M71" s="52">
        <v>262</v>
      </c>
      <c r="N71" s="68" t="s">
        <v>1276</v>
      </c>
      <c r="O71" s="27" t="s">
        <v>1277</v>
      </c>
    </row>
    <row r="72" spans="1:15" ht="108.75" customHeight="1" x14ac:dyDescent="0.25">
      <c r="A72" s="27">
        <v>3796471</v>
      </c>
      <c r="B72" s="27">
        <v>3934127</v>
      </c>
      <c r="C72" s="25" t="s">
        <v>1292</v>
      </c>
      <c r="D72" s="27" t="s">
        <v>1293</v>
      </c>
      <c r="E72" s="27" t="s">
        <v>37</v>
      </c>
      <c r="F72" s="27" t="s">
        <v>1294</v>
      </c>
      <c r="G72" s="62" t="s">
        <v>64</v>
      </c>
      <c r="H72" s="67">
        <v>5810.4</v>
      </c>
      <c r="I72" s="50">
        <v>45513</v>
      </c>
      <c r="J72" s="50">
        <v>45516</v>
      </c>
      <c r="K72" s="27">
        <v>1002</v>
      </c>
      <c r="L72" s="39" t="s">
        <v>1296</v>
      </c>
      <c r="M72" s="52">
        <v>262</v>
      </c>
      <c r="N72" s="68" t="s">
        <v>1276</v>
      </c>
      <c r="O72" s="27" t="s">
        <v>1277</v>
      </c>
    </row>
    <row r="73" spans="1:15" ht="75" x14ac:dyDescent="0.25">
      <c r="A73" s="27">
        <v>3796471</v>
      </c>
      <c r="B73" s="27">
        <v>3934127</v>
      </c>
      <c r="C73" s="25" t="s">
        <v>1292</v>
      </c>
      <c r="D73" s="27" t="s">
        <v>1293</v>
      </c>
      <c r="E73" s="27" t="s">
        <v>37</v>
      </c>
      <c r="F73" s="27" t="s">
        <v>1294</v>
      </c>
      <c r="G73" s="62" t="s">
        <v>64</v>
      </c>
      <c r="H73" s="67">
        <v>5810.4</v>
      </c>
      <c r="I73" s="50">
        <v>45541</v>
      </c>
      <c r="J73" s="50">
        <v>45548</v>
      </c>
      <c r="K73" s="27">
        <v>1003</v>
      </c>
      <c r="L73" s="39" t="s">
        <v>1297</v>
      </c>
      <c r="M73" s="52" t="s">
        <v>1298</v>
      </c>
      <c r="N73" s="74" t="s">
        <v>1276</v>
      </c>
      <c r="O73" s="27" t="s">
        <v>1277</v>
      </c>
    </row>
    <row r="74" spans="1:15" ht="75" x14ac:dyDescent="0.25">
      <c r="A74" s="27">
        <v>3796471</v>
      </c>
      <c r="B74" s="27">
        <v>3934127</v>
      </c>
      <c r="C74" s="25" t="s">
        <v>1292</v>
      </c>
      <c r="D74" s="27" t="s">
        <v>1293</v>
      </c>
      <c r="E74" s="27" t="s">
        <v>37</v>
      </c>
      <c r="F74" s="27" t="s">
        <v>1294</v>
      </c>
      <c r="G74" s="62" t="s">
        <v>64</v>
      </c>
      <c r="H74" s="67">
        <v>5810.4</v>
      </c>
      <c r="I74" s="50">
        <v>45583</v>
      </c>
      <c r="J74" s="50">
        <v>45583</v>
      </c>
      <c r="K74" s="58" t="s">
        <v>1299</v>
      </c>
      <c r="L74" s="39" t="s">
        <v>1297</v>
      </c>
      <c r="M74" s="52" t="s">
        <v>1298</v>
      </c>
      <c r="N74" s="73" t="s">
        <v>1276</v>
      </c>
      <c r="O74" s="27" t="s">
        <v>1277</v>
      </c>
    </row>
    <row r="75" spans="1:15" ht="75" x14ac:dyDescent="0.25">
      <c r="A75" s="27">
        <v>3796471</v>
      </c>
      <c r="B75" s="27">
        <v>3934127</v>
      </c>
      <c r="C75" s="25" t="s">
        <v>1292</v>
      </c>
      <c r="D75" s="27" t="s">
        <v>1293</v>
      </c>
      <c r="E75" s="27" t="s">
        <v>71</v>
      </c>
      <c r="F75" s="27" t="s">
        <v>1294</v>
      </c>
      <c r="G75" s="62" t="s">
        <v>64</v>
      </c>
      <c r="H75" s="67">
        <v>5810.4</v>
      </c>
      <c r="I75" s="50">
        <v>45604</v>
      </c>
      <c r="J75" s="50">
        <v>45608</v>
      </c>
      <c r="K75" s="27">
        <v>1005</v>
      </c>
      <c r="L75" s="39" t="s">
        <v>1297</v>
      </c>
      <c r="M75" s="52" t="s">
        <v>1298</v>
      </c>
      <c r="N75" s="73" t="s">
        <v>1276</v>
      </c>
      <c r="O75" s="27" t="s">
        <v>1277</v>
      </c>
    </row>
    <row r="76" spans="1:15" ht="75" x14ac:dyDescent="0.25">
      <c r="A76" s="27">
        <v>3796471</v>
      </c>
      <c r="B76" s="27">
        <v>3934127</v>
      </c>
      <c r="C76" s="25" t="s">
        <v>1292</v>
      </c>
      <c r="D76" s="27" t="s">
        <v>1293</v>
      </c>
      <c r="E76" s="27" t="s">
        <v>37</v>
      </c>
      <c r="F76" s="27" t="s">
        <v>1294</v>
      </c>
      <c r="G76" s="62" t="s">
        <v>64</v>
      </c>
      <c r="H76" s="67">
        <v>5810.4</v>
      </c>
      <c r="I76" s="50">
        <v>45632</v>
      </c>
      <c r="J76" s="50">
        <v>45635</v>
      </c>
      <c r="K76" s="27">
        <v>1006</v>
      </c>
      <c r="L76" s="39" t="s">
        <v>1297</v>
      </c>
      <c r="M76" s="52" t="s">
        <v>1298</v>
      </c>
      <c r="N76" s="73" t="s">
        <v>1276</v>
      </c>
      <c r="O76" s="27" t="s">
        <v>1277</v>
      </c>
    </row>
    <row r="77" spans="1:15" ht="75" x14ac:dyDescent="0.25">
      <c r="A77" s="27">
        <v>3796471</v>
      </c>
      <c r="B77" s="27">
        <v>3934127</v>
      </c>
      <c r="C77" s="25" t="s">
        <v>1292</v>
      </c>
      <c r="D77" s="27" t="s">
        <v>1293</v>
      </c>
      <c r="E77" s="27" t="s">
        <v>37</v>
      </c>
      <c r="F77" s="27" t="s">
        <v>1294</v>
      </c>
      <c r="G77" s="27" t="s">
        <v>64</v>
      </c>
      <c r="H77" s="67">
        <v>5810.4</v>
      </c>
      <c r="I77" s="50">
        <v>45664</v>
      </c>
      <c r="J77" s="50">
        <v>45667</v>
      </c>
      <c r="K77" s="27">
        <v>1007</v>
      </c>
      <c r="L77" s="39" t="s">
        <v>1297</v>
      </c>
      <c r="M77" s="52">
        <v>262</v>
      </c>
      <c r="N77" s="68" t="s">
        <v>1276</v>
      </c>
      <c r="O77" s="27" t="s">
        <v>1277</v>
      </c>
    </row>
    <row r="78" spans="1:15" ht="75" x14ac:dyDescent="0.25">
      <c r="A78" s="27">
        <v>3796471</v>
      </c>
      <c r="B78" s="27">
        <v>3934127</v>
      </c>
      <c r="C78" s="25" t="s">
        <v>1292</v>
      </c>
      <c r="D78" s="27" t="s">
        <v>1293</v>
      </c>
      <c r="E78" s="27" t="s">
        <v>37</v>
      </c>
      <c r="F78" s="27" t="s">
        <v>1294</v>
      </c>
      <c r="G78" s="27" t="s">
        <v>64</v>
      </c>
      <c r="H78" s="67">
        <v>6087.3</v>
      </c>
      <c r="I78" s="50">
        <v>45700</v>
      </c>
      <c r="J78" s="50">
        <v>45708</v>
      </c>
      <c r="K78" s="57">
        <v>1008</v>
      </c>
      <c r="L78" s="39" t="s">
        <v>1300</v>
      </c>
      <c r="M78" s="52">
        <v>262</v>
      </c>
      <c r="N78" s="73" t="s">
        <v>1276</v>
      </c>
      <c r="O78" s="27" t="s">
        <v>1277</v>
      </c>
    </row>
    <row r="79" spans="1:15" ht="75" x14ac:dyDescent="0.25">
      <c r="A79" s="27">
        <v>3796471</v>
      </c>
      <c r="B79" s="27">
        <v>3934127</v>
      </c>
      <c r="C79" s="25" t="s">
        <v>1292</v>
      </c>
      <c r="D79" s="27" t="s">
        <v>1293</v>
      </c>
      <c r="E79" s="27" t="s">
        <v>37</v>
      </c>
      <c r="F79" s="27" t="s">
        <v>1294</v>
      </c>
      <c r="G79" s="27" t="s">
        <v>64</v>
      </c>
      <c r="H79" s="67">
        <v>6087.3</v>
      </c>
      <c r="I79" s="50">
        <v>45729</v>
      </c>
      <c r="J79" s="50">
        <v>45729</v>
      </c>
      <c r="K79" s="27">
        <v>1009</v>
      </c>
      <c r="L79" s="39" t="s">
        <v>1300</v>
      </c>
      <c r="M79" s="201" t="s">
        <v>1301</v>
      </c>
      <c r="N79" s="68" t="s">
        <v>1276</v>
      </c>
      <c r="O79" s="27" t="s">
        <v>1277</v>
      </c>
    </row>
    <row r="80" spans="1:15" ht="75" x14ac:dyDescent="0.25">
      <c r="A80" s="27">
        <v>3796471</v>
      </c>
      <c r="B80" s="27">
        <v>3934127</v>
      </c>
      <c r="C80" s="25" t="s">
        <v>1292</v>
      </c>
      <c r="D80" s="27" t="s">
        <v>1293</v>
      </c>
      <c r="E80" s="27" t="s">
        <v>37</v>
      </c>
      <c r="F80" s="27" t="s">
        <v>1294</v>
      </c>
      <c r="G80" s="27" t="s">
        <v>64</v>
      </c>
      <c r="H80" s="67">
        <v>6087.3</v>
      </c>
      <c r="I80" s="50">
        <v>45758</v>
      </c>
      <c r="J80" s="50">
        <v>45762</v>
      </c>
      <c r="K80" s="27">
        <v>1010</v>
      </c>
      <c r="L80" s="39" t="s">
        <v>1300</v>
      </c>
      <c r="M80" s="201" t="s">
        <v>1302</v>
      </c>
      <c r="N80" s="73" t="s">
        <v>1276</v>
      </c>
      <c r="O80" s="27" t="s">
        <v>1277</v>
      </c>
    </row>
    <row r="81" spans="1:15" ht="75" x14ac:dyDescent="0.25">
      <c r="A81" s="27">
        <v>3796471</v>
      </c>
      <c r="B81" s="27">
        <v>3934127</v>
      </c>
      <c r="C81" s="25" t="s">
        <v>1292</v>
      </c>
      <c r="D81" s="27" t="s">
        <v>1293</v>
      </c>
      <c r="E81" s="27" t="s">
        <v>37</v>
      </c>
      <c r="F81" s="27" t="s">
        <v>1294</v>
      </c>
      <c r="G81" s="27" t="s">
        <v>64</v>
      </c>
      <c r="H81" s="67">
        <v>6087.3</v>
      </c>
      <c r="I81" s="50">
        <v>45790</v>
      </c>
      <c r="J81" s="50">
        <v>45790</v>
      </c>
      <c r="K81" s="57">
        <v>1011</v>
      </c>
      <c r="L81" s="39" t="s">
        <v>1300</v>
      </c>
      <c r="M81" s="201" t="s">
        <v>1303</v>
      </c>
      <c r="N81" s="68" t="s">
        <v>1276</v>
      </c>
      <c r="O81" s="27" t="s">
        <v>1278</v>
      </c>
    </row>
    <row r="82" spans="1:15" ht="75" x14ac:dyDescent="0.25">
      <c r="A82" s="27">
        <v>3796471</v>
      </c>
      <c r="B82" s="27">
        <v>3934127</v>
      </c>
      <c r="C82" s="25" t="s">
        <v>1292</v>
      </c>
      <c r="D82" s="27" t="s">
        <v>1293</v>
      </c>
      <c r="E82" s="27" t="s">
        <v>37</v>
      </c>
      <c r="F82" s="27" t="s">
        <v>1294</v>
      </c>
      <c r="G82" s="27" t="s">
        <v>64</v>
      </c>
      <c r="H82" s="67">
        <v>6087.3</v>
      </c>
      <c r="I82" s="50">
        <v>45820</v>
      </c>
      <c r="J82" s="50">
        <v>45820</v>
      </c>
      <c r="K82" s="57">
        <v>1012</v>
      </c>
      <c r="L82" s="39" t="s">
        <v>1300</v>
      </c>
      <c r="M82" s="201" t="s">
        <v>1303</v>
      </c>
      <c r="N82" s="73" t="s">
        <v>1276</v>
      </c>
      <c r="O82" s="27" t="s">
        <v>1277</v>
      </c>
    </row>
    <row r="83" spans="1:15" ht="75" x14ac:dyDescent="0.25">
      <c r="A83" s="27">
        <v>3796471</v>
      </c>
      <c r="B83" s="27">
        <v>3934127</v>
      </c>
      <c r="C83" s="25" t="s">
        <v>1292</v>
      </c>
      <c r="D83" s="27" t="s">
        <v>1293</v>
      </c>
      <c r="E83" s="27" t="s">
        <v>37</v>
      </c>
      <c r="F83" s="27" t="s">
        <v>1294</v>
      </c>
      <c r="G83" s="27" t="s">
        <v>64</v>
      </c>
      <c r="H83" s="67">
        <v>6134.66</v>
      </c>
      <c r="I83" s="50">
        <v>45849</v>
      </c>
      <c r="J83" s="50">
        <v>45863</v>
      </c>
      <c r="K83" s="57">
        <v>1013</v>
      </c>
      <c r="L83" s="39" t="s">
        <v>1300</v>
      </c>
      <c r="M83" s="201" t="s">
        <v>1303</v>
      </c>
      <c r="N83" s="68" t="s">
        <v>1276</v>
      </c>
      <c r="O83" s="27" t="s">
        <v>1277</v>
      </c>
    </row>
    <row r="84" spans="1:15" ht="75" x14ac:dyDescent="0.25">
      <c r="A84" s="27">
        <v>3796471</v>
      </c>
      <c r="B84" s="27">
        <v>3934127</v>
      </c>
      <c r="C84" s="25" t="s">
        <v>1292</v>
      </c>
      <c r="D84" s="27" t="s">
        <v>1293</v>
      </c>
      <c r="E84" s="50" t="s">
        <v>71</v>
      </c>
      <c r="F84" s="27" t="s">
        <v>1294</v>
      </c>
      <c r="G84" s="27" t="s">
        <v>64</v>
      </c>
      <c r="H84" s="67">
        <v>6087.3</v>
      </c>
      <c r="I84" s="50">
        <v>45876</v>
      </c>
      <c r="J84" s="50">
        <v>45877</v>
      </c>
      <c r="K84" s="57">
        <v>1014</v>
      </c>
      <c r="L84" s="39" t="s">
        <v>1300</v>
      </c>
      <c r="M84" s="201" t="s">
        <v>1303</v>
      </c>
      <c r="N84" s="75" t="s">
        <v>1276</v>
      </c>
      <c r="O84" s="27" t="s">
        <v>1277</v>
      </c>
    </row>
    <row r="85" spans="1:15" ht="75" x14ac:dyDescent="0.25">
      <c r="A85" s="27">
        <v>3796471</v>
      </c>
      <c r="B85" s="27">
        <v>3934127</v>
      </c>
      <c r="C85" s="25" t="s">
        <v>1292</v>
      </c>
      <c r="D85" s="27" t="s">
        <v>1293</v>
      </c>
      <c r="E85" s="50" t="s">
        <v>71</v>
      </c>
      <c r="F85" s="27" t="s">
        <v>1294</v>
      </c>
      <c r="G85" s="27" t="s">
        <v>64</v>
      </c>
      <c r="H85" s="67">
        <v>6087.3</v>
      </c>
      <c r="I85" s="50">
        <v>45910</v>
      </c>
      <c r="J85" s="50">
        <v>45910</v>
      </c>
      <c r="K85" s="57">
        <v>9881001015</v>
      </c>
      <c r="L85" s="39" t="s">
        <v>1300</v>
      </c>
      <c r="M85" s="201" t="s">
        <v>1303</v>
      </c>
      <c r="N85" s="73" t="s">
        <v>1276</v>
      </c>
      <c r="O85" s="27" t="s">
        <v>337</v>
      </c>
    </row>
    <row r="86" spans="1:15" ht="75" x14ac:dyDescent="0.25">
      <c r="A86" s="27">
        <v>3796471</v>
      </c>
      <c r="B86" s="27">
        <v>3934127</v>
      </c>
      <c r="C86" s="25" t="s">
        <v>1292</v>
      </c>
      <c r="D86" s="27" t="s">
        <v>1293</v>
      </c>
      <c r="E86" s="27" t="s">
        <v>37</v>
      </c>
      <c r="F86" s="27" t="s">
        <v>1294</v>
      </c>
      <c r="G86" s="27" t="s">
        <v>64</v>
      </c>
      <c r="H86" s="67">
        <v>6087.3</v>
      </c>
      <c r="I86" s="50">
        <v>45938</v>
      </c>
      <c r="J86" s="50">
        <v>45939</v>
      </c>
      <c r="K86" s="57">
        <v>881001016</v>
      </c>
      <c r="L86" s="39" t="s">
        <v>1300</v>
      </c>
      <c r="M86" s="201" t="s">
        <v>1303</v>
      </c>
      <c r="N86" s="73" t="s">
        <v>1276</v>
      </c>
      <c r="O86" s="27" t="s">
        <v>1277</v>
      </c>
    </row>
    <row r="87" spans="1:15" x14ac:dyDescent="0.25">
      <c r="A87" s="27" t="s">
        <v>35</v>
      </c>
      <c r="B87" s="27" t="s">
        <v>35</v>
      </c>
      <c r="C87" s="25" t="s">
        <v>1304</v>
      </c>
      <c r="D87" s="27"/>
      <c r="E87" s="27" t="s">
        <v>71</v>
      </c>
      <c r="F87" s="27" t="s">
        <v>1305</v>
      </c>
      <c r="G87" s="27" t="s">
        <v>64</v>
      </c>
      <c r="H87" s="67">
        <v>1261.03</v>
      </c>
      <c r="I87" s="50">
        <v>45370</v>
      </c>
      <c r="J87" s="50"/>
      <c r="K87" s="27">
        <v>12925</v>
      </c>
      <c r="L87" s="39">
        <v>1295</v>
      </c>
      <c r="M87" s="52">
        <v>30</v>
      </c>
      <c r="N87" s="68" t="s">
        <v>1276</v>
      </c>
      <c r="O87" s="27" t="s">
        <v>1306</v>
      </c>
    </row>
    <row r="88" spans="1:15" x14ac:dyDescent="0.25">
      <c r="A88" s="27" t="s">
        <v>35</v>
      </c>
      <c r="B88" s="27" t="s">
        <v>35</v>
      </c>
      <c r="C88" s="25" t="s">
        <v>1304</v>
      </c>
      <c r="D88" s="27"/>
      <c r="E88" s="27" t="s">
        <v>71</v>
      </c>
      <c r="F88" s="27" t="s">
        <v>1305</v>
      </c>
      <c r="G88" s="27" t="s">
        <v>64</v>
      </c>
      <c r="H88" s="67">
        <v>1261.03</v>
      </c>
      <c r="I88" s="50">
        <v>45490</v>
      </c>
      <c r="J88" s="50">
        <v>45492</v>
      </c>
      <c r="K88" s="27">
        <v>13267</v>
      </c>
      <c r="L88" s="39">
        <v>1295</v>
      </c>
      <c r="M88" s="52">
        <v>30</v>
      </c>
      <c r="N88" s="68" t="s">
        <v>1276</v>
      </c>
      <c r="O88" s="27" t="s">
        <v>1277</v>
      </c>
    </row>
    <row r="89" spans="1:15" x14ac:dyDescent="0.25">
      <c r="A89" s="27" t="s">
        <v>35</v>
      </c>
      <c r="B89" s="27" t="s">
        <v>35</v>
      </c>
      <c r="C89" s="25" t="s">
        <v>1304</v>
      </c>
      <c r="D89" s="27"/>
      <c r="E89" s="27" t="s">
        <v>71</v>
      </c>
      <c r="F89" s="27" t="s">
        <v>1305</v>
      </c>
      <c r="G89" s="27" t="s">
        <v>64</v>
      </c>
      <c r="H89" s="67">
        <v>1261.03</v>
      </c>
      <c r="I89" s="50">
        <v>45520</v>
      </c>
      <c r="J89" s="50">
        <v>45552</v>
      </c>
      <c r="K89" s="27">
        <v>13356</v>
      </c>
      <c r="L89" s="39">
        <v>1295</v>
      </c>
      <c r="M89" s="52">
        <v>30</v>
      </c>
      <c r="N89" s="68" t="s">
        <v>1276</v>
      </c>
      <c r="O89" s="27" t="s">
        <v>1306</v>
      </c>
    </row>
    <row r="90" spans="1:15" x14ac:dyDescent="0.25">
      <c r="A90" s="27" t="s">
        <v>35</v>
      </c>
      <c r="B90" s="27" t="s">
        <v>35</v>
      </c>
      <c r="C90" s="25" t="s">
        <v>1304</v>
      </c>
      <c r="D90" s="27"/>
      <c r="E90" s="27" t="s">
        <v>37</v>
      </c>
      <c r="F90" s="27" t="s">
        <v>1305</v>
      </c>
      <c r="G90" s="27" t="s">
        <v>64</v>
      </c>
      <c r="H90" s="67">
        <v>1261.03</v>
      </c>
      <c r="I90" s="50">
        <v>45552</v>
      </c>
      <c r="J90" s="50">
        <v>45554</v>
      </c>
      <c r="K90" s="27">
        <v>13469</v>
      </c>
      <c r="L90" s="39">
        <v>1295</v>
      </c>
      <c r="M90" s="52">
        <v>30</v>
      </c>
      <c r="N90" s="68" t="s">
        <v>1276</v>
      </c>
      <c r="O90" s="27" t="s">
        <v>1277</v>
      </c>
    </row>
    <row r="91" spans="1:15" x14ac:dyDescent="0.25">
      <c r="A91" s="27" t="s">
        <v>35</v>
      </c>
      <c r="B91" s="27" t="s">
        <v>35</v>
      </c>
      <c r="C91" s="25" t="s">
        <v>1304</v>
      </c>
      <c r="D91" s="27"/>
      <c r="E91" s="27" t="s">
        <v>37</v>
      </c>
      <c r="F91" s="27" t="s">
        <v>1305</v>
      </c>
      <c r="G91" s="27" t="s">
        <v>64</v>
      </c>
      <c r="H91" s="67">
        <v>1261.03</v>
      </c>
      <c r="I91" s="50">
        <v>45583</v>
      </c>
      <c r="J91" s="50">
        <v>45586</v>
      </c>
      <c r="K91" s="27">
        <v>13582</v>
      </c>
      <c r="L91" s="39">
        <v>1295</v>
      </c>
      <c r="M91" s="52">
        <v>30</v>
      </c>
      <c r="N91" s="68" t="s">
        <v>1276</v>
      </c>
      <c r="O91" s="27" t="s">
        <v>1277</v>
      </c>
    </row>
    <row r="92" spans="1:15" x14ac:dyDescent="0.25">
      <c r="A92" s="27" t="s">
        <v>35</v>
      </c>
      <c r="B92" s="27" t="s">
        <v>35</v>
      </c>
      <c r="C92" s="25" t="s">
        <v>1304</v>
      </c>
      <c r="D92" s="27"/>
      <c r="E92" s="27" t="s">
        <v>37</v>
      </c>
      <c r="F92" s="27" t="s">
        <v>1305</v>
      </c>
      <c r="G92" s="27" t="s">
        <v>64</v>
      </c>
      <c r="H92" s="67">
        <v>1261.03</v>
      </c>
      <c r="I92" s="50">
        <v>45614</v>
      </c>
      <c r="J92" s="50">
        <v>45624</v>
      </c>
      <c r="K92" s="27">
        <v>13627</v>
      </c>
      <c r="L92" s="39">
        <v>1295</v>
      </c>
      <c r="M92" s="52">
        <v>30</v>
      </c>
      <c r="N92" s="68" t="s">
        <v>1276</v>
      </c>
      <c r="O92" s="27" t="s">
        <v>1277</v>
      </c>
    </row>
    <row r="93" spans="1:15" x14ac:dyDescent="0.25">
      <c r="A93" s="27" t="s">
        <v>35</v>
      </c>
      <c r="B93" s="27" t="s">
        <v>35</v>
      </c>
      <c r="C93" s="25" t="s">
        <v>1304</v>
      </c>
      <c r="D93" s="27"/>
      <c r="E93" s="27" t="s">
        <v>71</v>
      </c>
      <c r="F93" s="27" t="s">
        <v>1305</v>
      </c>
      <c r="G93" s="27" t="s">
        <v>64</v>
      </c>
      <c r="H93" s="67">
        <v>1261.03</v>
      </c>
      <c r="I93" s="50">
        <v>45636</v>
      </c>
      <c r="J93" s="50">
        <v>45638</v>
      </c>
      <c r="K93" s="27">
        <v>13698</v>
      </c>
      <c r="L93" s="39">
        <v>1295</v>
      </c>
      <c r="M93" s="52">
        <v>30</v>
      </c>
      <c r="N93" s="73" t="s">
        <v>1276</v>
      </c>
      <c r="O93" s="27" t="s">
        <v>1277</v>
      </c>
    </row>
    <row r="94" spans="1:15" x14ac:dyDescent="0.25">
      <c r="A94" s="27" t="s">
        <v>35</v>
      </c>
      <c r="B94" s="27" t="s">
        <v>35</v>
      </c>
      <c r="C94" s="25" t="s">
        <v>1304</v>
      </c>
      <c r="D94" s="27"/>
      <c r="E94" s="27" t="s">
        <v>71</v>
      </c>
      <c r="F94" s="27" t="s">
        <v>1305</v>
      </c>
      <c r="G94" s="27" t="s">
        <v>64</v>
      </c>
      <c r="H94" s="67">
        <v>1321.15</v>
      </c>
      <c r="I94" s="50">
        <v>45673</v>
      </c>
      <c r="J94" s="50">
        <v>45674</v>
      </c>
      <c r="K94" s="27">
        <v>13781</v>
      </c>
      <c r="L94" s="39">
        <v>1295</v>
      </c>
      <c r="M94" s="52">
        <v>30</v>
      </c>
      <c r="N94" s="75" t="s">
        <v>1276</v>
      </c>
      <c r="O94" s="27" t="s">
        <v>1277</v>
      </c>
    </row>
    <row r="95" spans="1:15" x14ac:dyDescent="0.25">
      <c r="A95" s="27" t="s">
        <v>35</v>
      </c>
      <c r="B95" s="27" t="s">
        <v>35</v>
      </c>
      <c r="C95" s="25" t="s">
        <v>1304</v>
      </c>
      <c r="D95" s="27"/>
      <c r="E95" s="27" t="s">
        <v>37</v>
      </c>
      <c r="F95" s="27" t="s">
        <v>1305</v>
      </c>
      <c r="G95" s="27" t="s">
        <v>64</v>
      </c>
      <c r="H95" s="67">
        <v>1321.15</v>
      </c>
      <c r="I95" s="50">
        <v>45706</v>
      </c>
      <c r="J95" s="50">
        <v>45713</v>
      </c>
      <c r="K95" s="27">
        <v>13870</v>
      </c>
      <c r="L95" s="39">
        <v>1295</v>
      </c>
      <c r="M95" s="52">
        <v>30</v>
      </c>
      <c r="N95" s="75" t="s">
        <v>1276</v>
      </c>
      <c r="O95" s="27" t="s">
        <v>1277</v>
      </c>
    </row>
    <row r="96" spans="1:15" x14ac:dyDescent="0.25">
      <c r="A96" s="27" t="s">
        <v>35</v>
      </c>
      <c r="B96" s="27" t="s">
        <v>35</v>
      </c>
      <c r="C96" s="25" t="s">
        <v>1304</v>
      </c>
      <c r="D96" s="27"/>
      <c r="E96" s="27" t="s">
        <v>37</v>
      </c>
      <c r="F96" s="27" t="s">
        <v>1305</v>
      </c>
      <c r="G96" s="27" t="s">
        <v>64</v>
      </c>
      <c r="H96" s="67">
        <v>1321.15</v>
      </c>
      <c r="I96" s="50">
        <v>45734</v>
      </c>
      <c r="J96" s="50">
        <v>45740</v>
      </c>
      <c r="K96" s="27">
        <v>13981</v>
      </c>
      <c r="L96" s="39">
        <v>1295</v>
      </c>
      <c r="M96" s="52">
        <v>30</v>
      </c>
      <c r="N96" s="68" t="s">
        <v>1276</v>
      </c>
      <c r="O96" s="27" t="s">
        <v>1277</v>
      </c>
    </row>
    <row r="97" spans="1:15" x14ac:dyDescent="0.25">
      <c r="A97" s="27" t="s">
        <v>35</v>
      </c>
      <c r="B97" s="27" t="s">
        <v>35</v>
      </c>
      <c r="C97" s="25" t="s">
        <v>1304</v>
      </c>
      <c r="D97" s="27"/>
      <c r="E97" s="27" t="s">
        <v>37</v>
      </c>
      <c r="F97" s="27" t="s">
        <v>1305</v>
      </c>
      <c r="G97" s="27" t="s">
        <v>64</v>
      </c>
      <c r="H97" s="67">
        <v>1321.15</v>
      </c>
      <c r="I97" s="50">
        <v>45764</v>
      </c>
      <c r="J97" s="50">
        <v>45769</v>
      </c>
      <c r="K97" s="57">
        <v>14054</v>
      </c>
      <c r="L97" s="39">
        <v>1295</v>
      </c>
      <c r="M97" s="52">
        <v>30</v>
      </c>
      <c r="N97" s="73" t="s">
        <v>1276</v>
      </c>
      <c r="O97" s="27" t="s">
        <v>1277</v>
      </c>
    </row>
    <row r="98" spans="1:15" x14ac:dyDescent="0.25">
      <c r="A98" s="27" t="s">
        <v>35</v>
      </c>
      <c r="B98" s="27" t="s">
        <v>35</v>
      </c>
      <c r="C98" s="25" t="s">
        <v>1304</v>
      </c>
      <c r="D98" s="27"/>
      <c r="E98" s="27" t="s">
        <v>37</v>
      </c>
      <c r="F98" s="27" t="s">
        <v>1305</v>
      </c>
      <c r="G98" s="27" t="s">
        <v>64</v>
      </c>
      <c r="H98" s="69">
        <v>1321.15</v>
      </c>
      <c r="I98" s="50">
        <v>45793</v>
      </c>
      <c r="J98" s="50">
        <v>45797</v>
      </c>
      <c r="K98" s="57">
        <v>14141</v>
      </c>
      <c r="L98" s="39">
        <v>1295</v>
      </c>
      <c r="M98" s="52">
        <v>30</v>
      </c>
      <c r="N98" s="75" t="s">
        <v>1276</v>
      </c>
      <c r="O98" s="27" t="s">
        <v>1278</v>
      </c>
    </row>
    <row r="99" spans="1:15" x14ac:dyDescent="0.25">
      <c r="A99" s="27" t="s">
        <v>35</v>
      </c>
      <c r="B99" s="27" t="s">
        <v>35</v>
      </c>
      <c r="C99" s="25" t="s">
        <v>1304</v>
      </c>
      <c r="D99" s="27"/>
      <c r="E99" s="27" t="s">
        <v>37</v>
      </c>
      <c r="F99" s="27" t="s">
        <v>1305</v>
      </c>
      <c r="G99" s="27" t="s">
        <v>64</v>
      </c>
      <c r="H99" s="67">
        <v>1321.15</v>
      </c>
      <c r="I99" s="50">
        <v>45824</v>
      </c>
      <c r="J99" s="50">
        <v>45827</v>
      </c>
      <c r="K99" s="57">
        <v>14200</v>
      </c>
      <c r="L99" s="39">
        <v>1295</v>
      </c>
      <c r="M99" s="52">
        <v>30</v>
      </c>
      <c r="N99" s="73" t="s">
        <v>1276</v>
      </c>
      <c r="O99" s="27" t="s">
        <v>1277</v>
      </c>
    </row>
    <row r="100" spans="1:15" x14ac:dyDescent="0.25">
      <c r="A100" s="27" t="s">
        <v>35</v>
      </c>
      <c r="B100" s="27" t="s">
        <v>35</v>
      </c>
      <c r="C100" s="25" t="s">
        <v>1304</v>
      </c>
      <c r="D100" s="27"/>
      <c r="E100" s="27" t="s">
        <v>37</v>
      </c>
      <c r="F100" s="27" t="s">
        <v>1305</v>
      </c>
      <c r="G100" s="27" t="s">
        <v>64</v>
      </c>
      <c r="H100" s="67">
        <v>1321.15</v>
      </c>
      <c r="I100" s="50">
        <v>45854</v>
      </c>
      <c r="J100" s="50">
        <v>45856</v>
      </c>
      <c r="K100" s="57">
        <v>14288</v>
      </c>
      <c r="L100" s="39">
        <v>1295</v>
      </c>
      <c r="M100" s="52">
        <v>30</v>
      </c>
      <c r="N100" s="68" t="s">
        <v>1276</v>
      </c>
      <c r="O100" s="27" t="s">
        <v>1277</v>
      </c>
    </row>
    <row r="101" spans="1:15" x14ac:dyDescent="0.25">
      <c r="A101" s="27" t="s">
        <v>35</v>
      </c>
      <c r="B101" s="27" t="s">
        <v>35</v>
      </c>
      <c r="C101" s="25" t="s">
        <v>1304</v>
      </c>
      <c r="D101" s="27"/>
      <c r="E101" s="27" t="s">
        <v>37</v>
      </c>
      <c r="F101" s="27" t="s">
        <v>1305</v>
      </c>
      <c r="G101" s="27" t="s">
        <v>64</v>
      </c>
      <c r="H101" s="67">
        <v>1321.15</v>
      </c>
      <c r="I101" s="50">
        <v>45887</v>
      </c>
      <c r="J101" s="50">
        <v>45891</v>
      </c>
      <c r="K101" s="57">
        <v>14371</v>
      </c>
      <c r="L101" s="39">
        <v>1295</v>
      </c>
      <c r="M101" s="52">
        <v>30</v>
      </c>
      <c r="N101" s="68" t="s">
        <v>1276</v>
      </c>
      <c r="O101" s="27" t="s">
        <v>1277</v>
      </c>
    </row>
    <row r="102" spans="1:15" x14ac:dyDescent="0.25">
      <c r="A102" s="27" t="s">
        <v>35</v>
      </c>
      <c r="B102" s="27" t="s">
        <v>35</v>
      </c>
      <c r="C102" s="25" t="s">
        <v>1304</v>
      </c>
      <c r="D102" s="27"/>
      <c r="E102" s="27" t="s">
        <v>37</v>
      </c>
      <c r="F102" s="27" t="s">
        <v>1305</v>
      </c>
      <c r="G102" s="27" t="s">
        <v>64</v>
      </c>
      <c r="H102" s="67">
        <v>1321.15</v>
      </c>
      <c r="I102" s="50">
        <v>45919</v>
      </c>
      <c r="J102" s="50">
        <v>45924</v>
      </c>
      <c r="K102" s="57">
        <v>14473</v>
      </c>
      <c r="L102" s="39">
        <v>1295</v>
      </c>
      <c r="M102" s="52">
        <v>30</v>
      </c>
      <c r="N102" s="68" t="s">
        <v>1276</v>
      </c>
      <c r="O102" s="27" t="s">
        <v>1277</v>
      </c>
    </row>
    <row r="103" spans="1:15" x14ac:dyDescent="0.25">
      <c r="A103" s="27" t="s">
        <v>35</v>
      </c>
      <c r="B103" s="27" t="s">
        <v>35</v>
      </c>
      <c r="C103" s="25" t="s">
        <v>1304</v>
      </c>
      <c r="D103" s="27"/>
      <c r="E103" s="27" t="s">
        <v>37</v>
      </c>
      <c r="F103" s="27" t="s">
        <v>1305</v>
      </c>
      <c r="G103" s="27" t="s">
        <v>64</v>
      </c>
      <c r="H103" s="67">
        <v>1321.15</v>
      </c>
      <c r="I103" s="50">
        <v>45946</v>
      </c>
      <c r="J103" s="50">
        <v>45947</v>
      </c>
      <c r="K103" s="57">
        <v>14596</v>
      </c>
      <c r="L103" s="39">
        <v>1295</v>
      </c>
      <c r="M103" s="52">
        <v>30</v>
      </c>
      <c r="N103" s="73" t="s">
        <v>1276</v>
      </c>
      <c r="O103" s="64" t="s">
        <v>1277</v>
      </c>
    </row>
    <row r="104" spans="1:15" ht="90" x14ac:dyDescent="0.25">
      <c r="A104" s="27">
        <v>3977321</v>
      </c>
      <c r="B104" s="27">
        <v>4106352</v>
      </c>
      <c r="C104" s="25" t="s">
        <v>1307</v>
      </c>
      <c r="D104" s="27" t="s">
        <v>1308</v>
      </c>
      <c r="E104" s="27" t="s">
        <v>37</v>
      </c>
      <c r="F104" s="27" t="s">
        <v>1309</v>
      </c>
      <c r="G104" s="27" t="s">
        <v>64</v>
      </c>
      <c r="H104" s="67">
        <v>7500</v>
      </c>
      <c r="I104" s="50">
        <v>45671</v>
      </c>
      <c r="J104" s="50">
        <v>45672</v>
      </c>
      <c r="K104" s="27">
        <v>10490</v>
      </c>
      <c r="L104" s="39">
        <v>1210</v>
      </c>
      <c r="M104" s="52">
        <v>242</v>
      </c>
      <c r="N104" s="73" t="s">
        <v>1276</v>
      </c>
      <c r="O104" s="27" t="s">
        <v>1277</v>
      </c>
    </row>
    <row r="105" spans="1:15" ht="90" x14ac:dyDescent="0.25">
      <c r="A105" s="27">
        <v>3977321</v>
      </c>
      <c r="B105" s="27">
        <v>4106352</v>
      </c>
      <c r="C105" s="25" t="s">
        <v>1307</v>
      </c>
      <c r="D105" s="27" t="s">
        <v>1308</v>
      </c>
      <c r="E105" s="27" t="s">
        <v>37</v>
      </c>
      <c r="F105" s="27" t="s">
        <v>1309</v>
      </c>
      <c r="G105" s="27" t="s">
        <v>64</v>
      </c>
      <c r="H105" s="67">
        <v>7500</v>
      </c>
      <c r="I105" s="50">
        <v>45706</v>
      </c>
      <c r="J105" s="50">
        <v>45708</v>
      </c>
      <c r="K105" s="27">
        <v>10651</v>
      </c>
      <c r="L105" s="39">
        <v>1210</v>
      </c>
      <c r="M105" s="52">
        <v>242</v>
      </c>
      <c r="N105" s="73" t="s">
        <v>1276</v>
      </c>
      <c r="O105" s="27" t="s">
        <v>1277</v>
      </c>
    </row>
    <row r="106" spans="1:15" ht="90" x14ac:dyDescent="0.25">
      <c r="A106" s="27">
        <v>3977321</v>
      </c>
      <c r="B106" s="27">
        <v>4106352</v>
      </c>
      <c r="C106" s="25" t="s">
        <v>1307</v>
      </c>
      <c r="D106" s="27" t="s">
        <v>1308</v>
      </c>
      <c r="E106" s="27" t="s">
        <v>37</v>
      </c>
      <c r="F106" s="27" t="s">
        <v>1309</v>
      </c>
      <c r="G106" s="27" t="s">
        <v>64</v>
      </c>
      <c r="H106" s="67">
        <v>7500</v>
      </c>
      <c r="I106" s="50">
        <v>45734</v>
      </c>
      <c r="J106" s="50">
        <v>45734</v>
      </c>
      <c r="K106" s="27">
        <v>10808</v>
      </c>
      <c r="L106" s="39">
        <v>1210</v>
      </c>
      <c r="M106" s="52">
        <v>242</v>
      </c>
      <c r="N106" s="73" t="s">
        <v>1276</v>
      </c>
      <c r="O106" s="27" t="s">
        <v>1277</v>
      </c>
    </row>
    <row r="107" spans="1:15" ht="90" x14ac:dyDescent="0.25">
      <c r="A107" s="27">
        <v>3977321</v>
      </c>
      <c r="B107" s="27">
        <v>4106352</v>
      </c>
      <c r="C107" s="25" t="s">
        <v>1307</v>
      </c>
      <c r="D107" s="27" t="s">
        <v>1308</v>
      </c>
      <c r="E107" s="27" t="s">
        <v>37</v>
      </c>
      <c r="F107" s="27" t="s">
        <v>1309</v>
      </c>
      <c r="G107" s="27" t="s">
        <v>64</v>
      </c>
      <c r="H107" s="67">
        <v>7500</v>
      </c>
      <c r="I107" s="50">
        <v>45755</v>
      </c>
      <c r="J107" s="50">
        <v>45759</v>
      </c>
      <c r="K107" s="27">
        <v>10922</v>
      </c>
      <c r="L107" s="39">
        <v>1210</v>
      </c>
      <c r="M107" s="52">
        <v>242</v>
      </c>
      <c r="N107" s="68" t="s">
        <v>1276</v>
      </c>
      <c r="O107" s="27" t="s">
        <v>1277</v>
      </c>
    </row>
    <row r="108" spans="1:15" ht="90" x14ac:dyDescent="0.25">
      <c r="A108" s="27">
        <v>3977321</v>
      </c>
      <c r="B108" s="27">
        <v>4106352</v>
      </c>
      <c r="C108" s="25" t="s">
        <v>1307</v>
      </c>
      <c r="D108" s="27" t="s">
        <v>1308</v>
      </c>
      <c r="E108" s="27" t="s">
        <v>37</v>
      </c>
      <c r="F108" s="27" t="s">
        <v>1309</v>
      </c>
      <c r="G108" s="27" t="s">
        <v>64</v>
      </c>
      <c r="H108" s="67">
        <v>7500</v>
      </c>
      <c r="I108" s="50">
        <v>45790</v>
      </c>
      <c r="J108" s="50">
        <v>45791</v>
      </c>
      <c r="K108" s="57">
        <v>11102</v>
      </c>
      <c r="L108" s="39">
        <v>1210</v>
      </c>
      <c r="M108" s="52">
        <v>242</v>
      </c>
      <c r="N108" s="71" t="s">
        <v>1276</v>
      </c>
      <c r="O108" s="27" t="s">
        <v>1278</v>
      </c>
    </row>
    <row r="109" spans="1:15" ht="90" x14ac:dyDescent="0.25">
      <c r="A109" s="14">
        <v>3977321</v>
      </c>
      <c r="B109" s="14">
        <v>4106352</v>
      </c>
      <c r="C109" s="25" t="s">
        <v>1307</v>
      </c>
      <c r="D109" s="27" t="s">
        <v>1308</v>
      </c>
      <c r="E109" s="27" t="s">
        <v>37</v>
      </c>
      <c r="F109" s="27" t="s">
        <v>1309</v>
      </c>
      <c r="G109" s="27" t="s">
        <v>64</v>
      </c>
      <c r="H109" s="67">
        <v>7500</v>
      </c>
      <c r="I109" s="50">
        <v>45811</v>
      </c>
      <c r="J109" s="50">
        <v>45813</v>
      </c>
      <c r="K109" s="57">
        <v>11198</v>
      </c>
      <c r="L109" s="39">
        <v>1210</v>
      </c>
      <c r="M109" s="52">
        <v>242</v>
      </c>
      <c r="N109" s="73" t="s">
        <v>1276</v>
      </c>
      <c r="O109" s="27" t="s">
        <v>1277</v>
      </c>
    </row>
    <row r="110" spans="1:15" ht="90" x14ac:dyDescent="0.25">
      <c r="A110" s="14">
        <v>3977321</v>
      </c>
      <c r="B110" s="14">
        <v>4106352</v>
      </c>
      <c r="C110" s="25" t="s">
        <v>1307</v>
      </c>
      <c r="D110" s="27" t="s">
        <v>1308</v>
      </c>
      <c r="E110" s="27" t="s">
        <v>71</v>
      </c>
      <c r="F110" s="27" t="s">
        <v>1309</v>
      </c>
      <c r="G110" s="27" t="s">
        <v>64</v>
      </c>
      <c r="H110" s="67">
        <v>7500</v>
      </c>
      <c r="I110" s="50">
        <v>45846</v>
      </c>
      <c r="J110" s="50">
        <v>45847</v>
      </c>
      <c r="K110" s="57">
        <v>11352</v>
      </c>
      <c r="L110" s="39">
        <v>1210</v>
      </c>
      <c r="M110" s="52">
        <v>242</v>
      </c>
      <c r="N110" s="75" t="s">
        <v>1276</v>
      </c>
      <c r="O110" s="27" t="s">
        <v>1277</v>
      </c>
    </row>
    <row r="111" spans="1:15" ht="90" x14ac:dyDescent="0.25">
      <c r="A111" s="27">
        <v>3977321</v>
      </c>
      <c r="B111" s="27">
        <v>4106352</v>
      </c>
      <c r="C111" s="25" t="s">
        <v>1307</v>
      </c>
      <c r="D111" s="27" t="s">
        <v>1308</v>
      </c>
      <c r="E111" s="27" t="s">
        <v>37</v>
      </c>
      <c r="F111" s="27" t="s">
        <v>1309</v>
      </c>
      <c r="G111" s="27" t="s">
        <v>64</v>
      </c>
      <c r="H111" s="67">
        <v>7500</v>
      </c>
      <c r="I111" s="50">
        <v>45881</v>
      </c>
      <c r="J111" s="50">
        <v>45882</v>
      </c>
      <c r="K111" s="57">
        <v>11520</v>
      </c>
      <c r="L111" s="39">
        <v>1210</v>
      </c>
      <c r="M111" s="52">
        <v>242</v>
      </c>
      <c r="N111" s="75" t="s">
        <v>1276</v>
      </c>
      <c r="O111" s="27" t="s">
        <v>1277</v>
      </c>
    </row>
    <row r="112" spans="1:15" ht="90" x14ac:dyDescent="0.25">
      <c r="A112" s="27">
        <v>3977321</v>
      </c>
      <c r="B112" s="27">
        <v>4106352</v>
      </c>
      <c r="C112" s="25" t="s">
        <v>1307</v>
      </c>
      <c r="D112" s="27" t="s">
        <v>1308</v>
      </c>
      <c r="E112" s="27" t="s">
        <v>37</v>
      </c>
      <c r="F112" s="27" t="s">
        <v>1309</v>
      </c>
      <c r="G112" s="27" t="s">
        <v>64</v>
      </c>
      <c r="H112" s="67">
        <v>7500</v>
      </c>
      <c r="I112" s="50">
        <v>45903</v>
      </c>
      <c r="J112" s="50">
        <v>45903</v>
      </c>
      <c r="K112" s="57">
        <v>11638</v>
      </c>
      <c r="L112" s="39">
        <v>1210</v>
      </c>
      <c r="M112" s="52">
        <v>242</v>
      </c>
      <c r="N112" s="75" t="s">
        <v>1276</v>
      </c>
      <c r="O112" s="27" t="s">
        <v>337</v>
      </c>
    </row>
    <row r="113" spans="1:15" ht="90" x14ac:dyDescent="0.25">
      <c r="A113" s="27">
        <v>3977321</v>
      </c>
      <c r="B113" s="27">
        <v>4106352</v>
      </c>
      <c r="C113" s="25" t="s">
        <v>1307</v>
      </c>
      <c r="D113" s="27" t="s">
        <v>1308</v>
      </c>
      <c r="E113" s="27" t="s">
        <v>37</v>
      </c>
      <c r="F113" s="27" t="s">
        <v>1309</v>
      </c>
      <c r="G113" s="27" t="s">
        <v>64</v>
      </c>
      <c r="H113" s="67">
        <v>7500</v>
      </c>
      <c r="I113" s="50">
        <v>45938</v>
      </c>
      <c r="J113" s="50">
        <v>45938</v>
      </c>
      <c r="K113" s="57">
        <v>11805</v>
      </c>
      <c r="L113" s="39">
        <v>1210</v>
      </c>
      <c r="M113" s="52">
        <v>242</v>
      </c>
      <c r="N113" s="73" t="s">
        <v>1276</v>
      </c>
      <c r="O113" s="27" t="s">
        <v>1277</v>
      </c>
    </row>
    <row r="114" spans="1:15" ht="45" x14ac:dyDescent="0.25">
      <c r="A114" s="27" t="s">
        <v>1310</v>
      </c>
      <c r="B114" s="27">
        <v>3717366</v>
      </c>
      <c r="C114" s="25"/>
      <c r="D114" s="27"/>
      <c r="E114" s="27"/>
      <c r="F114" s="27" t="s">
        <v>1311</v>
      </c>
      <c r="G114" s="27"/>
      <c r="H114" s="67">
        <v>2800</v>
      </c>
      <c r="I114" s="50">
        <v>45287</v>
      </c>
      <c r="J114" s="50">
        <v>45287</v>
      </c>
      <c r="K114" s="27">
        <v>1156</v>
      </c>
      <c r="L114" s="39">
        <v>2208</v>
      </c>
      <c r="M114" s="27">
        <v>242</v>
      </c>
      <c r="N114" s="68" t="s">
        <v>1276</v>
      </c>
      <c r="O114" s="27" t="s">
        <v>35</v>
      </c>
    </row>
    <row r="115" spans="1:15" ht="75" x14ac:dyDescent="0.25">
      <c r="A115" s="27">
        <v>3632413</v>
      </c>
      <c r="B115" s="27">
        <v>3787373</v>
      </c>
      <c r="C115" s="60" t="s">
        <v>1312</v>
      </c>
      <c r="D115" s="27"/>
      <c r="E115" s="27" t="s">
        <v>37</v>
      </c>
      <c r="F115" s="27" t="s">
        <v>1311</v>
      </c>
      <c r="G115" s="27" t="s">
        <v>86</v>
      </c>
      <c r="H115" s="67">
        <v>2800</v>
      </c>
      <c r="I115" s="50">
        <v>45379</v>
      </c>
      <c r="J115" s="27"/>
      <c r="K115" s="27">
        <v>1220</v>
      </c>
      <c r="L115" s="39">
        <v>2208</v>
      </c>
      <c r="M115" s="27">
        <v>242</v>
      </c>
      <c r="N115" s="89" t="s">
        <v>1313</v>
      </c>
      <c r="O115" s="27" t="s">
        <v>1277</v>
      </c>
    </row>
    <row r="116" spans="1:15" ht="75" x14ac:dyDescent="0.25">
      <c r="A116" s="27">
        <v>3632413</v>
      </c>
      <c r="B116" s="27">
        <v>3787373</v>
      </c>
      <c r="C116" s="60" t="s">
        <v>1312</v>
      </c>
      <c r="D116" s="27"/>
      <c r="E116" s="27" t="s">
        <v>37</v>
      </c>
      <c r="F116" s="27" t="s">
        <v>1311</v>
      </c>
      <c r="G116" s="27" t="s">
        <v>86</v>
      </c>
      <c r="H116" s="67">
        <v>2800</v>
      </c>
      <c r="I116" s="50">
        <v>45383</v>
      </c>
      <c r="J116" s="50">
        <v>45384</v>
      </c>
      <c r="K116" s="27">
        <v>1221</v>
      </c>
      <c r="L116" s="39">
        <v>2208</v>
      </c>
      <c r="M116" s="27">
        <v>242</v>
      </c>
      <c r="N116" s="68" t="s">
        <v>1276</v>
      </c>
      <c r="O116" s="27" t="s">
        <v>1277</v>
      </c>
    </row>
    <row r="117" spans="1:15" ht="75" x14ac:dyDescent="0.25">
      <c r="A117" s="27">
        <v>3632413</v>
      </c>
      <c r="B117" s="27">
        <v>3787373</v>
      </c>
      <c r="C117" s="60" t="s">
        <v>1312</v>
      </c>
      <c r="D117" s="27"/>
      <c r="E117" s="27" t="s">
        <v>71</v>
      </c>
      <c r="F117" s="27" t="s">
        <v>1311</v>
      </c>
      <c r="G117" s="27" t="s">
        <v>86</v>
      </c>
      <c r="H117" s="67">
        <v>2800</v>
      </c>
      <c r="I117" s="50">
        <v>45407</v>
      </c>
      <c r="J117" s="50">
        <v>45408</v>
      </c>
      <c r="K117" s="27">
        <v>1248</v>
      </c>
      <c r="L117" s="39">
        <v>2208</v>
      </c>
      <c r="M117" s="52">
        <v>242</v>
      </c>
      <c r="N117" s="68" t="s">
        <v>1276</v>
      </c>
      <c r="O117" s="27" t="s">
        <v>1277</v>
      </c>
    </row>
    <row r="118" spans="1:15" ht="75" x14ac:dyDescent="0.25">
      <c r="A118" s="27">
        <v>3632413</v>
      </c>
      <c r="B118" s="27">
        <v>3787373</v>
      </c>
      <c r="C118" s="60" t="s">
        <v>1312</v>
      </c>
      <c r="D118" s="27"/>
      <c r="E118" s="27" t="s">
        <v>37</v>
      </c>
      <c r="F118" s="27" t="s">
        <v>1311</v>
      </c>
      <c r="G118" s="27" t="s">
        <v>86</v>
      </c>
      <c r="H118" s="67">
        <v>2800</v>
      </c>
      <c r="I118" s="50">
        <v>45434</v>
      </c>
      <c r="J118" s="50">
        <v>45436</v>
      </c>
      <c r="K118" s="27">
        <v>1281</v>
      </c>
      <c r="L118" s="39">
        <v>2208</v>
      </c>
      <c r="M118" s="52">
        <v>242</v>
      </c>
      <c r="N118" s="68" t="s">
        <v>1276</v>
      </c>
      <c r="O118" s="27" t="s">
        <v>1277</v>
      </c>
    </row>
    <row r="119" spans="1:15" ht="75" x14ac:dyDescent="0.25">
      <c r="A119" s="27">
        <v>3632413</v>
      </c>
      <c r="B119" s="27">
        <v>3787373</v>
      </c>
      <c r="C119" s="25" t="s">
        <v>1314</v>
      </c>
      <c r="D119" s="27"/>
      <c r="E119" s="27" t="s">
        <v>37</v>
      </c>
      <c r="F119" s="27" t="s">
        <v>1311</v>
      </c>
      <c r="G119" s="27" t="s">
        <v>86</v>
      </c>
      <c r="H119" s="67">
        <v>2800</v>
      </c>
      <c r="I119" s="50">
        <v>45468</v>
      </c>
      <c r="J119" s="50">
        <v>45470</v>
      </c>
      <c r="K119" s="27">
        <v>1310</v>
      </c>
      <c r="L119" s="39">
        <v>2208</v>
      </c>
      <c r="M119" s="52">
        <v>242</v>
      </c>
      <c r="N119" s="68" t="s">
        <v>1276</v>
      </c>
      <c r="O119" s="27" t="s">
        <v>1277</v>
      </c>
    </row>
    <row r="120" spans="1:15" ht="90" x14ac:dyDescent="0.25">
      <c r="A120" s="27">
        <v>3632413</v>
      </c>
      <c r="B120" s="1">
        <v>3787373</v>
      </c>
      <c r="C120" s="25" t="s">
        <v>1315</v>
      </c>
      <c r="D120" s="27"/>
      <c r="E120" s="27"/>
      <c r="F120" s="27" t="s">
        <v>1311</v>
      </c>
      <c r="G120" s="27"/>
      <c r="H120" s="67">
        <v>2800</v>
      </c>
      <c r="I120" s="50">
        <v>45503</v>
      </c>
      <c r="J120" s="27"/>
      <c r="K120" s="27">
        <v>1335</v>
      </c>
      <c r="L120" s="39"/>
      <c r="M120" s="27"/>
      <c r="N120" s="89" t="s">
        <v>1316</v>
      </c>
      <c r="O120" s="27" t="s">
        <v>1277</v>
      </c>
    </row>
    <row r="121" spans="1:15" ht="75" x14ac:dyDescent="0.25">
      <c r="A121" s="30">
        <v>3632413</v>
      </c>
      <c r="B121" s="27">
        <v>3787373</v>
      </c>
      <c r="C121" s="60" t="s">
        <v>1312</v>
      </c>
      <c r="D121" s="30"/>
      <c r="E121" s="30" t="s">
        <v>71</v>
      </c>
      <c r="F121" s="27" t="s">
        <v>1311</v>
      </c>
      <c r="G121" s="27" t="s">
        <v>86</v>
      </c>
      <c r="H121" s="67">
        <v>2800</v>
      </c>
      <c r="I121" s="50">
        <v>45509</v>
      </c>
      <c r="J121" s="50">
        <v>45510</v>
      </c>
      <c r="K121" s="27">
        <v>1336</v>
      </c>
      <c r="L121" s="39">
        <v>2208</v>
      </c>
      <c r="M121" s="52">
        <v>242</v>
      </c>
      <c r="N121" s="68" t="s">
        <v>1276</v>
      </c>
      <c r="O121" s="27" t="s">
        <v>1277</v>
      </c>
    </row>
    <row r="122" spans="1:15" ht="75" x14ac:dyDescent="0.25">
      <c r="A122" s="27">
        <v>3632413</v>
      </c>
      <c r="B122" s="27">
        <v>3787373</v>
      </c>
      <c r="C122" s="25" t="s">
        <v>1314</v>
      </c>
      <c r="D122" s="65"/>
      <c r="E122" s="27" t="s">
        <v>37</v>
      </c>
      <c r="F122" s="27" t="s">
        <v>1311</v>
      </c>
      <c r="G122" s="27" t="s">
        <v>86</v>
      </c>
      <c r="H122" s="67">
        <v>2800</v>
      </c>
      <c r="I122" s="50">
        <v>45541</v>
      </c>
      <c r="J122" s="50">
        <v>45552</v>
      </c>
      <c r="K122" s="27">
        <v>1370</v>
      </c>
      <c r="L122" s="39">
        <v>2208</v>
      </c>
      <c r="M122" s="52">
        <v>242</v>
      </c>
      <c r="N122" s="74" t="s">
        <v>1276</v>
      </c>
      <c r="O122" s="27" t="s">
        <v>1277</v>
      </c>
    </row>
    <row r="123" spans="1:15" ht="90" x14ac:dyDescent="0.25">
      <c r="A123" s="27">
        <v>3632413</v>
      </c>
      <c r="B123" s="27">
        <v>3787373</v>
      </c>
      <c r="C123" s="25" t="s">
        <v>1315</v>
      </c>
      <c r="D123" s="27"/>
      <c r="E123" s="27" t="s">
        <v>37</v>
      </c>
      <c r="F123" s="14" t="s">
        <v>1311</v>
      </c>
      <c r="G123" s="63" t="s">
        <v>86</v>
      </c>
      <c r="H123" s="67">
        <v>2800</v>
      </c>
      <c r="I123" s="80">
        <v>45558</v>
      </c>
      <c r="J123" s="50">
        <v>45561</v>
      </c>
      <c r="K123" s="59">
        <v>1382</v>
      </c>
      <c r="L123" s="39">
        <v>2208</v>
      </c>
      <c r="M123" s="52">
        <v>242</v>
      </c>
      <c r="N123" s="68" t="s">
        <v>1276</v>
      </c>
      <c r="O123" s="27" t="s">
        <v>337</v>
      </c>
    </row>
    <row r="124" spans="1:15" ht="90" x14ac:dyDescent="0.25">
      <c r="A124" s="27">
        <v>3632413</v>
      </c>
      <c r="B124" s="27">
        <v>3787373</v>
      </c>
      <c r="C124" s="25" t="s">
        <v>1315</v>
      </c>
      <c r="D124" s="27"/>
      <c r="E124" s="27" t="s">
        <v>37</v>
      </c>
      <c r="F124" s="27" t="s">
        <v>1311</v>
      </c>
      <c r="G124" s="27" t="s">
        <v>86</v>
      </c>
      <c r="H124" s="67">
        <v>2800</v>
      </c>
      <c r="I124" s="50">
        <v>45594</v>
      </c>
      <c r="J124" s="27"/>
      <c r="K124" s="27">
        <v>1407</v>
      </c>
      <c r="L124" s="39"/>
      <c r="M124" s="27"/>
      <c r="N124" s="89" t="s">
        <v>1317</v>
      </c>
      <c r="O124" s="27" t="s">
        <v>1277</v>
      </c>
    </row>
    <row r="125" spans="1:15" ht="75" x14ac:dyDescent="0.25">
      <c r="A125" s="27">
        <v>3632413</v>
      </c>
      <c r="B125" s="27">
        <v>3787373</v>
      </c>
      <c r="C125" s="25" t="s">
        <v>1314</v>
      </c>
      <c r="D125" s="27"/>
      <c r="E125" s="27" t="s">
        <v>37</v>
      </c>
      <c r="F125" s="27" t="s">
        <v>1311</v>
      </c>
      <c r="G125" s="27" t="s">
        <v>86</v>
      </c>
      <c r="H125" s="67">
        <v>2800</v>
      </c>
      <c r="I125" s="50">
        <v>45599</v>
      </c>
      <c r="J125" s="50">
        <v>45602</v>
      </c>
      <c r="K125" s="27">
        <v>1413</v>
      </c>
      <c r="L125" s="39">
        <v>2208</v>
      </c>
      <c r="M125" s="52">
        <v>242</v>
      </c>
      <c r="N125" s="73" t="s">
        <v>1276</v>
      </c>
      <c r="O125" s="27" t="s">
        <v>1277</v>
      </c>
    </row>
    <row r="126" spans="1:15" ht="75" x14ac:dyDescent="0.25">
      <c r="A126" s="27">
        <v>3632413</v>
      </c>
      <c r="B126" s="27">
        <v>3787373</v>
      </c>
      <c r="C126" s="25" t="s">
        <v>1314</v>
      </c>
      <c r="D126" s="27"/>
      <c r="E126" s="27" t="s">
        <v>71</v>
      </c>
      <c r="F126" s="27" t="s">
        <v>1311</v>
      </c>
      <c r="G126" s="27" t="s">
        <v>86</v>
      </c>
      <c r="H126" s="67">
        <v>2800</v>
      </c>
      <c r="I126" s="50">
        <v>45630</v>
      </c>
      <c r="J126" s="50">
        <v>45631</v>
      </c>
      <c r="K126" s="27">
        <v>1460</v>
      </c>
      <c r="L126" s="39">
        <v>2208</v>
      </c>
      <c r="M126" s="52">
        <v>242</v>
      </c>
      <c r="N126" s="73" t="s">
        <v>1276</v>
      </c>
      <c r="O126" s="27" t="s">
        <v>1277</v>
      </c>
    </row>
    <row r="127" spans="1:15" ht="90" x14ac:dyDescent="0.25">
      <c r="A127" s="27">
        <v>3632413</v>
      </c>
      <c r="B127" s="27">
        <v>3787373</v>
      </c>
      <c r="C127" s="25" t="s">
        <v>1315</v>
      </c>
      <c r="D127" s="27"/>
      <c r="E127" s="27" t="s">
        <v>37</v>
      </c>
      <c r="F127" s="27" t="s">
        <v>1311</v>
      </c>
      <c r="G127" s="27" t="s">
        <v>86</v>
      </c>
      <c r="H127" s="67">
        <v>2800</v>
      </c>
      <c r="I127" s="50">
        <v>45660</v>
      </c>
      <c r="J127" s="50">
        <v>45660</v>
      </c>
      <c r="K127" s="27">
        <v>1486</v>
      </c>
      <c r="L127" s="39">
        <v>2208</v>
      </c>
      <c r="M127" s="52">
        <v>242</v>
      </c>
      <c r="N127" s="71" t="s">
        <v>1276</v>
      </c>
      <c r="O127" s="27" t="s">
        <v>1318</v>
      </c>
    </row>
    <row r="128" spans="1:15" ht="409.5" x14ac:dyDescent="0.25">
      <c r="A128" s="27">
        <v>4002793</v>
      </c>
      <c r="B128" s="27">
        <v>4129082</v>
      </c>
      <c r="C128" s="25" t="s">
        <v>1319</v>
      </c>
      <c r="D128" s="27" t="s">
        <v>1320</v>
      </c>
      <c r="E128" s="27" t="s">
        <v>71</v>
      </c>
      <c r="F128" s="27" t="s">
        <v>1311</v>
      </c>
      <c r="G128" s="27" t="s">
        <v>86</v>
      </c>
      <c r="H128" s="67">
        <v>2750</v>
      </c>
      <c r="I128" s="50">
        <v>45735</v>
      </c>
      <c r="J128" s="50">
        <v>45736</v>
      </c>
      <c r="K128" s="58" t="s">
        <v>1321</v>
      </c>
      <c r="L128" s="39" t="s">
        <v>1322</v>
      </c>
      <c r="M128" s="52">
        <v>242</v>
      </c>
      <c r="N128" s="73" t="s">
        <v>1276</v>
      </c>
      <c r="O128" s="27" t="s">
        <v>1277</v>
      </c>
    </row>
    <row r="129" spans="1:15" ht="90" x14ac:dyDescent="0.25">
      <c r="A129" s="27" t="s">
        <v>35</v>
      </c>
      <c r="B129" s="27"/>
      <c r="C129" s="25"/>
      <c r="D129" s="27"/>
      <c r="E129" s="27"/>
      <c r="F129" s="27" t="s">
        <v>1311</v>
      </c>
      <c r="G129" s="27"/>
      <c r="H129" s="77"/>
      <c r="I129" s="50"/>
      <c r="J129" s="27"/>
      <c r="K129" s="27">
        <v>1569</v>
      </c>
      <c r="L129" s="39"/>
      <c r="M129" s="27"/>
      <c r="N129" s="89" t="s">
        <v>1323</v>
      </c>
      <c r="O129" s="27" t="s">
        <v>1277</v>
      </c>
    </row>
    <row r="130" spans="1:15" ht="409.5" x14ac:dyDescent="0.25">
      <c r="A130" s="27">
        <v>4002793</v>
      </c>
      <c r="B130" s="27">
        <v>4129082</v>
      </c>
      <c r="C130" s="25" t="s">
        <v>1319</v>
      </c>
      <c r="D130" s="27" t="s">
        <v>1320</v>
      </c>
      <c r="E130" s="27" t="s">
        <v>37</v>
      </c>
      <c r="F130" s="27" t="s">
        <v>1311</v>
      </c>
      <c r="G130" s="27" t="s">
        <v>86</v>
      </c>
      <c r="H130" s="67">
        <v>2750</v>
      </c>
      <c r="I130" s="50">
        <v>45748</v>
      </c>
      <c r="J130" s="50">
        <v>45749</v>
      </c>
      <c r="K130" s="27">
        <v>1571</v>
      </c>
      <c r="L130" s="39" t="s">
        <v>1322</v>
      </c>
      <c r="M130" s="52">
        <v>242</v>
      </c>
      <c r="N130" s="68" t="s">
        <v>1276</v>
      </c>
      <c r="O130" s="27" t="s">
        <v>1277</v>
      </c>
    </row>
    <row r="131" spans="1:15" ht="300" x14ac:dyDescent="0.25">
      <c r="A131" s="27">
        <v>4002793</v>
      </c>
      <c r="B131" s="27">
        <v>4129082</v>
      </c>
      <c r="C131" s="25" t="s">
        <v>1319</v>
      </c>
      <c r="D131" s="27" t="s">
        <v>1320</v>
      </c>
      <c r="E131" s="27" t="s">
        <v>37</v>
      </c>
      <c r="F131" s="27" t="s">
        <v>1311</v>
      </c>
      <c r="G131" s="27" t="s">
        <v>86</v>
      </c>
      <c r="H131" s="67">
        <v>2750</v>
      </c>
      <c r="I131" s="50">
        <v>45778</v>
      </c>
      <c r="J131" s="50">
        <v>45785</v>
      </c>
      <c r="K131" s="57">
        <v>1601</v>
      </c>
      <c r="L131" s="39" t="s">
        <v>1324</v>
      </c>
      <c r="M131" s="52">
        <v>242</v>
      </c>
      <c r="N131" s="68" t="s">
        <v>1276</v>
      </c>
      <c r="O131" s="27" t="s">
        <v>1277</v>
      </c>
    </row>
    <row r="132" spans="1:15" ht="300" x14ac:dyDescent="0.25">
      <c r="A132" s="27">
        <v>4002793</v>
      </c>
      <c r="B132" s="27">
        <v>4129082</v>
      </c>
      <c r="C132" s="25" t="s">
        <v>1319</v>
      </c>
      <c r="D132" s="27" t="s">
        <v>1320</v>
      </c>
      <c r="E132" s="27" t="s">
        <v>37</v>
      </c>
      <c r="F132" s="27" t="s">
        <v>1311</v>
      </c>
      <c r="G132" s="27" t="s">
        <v>86</v>
      </c>
      <c r="H132" s="67">
        <v>2750</v>
      </c>
      <c r="I132" s="50">
        <v>45812</v>
      </c>
      <c r="J132" s="50">
        <v>45817</v>
      </c>
      <c r="K132" s="57">
        <v>1628</v>
      </c>
      <c r="L132" s="39" t="s">
        <v>1324</v>
      </c>
      <c r="M132" s="52">
        <v>242</v>
      </c>
      <c r="N132" s="73" t="s">
        <v>1276</v>
      </c>
      <c r="O132" s="27" t="s">
        <v>1277</v>
      </c>
    </row>
    <row r="133" spans="1:15" ht="300" x14ac:dyDescent="0.25">
      <c r="A133" s="27">
        <v>4002793</v>
      </c>
      <c r="B133" s="27">
        <v>4129082</v>
      </c>
      <c r="C133" s="25" t="s">
        <v>1325</v>
      </c>
      <c r="D133" s="27" t="s">
        <v>1320</v>
      </c>
      <c r="E133" s="27" t="s">
        <v>37</v>
      </c>
      <c r="F133" s="27" t="s">
        <v>1311</v>
      </c>
      <c r="G133" s="27" t="s">
        <v>86</v>
      </c>
      <c r="H133" s="67">
        <v>2750</v>
      </c>
      <c r="I133" s="50">
        <v>45843</v>
      </c>
      <c r="J133" s="50">
        <v>45845</v>
      </c>
      <c r="K133" s="57">
        <v>1673</v>
      </c>
      <c r="L133" s="39" t="s">
        <v>1326</v>
      </c>
      <c r="M133" s="52">
        <v>242</v>
      </c>
      <c r="N133" s="68" t="s">
        <v>1276</v>
      </c>
      <c r="O133" s="27" t="s">
        <v>1277</v>
      </c>
    </row>
    <row r="134" spans="1:15" ht="300" x14ac:dyDescent="0.25">
      <c r="A134" s="27">
        <v>4002793</v>
      </c>
      <c r="B134" s="27">
        <v>4129082</v>
      </c>
      <c r="C134" s="25" t="s">
        <v>1327</v>
      </c>
      <c r="D134" s="27" t="s">
        <v>1320</v>
      </c>
      <c r="E134" s="27" t="s">
        <v>37</v>
      </c>
      <c r="F134" s="27" t="s">
        <v>1311</v>
      </c>
      <c r="G134" s="27" t="s">
        <v>86</v>
      </c>
      <c r="H134" s="67">
        <v>2750</v>
      </c>
      <c r="I134" s="50">
        <v>45871</v>
      </c>
      <c r="J134" s="50">
        <v>45873</v>
      </c>
      <c r="K134" s="57">
        <v>1693</v>
      </c>
      <c r="L134" s="39" t="s">
        <v>1326</v>
      </c>
      <c r="M134" s="52">
        <v>242</v>
      </c>
      <c r="N134" s="68" t="s">
        <v>1276</v>
      </c>
      <c r="O134" s="27" t="s">
        <v>1277</v>
      </c>
    </row>
    <row r="135" spans="1:15" ht="300" x14ac:dyDescent="0.25">
      <c r="A135" s="14">
        <v>4002793</v>
      </c>
      <c r="B135" s="14">
        <v>4129082</v>
      </c>
      <c r="C135" s="25" t="s">
        <v>1327</v>
      </c>
      <c r="D135" s="27">
        <v>15839</v>
      </c>
      <c r="E135" s="27" t="s">
        <v>37</v>
      </c>
      <c r="F135" s="27" t="s">
        <v>1311</v>
      </c>
      <c r="G135" s="27" t="s">
        <v>86</v>
      </c>
      <c r="H135" s="78">
        <v>2750</v>
      </c>
      <c r="I135" s="50">
        <v>45903</v>
      </c>
      <c r="J135" s="50">
        <v>45905</v>
      </c>
      <c r="K135" s="57">
        <v>1724</v>
      </c>
      <c r="L135" s="39" t="s">
        <v>1326</v>
      </c>
      <c r="M135" s="52">
        <v>242</v>
      </c>
      <c r="N135" s="68" t="s">
        <v>1276</v>
      </c>
      <c r="O135" s="27" t="s">
        <v>337</v>
      </c>
    </row>
    <row r="136" spans="1:15" ht="165" x14ac:dyDescent="0.25">
      <c r="A136" s="14">
        <v>4002793</v>
      </c>
      <c r="B136" s="14">
        <v>4129082</v>
      </c>
      <c r="C136" s="25" t="s">
        <v>1327</v>
      </c>
      <c r="D136" s="27">
        <v>15839</v>
      </c>
      <c r="E136" s="27" t="s">
        <v>37</v>
      </c>
      <c r="F136" s="27" t="s">
        <v>1311</v>
      </c>
      <c r="G136" s="27" t="s">
        <v>86</v>
      </c>
      <c r="H136" s="67">
        <v>2750</v>
      </c>
      <c r="I136" s="50">
        <v>45932</v>
      </c>
      <c r="J136" s="50">
        <v>45933</v>
      </c>
      <c r="K136" s="57">
        <v>1747</v>
      </c>
      <c r="L136" s="39" t="s">
        <v>1328</v>
      </c>
      <c r="M136" s="52">
        <v>242</v>
      </c>
      <c r="N136" s="73" t="s">
        <v>1276</v>
      </c>
      <c r="O136" s="27" t="s">
        <v>1277</v>
      </c>
    </row>
    <row r="137" spans="1:15" ht="30" x14ac:dyDescent="0.25">
      <c r="A137" s="27">
        <v>4004885</v>
      </c>
      <c r="B137" s="27">
        <v>4131474</v>
      </c>
      <c r="C137" s="25" t="s">
        <v>1329</v>
      </c>
      <c r="D137" s="27" t="s">
        <v>1330</v>
      </c>
      <c r="E137" s="27" t="s">
        <v>37</v>
      </c>
      <c r="F137" s="27" t="s">
        <v>248</v>
      </c>
      <c r="G137" s="27" t="s">
        <v>64</v>
      </c>
      <c r="H137" s="67">
        <v>29471.02</v>
      </c>
      <c r="I137" s="50">
        <v>45679</v>
      </c>
      <c r="J137" s="50">
        <v>45688</v>
      </c>
      <c r="K137" s="202" t="s">
        <v>1331</v>
      </c>
      <c r="L137" s="39" t="s">
        <v>1332</v>
      </c>
      <c r="M137" s="52">
        <v>242</v>
      </c>
      <c r="N137" s="79" t="s">
        <v>1276</v>
      </c>
      <c r="O137" s="27" t="s">
        <v>1277</v>
      </c>
    </row>
    <row r="138" spans="1:15" ht="30" x14ac:dyDescent="0.25">
      <c r="A138" s="27">
        <v>4004885</v>
      </c>
      <c r="B138" s="27">
        <v>4131474</v>
      </c>
      <c r="C138" s="25" t="s">
        <v>1333</v>
      </c>
      <c r="D138" s="27" t="s">
        <v>1330</v>
      </c>
      <c r="E138" s="27" t="s">
        <v>37</v>
      </c>
      <c r="F138" s="27" t="s">
        <v>248</v>
      </c>
      <c r="G138" s="27" t="s">
        <v>64</v>
      </c>
      <c r="H138" s="67">
        <v>29471.02</v>
      </c>
      <c r="I138" s="50">
        <v>45699</v>
      </c>
      <c r="J138" s="50">
        <v>45700</v>
      </c>
      <c r="K138" s="27">
        <v>4323</v>
      </c>
      <c r="L138" s="39" t="s">
        <v>1332</v>
      </c>
      <c r="M138" s="52">
        <v>242</v>
      </c>
      <c r="N138" s="73" t="s">
        <v>1276</v>
      </c>
      <c r="O138" s="27" t="s">
        <v>1277</v>
      </c>
    </row>
    <row r="139" spans="1:15" ht="30" x14ac:dyDescent="0.25">
      <c r="A139" s="27">
        <v>4004885</v>
      </c>
      <c r="B139" s="27">
        <v>4131474</v>
      </c>
      <c r="C139" s="25" t="s">
        <v>1334</v>
      </c>
      <c r="D139" s="27" t="s">
        <v>1330</v>
      </c>
      <c r="E139" s="27" t="s">
        <v>37</v>
      </c>
      <c r="F139" s="27" t="s">
        <v>248</v>
      </c>
      <c r="G139" s="27" t="s">
        <v>64</v>
      </c>
      <c r="H139" s="67">
        <v>29471.02</v>
      </c>
      <c r="I139" s="50">
        <v>45726</v>
      </c>
      <c r="J139" s="50">
        <v>45733</v>
      </c>
      <c r="K139" s="27">
        <v>4417</v>
      </c>
      <c r="L139" s="39" t="s">
        <v>1332</v>
      </c>
      <c r="M139" s="52">
        <v>242</v>
      </c>
      <c r="N139" s="73" t="s">
        <v>1276</v>
      </c>
      <c r="O139" s="27" t="s">
        <v>1277</v>
      </c>
    </row>
    <row r="140" spans="1:15" ht="30" x14ac:dyDescent="0.25">
      <c r="A140" s="27">
        <v>4004885</v>
      </c>
      <c r="B140" s="27">
        <v>4131474</v>
      </c>
      <c r="C140" s="25" t="s">
        <v>1335</v>
      </c>
      <c r="D140" s="27" t="s">
        <v>1330</v>
      </c>
      <c r="E140" s="27" t="s">
        <v>37</v>
      </c>
      <c r="F140" s="27" t="s">
        <v>248</v>
      </c>
      <c r="G140" s="27" t="s">
        <v>64</v>
      </c>
      <c r="H140" s="67">
        <v>29471.02</v>
      </c>
      <c r="I140" s="50">
        <v>45757</v>
      </c>
      <c r="J140" s="50">
        <v>45764</v>
      </c>
      <c r="K140" s="27">
        <v>4558</v>
      </c>
      <c r="L140" s="39" t="s">
        <v>1332</v>
      </c>
      <c r="M140" s="52">
        <v>242</v>
      </c>
      <c r="N140" s="73" t="s">
        <v>1276</v>
      </c>
      <c r="O140" s="27" t="s">
        <v>1277</v>
      </c>
    </row>
    <row r="141" spans="1:15" ht="30" x14ac:dyDescent="0.25">
      <c r="A141" s="27">
        <v>4004885</v>
      </c>
      <c r="B141" s="27">
        <v>4131474</v>
      </c>
      <c r="C141" s="25" t="s">
        <v>1336</v>
      </c>
      <c r="D141" s="27" t="s">
        <v>1330</v>
      </c>
      <c r="E141" s="27" t="s">
        <v>37</v>
      </c>
      <c r="F141" s="27" t="s">
        <v>248</v>
      </c>
      <c r="G141" s="27" t="s">
        <v>64</v>
      </c>
      <c r="H141" s="67">
        <v>29471.02</v>
      </c>
      <c r="I141" s="50">
        <v>45786</v>
      </c>
      <c r="J141" s="50">
        <v>45790</v>
      </c>
      <c r="K141" s="57">
        <v>4678</v>
      </c>
      <c r="L141" s="39" t="s">
        <v>1332</v>
      </c>
      <c r="M141" s="52">
        <v>242</v>
      </c>
      <c r="N141" s="73" t="s">
        <v>1276</v>
      </c>
      <c r="O141" s="55" t="s">
        <v>1278</v>
      </c>
    </row>
    <row r="142" spans="1:15" ht="30" x14ac:dyDescent="0.25">
      <c r="A142" s="27">
        <v>4004885</v>
      </c>
      <c r="B142" s="27">
        <v>4131474</v>
      </c>
      <c r="C142" s="25" t="s">
        <v>1337</v>
      </c>
      <c r="D142" s="27" t="s">
        <v>1330</v>
      </c>
      <c r="E142" s="27" t="s">
        <v>37</v>
      </c>
      <c r="F142" s="27" t="s">
        <v>248</v>
      </c>
      <c r="G142" s="27" t="s">
        <v>64</v>
      </c>
      <c r="H142" s="67">
        <v>29471.02</v>
      </c>
      <c r="I142" s="50">
        <v>45820</v>
      </c>
      <c r="J142" s="50">
        <v>45831</v>
      </c>
      <c r="K142" s="57">
        <v>4712</v>
      </c>
      <c r="L142" s="39" t="s">
        <v>1332</v>
      </c>
      <c r="M142" s="52">
        <v>242</v>
      </c>
      <c r="N142" s="73" t="s">
        <v>1276</v>
      </c>
      <c r="O142" s="27" t="s">
        <v>1277</v>
      </c>
    </row>
    <row r="143" spans="1:15" ht="30" x14ac:dyDescent="0.25">
      <c r="A143" s="27">
        <v>4004885</v>
      </c>
      <c r="B143" s="27">
        <v>4131474</v>
      </c>
      <c r="C143" s="25" t="s">
        <v>1338</v>
      </c>
      <c r="D143" s="27" t="s">
        <v>1330</v>
      </c>
      <c r="E143" s="27" t="s">
        <v>37</v>
      </c>
      <c r="F143" s="27" t="s">
        <v>248</v>
      </c>
      <c r="G143" s="27" t="s">
        <v>64</v>
      </c>
      <c r="H143" s="67">
        <v>29471.02</v>
      </c>
      <c r="I143" s="50">
        <v>45841</v>
      </c>
      <c r="J143" s="50">
        <v>45845</v>
      </c>
      <c r="K143" s="57">
        <v>4885</v>
      </c>
      <c r="L143" s="39" t="s">
        <v>1332</v>
      </c>
      <c r="M143" s="52">
        <v>242</v>
      </c>
      <c r="N143" s="75" t="s">
        <v>1276</v>
      </c>
      <c r="O143" s="27" t="s">
        <v>1277</v>
      </c>
    </row>
    <row r="144" spans="1:15" ht="30" x14ac:dyDescent="0.25">
      <c r="A144" s="27">
        <v>4004885</v>
      </c>
      <c r="B144" s="27">
        <v>4131474</v>
      </c>
      <c r="C144" s="25" t="s">
        <v>1339</v>
      </c>
      <c r="D144" s="27" t="s">
        <v>1330</v>
      </c>
      <c r="E144" s="27" t="s">
        <v>37</v>
      </c>
      <c r="F144" s="27" t="s">
        <v>248</v>
      </c>
      <c r="G144" s="27" t="s">
        <v>64</v>
      </c>
      <c r="H144" s="67">
        <v>29471.02</v>
      </c>
      <c r="I144" s="50">
        <v>45876</v>
      </c>
      <c r="J144" s="50">
        <v>45877</v>
      </c>
      <c r="K144" s="57">
        <v>5006</v>
      </c>
      <c r="L144" s="39" t="s">
        <v>1332</v>
      </c>
      <c r="M144" s="52">
        <v>242</v>
      </c>
      <c r="N144" s="75" t="s">
        <v>1276</v>
      </c>
      <c r="O144" s="27" t="s">
        <v>1277</v>
      </c>
    </row>
    <row r="145" spans="1:15" ht="30" x14ac:dyDescent="0.25">
      <c r="A145" s="30">
        <v>4004885</v>
      </c>
      <c r="B145" s="30">
        <v>4131474</v>
      </c>
      <c r="C145" s="60" t="s">
        <v>1340</v>
      </c>
      <c r="D145" s="27" t="s">
        <v>1330</v>
      </c>
      <c r="E145" s="27" t="s">
        <v>37</v>
      </c>
      <c r="F145" s="27" t="s">
        <v>248</v>
      </c>
      <c r="G145" s="27" t="s">
        <v>64</v>
      </c>
      <c r="H145" s="67">
        <v>29471.02</v>
      </c>
      <c r="I145" s="50">
        <v>45905</v>
      </c>
      <c r="J145" s="50">
        <v>45912</v>
      </c>
      <c r="K145" s="57">
        <v>5161</v>
      </c>
      <c r="L145" s="39" t="s">
        <v>1332</v>
      </c>
      <c r="M145" s="52">
        <v>242</v>
      </c>
      <c r="N145" s="75" t="s">
        <v>1276</v>
      </c>
      <c r="O145" s="27" t="s">
        <v>337</v>
      </c>
    </row>
    <row r="146" spans="1:15" ht="30" x14ac:dyDescent="0.25">
      <c r="A146" s="27">
        <v>4004885</v>
      </c>
      <c r="B146" s="27">
        <v>4131474</v>
      </c>
      <c r="C146" s="25" t="s">
        <v>1341</v>
      </c>
      <c r="D146" s="27" t="s">
        <v>1330</v>
      </c>
      <c r="E146" s="27" t="s">
        <v>37</v>
      </c>
      <c r="F146" s="27" t="s">
        <v>248</v>
      </c>
      <c r="G146" s="27" t="s">
        <v>64</v>
      </c>
      <c r="H146" s="67">
        <v>29471.02</v>
      </c>
      <c r="I146" s="50">
        <v>45938</v>
      </c>
      <c r="J146" s="50">
        <v>45940</v>
      </c>
      <c r="K146" s="57">
        <v>5294</v>
      </c>
      <c r="L146" s="39" t="s">
        <v>1342</v>
      </c>
      <c r="M146" s="52">
        <v>242</v>
      </c>
      <c r="N146" s="73" t="s">
        <v>1276</v>
      </c>
      <c r="O146" s="27" t="s">
        <v>1277</v>
      </c>
    </row>
    <row r="147" spans="1:15" ht="30" x14ac:dyDescent="0.25">
      <c r="A147" s="27">
        <v>3623588</v>
      </c>
      <c r="B147" s="27">
        <v>3769114</v>
      </c>
      <c r="C147" s="25"/>
      <c r="D147" s="27" t="s">
        <v>1343</v>
      </c>
      <c r="E147" s="27" t="s">
        <v>71</v>
      </c>
      <c r="F147" s="27" t="s">
        <v>248</v>
      </c>
      <c r="G147" s="27" t="s">
        <v>64</v>
      </c>
      <c r="H147" s="70">
        <v>24021.14</v>
      </c>
      <c r="I147" s="50">
        <v>45309</v>
      </c>
      <c r="J147" s="50">
        <v>45317</v>
      </c>
      <c r="K147" s="27">
        <v>2855</v>
      </c>
      <c r="L147" s="39">
        <v>2488</v>
      </c>
      <c r="M147" s="52">
        <v>37</v>
      </c>
      <c r="N147" s="68" t="s">
        <v>1276</v>
      </c>
      <c r="O147" s="27" t="s">
        <v>1277</v>
      </c>
    </row>
    <row r="148" spans="1:15" ht="30" x14ac:dyDescent="0.25">
      <c r="A148" s="27">
        <v>3623588</v>
      </c>
      <c r="B148" s="27">
        <v>3769114</v>
      </c>
      <c r="C148" s="25"/>
      <c r="D148" s="27" t="s">
        <v>1343</v>
      </c>
      <c r="E148" s="27" t="s">
        <v>37</v>
      </c>
      <c r="F148" s="27" t="s">
        <v>248</v>
      </c>
      <c r="G148" s="27" t="s">
        <v>64</v>
      </c>
      <c r="H148" s="70">
        <v>23951.16</v>
      </c>
      <c r="I148" s="50">
        <v>45331</v>
      </c>
      <c r="J148" s="50">
        <v>45335</v>
      </c>
      <c r="K148" s="27">
        <v>2913</v>
      </c>
      <c r="L148" s="39">
        <v>2488</v>
      </c>
      <c r="M148" s="52">
        <v>37</v>
      </c>
      <c r="N148" s="68" t="s">
        <v>1276</v>
      </c>
      <c r="O148" s="27" t="s">
        <v>1278</v>
      </c>
    </row>
    <row r="149" spans="1:15" ht="30" x14ac:dyDescent="0.25">
      <c r="A149" s="27">
        <v>3623588</v>
      </c>
      <c r="B149" s="27">
        <v>3769114</v>
      </c>
      <c r="C149" s="25"/>
      <c r="D149" s="27" t="s">
        <v>1343</v>
      </c>
      <c r="E149" s="27" t="s">
        <v>37</v>
      </c>
      <c r="F149" s="27" t="s">
        <v>248</v>
      </c>
      <c r="G149" s="27" t="s">
        <v>64</v>
      </c>
      <c r="H149" s="70">
        <v>12070.68</v>
      </c>
      <c r="I149" s="50">
        <v>45358</v>
      </c>
      <c r="J149" s="50"/>
      <c r="K149" s="27">
        <v>3003</v>
      </c>
      <c r="L149" s="39">
        <v>2488</v>
      </c>
      <c r="M149" s="52">
        <v>37</v>
      </c>
      <c r="N149" s="68" t="s">
        <v>1276</v>
      </c>
      <c r="O149" s="27" t="s">
        <v>1344</v>
      </c>
    </row>
    <row r="150" spans="1:15" ht="30" x14ac:dyDescent="0.25">
      <c r="A150" s="27">
        <v>3623588</v>
      </c>
      <c r="B150" s="27">
        <v>3769114</v>
      </c>
      <c r="C150" s="25"/>
      <c r="D150" s="27" t="s">
        <v>1343</v>
      </c>
      <c r="E150" s="27" t="s">
        <v>37</v>
      </c>
      <c r="F150" s="27" t="s">
        <v>248</v>
      </c>
      <c r="G150" s="27" t="s">
        <v>64</v>
      </c>
      <c r="H150" s="70">
        <v>24991.5</v>
      </c>
      <c r="I150" s="50">
        <v>45401</v>
      </c>
      <c r="J150" s="50">
        <v>45407</v>
      </c>
      <c r="K150" s="27">
        <v>3192</v>
      </c>
      <c r="L150" s="39">
        <v>2488</v>
      </c>
      <c r="M150" s="52">
        <v>37</v>
      </c>
      <c r="N150" s="68" t="s">
        <v>1276</v>
      </c>
      <c r="O150" s="27" t="s">
        <v>1277</v>
      </c>
    </row>
    <row r="151" spans="1:15" ht="30" x14ac:dyDescent="0.25">
      <c r="A151" s="27">
        <v>3623588</v>
      </c>
      <c r="B151" s="27">
        <v>3769114</v>
      </c>
      <c r="C151" s="25"/>
      <c r="D151" s="27" t="s">
        <v>1343</v>
      </c>
      <c r="E151" s="27" t="s">
        <v>37</v>
      </c>
      <c r="F151" s="27" t="s">
        <v>248</v>
      </c>
      <c r="G151" s="27" t="s">
        <v>64</v>
      </c>
      <c r="H151" s="70">
        <v>12495.75</v>
      </c>
      <c r="I151" s="50">
        <v>45420</v>
      </c>
      <c r="J151" s="50"/>
      <c r="K151" s="27">
        <v>3224</v>
      </c>
      <c r="L151" s="39">
        <v>2488</v>
      </c>
      <c r="M151" s="52">
        <v>37</v>
      </c>
      <c r="N151" s="68" t="s">
        <v>1276</v>
      </c>
      <c r="O151" s="27" t="s">
        <v>1278</v>
      </c>
    </row>
    <row r="152" spans="1:15" ht="30" x14ac:dyDescent="0.25">
      <c r="A152" s="27">
        <v>3623588</v>
      </c>
      <c r="B152" s="27">
        <v>3769114</v>
      </c>
      <c r="C152" s="25"/>
      <c r="D152" s="27" t="s">
        <v>1343</v>
      </c>
      <c r="E152" s="27" t="s">
        <v>71</v>
      </c>
      <c r="F152" s="27" t="s">
        <v>248</v>
      </c>
      <c r="G152" s="27" t="s">
        <v>64</v>
      </c>
      <c r="H152" s="70">
        <v>12495.75</v>
      </c>
      <c r="I152" s="50">
        <v>45450</v>
      </c>
      <c r="J152" s="50">
        <v>45453</v>
      </c>
      <c r="K152" s="27">
        <v>3385</v>
      </c>
      <c r="L152" s="39">
        <v>2488</v>
      </c>
      <c r="M152" s="52">
        <v>37</v>
      </c>
      <c r="N152" s="68" t="s">
        <v>1276</v>
      </c>
      <c r="O152" s="27" t="s">
        <v>1277</v>
      </c>
    </row>
    <row r="153" spans="1:15" ht="30" x14ac:dyDescent="0.25">
      <c r="A153" s="27">
        <v>3623588</v>
      </c>
      <c r="B153" s="27">
        <v>3769114</v>
      </c>
      <c r="C153" s="25"/>
      <c r="D153" s="27" t="s">
        <v>1343</v>
      </c>
      <c r="E153" s="27" t="s">
        <v>37</v>
      </c>
      <c r="F153" s="27" t="s">
        <v>248</v>
      </c>
      <c r="G153" s="27" t="s">
        <v>64</v>
      </c>
      <c r="H153" s="70">
        <v>13300.79</v>
      </c>
      <c r="I153" s="50">
        <v>45481</v>
      </c>
      <c r="J153" s="50">
        <v>45486</v>
      </c>
      <c r="K153" s="27">
        <v>3498</v>
      </c>
      <c r="L153" s="39">
        <v>2488</v>
      </c>
      <c r="M153" s="52">
        <v>37</v>
      </c>
      <c r="N153" s="68" t="s">
        <v>1276</v>
      </c>
      <c r="O153" s="27" t="s">
        <v>1277</v>
      </c>
    </row>
    <row r="154" spans="1:15" ht="30" x14ac:dyDescent="0.25">
      <c r="A154" s="27">
        <v>3623588</v>
      </c>
      <c r="B154" s="27">
        <v>3769114</v>
      </c>
      <c r="C154" s="25"/>
      <c r="D154" s="27" t="s">
        <v>1343</v>
      </c>
      <c r="E154" s="27" t="s">
        <v>37</v>
      </c>
      <c r="F154" s="27" t="s">
        <v>248</v>
      </c>
      <c r="G154" s="62" t="s">
        <v>64</v>
      </c>
      <c r="H154" s="67">
        <v>13751.42</v>
      </c>
      <c r="I154" s="50">
        <v>45513</v>
      </c>
      <c r="J154" s="50">
        <v>45516</v>
      </c>
      <c r="K154" s="27">
        <v>3652</v>
      </c>
      <c r="L154" s="39">
        <v>2488</v>
      </c>
      <c r="M154" s="52">
        <v>37</v>
      </c>
      <c r="N154" s="68" t="s">
        <v>1276</v>
      </c>
      <c r="O154" s="27" t="s">
        <v>1277</v>
      </c>
    </row>
    <row r="155" spans="1:15" ht="30" x14ac:dyDescent="0.25">
      <c r="A155" s="27">
        <v>3623588</v>
      </c>
      <c r="B155" s="27">
        <v>3769114</v>
      </c>
      <c r="C155" s="25"/>
      <c r="D155" s="27" t="s">
        <v>1343</v>
      </c>
      <c r="E155" s="27" t="s">
        <v>37</v>
      </c>
      <c r="F155" s="27" t="s">
        <v>248</v>
      </c>
      <c r="G155" s="27" t="s">
        <v>64</v>
      </c>
      <c r="H155" s="67">
        <v>13774.08</v>
      </c>
      <c r="I155" s="50">
        <v>45552</v>
      </c>
      <c r="J155" s="50">
        <v>45516</v>
      </c>
      <c r="K155" s="27">
        <v>3801</v>
      </c>
      <c r="L155" s="39">
        <v>2488</v>
      </c>
      <c r="M155" s="52">
        <v>37</v>
      </c>
      <c r="N155" s="68" t="s">
        <v>1276</v>
      </c>
      <c r="O155" s="27" t="s">
        <v>1277</v>
      </c>
    </row>
    <row r="156" spans="1:15" x14ac:dyDescent="0.25">
      <c r="A156" s="27">
        <v>4083066</v>
      </c>
      <c r="B156" s="27">
        <v>4206828</v>
      </c>
      <c r="C156" s="25" t="s">
        <v>1345</v>
      </c>
      <c r="D156" s="27" t="s">
        <v>1346</v>
      </c>
      <c r="E156" s="27" t="s">
        <v>71</v>
      </c>
      <c r="F156" s="27" t="s">
        <v>258</v>
      </c>
      <c r="G156" s="27" t="s">
        <v>64</v>
      </c>
      <c r="H156" s="67">
        <v>27196.67</v>
      </c>
      <c r="I156" s="50">
        <v>45800</v>
      </c>
      <c r="J156" s="50">
        <v>45800</v>
      </c>
      <c r="K156" s="1">
        <v>23214</v>
      </c>
      <c r="L156" s="39">
        <v>1210</v>
      </c>
      <c r="M156" s="52">
        <v>242</v>
      </c>
      <c r="N156" s="73" t="s">
        <v>1276</v>
      </c>
      <c r="O156" s="27" t="s">
        <v>337</v>
      </c>
    </row>
    <row r="157" spans="1:15" x14ac:dyDescent="0.25">
      <c r="A157" s="27">
        <v>4083066</v>
      </c>
      <c r="B157" s="27">
        <v>4206828</v>
      </c>
      <c r="C157" s="25" t="s">
        <v>1347</v>
      </c>
      <c r="D157" s="27" t="s">
        <v>1346</v>
      </c>
      <c r="E157" s="27" t="s">
        <v>37</v>
      </c>
      <c r="F157" s="27" t="s">
        <v>258</v>
      </c>
      <c r="G157" s="27" t="s">
        <v>64</v>
      </c>
      <c r="H157" s="67">
        <v>27196.67</v>
      </c>
      <c r="I157" s="50">
        <v>45814</v>
      </c>
      <c r="J157" s="50">
        <v>45817</v>
      </c>
      <c r="K157" s="57">
        <v>23325</v>
      </c>
      <c r="L157" s="39">
        <v>1210</v>
      </c>
      <c r="M157" s="52">
        <v>242</v>
      </c>
      <c r="N157" s="73" t="s">
        <v>1276</v>
      </c>
      <c r="O157" s="27" t="s">
        <v>1277</v>
      </c>
    </row>
    <row r="158" spans="1:15" x14ac:dyDescent="0.25">
      <c r="A158" s="27">
        <v>4083066</v>
      </c>
      <c r="B158" s="27">
        <v>4206828</v>
      </c>
      <c r="C158" s="25" t="s">
        <v>1348</v>
      </c>
      <c r="D158" s="27" t="s">
        <v>1346</v>
      </c>
      <c r="E158" s="27" t="s">
        <v>37</v>
      </c>
      <c r="F158" s="27" t="s">
        <v>258</v>
      </c>
      <c r="G158" s="27" t="s">
        <v>64</v>
      </c>
      <c r="H158" s="67">
        <v>27196.67</v>
      </c>
      <c r="I158" s="50">
        <v>45855</v>
      </c>
      <c r="J158" s="50">
        <v>45856</v>
      </c>
      <c r="K158" s="57">
        <v>23648</v>
      </c>
      <c r="L158" s="39">
        <v>1210</v>
      </c>
      <c r="M158" s="52">
        <v>242</v>
      </c>
      <c r="N158" s="68" t="s">
        <v>1276</v>
      </c>
      <c r="O158" s="27" t="s">
        <v>1277</v>
      </c>
    </row>
    <row r="159" spans="1:15" x14ac:dyDescent="0.25">
      <c r="A159" s="27">
        <v>4083066</v>
      </c>
      <c r="B159" s="27">
        <v>4206828</v>
      </c>
      <c r="C159" s="25" t="s">
        <v>1349</v>
      </c>
      <c r="D159" s="27" t="s">
        <v>1346</v>
      </c>
      <c r="E159" s="27" t="s">
        <v>37</v>
      </c>
      <c r="F159" s="27" t="s">
        <v>258</v>
      </c>
      <c r="G159" s="27" t="s">
        <v>64</v>
      </c>
      <c r="H159" s="67">
        <v>27196.67</v>
      </c>
      <c r="I159" s="50">
        <v>45882</v>
      </c>
      <c r="J159" s="50">
        <v>45884</v>
      </c>
      <c r="K159" s="57">
        <v>23802</v>
      </c>
      <c r="L159" s="39">
        <v>1210</v>
      </c>
      <c r="M159" s="52">
        <v>242</v>
      </c>
      <c r="N159" s="75" t="s">
        <v>1276</v>
      </c>
      <c r="O159" s="27" t="s">
        <v>1277</v>
      </c>
    </row>
    <row r="160" spans="1:15" x14ac:dyDescent="0.25">
      <c r="A160" s="27">
        <v>4083066</v>
      </c>
      <c r="B160" s="27">
        <v>4206828</v>
      </c>
      <c r="C160" s="25" t="s">
        <v>1350</v>
      </c>
      <c r="D160" s="27" t="s">
        <v>1346</v>
      </c>
      <c r="E160" s="27" t="s">
        <v>37</v>
      </c>
      <c r="F160" s="27" t="s">
        <v>258</v>
      </c>
      <c r="G160" s="27" t="s">
        <v>64</v>
      </c>
      <c r="H160" s="67">
        <v>27196.67</v>
      </c>
      <c r="I160" s="50">
        <v>45911</v>
      </c>
      <c r="J160" s="50">
        <v>45918</v>
      </c>
      <c r="K160" s="57">
        <v>24070</v>
      </c>
      <c r="L160" s="39">
        <v>1210</v>
      </c>
      <c r="M160" s="52">
        <v>242</v>
      </c>
      <c r="N160" s="73" t="s">
        <v>1276</v>
      </c>
      <c r="O160" s="27" t="s">
        <v>1351</v>
      </c>
    </row>
    <row r="161" spans="1:15" x14ac:dyDescent="0.25">
      <c r="A161" s="27">
        <v>4083066</v>
      </c>
      <c r="B161" s="27">
        <v>4206828</v>
      </c>
      <c r="C161" s="25" t="s">
        <v>1352</v>
      </c>
      <c r="D161" s="27" t="s">
        <v>1346</v>
      </c>
      <c r="E161" s="27" t="s">
        <v>37</v>
      </c>
      <c r="F161" s="27" t="s">
        <v>258</v>
      </c>
      <c r="G161" s="27" t="s">
        <v>64</v>
      </c>
      <c r="H161" s="67">
        <v>27196.67</v>
      </c>
      <c r="I161" s="50">
        <v>45932</v>
      </c>
      <c r="J161" s="50">
        <v>45933</v>
      </c>
      <c r="K161" s="57">
        <v>24177</v>
      </c>
      <c r="L161" s="39">
        <v>1210</v>
      </c>
      <c r="M161" s="52">
        <v>242</v>
      </c>
      <c r="N161" s="73" t="s">
        <v>1276</v>
      </c>
      <c r="O161" s="27" t="s">
        <v>1277</v>
      </c>
    </row>
    <row r="162" spans="1:15" x14ac:dyDescent="0.25">
      <c r="A162" s="28">
        <v>3623537</v>
      </c>
      <c r="B162" s="27">
        <v>3769130</v>
      </c>
      <c r="C162" s="27"/>
      <c r="D162" s="28"/>
      <c r="E162" s="27" t="s">
        <v>37</v>
      </c>
      <c r="F162" s="27" t="s">
        <v>650</v>
      </c>
      <c r="G162" s="27" t="s">
        <v>64</v>
      </c>
      <c r="H162" s="82">
        <v>8342.9</v>
      </c>
      <c r="I162" s="50">
        <v>45307</v>
      </c>
      <c r="J162" s="50">
        <v>45317</v>
      </c>
      <c r="K162" s="27">
        <v>113569</v>
      </c>
      <c r="L162" s="39"/>
      <c r="M162" s="52">
        <v>153</v>
      </c>
      <c r="N162" s="27" t="s">
        <v>1276</v>
      </c>
      <c r="O162" s="27" t="s">
        <v>1277</v>
      </c>
    </row>
    <row r="163" spans="1:15" x14ac:dyDescent="0.25">
      <c r="A163" s="28">
        <v>3623537</v>
      </c>
      <c r="B163" s="27">
        <v>3769130</v>
      </c>
      <c r="C163" s="27"/>
      <c r="D163" s="81"/>
      <c r="E163" s="27" t="s">
        <v>37</v>
      </c>
      <c r="F163" s="27" t="s">
        <v>650</v>
      </c>
      <c r="G163" s="27" t="s">
        <v>64</v>
      </c>
      <c r="H163" s="43">
        <v>73810.649999999994</v>
      </c>
      <c r="I163" s="50">
        <v>45331</v>
      </c>
      <c r="J163" s="50">
        <v>45346</v>
      </c>
      <c r="K163" s="1">
        <v>115268</v>
      </c>
      <c r="L163" s="39"/>
      <c r="M163" s="52">
        <v>153</v>
      </c>
      <c r="N163" s="27" t="s">
        <v>1276</v>
      </c>
      <c r="O163" s="27" t="s">
        <v>1278</v>
      </c>
    </row>
    <row r="164" spans="1:15" x14ac:dyDescent="0.25">
      <c r="A164" s="28">
        <v>3623537</v>
      </c>
      <c r="B164" s="27">
        <v>3769130</v>
      </c>
      <c r="C164" s="27"/>
      <c r="D164" s="28"/>
      <c r="E164" s="27" t="s">
        <v>37</v>
      </c>
      <c r="F164" s="27" t="s">
        <v>650</v>
      </c>
      <c r="G164" s="27" t="s">
        <v>64</v>
      </c>
      <c r="H164" s="82">
        <v>61521</v>
      </c>
      <c r="I164" s="50">
        <v>45331</v>
      </c>
      <c r="J164" s="50">
        <v>45346</v>
      </c>
      <c r="K164" s="27">
        <v>115263</v>
      </c>
      <c r="L164" s="39"/>
      <c r="M164" s="52">
        <v>153</v>
      </c>
      <c r="N164" s="27" t="s">
        <v>1276</v>
      </c>
      <c r="O164" s="27" t="s">
        <v>1278</v>
      </c>
    </row>
    <row r="165" spans="1:15" x14ac:dyDescent="0.25">
      <c r="A165" s="28">
        <v>3623537</v>
      </c>
      <c r="B165" s="27">
        <v>3769130</v>
      </c>
      <c r="C165" s="27"/>
      <c r="D165" s="28"/>
      <c r="E165" s="27" t="s">
        <v>37</v>
      </c>
      <c r="F165" s="27" t="s">
        <v>650</v>
      </c>
      <c r="G165" s="27" t="s">
        <v>64</v>
      </c>
      <c r="H165" s="82">
        <v>79044.87</v>
      </c>
      <c r="I165" s="50">
        <v>45307</v>
      </c>
      <c r="J165" s="50">
        <v>45393</v>
      </c>
      <c r="K165" s="27">
        <v>113568</v>
      </c>
      <c r="L165" s="39"/>
      <c r="M165" s="52">
        <v>153</v>
      </c>
      <c r="N165" s="27" t="s">
        <v>1276</v>
      </c>
      <c r="O165" s="27" t="s">
        <v>1278</v>
      </c>
    </row>
    <row r="166" spans="1:15" x14ac:dyDescent="0.25">
      <c r="A166" s="28">
        <v>3623537</v>
      </c>
      <c r="B166" s="27">
        <v>3769130</v>
      </c>
      <c r="C166" s="27"/>
      <c r="D166" s="28"/>
      <c r="E166" s="27" t="s">
        <v>37</v>
      </c>
      <c r="F166" s="27" t="s">
        <v>650</v>
      </c>
      <c r="G166" s="27" t="s">
        <v>64</v>
      </c>
      <c r="H166" s="82">
        <v>73848.17</v>
      </c>
      <c r="I166" s="50">
        <v>45363</v>
      </c>
      <c r="J166" s="50">
        <v>45378</v>
      </c>
      <c r="K166" s="27">
        <v>117864</v>
      </c>
      <c r="L166" s="39"/>
      <c r="M166" s="52">
        <v>153</v>
      </c>
      <c r="N166" s="27" t="s">
        <v>1276</v>
      </c>
      <c r="O166" s="27" t="s">
        <v>1278</v>
      </c>
    </row>
    <row r="167" spans="1:15" x14ac:dyDescent="0.25">
      <c r="A167" s="28">
        <v>3623537</v>
      </c>
      <c r="B167" s="27">
        <v>3769130</v>
      </c>
      <c r="C167" s="27"/>
      <c r="D167" s="28"/>
      <c r="E167" s="27" t="s">
        <v>37</v>
      </c>
      <c r="F167" s="27" t="s">
        <v>650</v>
      </c>
      <c r="G167" s="27" t="s">
        <v>64</v>
      </c>
      <c r="H167" s="82">
        <v>64310.080000000002</v>
      </c>
      <c r="I167" s="50">
        <v>45377</v>
      </c>
      <c r="J167" s="50">
        <v>45378</v>
      </c>
      <c r="K167" s="27">
        <v>118987</v>
      </c>
      <c r="L167" s="39"/>
      <c r="M167" s="52">
        <v>153</v>
      </c>
      <c r="N167" s="27" t="s">
        <v>1276</v>
      </c>
      <c r="O167" s="27" t="s">
        <v>1278</v>
      </c>
    </row>
    <row r="168" spans="1:15" x14ac:dyDescent="0.25">
      <c r="A168" s="28">
        <v>3623537</v>
      </c>
      <c r="B168" s="27">
        <v>3769130</v>
      </c>
      <c r="C168" s="27"/>
      <c r="D168" s="28"/>
      <c r="E168" s="27" t="s">
        <v>37</v>
      </c>
      <c r="F168" s="27" t="s">
        <v>650</v>
      </c>
      <c r="G168" s="27" t="s">
        <v>64</v>
      </c>
      <c r="H168" s="82">
        <v>61178.14</v>
      </c>
      <c r="I168" s="50">
        <v>45384</v>
      </c>
      <c r="J168" s="50">
        <v>45387</v>
      </c>
      <c r="K168" s="27">
        <v>119537</v>
      </c>
      <c r="L168" s="39"/>
      <c r="M168" s="52">
        <v>153</v>
      </c>
      <c r="N168" s="27" t="s">
        <v>1276</v>
      </c>
      <c r="O168" s="27" t="s">
        <v>1278</v>
      </c>
    </row>
    <row r="169" spans="1:15" x14ac:dyDescent="0.25">
      <c r="A169" s="28">
        <v>3623537</v>
      </c>
      <c r="B169" s="27">
        <v>3769130</v>
      </c>
      <c r="C169" s="27"/>
      <c r="D169" s="28"/>
      <c r="E169" s="27" t="s">
        <v>37</v>
      </c>
      <c r="F169" s="27" t="s">
        <v>650</v>
      </c>
      <c r="G169" s="27" t="s">
        <v>64</v>
      </c>
      <c r="H169" s="82">
        <v>79082.39</v>
      </c>
      <c r="I169" s="50">
        <v>45384</v>
      </c>
      <c r="J169" s="50">
        <v>45387</v>
      </c>
      <c r="K169" s="27">
        <v>119538</v>
      </c>
      <c r="L169" s="39"/>
      <c r="M169" s="52">
        <v>153</v>
      </c>
      <c r="N169" s="27" t="s">
        <v>1276</v>
      </c>
      <c r="O169" s="27" t="s">
        <v>1278</v>
      </c>
    </row>
    <row r="170" spans="1:15" x14ac:dyDescent="0.25">
      <c r="A170" s="28">
        <v>3623537</v>
      </c>
      <c r="B170" s="27">
        <v>3849787</v>
      </c>
      <c r="C170" s="27"/>
      <c r="D170" s="28"/>
      <c r="E170" s="27" t="s">
        <v>37</v>
      </c>
      <c r="F170" s="27" t="s">
        <v>650</v>
      </c>
      <c r="G170" s="27" t="s">
        <v>64</v>
      </c>
      <c r="H170" s="82">
        <v>61941</v>
      </c>
      <c r="I170" s="50">
        <v>45393</v>
      </c>
      <c r="J170" s="50">
        <v>45403</v>
      </c>
      <c r="K170" s="27">
        <v>110395</v>
      </c>
      <c r="L170" s="39"/>
      <c r="M170" s="52">
        <v>153</v>
      </c>
      <c r="N170" s="27" t="s">
        <v>1276</v>
      </c>
      <c r="O170" s="27" t="s">
        <v>1278</v>
      </c>
    </row>
    <row r="171" spans="1:15" x14ac:dyDescent="0.25">
      <c r="A171" s="28">
        <v>3623537</v>
      </c>
      <c r="B171" s="27">
        <v>3848291</v>
      </c>
      <c r="C171" s="27"/>
      <c r="D171" s="28"/>
      <c r="E171" s="27" t="s">
        <v>37</v>
      </c>
      <c r="F171" s="27" t="s">
        <v>650</v>
      </c>
      <c r="G171" s="27" t="s">
        <v>64</v>
      </c>
      <c r="H171" s="82">
        <v>3532.81</v>
      </c>
      <c r="I171" s="50">
        <v>45393</v>
      </c>
      <c r="J171" s="50">
        <v>45394</v>
      </c>
      <c r="K171" s="27">
        <v>111566</v>
      </c>
      <c r="L171" s="39"/>
      <c r="M171" s="52">
        <v>153</v>
      </c>
      <c r="N171" s="27" t="s">
        <v>1276</v>
      </c>
      <c r="O171" s="27" t="s">
        <v>1278</v>
      </c>
    </row>
    <row r="172" spans="1:15" x14ac:dyDescent="0.25">
      <c r="A172" s="28">
        <v>3623537</v>
      </c>
      <c r="B172" s="27">
        <v>3849788</v>
      </c>
      <c r="C172" s="27"/>
      <c r="D172" s="28"/>
      <c r="E172" s="27" t="s">
        <v>37</v>
      </c>
      <c r="F172" s="27" t="s">
        <v>650</v>
      </c>
      <c r="G172" s="27" t="s">
        <v>64</v>
      </c>
      <c r="H172" s="82">
        <v>80698.03</v>
      </c>
      <c r="I172" s="50">
        <v>45393</v>
      </c>
      <c r="J172" s="50">
        <v>45394</v>
      </c>
      <c r="K172" s="27">
        <v>110397</v>
      </c>
      <c r="L172" s="39"/>
      <c r="M172" s="52">
        <v>153</v>
      </c>
      <c r="N172" s="27" t="s">
        <v>1276</v>
      </c>
      <c r="O172" s="27" t="s">
        <v>1278</v>
      </c>
    </row>
    <row r="173" spans="1:15" x14ac:dyDescent="0.25">
      <c r="A173" s="28">
        <v>3623537</v>
      </c>
      <c r="B173" s="27"/>
      <c r="C173" s="27"/>
      <c r="D173" s="28"/>
      <c r="E173" s="27" t="s">
        <v>37</v>
      </c>
      <c r="F173" s="27" t="s">
        <v>650</v>
      </c>
      <c r="G173" s="27" t="s">
        <v>64</v>
      </c>
      <c r="H173" s="82">
        <v>6440.14</v>
      </c>
      <c r="I173" s="50">
        <v>45351</v>
      </c>
      <c r="J173" s="50">
        <v>45400</v>
      </c>
      <c r="K173" s="27">
        <v>116960</v>
      </c>
      <c r="L173" s="39"/>
      <c r="M173" s="52">
        <v>153</v>
      </c>
      <c r="N173" s="27" t="s">
        <v>1276</v>
      </c>
      <c r="O173" s="27" t="s">
        <v>1278</v>
      </c>
    </row>
    <row r="174" spans="1:15" x14ac:dyDescent="0.25">
      <c r="A174" s="28">
        <v>3623537</v>
      </c>
      <c r="B174" s="27"/>
      <c r="C174" s="27"/>
      <c r="D174" s="28"/>
      <c r="E174" s="27" t="s">
        <v>37</v>
      </c>
      <c r="F174" s="27" t="s">
        <v>650</v>
      </c>
      <c r="G174" s="27" t="s">
        <v>64</v>
      </c>
      <c r="H174" s="82">
        <v>61521</v>
      </c>
      <c r="I174" s="50">
        <v>45307</v>
      </c>
      <c r="J174" s="50">
        <v>45400</v>
      </c>
      <c r="K174" s="27">
        <v>113567</v>
      </c>
      <c r="L174" s="39"/>
      <c r="M174" s="52">
        <v>153</v>
      </c>
      <c r="N174" s="27" t="s">
        <v>1276</v>
      </c>
      <c r="O174" s="27" t="s">
        <v>1278</v>
      </c>
    </row>
    <row r="175" spans="1:15" x14ac:dyDescent="0.25">
      <c r="A175" s="28">
        <v>3623537</v>
      </c>
      <c r="B175" s="27">
        <v>3769130</v>
      </c>
      <c r="C175" s="27"/>
      <c r="D175" s="28"/>
      <c r="E175" s="27" t="s">
        <v>37</v>
      </c>
      <c r="F175" s="27" t="s">
        <v>650</v>
      </c>
      <c r="G175" s="27" t="s">
        <v>64</v>
      </c>
      <c r="H175" s="82">
        <v>61178.14</v>
      </c>
      <c r="I175" s="50">
        <v>45418</v>
      </c>
      <c r="J175" s="50">
        <v>45426</v>
      </c>
      <c r="K175" s="27">
        <v>121903</v>
      </c>
      <c r="L175" s="39"/>
      <c r="M175" s="52">
        <v>153</v>
      </c>
      <c r="N175" s="27" t="s">
        <v>1276</v>
      </c>
      <c r="O175" s="27" t="s">
        <v>1278</v>
      </c>
    </row>
    <row r="176" spans="1:15" x14ac:dyDescent="0.25">
      <c r="A176" s="28">
        <v>3623537</v>
      </c>
      <c r="B176" s="27">
        <v>3769130</v>
      </c>
      <c r="C176" s="27"/>
      <c r="D176" s="28"/>
      <c r="E176" s="27" t="s">
        <v>37</v>
      </c>
      <c r="F176" s="27" t="s">
        <v>650</v>
      </c>
      <c r="G176" s="27" t="s">
        <v>64</v>
      </c>
      <c r="H176" s="82">
        <v>79082.39</v>
      </c>
      <c r="I176" s="50">
        <v>45418</v>
      </c>
      <c r="J176" s="50">
        <v>45426</v>
      </c>
      <c r="K176" s="27">
        <v>121904</v>
      </c>
      <c r="L176" s="39"/>
      <c r="M176" s="52">
        <v>153</v>
      </c>
      <c r="N176" s="27" t="s">
        <v>1276</v>
      </c>
      <c r="O176" s="27" t="s">
        <v>1278</v>
      </c>
    </row>
    <row r="177" spans="1:15" x14ac:dyDescent="0.25">
      <c r="A177" s="28">
        <v>3740150</v>
      </c>
      <c r="B177" s="27">
        <v>3878006</v>
      </c>
      <c r="C177" s="27"/>
      <c r="D177" s="28"/>
      <c r="E177" s="27" t="s">
        <v>37</v>
      </c>
      <c r="F177" s="27" t="s">
        <v>650</v>
      </c>
      <c r="G177" s="27" t="s">
        <v>64</v>
      </c>
      <c r="H177" s="82">
        <v>4748.54</v>
      </c>
      <c r="I177" s="50">
        <v>45426</v>
      </c>
      <c r="J177" s="50">
        <v>45429</v>
      </c>
      <c r="K177" s="27">
        <v>4541</v>
      </c>
      <c r="L177" s="39">
        <v>2348</v>
      </c>
      <c r="M177" s="52">
        <v>242</v>
      </c>
      <c r="N177" s="27" t="s">
        <v>1276</v>
      </c>
      <c r="O177" s="27" t="s">
        <v>1278</v>
      </c>
    </row>
    <row r="178" spans="1:15" ht="60" x14ac:dyDescent="0.25">
      <c r="A178" s="28">
        <v>3623537</v>
      </c>
      <c r="B178" s="27">
        <v>3769130</v>
      </c>
      <c r="C178" s="27"/>
      <c r="D178" s="28"/>
      <c r="E178" s="27" t="s">
        <v>37</v>
      </c>
      <c r="F178" s="27" t="s">
        <v>650</v>
      </c>
      <c r="G178" s="27" t="s">
        <v>64</v>
      </c>
      <c r="H178" s="82">
        <v>61242.94</v>
      </c>
      <c r="I178" s="50">
        <v>45448</v>
      </c>
      <c r="J178" s="50"/>
      <c r="K178" s="27">
        <v>124306</v>
      </c>
      <c r="L178" s="39" t="s">
        <v>1275</v>
      </c>
      <c r="M178" s="52">
        <v>153</v>
      </c>
      <c r="N178" s="92" t="s">
        <v>1353</v>
      </c>
      <c r="O178" s="27" t="s">
        <v>1278</v>
      </c>
    </row>
    <row r="179" spans="1:15" ht="60" x14ac:dyDescent="0.25">
      <c r="A179" s="28">
        <v>3623537</v>
      </c>
      <c r="B179" s="27">
        <v>3769130</v>
      </c>
      <c r="C179" s="27"/>
      <c r="D179" s="28"/>
      <c r="E179" s="27" t="s">
        <v>37</v>
      </c>
      <c r="F179" s="27" t="s">
        <v>650</v>
      </c>
      <c r="G179" s="27" t="s">
        <v>64</v>
      </c>
      <c r="H179" s="82">
        <v>79114.789999999994</v>
      </c>
      <c r="I179" s="50">
        <v>45448</v>
      </c>
      <c r="J179" s="50"/>
      <c r="K179" s="27">
        <v>124307</v>
      </c>
      <c r="L179" s="39" t="s">
        <v>1275</v>
      </c>
      <c r="M179" s="52">
        <v>153</v>
      </c>
      <c r="N179" s="92" t="s">
        <v>1353</v>
      </c>
      <c r="O179" s="27" t="s">
        <v>1278</v>
      </c>
    </row>
    <row r="180" spans="1:15" x14ac:dyDescent="0.25">
      <c r="A180" s="28">
        <v>3623537</v>
      </c>
      <c r="B180" s="27">
        <v>3769130</v>
      </c>
      <c r="C180" s="27"/>
      <c r="D180" s="28"/>
      <c r="E180" s="27" t="s">
        <v>37</v>
      </c>
      <c r="F180" s="27" t="s">
        <v>650</v>
      </c>
      <c r="G180" s="27" t="s">
        <v>64</v>
      </c>
      <c r="H180" s="82">
        <v>61178.14</v>
      </c>
      <c r="I180" s="50">
        <v>45450</v>
      </c>
      <c r="J180" s="51">
        <v>45456</v>
      </c>
      <c r="K180" s="83">
        <v>124404</v>
      </c>
      <c r="L180" s="39" t="s">
        <v>1275</v>
      </c>
      <c r="M180" s="52">
        <v>153</v>
      </c>
      <c r="N180" s="27" t="s">
        <v>1276</v>
      </c>
      <c r="O180" s="27" t="s">
        <v>1278</v>
      </c>
    </row>
    <row r="181" spans="1:15" x14ac:dyDescent="0.25">
      <c r="A181" s="28">
        <v>3623537</v>
      </c>
      <c r="B181" s="27">
        <v>3769130</v>
      </c>
      <c r="C181" s="27"/>
      <c r="D181" s="28"/>
      <c r="E181" s="27" t="s">
        <v>37</v>
      </c>
      <c r="F181" s="27" t="s">
        <v>650</v>
      </c>
      <c r="G181" s="27" t="s">
        <v>64</v>
      </c>
      <c r="H181" s="82">
        <v>76362.13</v>
      </c>
      <c r="I181" s="50">
        <v>45450</v>
      </c>
      <c r="J181" s="51">
        <v>45456</v>
      </c>
      <c r="K181" s="83">
        <v>124405</v>
      </c>
      <c r="L181" s="39" t="s">
        <v>1275</v>
      </c>
      <c r="M181" s="52">
        <v>153</v>
      </c>
      <c r="N181" s="27" t="s">
        <v>1276</v>
      </c>
      <c r="O181" s="27" t="s">
        <v>1278</v>
      </c>
    </row>
    <row r="182" spans="1:15" x14ac:dyDescent="0.25">
      <c r="A182" s="27">
        <v>3623537</v>
      </c>
      <c r="B182" s="27">
        <v>3769130</v>
      </c>
      <c r="C182" s="53"/>
      <c r="D182" s="53"/>
      <c r="E182" s="27" t="s">
        <v>37</v>
      </c>
      <c r="F182" s="27" t="s">
        <v>650</v>
      </c>
      <c r="G182" s="27" t="s">
        <v>64</v>
      </c>
      <c r="H182" s="84">
        <v>61178.14</v>
      </c>
      <c r="I182" s="50">
        <v>45492</v>
      </c>
      <c r="J182" s="51">
        <v>45496</v>
      </c>
      <c r="K182" s="83">
        <v>127180</v>
      </c>
      <c r="L182" s="39" t="s">
        <v>1275</v>
      </c>
      <c r="M182" s="52">
        <v>153</v>
      </c>
      <c r="N182" s="27" t="s">
        <v>1276</v>
      </c>
      <c r="O182" s="27" t="s">
        <v>1278</v>
      </c>
    </row>
    <row r="183" spans="1:15" x14ac:dyDescent="0.25">
      <c r="A183" s="27">
        <v>3623537</v>
      </c>
      <c r="B183" s="27">
        <v>3769130</v>
      </c>
      <c r="C183" s="53"/>
      <c r="D183" s="53"/>
      <c r="E183" s="27" t="s">
        <v>37</v>
      </c>
      <c r="F183" s="27" t="s">
        <v>650</v>
      </c>
      <c r="G183" s="27" t="s">
        <v>64</v>
      </c>
      <c r="H183" s="84">
        <v>78643.03</v>
      </c>
      <c r="I183" s="50">
        <v>45492</v>
      </c>
      <c r="J183" s="51">
        <v>45496</v>
      </c>
      <c r="K183" s="83">
        <v>127181</v>
      </c>
      <c r="L183" s="39" t="s">
        <v>1275</v>
      </c>
      <c r="M183" s="52">
        <v>153</v>
      </c>
      <c r="N183" s="27" t="s">
        <v>1276</v>
      </c>
      <c r="O183" s="27" t="s">
        <v>1278</v>
      </c>
    </row>
    <row r="184" spans="1:15" ht="135" x14ac:dyDescent="0.25">
      <c r="A184" s="27">
        <v>3821521</v>
      </c>
      <c r="B184" s="27">
        <v>3954226</v>
      </c>
      <c r="C184" s="53" t="s">
        <v>1354</v>
      </c>
      <c r="D184" s="53"/>
      <c r="E184" s="27" t="s">
        <v>37</v>
      </c>
      <c r="F184" s="27" t="s">
        <v>650</v>
      </c>
      <c r="G184" s="27" t="s">
        <v>64</v>
      </c>
      <c r="H184" s="84">
        <v>105.64</v>
      </c>
      <c r="I184" s="50">
        <v>45495</v>
      </c>
      <c r="J184" s="50">
        <v>45503</v>
      </c>
      <c r="K184" s="27">
        <v>4743</v>
      </c>
      <c r="L184" s="39">
        <v>2089</v>
      </c>
      <c r="M184" s="52">
        <v>242</v>
      </c>
      <c r="N184" s="27" t="s">
        <v>1276</v>
      </c>
      <c r="O184" s="27" t="s">
        <v>1277</v>
      </c>
    </row>
    <row r="185" spans="1:15" ht="90" x14ac:dyDescent="0.25">
      <c r="A185" s="27">
        <v>3831951</v>
      </c>
      <c r="B185" s="27">
        <v>3963985</v>
      </c>
      <c r="C185" s="53" t="s">
        <v>1355</v>
      </c>
      <c r="D185" s="53"/>
      <c r="E185" s="27" t="s">
        <v>37</v>
      </c>
      <c r="F185" s="27" t="s">
        <v>650</v>
      </c>
      <c r="G185" s="27" t="s">
        <v>64</v>
      </c>
      <c r="H185" s="56">
        <v>616</v>
      </c>
      <c r="I185" s="50">
        <v>45509</v>
      </c>
      <c r="J185" s="50">
        <v>45512</v>
      </c>
      <c r="K185" s="27">
        <v>4823</v>
      </c>
      <c r="L185" s="39">
        <v>2089</v>
      </c>
      <c r="M185" s="52">
        <v>242</v>
      </c>
      <c r="N185" s="27" t="s">
        <v>1276</v>
      </c>
      <c r="O185" s="27" t="s">
        <v>1277</v>
      </c>
    </row>
    <row r="186" spans="1:15" x14ac:dyDescent="0.25">
      <c r="A186" s="27">
        <v>3623537</v>
      </c>
      <c r="B186" s="27">
        <v>3769130</v>
      </c>
      <c r="C186" s="53"/>
      <c r="D186" s="53"/>
      <c r="E186" s="27" t="s">
        <v>37</v>
      </c>
      <c r="F186" s="27" t="s">
        <v>650</v>
      </c>
      <c r="G186" s="27" t="s">
        <v>64</v>
      </c>
      <c r="H186" s="84">
        <v>439.36</v>
      </c>
      <c r="I186" s="50">
        <v>45518</v>
      </c>
      <c r="J186" s="50">
        <v>45524</v>
      </c>
      <c r="K186" s="27">
        <v>129354</v>
      </c>
      <c r="L186" s="39" t="s">
        <v>1275</v>
      </c>
      <c r="M186" s="52">
        <v>153</v>
      </c>
      <c r="N186" s="27" t="s">
        <v>1276</v>
      </c>
      <c r="O186" s="27" t="s">
        <v>1278</v>
      </c>
    </row>
    <row r="187" spans="1:15" x14ac:dyDescent="0.25">
      <c r="A187" s="27">
        <v>3623537</v>
      </c>
      <c r="B187" s="27">
        <v>3769130</v>
      </c>
      <c r="C187" s="53"/>
      <c r="D187" s="53"/>
      <c r="E187" s="27" t="s">
        <v>37</v>
      </c>
      <c r="F187" s="27" t="s">
        <v>650</v>
      </c>
      <c r="G187" s="27" t="s">
        <v>64</v>
      </c>
      <c r="H187" s="84">
        <v>78643.03</v>
      </c>
      <c r="I187" s="50">
        <v>45511</v>
      </c>
      <c r="J187" s="50">
        <v>45524</v>
      </c>
      <c r="K187" s="27">
        <v>128574</v>
      </c>
      <c r="L187" s="39" t="s">
        <v>1275</v>
      </c>
      <c r="M187" s="52">
        <v>153</v>
      </c>
      <c r="N187" s="27" t="s">
        <v>1276</v>
      </c>
      <c r="O187" s="27" t="s">
        <v>1278</v>
      </c>
    </row>
    <row r="188" spans="1:15" x14ac:dyDescent="0.25">
      <c r="A188" s="27">
        <v>3623537</v>
      </c>
      <c r="B188" s="27">
        <v>3769130</v>
      </c>
      <c r="C188" s="53"/>
      <c r="D188" s="53"/>
      <c r="E188" s="27" t="s">
        <v>37</v>
      </c>
      <c r="F188" s="27" t="s">
        <v>650</v>
      </c>
      <c r="G188" s="27" t="s">
        <v>64</v>
      </c>
      <c r="H188" s="84">
        <v>61617.5</v>
      </c>
      <c r="I188" s="50">
        <v>45517</v>
      </c>
      <c r="J188" s="50">
        <v>45524</v>
      </c>
      <c r="K188" s="27">
        <v>129130</v>
      </c>
      <c r="L188" s="39" t="s">
        <v>1275</v>
      </c>
      <c r="M188" s="52">
        <v>153</v>
      </c>
      <c r="N188" s="27" t="s">
        <v>1276</v>
      </c>
      <c r="O188" s="27" t="s">
        <v>1278</v>
      </c>
    </row>
    <row r="189" spans="1:15" x14ac:dyDescent="0.25">
      <c r="A189" s="27">
        <v>3623537</v>
      </c>
      <c r="B189" s="27">
        <v>3769130</v>
      </c>
      <c r="C189" s="53"/>
      <c r="D189" s="53"/>
      <c r="E189" s="27" t="s">
        <v>37</v>
      </c>
      <c r="F189" s="27" t="s">
        <v>650</v>
      </c>
      <c r="G189" s="27" t="s">
        <v>64</v>
      </c>
      <c r="H189" s="84">
        <v>61617.5</v>
      </c>
      <c r="I189" s="50">
        <v>45541</v>
      </c>
      <c r="J189" s="50">
        <v>45546</v>
      </c>
      <c r="K189" s="27">
        <v>130929</v>
      </c>
      <c r="L189" s="39" t="s">
        <v>1275</v>
      </c>
      <c r="M189" s="52">
        <v>153</v>
      </c>
      <c r="N189" s="52" t="s">
        <v>1276</v>
      </c>
      <c r="O189" s="27" t="s">
        <v>1278</v>
      </c>
    </row>
    <row r="190" spans="1:15" x14ac:dyDescent="0.25">
      <c r="A190" s="30">
        <v>3623537</v>
      </c>
      <c r="B190" s="30">
        <v>3769130</v>
      </c>
      <c r="C190" s="85"/>
      <c r="D190" s="85"/>
      <c r="E190" s="27" t="s">
        <v>37</v>
      </c>
      <c r="F190" s="27" t="s">
        <v>650</v>
      </c>
      <c r="G190" s="27" t="s">
        <v>64</v>
      </c>
      <c r="H190" s="86">
        <v>78643.03</v>
      </c>
      <c r="I190" s="93">
        <v>45541</v>
      </c>
      <c r="J190" s="93">
        <v>45546</v>
      </c>
      <c r="K190" s="30">
        <v>130927</v>
      </c>
      <c r="L190" s="88" t="s">
        <v>1275</v>
      </c>
      <c r="M190" s="52">
        <v>153</v>
      </c>
      <c r="N190" s="94" t="s">
        <v>1276</v>
      </c>
      <c r="O190" s="30" t="s">
        <v>1278</v>
      </c>
    </row>
    <row r="191" spans="1:15" x14ac:dyDescent="0.25">
      <c r="A191" s="27">
        <v>3623537</v>
      </c>
      <c r="B191" s="27">
        <v>3769130</v>
      </c>
      <c r="C191" s="53"/>
      <c r="D191" s="53"/>
      <c r="E191" s="27" t="s">
        <v>37</v>
      </c>
      <c r="F191" s="27" t="s">
        <v>650</v>
      </c>
      <c r="G191" s="27" t="s">
        <v>64</v>
      </c>
      <c r="H191" s="84">
        <v>61617.5</v>
      </c>
      <c r="I191" s="50">
        <v>45573</v>
      </c>
      <c r="J191" s="50">
        <v>45582</v>
      </c>
      <c r="K191" s="27">
        <v>133513</v>
      </c>
      <c r="L191" s="39" t="s">
        <v>1275</v>
      </c>
      <c r="M191" s="52">
        <v>153</v>
      </c>
      <c r="N191" s="27" t="s">
        <v>1276</v>
      </c>
      <c r="O191" s="27" t="s">
        <v>1278</v>
      </c>
    </row>
    <row r="192" spans="1:15" x14ac:dyDescent="0.25">
      <c r="A192" s="30">
        <v>3623537</v>
      </c>
      <c r="B192" s="30">
        <v>3769130</v>
      </c>
      <c r="C192" s="85"/>
      <c r="D192" s="85"/>
      <c r="E192" s="27" t="s">
        <v>37</v>
      </c>
      <c r="F192" s="27" t="s">
        <v>650</v>
      </c>
      <c r="G192" s="27" t="s">
        <v>64</v>
      </c>
      <c r="H192" s="86">
        <v>78643.03</v>
      </c>
      <c r="I192" s="50">
        <v>45573</v>
      </c>
      <c r="J192" s="50">
        <v>45582</v>
      </c>
      <c r="K192" s="27">
        <v>133514</v>
      </c>
      <c r="L192" s="39" t="s">
        <v>1275</v>
      </c>
      <c r="M192" s="52">
        <v>153</v>
      </c>
      <c r="N192" s="27" t="s">
        <v>1276</v>
      </c>
      <c r="O192" s="27" t="s">
        <v>1278</v>
      </c>
    </row>
    <row r="193" spans="1:15" x14ac:dyDescent="0.25">
      <c r="A193" s="27">
        <v>3623537</v>
      </c>
      <c r="B193" s="27">
        <v>3769130</v>
      </c>
      <c r="C193" s="53" t="s">
        <v>1356</v>
      </c>
      <c r="D193" s="53"/>
      <c r="E193" s="27" t="s">
        <v>37</v>
      </c>
      <c r="F193" s="27" t="s">
        <v>650</v>
      </c>
      <c r="G193" s="27" t="s">
        <v>64</v>
      </c>
      <c r="H193" s="84">
        <v>9318.27</v>
      </c>
      <c r="I193" s="50">
        <v>45615</v>
      </c>
      <c r="J193" s="50">
        <v>45623</v>
      </c>
      <c r="K193" s="27">
        <v>136706</v>
      </c>
      <c r="L193" s="39" t="s">
        <v>1275</v>
      </c>
      <c r="M193" s="52">
        <v>153</v>
      </c>
      <c r="N193" s="52" t="s">
        <v>1276</v>
      </c>
      <c r="O193" s="52" t="s">
        <v>1278</v>
      </c>
    </row>
    <row r="194" spans="1:15" x14ac:dyDescent="0.25">
      <c r="A194" s="27">
        <v>3623537</v>
      </c>
      <c r="B194" s="27">
        <v>3769130</v>
      </c>
      <c r="C194" s="53" t="s">
        <v>1356</v>
      </c>
      <c r="D194" s="53"/>
      <c r="E194" s="27" t="s">
        <v>37</v>
      </c>
      <c r="F194" s="27" t="s">
        <v>650</v>
      </c>
      <c r="G194" s="27" t="s">
        <v>64</v>
      </c>
      <c r="H194" s="90">
        <v>15921.9</v>
      </c>
      <c r="I194" s="50">
        <v>45615</v>
      </c>
      <c r="J194" s="50">
        <v>45623</v>
      </c>
      <c r="K194" s="27">
        <v>136707</v>
      </c>
      <c r="L194" s="39" t="s">
        <v>1275</v>
      </c>
      <c r="M194" s="52">
        <v>153</v>
      </c>
      <c r="N194" s="52" t="s">
        <v>1276</v>
      </c>
      <c r="O194" s="52" t="s">
        <v>1278</v>
      </c>
    </row>
    <row r="195" spans="1:15" x14ac:dyDescent="0.25">
      <c r="A195" s="27">
        <v>3623537</v>
      </c>
      <c r="B195" s="27">
        <v>3769130</v>
      </c>
      <c r="C195" s="53" t="s">
        <v>1356</v>
      </c>
      <c r="D195" s="53"/>
      <c r="E195" s="27" t="s">
        <v>37</v>
      </c>
      <c r="F195" s="27" t="s">
        <v>650</v>
      </c>
      <c r="G195" s="27" t="s">
        <v>64</v>
      </c>
      <c r="H195" s="90">
        <v>113553.33</v>
      </c>
      <c r="I195" s="50">
        <v>45622</v>
      </c>
      <c r="J195" s="50">
        <v>45623</v>
      </c>
      <c r="K195" s="27">
        <v>137510</v>
      </c>
      <c r="L195" s="39" t="s">
        <v>1275</v>
      </c>
      <c r="M195" s="52">
        <v>153</v>
      </c>
      <c r="N195" s="52" t="s">
        <v>1276</v>
      </c>
      <c r="O195" s="52" t="s">
        <v>1278</v>
      </c>
    </row>
    <row r="196" spans="1:15" x14ac:dyDescent="0.25">
      <c r="A196" s="27">
        <v>3623537</v>
      </c>
      <c r="B196" s="27">
        <v>3769130</v>
      </c>
      <c r="C196" s="53" t="s">
        <v>1356</v>
      </c>
      <c r="D196" s="53"/>
      <c r="E196" s="27" t="s">
        <v>37</v>
      </c>
      <c r="F196" s="27" t="s">
        <v>650</v>
      </c>
      <c r="G196" s="27" t="s">
        <v>64</v>
      </c>
      <c r="H196" s="90">
        <v>16679.78</v>
      </c>
      <c r="I196" s="50">
        <v>45656</v>
      </c>
      <c r="J196" s="50">
        <v>45671</v>
      </c>
      <c r="K196" s="27">
        <v>140338</v>
      </c>
      <c r="L196" s="39" t="s">
        <v>1275</v>
      </c>
      <c r="M196" s="52">
        <v>153</v>
      </c>
      <c r="N196" s="52" t="s">
        <v>1276</v>
      </c>
      <c r="O196" s="52" t="s">
        <v>1278</v>
      </c>
    </row>
    <row r="197" spans="1:15" x14ac:dyDescent="0.25">
      <c r="A197" s="27">
        <v>3623537</v>
      </c>
      <c r="B197" s="27">
        <v>3769130</v>
      </c>
      <c r="C197" s="53" t="s">
        <v>1356</v>
      </c>
      <c r="D197" s="53"/>
      <c r="E197" s="27" t="s">
        <v>37</v>
      </c>
      <c r="F197" s="27" t="s">
        <v>650</v>
      </c>
      <c r="G197" s="27" t="s">
        <v>64</v>
      </c>
      <c r="H197" s="90">
        <v>9761.81</v>
      </c>
      <c r="I197" s="50">
        <v>45656</v>
      </c>
      <c r="J197" s="50">
        <v>45671</v>
      </c>
      <c r="K197" s="27">
        <v>140341</v>
      </c>
      <c r="L197" s="39" t="s">
        <v>1275</v>
      </c>
      <c r="M197" s="52">
        <v>153</v>
      </c>
      <c r="N197" s="54" t="s">
        <v>1276</v>
      </c>
      <c r="O197" s="27" t="s">
        <v>1277</v>
      </c>
    </row>
    <row r="198" spans="1:15" x14ac:dyDescent="0.25">
      <c r="A198" s="27">
        <v>3623537</v>
      </c>
      <c r="B198" s="27">
        <v>3769130</v>
      </c>
      <c r="C198" s="53" t="s">
        <v>1356</v>
      </c>
      <c r="D198" s="53"/>
      <c r="E198" s="27" t="s">
        <v>37</v>
      </c>
      <c r="F198" s="27" t="s">
        <v>650</v>
      </c>
      <c r="G198" s="27" t="s">
        <v>64</v>
      </c>
      <c r="H198" s="90">
        <v>120495.29</v>
      </c>
      <c r="I198" s="50">
        <v>45656</v>
      </c>
      <c r="J198" s="50">
        <v>45671</v>
      </c>
      <c r="K198" s="27">
        <v>140343</v>
      </c>
      <c r="L198" s="39" t="s">
        <v>1275</v>
      </c>
      <c r="M198" s="52">
        <v>153</v>
      </c>
      <c r="N198" s="54" t="s">
        <v>1276</v>
      </c>
      <c r="O198" s="27" t="s">
        <v>1277</v>
      </c>
    </row>
    <row r="199" spans="1:15" x14ac:dyDescent="0.25">
      <c r="A199" s="27">
        <v>3623537</v>
      </c>
      <c r="B199" s="27">
        <v>3769130</v>
      </c>
      <c r="C199" s="53" t="s">
        <v>1356</v>
      </c>
      <c r="D199" s="53"/>
      <c r="E199" s="27" t="s">
        <v>37</v>
      </c>
      <c r="F199" s="27" t="s">
        <v>650</v>
      </c>
      <c r="G199" s="27" t="s">
        <v>64</v>
      </c>
      <c r="H199" s="90">
        <v>9761.81</v>
      </c>
      <c r="I199" s="50">
        <v>45663</v>
      </c>
      <c r="J199" s="50" t="s">
        <v>35</v>
      </c>
      <c r="K199" s="27">
        <v>140671</v>
      </c>
      <c r="L199" s="39" t="s">
        <v>1275</v>
      </c>
      <c r="M199" s="52">
        <v>153</v>
      </c>
      <c r="N199" s="92" t="s">
        <v>1357</v>
      </c>
      <c r="O199" s="27" t="s">
        <v>1278</v>
      </c>
    </row>
    <row r="200" spans="1:15" x14ac:dyDescent="0.25">
      <c r="A200" s="27">
        <v>3623537</v>
      </c>
      <c r="B200" s="27">
        <v>3769130</v>
      </c>
      <c r="C200" s="53" t="s">
        <v>1356</v>
      </c>
      <c r="D200" s="53"/>
      <c r="E200" s="27" t="s">
        <v>37</v>
      </c>
      <c r="F200" s="27" t="s">
        <v>650</v>
      </c>
      <c r="G200" s="27" t="s">
        <v>64</v>
      </c>
      <c r="H200" s="90">
        <v>16679.78</v>
      </c>
      <c r="I200" s="50">
        <v>45663</v>
      </c>
      <c r="J200" s="50">
        <v>45672</v>
      </c>
      <c r="K200" s="27">
        <v>140672</v>
      </c>
      <c r="L200" s="39" t="s">
        <v>1275</v>
      </c>
      <c r="M200" s="52">
        <v>153</v>
      </c>
      <c r="N200" s="54" t="s">
        <v>1276</v>
      </c>
      <c r="O200" s="27" t="s">
        <v>1277</v>
      </c>
    </row>
    <row r="201" spans="1:15" x14ac:dyDescent="0.25">
      <c r="A201" s="27">
        <v>3623537</v>
      </c>
      <c r="B201" s="27">
        <v>3769130</v>
      </c>
      <c r="C201" s="53" t="s">
        <v>1356</v>
      </c>
      <c r="D201" s="53"/>
      <c r="E201" s="27" t="s">
        <v>37</v>
      </c>
      <c r="F201" s="27" t="s">
        <v>650</v>
      </c>
      <c r="G201" s="27" t="s">
        <v>64</v>
      </c>
      <c r="H201" s="90">
        <v>120495.29</v>
      </c>
      <c r="I201" s="50">
        <v>45671</v>
      </c>
      <c r="J201" s="50">
        <v>45672</v>
      </c>
      <c r="K201" s="27">
        <v>141453</v>
      </c>
      <c r="L201" s="39" t="s">
        <v>1275</v>
      </c>
      <c r="M201" s="52">
        <v>153</v>
      </c>
      <c r="N201" s="52" t="s">
        <v>1276</v>
      </c>
      <c r="O201" s="52" t="s">
        <v>1278</v>
      </c>
    </row>
    <row r="202" spans="1:15" x14ac:dyDescent="0.25">
      <c r="A202" s="27">
        <v>3623537</v>
      </c>
      <c r="B202" s="27">
        <v>3769130</v>
      </c>
      <c r="C202" s="53" t="s">
        <v>1356</v>
      </c>
      <c r="D202" s="53"/>
      <c r="E202" s="27" t="s">
        <v>37</v>
      </c>
      <c r="F202" s="27" t="s">
        <v>650</v>
      </c>
      <c r="G202" s="27" t="s">
        <v>64</v>
      </c>
      <c r="H202" s="90">
        <v>9761.82</v>
      </c>
      <c r="I202" s="50">
        <v>45673</v>
      </c>
      <c r="J202" s="50">
        <v>45673</v>
      </c>
      <c r="K202" s="27">
        <v>141733</v>
      </c>
      <c r="L202" s="39" t="s">
        <v>1275</v>
      </c>
      <c r="M202" s="52">
        <v>153</v>
      </c>
      <c r="N202" s="52" t="s">
        <v>1276</v>
      </c>
      <c r="O202" s="52" t="s">
        <v>1278</v>
      </c>
    </row>
    <row r="203" spans="1:15" x14ac:dyDescent="0.25">
      <c r="A203" s="27">
        <v>3623537</v>
      </c>
      <c r="B203" s="27">
        <v>3769130</v>
      </c>
      <c r="C203" s="53" t="s">
        <v>1356</v>
      </c>
      <c r="D203" s="53"/>
      <c r="E203" s="27" t="s">
        <v>37</v>
      </c>
      <c r="F203" s="27" t="s">
        <v>650</v>
      </c>
      <c r="G203" s="27" t="s">
        <v>64</v>
      </c>
      <c r="H203" s="90">
        <v>114706.31</v>
      </c>
      <c r="I203" s="50">
        <v>45621</v>
      </c>
      <c r="J203" s="27"/>
      <c r="K203" s="27">
        <v>137299</v>
      </c>
      <c r="L203" s="39" t="s">
        <v>1275</v>
      </c>
      <c r="M203" s="52">
        <v>153</v>
      </c>
      <c r="N203" s="92" t="s">
        <v>1357</v>
      </c>
      <c r="O203" s="27" t="s">
        <v>1278</v>
      </c>
    </row>
    <row r="204" spans="1:15" x14ac:dyDescent="0.25">
      <c r="A204" s="27">
        <v>3623537</v>
      </c>
      <c r="B204" s="27">
        <v>3769130</v>
      </c>
      <c r="C204" s="53" t="s">
        <v>1356</v>
      </c>
      <c r="D204" s="53"/>
      <c r="E204" s="27" t="s">
        <v>37</v>
      </c>
      <c r="F204" s="27" t="s">
        <v>650</v>
      </c>
      <c r="G204" s="27" t="s">
        <v>64</v>
      </c>
      <c r="H204" s="90">
        <v>16679.78</v>
      </c>
      <c r="I204" s="50">
        <v>45694</v>
      </c>
      <c r="J204" s="50">
        <v>45698</v>
      </c>
      <c r="K204" s="27">
        <v>143200</v>
      </c>
      <c r="L204" s="39" t="s">
        <v>1358</v>
      </c>
      <c r="M204" s="52">
        <v>153</v>
      </c>
      <c r="N204" s="55" t="s">
        <v>1276</v>
      </c>
      <c r="O204" s="55" t="s">
        <v>1278</v>
      </c>
    </row>
    <row r="205" spans="1:15" x14ac:dyDescent="0.25">
      <c r="A205" s="27">
        <v>3623537</v>
      </c>
      <c r="B205" s="27">
        <v>3769130</v>
      </c>
      <c r="C205" s="53" t="s">
        <v>1356</v>
      </c>
      <c r="D205" s="53"/>
      <c r="E205" s="27" t="s">
        <v>37</v>
      </c>
      <c r="F205" s="27" t="s">
        <v>650</v>
      </c>
      <c r="G205" s="27" t="s">
        <v>64</v>
      </c>
      <c r="H205" s="90">
        <v>9761.82</v>
      </c>
      <c r="I205" s="50">
        <v>45694</v>
      </c>
      <c r="J205" s="50">
        <v>45698</v>
      </c>
      <c r="K205" s="27">
        <v>143201</v>
      </c>
      <c r="L205" s="39" t="s">
        <v>1358</v>
      </c>
      <c r="M205" s="52">
        <v>153</v>
      </c>
      <c r="N205" s="55" t="s">
        <v>1276</v>
      </c>
      <c r="O205" s="55" t="s">
        <v>1278</v>
      </c>
    </row>
    <row r="206" spans="1:15" x14ac:dyDescent="0.25">
      <c r="A206" s="27">
        <v>3623537</v>
      </c>
      <c r="B206" s="27">
        <v>3769130</v>
      </c>
      <c r="C206" s="53" t="s">
        <v>1356</v>
      </c>
      <c r="D206" s="53"/>
      <c r="E206" s="27" t="s">
        <v>37</v>
      </c>
      <c r="F206" s="27" t="s">
        <v>650</v>
      </c>
      <c r="G206" s="27" t="s">
        <v>64</v>
      </c>
      <c r="H206" s="90">
        <v>120495.29</v>
      </c>
      <c r="I206" s="50">
        <v>45699</v>
      </c>
      <c r="J206" s="50">
        <v>45700</v>
      </c>
      <c r="K206" s="27">
        <v>143566</v>
      </c>
      <c r="L206" s="39" t="s">
        <v>1275</v>
      </c>
      <c r="M206" s="52">
        <v>153</v>
      </c>
      <c r="N206" s="55" t="s">
        <v>1276</v>
      </c>
      <c r="O206" s="55" t="s">
        <v>1278</v>
      </c>
    </row>
    <row r="207" spans="1:15" x14ac:dyDescent="0.25">
      <c r="A207" s="27">
        <v>3623537</v>
      </c>
      <c r="B207" s="27">
        <v>3769130</v>
      </c>
      <c r="C207" s="53" t="s">
        <v>1356</v>
      </c>
      <c r="D207" s="53"/>
      <c r="E207" s="27" t="s">
        <v>37</v>
      </c>
      <c r="F207" s="27" t="s">
        <v>650</v>
      </c>
      <c r="G207" s="27" t="s">
        <v>64</v>
      </c>
      <c r="H207" s="90">
        <v>9761.82</v>
      </c>
      <c r="I207" s="50">
        <v>45722</v>
      </c>
      <c r="J207" s="50">
        <v>45723</v>
      </c>
      <c r="K207" s="27">
        <v>145447</v>
      </c>
      <c r="L207" s="39" t="s">
        <v>1275</v>
      </c>
      <c r="M207" s="52">
        <v>153</v>
      </c>
      <c r="N207" s="55" t="s">
        <v>1276</v>
      </c>
      <c r="O207" s="55" t="s">
        <v>1278</v>
      </c>
    </row>
    <row r="208" spans="1:15" x14ac:dyDescent="0.25">
      <c r="A208" s="27">
        <v>3623537</v>
      </c>
      <c r="B208" s="27">
        <v>3769130</v>
      </c>
      <c r="C208" s="53" t="s">
        <v>1356</v>
      </c>
      <c r="D208" s="53"/>
      <c r="E208" s="27" t="s">
        <v>37</v>
      </c>
      <c r="F208" s="27" t="s">
        <v>650</v>
      </c>
      <c r="G208" s="27" t="s">
        <v>64</v>
      </c>
      <c r="H208" s="90">
        <v>16679.78</v>
      </c>
      <c r="I208" s="50">
        <v>45722</v>
      </c>
      <c r="J208" s="50">
        <v>45723</v>
      </c>
      <c r="K208" s="27">
        <v>145446</v>
      </c>
      <c r="L208" s="39" t="s">
        <v>1275</v>
      </c>
      <c r="M208" s="52">
        <v>153</v>
      </c>
      <c r="N208" s="55" t="s">
        <v>1276</v>
      </c>
      <c r="O208" s="55" t="s">
        <v>1278</v>
      </c>
    </row>
    <row r="209" spans="1:15" x14ac:dyDescent="0.25">
      <c r="A209" s="27">
        <v>3623537</v>
      </c>
      <c r="B209" s="27">
        <v>3769130</v>
      </c>
      <c r="C209" s="53" t="s">
        <v>1356</v>
      </c>
      <c r="D209" s="53"/>
      <c r="E209" s="27" t="s">
        <v>37</v>
      </c>
      <c r="F209" s="27" t="s">
        <v>650</v>
      </c>
      <c r="G209" s="27" t="s">
        <v>64</v>
      </c>
      <c r="H209" s="90">
        <v>120495.29</v>
      </c>
      <c r="I209" s="50">
        <v>45729</v>
      </c>
      <c r="J209" s="50">
        <v>45730</v>
      </c>
      <c r="K209" s="27">
        <v>145997</v>
      </c>
      <c r="L209" s="39" t="s">
        <v>1275</v>
      </c>
      <c r="M209" s="52">
        <v>153</v>
      </c>
      <c r="N209" s="55" t="s">
        <v>1276</v>
      </c>
      <c r="O209" s="55" t="s">
        <v>1278</v>
      </c>
    </row>
    <row r="210" spans="1:15" x14ac:dyDescent="0.25">
      <c r="A210" s="27">
        <v>3623537</v>
      </c>
      <c r="B210" s="27">
        <v>3769130</v>
      </c>
      <c r="C210" s="53" t="s">
        <v>1356</v>
      </c>
      <c r="D210" s="53"/>
      <c r="E210" s="27" t="s">
        <v>37</v>
      </c>
      <c r="F210" s="27" t="s">
        <v>650</v>
      </c>
      <c r="G210" s="27" t="s">
        <v>64</v>
      </c>
      <c r="H210" s="90">
        <v>64550.48</v>
      </c>
      <c r="I210" s="50">
        <v>45763</v>
      </c>
      <c r="J210" s="50">
        <v>45775</v>
      </c>
      <c r="K210" s="57">
        <v>149309</v>
      </c>
      <c r="L210" s="39" t="s">
        <v>1275</v>
      </c>
      <c r="M210" s="52">
        <v>153</v>
      </c>
      <c r="N210" s="55" t="s">
        <v>1276</v>
      </c>
      <c r="O210" s="55" t="s">
        <v>1278</v>
      </c>
    </row>
    <row r="211" spans="1:15" x14ac:dyDescent="0.25">
      <c r="A211" s="27">
        <v>3623537</v>
      </c>
      <c r="B211" s="27">
        <v>3769130</v>
      </c>
      <c r="C211" s="53" t="s">
        <v>1356</v>
      </c>
      <c r="D211" s="53"/>
      <c r="E211" s="27" t="s">
        <v>37</v>
      </c>
      <c r="F211" s="27" t="s">
        <v>650</v>
      </c>
      <c r="G211" s="27" t="s">
        <v>64</v>
      </c>
      <c r="H211" s="90">
        <v>82386.41</v>
      </c>
      <c r="I211" s="50">
        <v>45763</v>
      </c>
      <c r="J211" s="50">
        <v>45775</v>
      </c>
      <c r="K211" s="57">
        <v>149310</v>
      </c>
      <c r="L211" s="39" t="s">
        <v>1275</v>
      </c>
      <c r="M211" s="52">
        <v>153</v>
      </c>
      <c r="N211" s="55" t="s">
        <v>1276</v>
      </c>
      <c r="O211" s="55" t="s">
        <v>1278</v>
      </c>
    </row>
    <row r="212" spans="1:15" ht="45" x14ac:dyDescent="0.25">
      <c r="A212" s="27">
        <v>3623537</v>
      </c>
      <c r="B212" s="27">
        <v>3769130</v>
      </c>
      <c r="C212" s="68" t="s">
        <v>1356</v>
      </c>
      <c r="D212" s="53"/>
      <c r="E212" s="27" t="s">
        <v>37</v>
      </c>
      <c r="F212" s="27" t="s">
        <v>650</v>
      </c>
      <c r="G212" s="27" t="s">
        <v>64</v>
      </c>
      <c r="H212" s="91" t="s">
        <v>1359</v>
      </c>
      <c r="I212" s="50">
        <v>45805</v>
      </c>
      <c r="J212" s="50">
        <v>45805</v>
      </c>
      <c r="K212" s="57">
        <v>152658</v>
      </c>
      <c r="L212" s="39" t="s">
        <v>1275</v>
      </c>
      <c r="M212" s="52">
        <v>153</v>
      </c>
      <c r="N212" s="92" t="s">
        <v>1360</v>
      </c>
      <c r="O212" s="55" t="s">
        <v>1278</v>
      </c>
    </row>
    <row r="213" spans="1:15" ht="45" x14ac:dyDescent="0.25">
      <c r="A213" s="27">
        <v>3623537</v>
      </c>
      <c r="B213" s="27">
        <v>3769130</v>
      </c>
      <c r="C213" s="68" t="s">
        <v>1356</v>
      </c>
      <c r="D213" s="53"/>
      <c r="E213" s="27" t="s">
        <v>37</v>
      </c>
      <c r="F213" s="27" t="s">
        <v>650</v>
      </c>
      <c r="G213" s="27" t="s">
        <v>64</v>
      </c>
      <c r="H213" s="91" t="s">
        <v>1359</v>
      </c>
      <c r="I213" s="50">
        <v>45805</v>
      </c>
      <c r="J213" s="50">
        <v>45805</v>
      </c>
      <c r="K213" s="57">
        <v>152659</v>
      </c>
      <c r="L213" s="39" t="s">
        <v>1275</v>
      </c>
      <c r="M213" s="52">
        <v>153</v>
      </c>
      <c r="N213" s="92" t="s">
        <v>1360</v>
      </c>
      <c r="O213" s="55" t="s">
        <v>1278</v>
      </c>
    </row>
    <row r="214" spans="1:15" x14ac:dyDescent="0.25">
      <c r="A214" s="27">
        <v>3623537</v>
      </c>
      <c r="B214" s="27">
        <v>3769130</v>
      </c>
      <c r="C214" s="68" t="s">
        <v>1356</v>
      </c>
      <c r="D214" s="53"/>
      <c r="E214" s="27" t="s">
        <v>37</v>
      </c>
      <c r="F214" s="27" t="s">
        <v>650</v>
      </c>
      <c r="G214" s="27" t="s">
        <v>64</v>
      </c>
      <c r="H214" s="91">
        <v>64550.48</v>
      </c>
      <c r="I214" s="50">
        <v>45805</v>
      </c>
      <c r="J214" s="50">
        <v>45806</v>
      </c>
      <c r="K214" s="57">
        <v>152687</v>
      </c>
      <c r="L214" s="39" t="s">
        <v>1275</v>
      </c>
      <c r="M214" s="52">
        <v>153</v>
      </c>
      <c r="N214" s="55" t="s">
        <v>1276</v>
      </c>
      <c r="O214" s="27" t="s">
        <v>1277</v>
      </c>
    </row>
    <row r="215" spans="1:15" x14ac:dyDescent="0.25">
      <c r="A215" s="27">
        <v>3623537</v>
      </c>
      <c r="B215" s="27">
        <v>3769130</v>
      </c>
      <c r="C215" s="68" t="s">
        <v>1356</v>
      </c>
      <c r="D215" s="53"/>
      <c r="E215" s="27" t="s">
        <v>37</v>
      </c>
      <c r="F215" s="27" t="s">
        <v>650</v>
      </c>
      <c r="G215" s="27" t="s">
        <v>64</v>
      </c>
      <c r="H215" s="91">
        <v>79762.39</v>
      </c>
      <c r="I215" s="50">
        <v>45805</v>
      </c>
      <c r="J215" s="50">
        <v>45806</v>
      </c>
      <c r="K215" s="57">
        <v>152689</v>
      </c>
      <c r="L215" s="39" t="s">
        <v>1275</v>
      </c>
      <c r="M215" s="52">
        <v>153</v>
      </c>
      <c r="N215" s="55" t="s">
        <v>1276</v>
      </c>
      <c r="O215" s="27" t="s">
        <v>1277</v>
      </c>
    </row>
    <row r="216" spans="1:15" ht="45" x14ac:dyDescent="0.25">
      <c r="A216" s="27">
        <v>3623537</v>
      </c>
      <c r="B216" s="27">
        <v>3769130</v>
      </c>
      <c r="C216" s="68" t="s">
        <v>1356</v>
      </c>
      <c r="D216" s="53"/>
      <c r="E216" s="27" t="s">
        <v>37</v>
      </c>
      <c r="F216" s="27" t="s">
        <v>650</v>
      </c>
      <c r="G216" s="27" t="s">
        <v>64</v>
      </c>
      <c r="H216" s="91" t="s">
        <v>1359</v>
      </c>
      <c r="I216" s="50">
        <v>45821</v>
      </c>
      <c r="J216" s="27"/>
      <c r="K216" s="57">
        <v>154152</v>
      </c>
      <c r="L216" s="39" t="s">
        <v>1275</v>
      </c>
      <c r="M216" s="52">
        <v>153</v>
      </c>
      <c r="N216" s="92" t="s">
        <v>1360</v>
      </c>
      <c r="O216" s="27" t="s">
        <v>1277</v>
      </c>
    </row>
    <row r="217" spans="1:15" ht="45" x14ac:dyDescent="0.25">
      <c r="A217" s="27">
        <v>3623537</v>
      </c>
      <c r="B217" s="27">
        <v>3769130</v>
      </c>
      <c r="C217" s="68" t="s">
        <v>1356</v>
      </c>
      <c r="D217" s="53"/>
      <c r="E217" s="27" t="s">
        <v>37</v>
      </c>
      <c r="F217" s="27" t="s">
        <v>650</v>
      </c>
      <c r="G217" s="27" t="s">
        <v>64</v>
      </c>
      <c r="H217" s="91" t="s">
        <v>1359</v>
      </c>
      <c r="I217" s="50">
        <v>45821</v>
      </c>
      <c r="J217" s="27"/>
      <c r="K217" s="57">
        <v>154153</v>
      </c>
      <c r="L217" s="39" t="s">
        <v>1275</v>
      </c>
      <c r="M217" s="52">
        <v>153</v>
      </c>
      <c r="N217" s="92" t="s">
        <v>1360</v>
      </c>
      <c r="O217" s="27" t="s">
        <v>1277</v>
      </c>
    </row>
    <row r="218" spans="1:15" x14ac:dyDescent="0.25">
      <c r="A218" s="27">
        <v>3623537</v>
      </c>
      <c r="B218" s="27">
        <v>3769130</v>
      </c>
      <c r="C218" s="68" t="s">
        <v>1356</v>
      </c>
      <c r="D218" s="53"/>
      <c r="E218" s="27" t="s">
        <v>37</v>
      </c>
      <c r="F218" s="27" t="s">
        <v>650</v>
      </c>
      <c r="G218" s="27" t="s">
        <v>64</v>
      </c>
      <c r="H218" s="91">
        <v>85203.19</v>
      </c>
      <c r="I218" s="50">
        <v>45833</v>
      </c>
      <c r="J218" s="50">
        <v>45834</v>
      </c>
      <c r="K218" s="57">
        <v>155024</v>
      </c>
      <c r="L218" s="39" t="s">
        <v>1275</v>
      </c>
      <c r="M218" s="52">
        <v>153</v>
      </c>
      <c r="N218" s="55" t="s">
        <v>1276</v>
      </c>
      <c r="O218" s="55" t="s">
        <v>1278</v>
      </c>
    </row>
    <row r="219" spans="1:15" x14ac:dyDescent="0.25">
      <c r="A219" s="27">
        <v>3623537</v>
      </c>
      <c r="B219" s="27">
        <v>3769130</v>
      </c>
      <c r="C219" s="68" t="s">
        <v>1356</v>
      </c>
      <c r="D219" s="53"/>
      <c r="E219" s="27" t="s">
        <v>37</v>
      </c>
      <c r="F219" s="27" t="s">
        <v>650</v>
      </c>
      <c r="G219" s="27" t="s">
        <v>64</v>
      </c>
      <c r="H219" s="91">
        <v>64413.42</v>
      </c>
      <c r="I219" s="50">
        <v>45833</v>
      </c>
      <c r="J219" s="50">
        <v>45834</v>
      </c>
      <c r="K219" s="57">
        <v>155037</v>
      </c>
      <c r="L219" s="39" t="s">
        <v>1275</v>
      </c>
      <c r="M219" s="52">
        <v>153</v>
      </c>
      <c r="N219" s="55" t="s">
        <v>1276</v>
      </c>
      <c r="O219" s="55" t="s">
        <v>1278</v>
      </c>
    </row>
    <row r="220" spans="1:15" x14ac:dyDescent="0.25">
      <c r="A220" s="27">
        <v>3623537</v>
      </c>
      <c r="B220" s="27">
        <v>3769130</v>
      </c>
      <c r="C220" s="66" t="s">
        <v>1356</v>
      </c>
      <c r="D220" s="53"/>
      <c r="E220" s="27" t="s">
        <v>37</v>
      </c>
      <c r="F220" s="27" t="s">
        <v>650</v>
      </c>
      <c r="G220" s="27" t="s">
        <v>64</v>
      </c>
      <c r="H220" s="91">
        <v>66580.179999999993</v>
      </c>
      <c r="I220" s="50">
        <v>45852</v>
      </c>
      <c r="J220" s="27"/>
      <c r="K220" s="57">
        <v>156511</v>
      </c>
      <c r="L220" s="39" t="s">
        <v>1275</v>
      </c>
      <c r="M220" s="52">
        <v>153</v>
      </c>
      <c r="N220" s="92" t="s">
        <v>1361</v>
      </c>
      <c r="O220" s="27" t="s">
        <v>1278</v>
      </c>
    </row>
    <row r="221" spans="1:15" x14ac:dyDescent="0.25">
      <c r="A221" s="27">
        <v>3623537</v>
      </c>
      <c r="B221" s="27">
        <v>3769130</v>
      </c>
      <c r="C221" s="66" t="s">
        <v>1356</v>
      </c>
      <c r="D221" s="53"/>
      <c r="E221" s="27" t="s">
        <v>37</v>
      </c>
      <c r="F221" s="27" t="s">
        <v>650</v>
      </c>
      <c r="G221" s="27" t="s">
        <v>64</v>
      </c>
      <c r="H221" s="91">
        <v>85663.46</v>
      </c>
      <c r="I221" s="50">
        <v>45852</v>
      </c>
      <c r="J221" s="27"/>
      <c r="K221" s="57">
        <v>156513</v>
      </c>
      <c r="L221" s="39" t="s">
        <v>1275</v>
      </c>
      <c r="M221" s="52">
        <v>153</v>
      </c>
      <c r="N221" s="92" t="s">
        <v>1361</v>
      </c>
      <c r="O221" s="27" t="s">
        <v>1278</v>
      </c>
    </row>
    <row r="222" spans="1:15" x14ac:dyDescent="0.25">
      <c r="A222" s="27">
        <v>3623537</v>
      </c>
      <c r="B222" s="27">
        <v>3769130</v>
      </c>
      <c r="C222" s="66" t="s">
        <v>1356</v>
      </c>
      <c r="D222" s="53"/>
      <c r="E222" s="27" t="s">
        <v>37</v>
      </c>
      <c r="F222" s="27" t="s">
        <v>650</v>
      </c>
      <c r="G222" s="27" t="s">
        <v>64</v>
      </c>
      <c r="H222" s="87">
        <v>325.68</v>
      </c>
      <c r="I222" s="50">
        <v>45853</v>
      </c>
      <c r="J222" s="50">
        <v>45856</v>
      </c>
      <c r="K222" s="57">
        <v>156527</v>
      </c>
      <c r="L222" s="39" t="s">
        <v>1362</v>
      </c>
      <c r="M222" s="52">
        <v>153</v>
      </c>
      <c r="N222" s="55" t="s">
        <v>1276</v>
      </c>
      <c r="O222" s="55" t="s">
        <v>1278</v>
      </c>
    </row>
    <row r="223" spans="1:15" x14ac:dyDescent="0.25">
      <c r="A223" s="27">
        <v>3623537</v>
      </c>
      <c r="B223" s="27">
        <v>3769130</v>
      </c>
      <c r="C223" s="66" t="s">
        <v>1356</v>
      </c>
      <c r="D223" s="53"/>
      <c r="E223" s="27" t="s">
        <v>37</v>
      </c>
      <c r="F223" s="27" t="s">
        <v>650</v>
      </c>
      <c r="G223" s="27" t="s">
        <v>64</v>
      </c>
      <c r="H223" s="87">
        <v>64739.1</v>
      </c>
      <c r="I223" s="50">
        <v>45855</v>
      </c>
      <c r="J223" s="50">
        <v>45856</v>
      </c>
      <c r="K223" s="57">
        <v>157037</v>
      </c>
      <c r="L223" s="39" t="s">
        <v>1275</v>
      </c>
      <c r="M223" s="52">
        <v>153</v>
      </c>
      <c r="N223" s="55" t="s">
        <v>1276</v>
      </c>
      <c r="O223" s="55" t="s">
        <v>1278</v>
      </c>
    </row>
    <row r="224" spans="1:15" x14ac:dyDescent="0.25">
      <c r="A224" s="27">
        <v>3623537</v>
      </c>
      <c r="B224" s="27">
        <v>3769130</v>
      </c>
      <c r="C224" s="66" t="s">
        <v>1356</v>
      </c>
      <c r="D224" s="53"/>
      <c r="E224" s="27" t="s">
        <v>37</v>
      </c>
      <c r="F224" s="27" t="s">
        <v>650</v>
      </c>
      <c r="G224" s="27" t="s">
        <v>64</v>
      </c>
      <c r="H224" s="87">
        <v>85203.19</v>
      </c>
      <c r="I224" s="50">
        <v>45856</v>
      </c>
      <c r="J224" s="50">
        <v>45856</v>
      </c>
      <c r="K224" s="57">
        <v>157158</v>
      </c>
      <c r="L224" s="39" t="s">
        <v>1275</v>
      </c>
      <c r="M224" s="52">
        <v>153</v>
      </c>
      <c r="N224" s="55" t="s">
        <v>1276</v>
      </c>
      <c r="O224" s="55" t="s">
        <v>1278</v>
      </c>
    </row>
    <row r="225" spans="1:15" x14ac:dyDescent="0.25">
      <c r="A225" s="27">
        <v>3623537</v>
      </c>
      <c r="B225" s="27">
        <v>3769130</v>
      </c>
      <c r="C225" s="66" t="s">
        <v>1356</v>
      </c>
      <c r="D225" s="53"/>
      <c r="E225" s="27" t="s">
        <v>37</v>
      </c>
      <c r="F225" s="27" t="s">
        <v>650</v>
      </c>
      <c r="G225" s="27" t="s">
        <v>64</v>
      </c>
      <c r="H225" s="87">
        <v>64739.1</v>
      </c>
      <c r="I225" s="50">
        <v>45881</v>
      </c>
      <c r="J225" s="50">
        <v>45882</v>
      </c>
      <c r="K225" s="57">
        <v>158983</v>
      </c>
      <c r="L225" s="39" t="s">
        <v>1275</v>
      </c>
      <c r="M225" s="52">
        <v>153</v>
      </c>
      <c r="N225" s="55" t="s">
        <v>1276</v>
      </c>
      <c r="O225" s="55" t="s">
        <v>1278</v>
      </c>
    </row>
    <row r="226" spans="1:15" x14ac:dyDescent="0.25">
      <c r="A226" s="27">
        <v>3623537</v>
      </c>
      <c r="B226" s="27">
        <v>3769130</v>
      </c>
      <c r="C226" s="66" t="s">
        <v>1356</v>
      </c>
      <c r="D226" s="53"/>
      <c r="E226" s="27" t="s">
        <v>37</v>
      </c>
      <c r="F226" s="27" t="s">
        <v>650</v>
      </c>
      <c r="G226" s="27" t="s">
        <v>64</v>
      </c>
      <c r="H226" s="87">
        <v>85203.19</v>
      </c>
      <c r="I226" s="50">
        <v>45881</v>
      </c>
      <c r="J226" s="50">
        <v>45882</v>
      </c>
      <c r="K226" s="57">
        <v>158987</v>
      </c>
      <c r="L226" s="39" t="s">
        <v>1275</v>
      </c>
      <c r="M226" s="52">
        <v>153</v>
      </c>
      <c r="N226" s="55" t="s">
        <v>1276</v>
      </c>
      <c r="O226" s="55" t="s">
        <v>1278</v>
      </c>
    </row>
    <row r="227" spans="1:15" x14ac:dyDescent="0.25">
      <c r="A227" s="27">
        <v>3623537</v>
      </c>
      <c r="B227" s="27">
        <v>3769130</v>
      </c>
      <c r="C227" s="66" t="s">
        <v>1356</v>
      </c>
      <c r="D227" s="53"/>
      <c r="E227" s="27" t="s">
        <v>37</v>
      </c>
      <c r="F227" s="27" t="s">
        <v>650</v>
      </c>
      <c r="G227" s="27" t="s">
        <v>64</v>
      </c>
      <c r="H227" s="87">
        <v>64115.55</v>
      </c>
      <c r="I227" s="50">
        <v>45915</v>
      </c>
      <c r="J227" s="50">
        <v>45917</v>
      </c>
      <c r="K227" s="57">
        <v>161682</v>
      </c>
      <c r="L227" s="39" t="s">
        <v>1275</v>
      </c>
      <c r="M227" s="52">
        <v>153</v>
      </c>
      <c r="N227" s="55" t="s">
        <v>1276</v>
      </c>
      <c r="O227" s="55" t="s">
        <v>1278</v>
      </c>
    </row>
    <row r="228" spans="1:15" x14ac:dyDescent="0.25">
      <c r="A228" s="27">
        <v>3623537</v>
      </c>
      <c r="B228" s="27">
        <v>3769130</v>
      </c>
      <c r="C228" s="66" t="s">
        <v>1356</v>
      </c>
      <c r="D228" s="53"/>
      <c r="E228" s="27" t="s">
        <v>37</v>
      </c>
      <c r="F228" s="27" t="s">
        <v>650</v>
      </c>
      <c r="G228" s="27" t="s">
        <v>64</v>
      </c>
      <c r="H228" s="87">
        <v>90143.42</v>
      </c>
      <c r="I228" s="50">
        <v>45917</v>
      </c>
      <c r="J228" s="50">
        <v>45917</v>
      </c>
      <c r="K228" s="57">
        <v>162081</v>
      </c>
      <c r="L228" s="39" t="s">
        <v>1275</v>
      </c>
      <c r="M228" s="52">
        <v>153</v>
      </c>
      <c r="N228" s="55" t="s">
        <v>1276</v>
      </c>
      <c r="O228" s="55" t="s">
        <v>1278</v>
      </c>
    </row>
    <row r="229" spans="1:15" x14ac:dyDescent="0.25">
      <c r="A229" s="27">
        <v>3623537</v>
      </c>
      <c r="B229" s="27">
        <v>3769130</v>
      </c>
      <c r="C229" s="66" t="s">
        <v>1356</v>
      </c>
      <c r="D229" s="53"/>
      <c r="E229" s="27" t="s">
        <v>37</v>
      </c>
      <c r="F229" s="27" t="s">
        <v>650</v>
      </c>
      <c r="G229" s="27" t="s">
        <v>64</v>
      </c>
      <c r="H229" s="87">
        <v>90599.22</v>
      </c>
      <c r="I229" s="50">
        <v>45941</v>
      </c>
      <c r="J229" s="50">
        <v>45947</v>
      </c>
      <c r="K229" s="57">
        <v>164180</v>
      </c>
      <c r="L229" s="39" t="s">
        <v>1275</v>
      </c>
      <c r="M229" s="52">
        <v>153</v>
      </c>
      <c r="N229" s="55" t="s">
        <v>1279</v>
      </c>
      <c r="O229" s="55" t="s">
        <v>1278</v>
      </c>
    </row>
    <row r="230" spans="1:15" x14ac:dyDescent="0.25">
      <c r="A230" s="30">
        <v>3623537</v>
      </c>
      <c r="B230" s="30">
        <v>3769130</v>
      </c>
      <c r="C230" s="95" t="s">
        <v>1356</v>
      </c>
      <c r="D230" s="85"/>
      <c r="E230" s="30" t="s">
        <v>37</v>
      </c>
      <c r="F230" s="30" t="s">
        <v>650</v>
      </c>
      <c r="G230" s="30" t="s">
        <v>64</v>
      </c>
      <c r="H230" s="96">
        <v>64739.1</v>
      </c>
      <c r="I230" s="93">
        <v>45941</v>
      </c>
      <c r="J230" s="93">
        <v>45947</v>
      </c>
      <c r="K230" s="97">
        <v>164183</v>
      </c>
      <c r="L230" s="88" t="s">
        <v>1275</v>
      </c>
      <c r="M230" s="94">
        <v>153</v>
      </c>
      <c r="N230" s="98" t="s">
        <v>1276</v>
      </c>
      <c r="O230" s="98" t="s">
        <v>1278</v>
      </c>
    </row>
    <row r="231" spans="1:15" ht="30" x14ac:dyDescent="0.25">
      <c r="A231" s="27">
        <v>3631801</v>
      </c>
      <c r="B231" s="27">
        <v>3776543</v>
      </c>
      <c r="C231" s="25" t="s">
        <v>1284</v>
      </c>
      <c r="D231" s="27" t="s">
        <v>1281</v>
      </c>
      <c r="E231" s="27" t="s">
        <v>37</v>
      </c>
      <c r="F231" s="27" t="s">
        <v>1282</v>
      </c>
      <c r="G231" s="27" t="s">
        <v>64</v>
      </c>
      <c r="H231" s="67">
        <v>521.95000000000005</v>
      </c>
      <c r="I231" s="50">
        <v>45962</v>
      </c>
      <c r="J231" s="50">
        <v>45964</v>
      </c>
      <c r="K231" s="57">
        <v>6500</v>
      </c>
      <c r="L231" s="39">
        <v>2488</v>
      </c>
      <c r="M231" s="27">
        <v>242</v>
      </c>
      <c r="N231" s="68" t="s">
        <v>1276</v>
      </c>
      <c r="O231" s="27" t="s">
        <v>585</v>
      </c>
    </row>
    <row r="232" spans="1:15" x14ac:dyDescent="0.25">
      <c r="A232" s="27">
        <v>4039904</v>
      </c>
      <c r="B232" s="27">
        <v>4165989</v>
      </c>
      <c r="C232" s="66" t="s">
        <v>1363</v>
      </c>
      <c r="D232" s="53">
        <v>120411</v>
      </c>
      <c r="E232" s="27" t="s">
        <v>37</v>
      </c>
      <c r="F232" s="27" t="s">
        <v>54</v>
      </c>
      <c r="G232" s="27" t="s">
        <v>64</v>
      </c>
      <c r="H232" s="91">
        <v>840</v>
      </c>
      <c r="I232" s="50">
        <v>45964</v>
      </c>
      <c r="J232" s="50">
        <v>45965</v>
      </c>
      <c r="K232" s="57">
        <v>2051</v>
      </c>
      <c r="L232" s="39">
        <v>1228</v>
      </c>
      <c r="M232" s="27">
        <v>242</v>
      </c>
      <c r="N232" s="99" t="s">
        <v>1276</v>
      </c>
      <c r="O232" s="27" t="s">
        <v>1278</v>
      </c>
    </row>
    <row r="233" spans="1:15" ht="30" x14ac:dyDescent="0.25">
      <c r="A233" s="27">
        <v>4039778</v>
      </c>
      <c r="B233" s="27">
        <v>4165984</v>
      </c>
      <c r="C233" s="66" t="s">
        <v>1364</v>
      </c>
      <c r="D233" s="53">
        <v>120411</v>
      </c>
      <c r="E233" s="27" t="s">
        <v>37</v>
      </c>
      <c r="F233" s="27" t="s">
        <v>54</v>
      </c>
      <c r="G233" s="27" t="s">
        <v>64</v>
      </c>
      <c r="H233" s="91">
        <v>3600</v>
      </c>
      <c r="I233" s="50">
        <v>45964</v>
      </c>
      <c r="J233" s="50">
        <v>45965</v>
      </c>
      <c r="K233" s="57">
        <v>2050</v>
      </c>
      <c r="L233" s="39" t="s">
        <v>1365</v>
      </c>
      <c r="M233" s="27">
        <v>242</v>
      </c>
      <c r="N233" s="99" t="s">
        <v>1276</v>
      </c>
      <c r="O233" s="27" t="s">
        <v>1278</v>
      </c>
    </row>
    <row r="234" spans="1:15" ht="165" x14ac:dyDescent="0.25">
      <c r="A234" s="14">
        <v>4002793</v>
      </c>
      <c r="B234" s="14">
        <v>4129082</v>
      </c>
      <c r="C234" s="25" t="s">
        <v>1327</v>
      </c>
      <c r="D234" s="27">
        <v>15839</v>
      </c>
      <c r="E234" s="27" t="s">
        <v>37</v>
      </c>
      <c r="F234" s="27" t="s">
        <v>1311</v>
      </c>
      <c r="G234" s="27" t="s">
        <v>86</v>
      </c>
      <c r="H234" s="67">
        <v>2750</v>
      </c>
      <c r="I234" s="50">
        <v>45965</v>
      </c>
      <c r="J234" s="50">
        <v>45967</v>
      </c>
      <c r="K234" s="57">
        <v>1781</v>
      </c>
      <c r="L234" s="39" t="s">
        <v>1328</v>
      </c>
      <c r="M234" s="27">
        <v>242</v>
      </c>
      <c r="N234" s="73" t="s">
        <v>1276</v>
      </c>
      <c r="O234" s="27" t="s">
        <v>585</v>
      </c>
    </row>
    <row r="235" spans="1:15" x14ac:dyDescent="0.25">
      <c r="A235" s="27">
        <v>4083066</v>
      </c>
      <c r="B235" s="27">
        <v>4206828</v>
      </c>
      <c r="C235" s="25" t="s">
        <v>1366</v>
      </c>
      <c r="D235" s="27" t="s">
        <v>1346</v>
      </c>
      <c r="E235" s="27" t="s">
        <v>37</v>
      </c>
      <c r="F235" s="27" t="s">
        <v>258</v>
      </c>
      <c r="G235" s="27" t="s">
        <v>64</v>
      </c>
      <c r="H235" s="67">
        <v>27196.67</v>
      </c>
      <c r="I235" s="50">
        <v>45965</v>
      </c>
      <c r="J235" s="50">
        <v>45967</v>
      </c>
      <c r="K235" s="57">
        <v>24439</v>
      </c>
      <c r="L235" s="39">
        <v>1210</v>
      </c>
      <c r="M235" s="52">
        <v>242</v>
      </c>
      <c r="N235" s="73" t="s">
        <v>1276</v>
      </c>
      <c r="O235" s="27" t="s">
        <v>337</v>
      </c>
    </row>
    <row r="236" spans="1:15" x14ac:dyDescent="0.25">
      <c r="A236" s="27">
        <v>3623537</v>
      </c>
      <c r="B236" s="27">
        <v>3769130</v>
      </c>
      <c r="C236" s="66" t="s">
        <v>1356</v>
      </c>
      <c r="D236" s="53"/>
      <c r="E236" s="27" t="s">
        <v>37</v>
      </c>
      <c r="F236" s="27" t="s">
        <v>650</v>
      </c>
      <c r="G236" s="27" t="s">
        <v>64</v>
      </c>
      <c r="H236" s="91">
        <v>90599.22</v>
      </c>
      <c r="I236" s="50">
        <v>45969</v>
      </c>
      <c r="J236" s="50">
        <v>45971</v>
      </c>
      <c r="K236" s="57">
        <v>166376</v>
      </c>
      <c r="L236" s="39" t="s">
        <v>1275</v>
      </c>
      <c r="M236" s="52">
        <v>153</v>
      </c>
      <c r="N236" s="99" t="s">
        <v>1276</v>
      </c>
      <c r="O236" s="27" t="s">
        <v>1278</v>
      </c>
    </row>
    <row r="237" spans="1:15" x14ac:dyDescent="0.25">
      <c r="A237" s="27">
        <v>3623537</v>
      </c>
      <c r="B237" s="27">
        <v>3769130</v>
      </c>
      <c r="C237" s="66" t="s">
        <v>1356</v>
      </c>
      <c r="D237" s="53"/>
      <c r="E237" s="27" t="s">
        <v>37</v>
      </c>
      <c r="F237" s="27" t="s">
        <v>650</v>
      </c>
      <c r="G237" s="27" t="s">
        <v>64</v>
      </c>
      <c r="H237" s="91">
        <v>64739.1</v>
      </c>
      <c r="I237" s="50">
        <v>45969</v>
      </c>
      <c r="J237" s="50">
        <v>45971</v>
      </c>
      <c r="K237" s="57">
        <v>166374</v>
      </c>
      <c r="L237" s="39" t="s">
        <v>1275</v>
      </c>
      <c r="M237" s="52">
        <v>153</v>
      </c>
      <c r="N237" s="99" t="s">
        <v>1276</v>
      </c>
      <c r="O237" s="27" t="s">
        <v>1278</v>
      </c>
    </row>
    <row r="238" spans="1:15" ht="45" x14ac:dyDescent="0.25">
      <c r="A238" s="27">
        <v>3619858</v>
      </c>
      <c r="B238" s="27">
        <v>3766711</v>
      </c>
      <c r="C238" s="66" t="s">
        <v>1272</v>
      </c>
      <c r="D238" s="53" t="s">
        <v>1273</v>
      </c>
      <c r="E238" s="27" t="s">
        <v>37</v>
      </c>
      <c r="F238" s="27" t="s">
        <v>1274</v>
      </c>
      <c r="G238" s="27" t="s">
        <v>64</v>
      </c>
      <c r="H238" s="91">
        <v>4208.75</v>
      </c>
      <c r="I238" s="50">
        <v>45971</v>
      </c>
      <c r="J238" s="50">
        <v>45972</v>
      </c>
      <c r="K238" s="57">
        <v>600333</v>
      </c>
      <c r="L238" s="39" t="s">
        <v>1275</v>
      </c>
      <c r="M238" s="27">
        <v>153</v>
      </c>
      <c r="N238" s="99" t="s">
        <v>1276</v>
      </c>
      <c r="O238" s="27" t="s">
        <v>1278</v>
      </c>
    </row>
    <row r="239" spans="1:15" ht="90" x14ac:dyDescent="0.25">
      <c r="A239" s="27">
        <v>3977321</v>
      </c>
      <c r="B239" s="27">
        <v>4106352</v>
      </c>
      <c r="C239" s="25" t="s">
        <v>1307</v>
      </c>
      <c r="D239" s="27" t="s">
        <v>1308</v>
      </c>
      <c r="E239" s="27" t="s">
        <v>37</v>
      </c>
      <c r="F239" s="27" t="s">
        <v>1309</v>
      </c>
      <c r="G239" s="27" t="s">
        <v>64</v>
      </c>
      <c r="H239" s="67">
        <v>7500</v>
      </c>
      <c r="I239" s="50">
        <v>45972</v>
      </c>
      <c r="J239" s="100">
        <v>45974</v>
      </c>
      <c r="K239" s="57">
        <v>11988</v>
      </c>
      <c r="L239" s="39">
        <v>1210</v>
      </c>
      <c r="M239" s="52">
        <v>242</v>
      </c>
      <c r="N239" s="99" t="s">
        <v>1276</v>
      </c>
      <c r="O239" s="27" t="s">
        <v>943</v>
      </c>
    </row>
    <row r="240" spans="1:15" ht="75" x14ac:dyDescent="0.25">
      <c r="A240" s="27">
        <v>3796471</v>
      </c>
      <c r="B240" s="27">
        <v>3934127</v>
      </c>
      <c r="C240" s="25" t="s">
        <v>1292</v>
      </c>
      <c r="D240" s="27" t="s">
        <v>1293</v>
      </c>
      <c r="E240" s="27" t="s">
        <v>37</v>
      </c>
      <c r="F240" s="27" t="s">
        <v>1294</v>
      </c>
      <c r="G240" s="27" t="s">
        <v>64</v>
      </c>
      <c r="H240" s="67">
        <v>6250.23</v>
      </c>
      <c r="I240" s="50">
        <v>45985</v>
      </c>
      <c r="J240" s="50">
        <v>45986</v>
      </c>
      <c r="K240" s="58" t="s">
        <v>1367</v>
      </c>
      <c r="L240" s="39" t="s">
        <v>1368</v>
      </c>
      <c r="M240" s="52" t="s">
        <v>1298</v>
      </c>
      <c r="N240" s="99" t="s">
        <v>1276</v>
      </c>
      <c r="O240" s="27" t="s">
        <v>1369</v>
      </c>
    </row>
    <row r="241" spans="1:15" ht="30" x14ac:dyDescent="0.25">
      <c r="A241" s="27">
        <v>3796459</v>
      </c>
      <c r="B241" s="27">
        <v>3934135</v>
      </c>
      <c r="C241" s="25" t="s">
        <v>1285</v>
      </c>
      <c r="D241" s="27" t="s">
        <v>1286</v>
      </c>
      <c r="E241" s="27" t="s">
        <v>37</v>
      </c>
      <c r="F241" s="27" t="s">
        <v>1287</v>
      </c>
      <c r="G241" s="27" t="s">
        <v>64</v>
      </c>
      <c r="H241" s="67">
        <v>415</v>
      </c>
      <c r="I241" s="50">
        <v>45985</v>
      </c>
      <c r="J241" s="50">
        <v>45986</v>
      </c>
      <c r="K241" s="58" t="s">
        <v>1370</v>
      </c>
      <c r="L241" s="39">
        <v>2054</v>
      </c>
      <c r="M241" s="27">
        <v>71</v>
      </c>
      <c r="N241" s="99" t="s">
        <v>1276</v>
      </c>
      <c r="O241" s="27" t="s">
        <v>1369</v>
      </c>
    </row>
    <row r="242" spans="1:15" ht="30" x14ac:dyDescent="0.25">
      <c r="A242" s="27">
        <v>4004885</v>
      </c>
      <c r="B242" s="27">
        <v>4131474</v>
      </c>
      <c r="C242" s="25" t="s">
        <v>1371</v>
      </c>
      <c r="D242" s="27" t="s">
        <v>1330</v>
      </c>
      <c r="E242" s="27" t="s">
        <v>37</v>
      </c>
      <c r="F242" s="27" t="s">
        <v>248</v>
      </c>
      <c r="G242" s="27" t="s">
        <v>64</v>
      </c>
      <c r="H242" s="67">
        <v>29471.02</v>
      </c>
      <c r="I242" s="50">
        <v>45974</v>
      </c>
      <c r="J242" s="50">
        <v>45979</v>
      </c>
      <c r="K242" s="57">
        <v>5388</v>
      </c>
      <c r="L242" s="39" t="s">
        <v>1342</v>
      </c>
      <c r="M242" s="52">
        <v>242</v>
      </c>
      <c r="N242" s="73" t="s">
        <v>1276</v>
      </c>
      <c r="O242" s="27" t="s">
        <v>1277</v>
      </c>
    </row>
    <row r="243" spans="1:15" x14ac:dyDescent="0.25">
      <c r="A243" s="27" t="s">
        <v>35</v>
      </c>
      <c r="B243" s="27" t="s">
        <v>35</v>
      </c>
      <c r="C243" s="25" t="s">
        <v>1304</v>
      </c>
      <c r="D243" s="53"/>
      <c r="E243" s="27" t="s">
        <v>37</v>
      </c>
      <c r="F243" s="27" t="s">
        <v>1305</v>
      </c>
      <c r="G243" s="27" t="s">
        <v>64</v>
      </c>
      <c r="H243" s="67">
        <v>1321.15</v>
      </c>
      <c r="I243" s="50">
        <v>45978</v>
      </c>
      <c r="J243" s="50">
        <v>45979</v>
      </c>
      <c r="K243" s="57">
        <v>14685</v>
      </c>
      <c r="L243" s="39">
        <v>1295</v>
      </c>
      <c r="M243" s="52">
        <v>30</v>
      </c>
      <c r="N243" s="73" t="s">
        <v>1276</v>
      </c>
      <c r="O243" s="64" t="s">
        <v>1277</v>
      </c>
    </row>
    <row r="244" spans="1:15" ht="30" x14ac:dyDescent="0.25">
      <c r="A244" s="27">
        <v>4039778</v>
      </c>
      <c r="B244" s="29">
        <v>4165984</v>
      </c>
      <c r="C244" s="95" t="s">
        <v>1372</v>
      </c>
      <c r="D244" s="85">
        <v>120411</v>
      </c>
      <c r="E244" s="27" t="s">
        <v>71</v>
      </c>
      <c r="F244" s="27" t="s">
        <v>54</v>
      </c>
      <c r="G244" s="27" t="s">
        <v>64</v>
      </c>
      <c r="H244" s="91">
        <v>1600</v>
      </c>
      <c r="I244" s="50">
        <v>45980</v>
      </c>
      <c r="J244" s="50">
        <v>45981</v>
      </c>
      <c r="K244" s="57">
        <v>2063</v>
      </c>
      <c r="L244" s="39">
        <v>1244</v>
      </c>
      <c r="M244" s="27">
        <v>242</v>
      </c>
      <c r="N244" s="99" t="s">
        <v>1276</v>
      </c>
      <c r="O244" s="27" t="s">
        <v>1278</v>
      </c>
    </row>
    <row r="245" spans="1:15" ht="60" x14ac:dyDescent="0.25">
      <c r="A245" s="180">
        <v>4039778</v>
      </c>
      <c r="B245" s="14">
        <v>4165984</v>
      </c>
      <c r="C245" s="53" t="s">
        <v>1373</v>
      </c>
      <c r="D245" s="53">
        <v>120411</v>
      </c>
      <c r="E245" s="65" t="s">
        <v>71</v>
      </c>
      <c r="F245" s="27" t="s">
        <v>54</v>
      </c>
      <c r="G245" s="27" t="s">
        <v>64</v>
      </c>
      <c r="H245" s="91">
        <v>2400</v>
      </c>
      <c r="I245" s="50">
        <v>45980</v>
      </c>
      <c r="J245" s="50">
        <v>45981</v>
      </c>
      <c r="K245" s="57">
        <v>2064</v>
      </c>
      <c r="L245" s="39" t="s">
        <v>1374</v>
      </c>
      <c r="M245" s="27">
        <v>242</v>
      </c>
      <c r="N245" s="99" t="s">
        <v>1276</v>
      </c>
      <c r="O245" s="27" t="s">
        <v>337</v>
      </c>
    </row>
    <row r="246" spans="1:15" ht="30" x14ac:dyDescent="0.25">
      <c r="A246" s="27">
        <v>4168151</v>
      </c>
      <c r="B246" s="181">
        <v>4324442</v>
      </c>
      <c r="C246" s="182" t="s">
        <v>1375</v>
      </c>
      <c r="D246" s="183">
        <v>16445</v>
      </c>
      <c r="E246" s="27" t="s">
        <v>37</v>
      </c>
      <c r="F246" s="27" t="s">
        <v>1376</v>
      </c>
      <c r="G246" s="27" t="s">
        <v>320</v>
      </c>
      <c r="H246" s="91">
        <v>5754.17</v>
      </c>
      <c r="I246" s="50">
        <v>45985</v>
      </c>
      <c r="J246" s="100">
        <v>45986</v>
      </c>
      <c r="K246" s="57">
        <v>6388</v>
      </c>
      <c r="L246" s="39">
        <v>2488</v>
      </c>
      <c r="M246" s="27">
        <v>9</v>
      </c>
      <c r="N246" s="99" t="s">
        <v>1276</v>
      </c>
      <c r="O246" s="27" t="s">
        <v>337</v>
      </c>
    </row>
    <row r="247" spans="1:15" ht="30" x14ac:dyDescent="0.25">
      <c r="A247" s="27">
        <v>4168151</v>
      </c>
      <c r="B247" s="33">
        <v>4324442</v>
      </c>
      <c r="C247" s="66" t="s">
        <v>1377</v>
      </c>
      <c r="D247" s="14">
        <v>16445</v>
      </c>
      <c r="E247" s="27" t="s">
        <v>37</v>
      </c>
      <c r="F247" s="27" t="s">
        <v>1376</v>
      </c>
      <c r="G247" s="27" t="s">
        <v>320</v>
      </c>
      <c r="H247" s="91">
        <v>5018.75</v>
      </c>
      <c r="I247" s="50">
        <v>45985</v>
      </c>
      <c r="J247" s="100">
        <v>45986</v>
      </c>
      <c r="K247" s="57">
        <v>6389</v>
      </c>
      <c r="L247" s="39">
        <v>2224</v>
      </c>
      <c r="M247" s="27">
        <v>9</v>
      </c>
      <c r="N247" s="99" t="s">
        <v>1276</v>
      </c>
      <c r="O247" s="27" t="s">
        <v>337</v>
      </c>
    </row>
    <row r="248" spans="1:15" ht="30" x14ac:dyDescent="0.25">
      <c r="A248" s="30">
        <v>3627916</v>
      </c>
      <c r="B248" s="30">
        <v>3773474</v>
      </c>
      <c r="C248" s="25" t="s">
        <v>1280</v>
      </c>
      <c r="D248" s="27" t="s">
        <v>1281</v>
      </c>
      <c r="E248" s="27" t="s">
        <v>37</v>
      </c>
      <c r="F248" s="27" t="s">
        <v>1282</v>
      </c>
      <c r="G248" s="27" t="s">
        <v>64</v>
      </c>
      <c r="H248" s="67">
        <v>1595.88</v>
      </c>
      <c r="I248" s="50">
        <v>45988</v>
      </c>
      <c r="J248" s="50">
        <v>45989</v>
      </c>
      <c r="K248" s="57">
        <v>87741833</v>
      </c>
      <c r="L248" s="39">
        <v>2488</v>
      </c>
      <c r="M248" s="52">
        <v>153</v>
      </c>
      <c r="N248" s="68" t="s">
        <v>1276</v>
      </c>
      <c r="O248" s="27" t="s">
        <v>1277</v>
      </c>
    </row>
    <row r="249" spans="1:15" ht="90" x14ac:dyDescent="0.25">
      <c r="A249" s="27">
        <v>4285976</v>
      </c>
      <c r="B249" s="27">
        <v>4412650</v>
      </c>
      <c r="C249" s="66" t="s">
        <v>1307</v>
      </c>
      <c r="D249" s="53" t="s">
        <v>1378</v>
      </c>
      <c r="E249" s="27" t="s">
        <v>37</v>
      </c>
      <c r="F249" s="27" t="s">
        <v>1379</v>
      </c>
      <c r="G249" s="27" t="s">
        <v>86</v>
      </c>
      <c r="H249" s="67">
        <v>8730</v>
      </c>
      <c r="I249" s="50">
        <v>45993</v>
      </c>
      <c r="J249" s="50">
        <v>45994</v>
      </c>
      <c r="K249" s="57" t="s">
        <v>1380</v>
      </c>
      <c r="L249" s="39">
        <v>1210</v>
      </c>
      <c r="M249" s="52">
        <v>242</v>
      </c>
      <c r="N249" s="68" t="s">
        <v>1276</v>
      </c>
      <c r="O249" s="27" t="s">
        <v>1277</v>
      </c>
    </row>
    <row r="250" spans="1:15" ht="30" x14ac:dyDescent="0.25">
      <c r="A250" s="27">
        <v>4004885</v>
      </c>
      <c r="B250" s="27">
        <v>4131474</v>
      </c>
      <c r="C250" s="25" t="s">
        <v>1381</v>
      </c>
      <c r="D250" s="27" t="s">
        <v>1330</v>
      </c>
      <c r="E250" s="27" t="s">
        <v>37</v>
      </c>
      <c r="F250" s="27" t="s">
        <v>248</v>
      </c>
      <c r="G250" s="27" t="s">
        <v>64</v>
      </c>
      <c r="H250" s="67">
        <v>29471.02</v>
      </c>
      <c r="I250" s="50">
        <v>45994</v>
      </c>
      <c r="J250" s="50">
        <v>45995</v>
      </c>
      <c r="K250" s="57">
        <v>5494</v>
      </c>
      <c r="L250" s="39" t="s">
        <v>1342</v>
      </c>
      <c r="M250" s="52">
        <v>242</v>
      </c>
      <c r="N250" s="73" t="s">
        <v>1276</v>
      </c>
      <c r="O250" s="27" t="s">
        <v>1277</v>
      </c>
    </row>
    <row r="251" spans="1:15" ht="150" x14ac:dyDescent="0.25">
      <c r="A251" s="14">
        <v>4002793</v>
      </c>
      <c r="B251" s="14">
        <v>4129082</v>
      </c>
      <c r="C251" s="25" t="s">
        <v>1327</v>
      </c>
      <c r="D251" s="27">
        <v>15839</v>
      </c>
      <c r="E251" s="27" t="s">
        <v>37</v>
      </c>
      <c r="F251" s="27" t="s">
        <v>1311</v>
      </c>
      <c r="G251" s="27" t="s">
        <v>86</v>
      </c>
      <c r="H251" s="67">
        <v>2750</v>
      </c>
      <c r="I251" s="50">
        <v>45994</v>
      </c>
      <c r="J251" s="50">
        <v>45996</v>
      </c>
      <c r="K251" s="57">
        <v>1829</v>
      </c>
      <c r="L251" s="39" t="s">
        <v>1382</v>
      </c>
      <c r="M251" s="52">
        <v>242</v>
      </c>
      <c r="N251" s="73" t="s">
        <v>1276</v>
      </c>
      <c r="O251" s="27" t="s">
        <v>1277</v>
      </c>
    </row>
    <row r="252" spans="1:15" x14ac:dyDescent="0.25">
      <c r="A252" s="27">
        <v>3623537</v>
      </c>
      <c r="B252" s="27">
        <v>3769130</v>
      </c>
      <c r="C252" s="66" t="s">
        <v>1356</v>
      </c>
      <c r="D252" s="53"/>
      <c r="E252" s="27" t="s">
        <v>37</v>
      </c>
      <c r="F252" s="27" t="s">
        <v>650</v>
      </c>
      <c r="G252" s="27" t="s">
        <v>64</v>
      </c>
      <c r="H252" s="91">
        <v>64739.1</v>
      </c>
      <c r="I252" s="50">
        <v>46000</v>
      </c>
      <c r="J252" s="50">
        <v>46001</v>
      </c>
      <c r="K252" s="57">
        <v>169466</v>
      </c>
      <c r="L252" s="39" t="s">
        <v>1275</v>
      </c>
      <c r="M252" s="52">
        <v>153</v>
      </c>
      <c r="N252" s="99" t="s">
        <v>1276</v>
      </c>
      <c r="O252" s="27" t="s">
        <v>337</v>
      </c>
    </row>
    <row r="253" spans="1:15" x14ac:dyDescent="0.25">
      <c r="A253" s="27">
        <v>3623537</v>
      </c>
      <c r="B253" s="30">
        <v>3769130</v>
      </c>
      <c r="C253" s="95" t="s">
        <v>1356</v>
      </c>
      <c r="D253" s="85"/>
      <c r="E253" s="27" t="s">
        <v>37</v>
      </c>
      <c r="F253" s="27" t="s">
        <v>650</v>
      </c>
      <c r="G253" s="27" t="s">
        <v>64</v>
      </c>
      <c r="H253" s="91">
        <v>90599.22</v>
      </c>
      <c r="I253" s="50">
        <v>46000</v>
      </c>
      <c r="J253" s="50">
        <v>46001</v>
      </c>
      <c r="K253" s="57">
        <v>169467</v>
      </c>
      <c r="L253" s="39" t="s">
        <v>1275</v>
      </c>
      <c r="M253" s="52">
        <v>153</v>
      </c>
      <c r="N253" s="99" t="s">
        <v>1276</v>
      </c>
      <c r="O253" s="27" t="s">
        <v>337</v>
      </c>
    </row>
    <row r="254" spans="1:15" x14ac:dyDescent="0.25">
      <c r="A254" s="180">
        <v>4039904</v>
      </c>
      <c r="B254" s="27">
        <v>4165989</v>
      </c>
      <c r="C254" s="179" t="s">
        <v>1383</v>
      </c>
      <c r="D254" s="53">
        <v>120411</v>
      </c>
      <c r="E254" s="65" t="s">
        <v>37</v>
      </c>
      <c r="F254" s="27" t="s">
        <v>54</v>
      </c>
      <c r="G254" s="27" t="s">
        <v>64</v>
      </c>
      <c r="H254" s="91">
        <v>1260</v>
      </c>
      <c r="I254" s="50">
        <v>46000</v>
      </c>
      <c r="J254" s="50">
        <v>46000</v>
      </c>
      <c r="K254" s="57">
        <v>2072</v>
      </c>
      <c r="L254" s="39">
        <v>1210</v>
      </c>
      <c r="M254" s="27">
        <v>242</v>
      </c>
      <c r="N254" s="99" t="s">
        <v>1276</v>
      </c>
      <c r="O254" s="27" t="s">
        <v>337</v>
      </c>
    </row>
    <row r="255" spans="1:15" ht="360" x14ac:dyDescent="0.25">
      <c r="A255" s="180">
        <v>4039778</v>
      </c>
      <c r="B255" s="14">
        <v>4165984</v>
      </c>
      <c r="C255" s="66" t="s">
        <v>1384</v>
      </c>
      <c r="D255" s="53">
        <v>120411</v>
      </c>
      <c r="E255" s="65" t="s">
        <v>71</v>
      </c>
      <c r="F255" s="27" t="s">
        <v>54</v>
      </c>
      <c r="G255" s="27" t="s">
        <v>64</v>
      </c>
      <c r="H255" s="91">
        <v>6200</v>
      </c>
      <c r="I255" s="50">
        <v>46000</v>
      </c>
      <c r="J255" s="50">
        <v>46000</v>
      </c>
      <c r="K255" s="57">
        <v>2071</v>
      </c>
      <c r="L255" s="39" t="s">
        <v>1385</v>
      </c>
      <c r="M255" s="27">
        <v>242</v>
      </c>
      <c r="N255" s="99" t="s">
        <v>1276</v>
      </c>
      <c r="O255" s="27" t="s">
        <v>337</v>
      </c>
    </row>
    <row r="256" spans="1:15" x14ac:dyDescent="0.25">
      <c r="A256" s="27">
        <v>4083066</v>
      </c>
      <c r="B256" s="27">
        <v>4206828</v>
      </c>
      <c r="C256" s="25" t="s">
        <v>1386</v>
      </c>
      <c r="D256" s="27" t="s">
        <v>1346</v>
      </c>
      <c r="E256" s="27" t="s">
        <v>37</v>
      </c>
      <c r="F256" s="27" t="s">
        <v>258</v>
      </c>
      <c r="G256" s="27" t="s">
        <v>64</v>
      </c>
      <c r="H256" s="67">
        <v>27196.67</v>
      </c>
      <c r="I256" s="50">
        <v>46000</v>
      </c>
      <c r="J256" s="50">
        <v>46000</v>
      </c>
      <c r="K256" s="57">
        <v>24758</v>
      </c>
      <c r="L256" s="39">
        <v>1210</v>
      </c>
      <c r="M256" s="52">
        <v>242</v>
      </c>
      <c r="N256" s="73" t="s">
        <v>1276</v>
      </c>
      <c r="O256" s="27" t="s">
        <v>1277</v>
      </c>
    </row>
    <row r="257" spans="1:15" ht="45" x14ac:dyDescent="0.25">
      <c r="A257" s="27">
        <v>3619858</v>
      </c>
      <c r="B257" s="27">
        <v>3766711</v>
      </c>
      <c r="C257" s="66" t="s">
        <v>1272</v>
      </c>
      <c r="D257" s="53" t="s">
        <v>1273</v>
      </c>
      <c r="E257" s="27" t="s">
        <v>37</v>
      </c>
      <c r="F257" s="27" t="s">
        <v>1274</v>
      </c>
      <c r="G257" s="27" t="s">
        <v>64</v>
      </c>
      <c r="H257" s="91">
        <v>3897.91</v>
      </c>
      <c r="I257" s="50">
        <v>46002</v>
      </c>
      <c r="J257" s="50">
        <v>46003</v>
      </c>
      <c r="K257" s="57">
        <v>609732</v>
      </c>
      <c r="L257" s="39" t="s">
        <v>1275</v>
      </c>
      <c r="M257" s="27">
        <v>153</v>
      </c>
      <c r="N257" s="99" t="s">
        <v>1276</v>
      </c>
      <c r="O257" s="27" t="s">
        <v>337</v>
      </c>
    </row>
    <row r="258" spans="1:15" ht="30" x14ac:dyDescent="0.25">
      <c r="A258" s="27">
        <v>3631801</v>
      </c>
      <c r="B258" s="27">
        <v>3776543</v>
      </c>
      <c r="C258" s="25" t="s">
        <v>1284</v>
      </c>
      <c r="D258" s="27" t="s">
        <v>1281</v>
      </c>
      <c r="E258" s="27" t="s">
        <v>37</v>
      </c>
      <c r="F258" s="27" t="s">
        <v>1282</v>
      </c>
      <c r="G258" s="27" t="s">
        <v>64</v>
      </c>
      <c r="H258" s="67">
        <v>521.95000000000005</v>
      </c>
      <c r="I258" s="50">
        <v>45992</v>
      </c>
      <c r="J258" s="50">
        <v>46003</v>
      </c>
      <c r="K258" s="57">
        <v>6543</v>
      </c>
      <c r="L258" s="39">
        <v>2488</v>
      </c>
      <c r="M258" s="52">
        <v>242</v>
      </c>
      <c r="N258" s="73" t="s">
        <v>1276</v>
      </c>
      <c r="O258" s="27" t="s">
        <v>1277</v>
      </c>
    </row>
    <row r="259" spans="1:15" ht="75" x14ac:dyDescent="0.25">
      <c r="A259" s="27">
        <v>3796471</v>
      </c>
      <c r="B259" s="27">
        <v>3934127</v>
      </c>
      <c r="C259" s="25" t="s">
        <v>1292</v>
      </c>
      <c r="D259" s="27" t="s">
        <v>1293</v>
      </c>
      <c r="E259" s="27" t="s">
        <v>37</v>
      </c>
      <c r="F259" s="27" t="s">
        <v>1294</v>
      </c>
      <c r="G259" s="27" t="s">
        <v>64</v>
      </c>
      <c r="H259" s="67">
        <v>6250.23</v>
      </c>
      <c r="I259" s="50">
        <v>46006</v>
      </c>
      <c r="J259" s="50">
        <v>46006</v>
      </c>
      <c r="K259" s="57">
        <v>74838</v>
      </c>
      <c r="L259" s="39" t="s">
        <v>1368</v>
      </c>
      <c r="M259" s="52" t="s">
        <v>1298</v>
      </c>
      <c r="N259" s="99" t="s">
        <v>1276</v>
      </c>
      <c r="O259" s="27" t="s">
        <v>1277</v>
      </c>
    </row>
    <row r="260" spans="1:15" ht="30" x14ac:dyDescent="0.25">
      <c r="A260" s="27">
        <v>3796459</v>
      </c>
      <c r="B260" s="27">
        <v>3934135</v>
      </c>
      <c r="C260" s="25" t="s">
        <v>1285</v>
      </c>
      <c r="D260" s="27" t="s">
        <v>1286</v>
      </c>
      <c r="E260" s="27" t="s">
        <v>37</v>
      </c>
      <c r="F260" s="27" t="s">
        <v>1287</v>
      </c>
      <c r="G260" s="27" t="s">
        <v>64</v>
      </c>
      <c r="H260" s="67">
        <v>415</v>
      </c>
      <c r="I260" s="50">
        <v>46006</v>
      </c>
      <c r="J260" s="50">
        <v>46006</v>
      </c>
      <c r="K260" s="57">
        <v>1254</v>
      </c>
      <c r="L260" s="39">
        <v>2054</v>
      </c>
      <c r="M260" s="27">
        <v>71</v>
      </c>
      <c r="N260" s="99" t="s">
        <v>1276</v>
      </c>
      <c r="O260" s="27" t="s">
        <v>1277</v>
      </c>
    </row>
    <row r="261" spans="1:15" ht="30" x14ac:dyDescent="0.25">
      <c r="A261" s="180">
        <v>4039904</v>
      </c>
      <c r="B261" s="27">
        <v>4165989</v>
      </c>
      <c r="C261" s="66" t="s">
        <v>1387</v>
      </c>
      <c r="D261" s="53">
        <v>120411</v>
      </c>
      <c r="E261" s="27" t="s">
        <v>37</v>
      </c>
      <c r="F261" s="27" t="s">
        <v>54</v>
      </c>
      <c r="G261" s="27" t="s">
        <v>64</v>
      </c>
      <c r="H261" s="91">
        <v>3520</v>
      </c>
      <c r="I261" s="50">
        <v>46013</v>
      </c>
      <c r="J261" s="50">
        <v>46014</v>
      </c>
      <c r="K261" s="57">
        <v>2099</v>
      </c>
      <c r="L261" s="39" t="s">
        <v>1388</v>
      </c>
      <c r="M261" s="27">
        <v>242</v>
      </c>
      <c r="N261" s="99" t="s">
        <v>1276</v>
      </c>
      <c r="O261" s="27" t="s">
        <v>1277</v>
      </c>
    </row>
    <row r="262" spans="1:15" ht="120" x14ac:dyDescent="0.25">
      <c r="A262" s="180">
        <v>4039778</v>
      </c>
      <c r="B262" s="14">
        <v>4165984</v>
      </c>
      <c r="C262" s="66" t="s">
        <v>1389</v>
      </c>
      <c r="D262" s="53">
        <v>120411</v>
      </c>
      <c r="E262" s="27" t="s">
        <v>37</v>
      </c>
      <c r="F262" s="27" t="s">
        <v>54</v>
      </c>
      <c r="G262" s="27" t="s">
        <v>64</v>
      </c>
      <c r="H262" s="91">
        <v>8500</v>
      </c>
      <c r="I262" s="50">
        <v>46013</v>
      </c>
      <c r="J262" s="50">
        <v>46015</v>
      </c>
      <c r="K262" s="57">
        <v>2100</v>
      </c>
      <c r="L262" s="194" t="s">
        <v>1390</v>
      </c>
      <c r="M262" s="27">
        <v>242</v>
      </c>
      <c r="N262" s="99" t="s">
        <v>1276</v>
      </c>
      <c r="O262" s="27" t="s">
        <v>1277</v>
      </c>
    </row>
    <row r="263" spans="1:15" x14ac:dyDescent="0.25">
      <c r="A263" s="27" t="s">
        <v>35</v>
      </c>
      <c r="B263" s="27" t="s">
        <v>35</v>
      </c>
      <c r="C263" s="25" t="s">
        <v>1304</v>
      </c>
      <c r="D263" s="53"/>
      <c r="E263" s="27" t="s">
        <v>37</v>
      </c>
      <c r="F263" s="27" t="s">
        <v>1305</v>
      </c>
      <c r="G263" s="27" t="s">
        <v>64</v>
      </c>
      <c r="H263" s="67">
        <v>1321.15</v>
      </c>
      <c r="I263" s="50">
        <v>46006</v>
      </c>
      <c r="J263" s="50">
        <v>46017</v>
      </c>
      <c r="K263" s="57">
        <v>14738</v>
      </c>
      <c r="L263" s="39">
        <v>1295</v>
      </c>
      <c r="M263" s="52">
        <v>30</v>
      </c>
      <c r="N263" s="73" t="s">
        <v>1276</v>
      </c>
      <c r="O263" s="64" t="s">
        <v>1277</v>
      </c>
    </row>
    <row r="264" spans="1:15" ht="30" x14ac:dyDescent="0.25">
      <c r="A264" s="30">
        <v>3627916</v>
      </c>
      <c r="B264" s="30">
        <v>3773474</v>
      </c>
      <c r="C264" s="25" t="s">
        <v>1280</v>
      </c>
      <c r="D264" s="27" t="s">
        <v>1281</v>
      </c>
      <c r="E264" s="27" t="s">
        <v>37</v>
      </c>
      <c r="F264" s="27" t="s">
        <v>1282</v>
      </c>
      <c r="G264" s="27" t="s">
        <v>64</v>
      </c>
      <c r="H264" s="67">
        <v>1595.88</v>
      </c>
      <c r="I264" s="50">
        <v>46018</v>
      </c>
      <c r="J264" s="50">
        <v>46020</v>
      </c>
      <c r="K264" s="57">
        <v>87787294</v>
      </c>
      <c r="L264" s="39">
        <v>2488</v>
      </c>
      <c r="M264" s="52">
        <v>153</v>
      </c>
      <c r="N264" s="68" t="s">
        <v>1276</v>
      </c>
      <c r="O264" s="27" t="s">
        <v>1277</v>
      </c>
    </row>
    <row r="265" spans="1:15" ht="150" x14ac:dyDescent="0.25">
      <c r="A265" s="14">
        <v>4002793</v>
      </c>
      <c r="B265" s="14">
        <v>4129082</v>
      </c>
      <c r="C265" s="25" t="s">
        <v>1327</v>
      </c>
      <c r="D265" s="27">
        <v>15839</v>
      </c>
      <c r="E265" s="27" t="s">
        <v>37</v>
      </c>
      <c r="F265" s="27" t="s">
        <v>1311</v>
      </c>
      <c r="G265" s="27" t="s">
        <v>86</v>
      </c>
      <c r="H265" s="67">
        <v>2750</v>
      </c>
      <c r="I265" s="50">
        <v>46024</v>
      </c>
      <c r="J265" s="50">
        <v>46029</v>
      </c>
      <c r="K265" s="57">
        <v>1855</v>
      </c>
      <c r="L265" s="39" t="s">
        <v>1382</v>
      </c>
      <c r="M265" s="52">
        <v>242</v>
      </c>
      <c r="N265" s="68" t="s">
        <v>1276</v>
      </c>
      <c r="O265" s="27" t="s">
        <v>1277</v>
      </c>
    </row>
    <row r="266" spans="1:15" ht="30" x14ac:dyDescent="0.25">
      <c r="A266" s="27">
        <v>4125235</v>
      </c>
      <c r="B266" s="27">
        <v>4245557</v>
      </c>
      <c r="C266" s="66" t="s">
        <v>1391</v>
      </c>
      <c r="D266" s="53" t="s">
        <v>1392</v>
      </c>
      <c r="E266" s="27" t="s">
        <v>37</v>
      </c>
      <c r="F266" s="27" t="s">
        <v>1376</v>
      </c>
      <c r="G266" s="27" t="s">
        <v>64</v>
      </c>
      <c r="H266" s="91">
        <v>3397.5</v>
      </c>
      <c r="I266" s="50">
        <v>46028</v>
      </c>
      <c r="J266" s="27"/>
      <c r="K266" s="57">
        <v>6490</v>
      </c>
      <c r="L266" s="39">
        <v>2119</v>
      </c>
      <c r="M266" s="27">
        <v>9</v>
      </c>
      <c r="N266" s="99" t="s">
        <v>1276</v>
      </c>
      <c r="O266" s="27" t="s">
        <v>337</v>
      </c>
    </row>
    <row r="267" spans="1:15" ht="30" x14ac:dyDescent="0.25">
      <c r="A267" s="27">
        <v>3631801</v>
      </c>
      <c r="B267" s="27">
        <v>3776543</v>
      </c>
      <c r="C267" s="25" t="s">
        <v>1284</v>
      </c>
      <c r="D267" s="27" t="s">
        <v>1281</v>
      </c>
      <c r="E267" s="27" t="s">
        <v>37</v>
      </c>
      <c r="F267" s="27" t="s">
        <v>1282</v>
      </c>
      <c r="G267" s="27" t="s">
        <v>64</v>
      </c>
      <c r="H267" s="67">
        <v>521.95000000000005</v>
      </c>
      <c r="I267" s="50">
        <v>46030</v>
      </c>
      <c r="J267" s="50">
        <v>46031</v>
      </c>
      <c r="K267" s="57">
        <v>11</v>
      </c>
      <c r="L267" s="39">
        <v>2488</v>
      </c>
      <c r="M267" s="52">
        <v>242</v>
      </c>
      <c r="N267" s="73" t="s">
        <v>1276</v>
      </c>
      <c r="O267" s="27" t="s">
        <v>1277</v>
      </c>
    </row>
    <row r="268" spans="1:15" x14ac:dyDescent="0.25">
      <c r="A268" s="27"/>
      <c r="B268" s="27"/>
      <c r="C268" s="66"/>
      <c r="D268" s="53"/>
      <c r="E268" s="27"/>
      <c r="F268" s="27"/>
      <c r="G268" s="27"/>
      <c r="H268" s="91"/>
      <c r="I268" s="50"/>
      <c r="J268" s="27"/>
      <c r="K268" s="57"/>
      <c r="L268" s="39"/>
      <c r="M268" s="27"/>
      <c r="N268" s="99"/>
      <c r="O268" s="27"/>
    </row>
    <row r="269" spans="1:15" x14ac:dyDescent="0.25">
      <c r="A269" s="27"/>
      <c r="B269" s="27"/>
      <c r="C269" s="66"/>
      <c r="D269" s="53"/>
      <c r="E269" s="27"/>
      <c r="F269" s="27"/>
      <c r="G269" s="27"/>
      <c r="H269" s="91"/>
      <c r="I269" s="50"/>
      <c r="J269" s="27"/>
      <c r="K269" s="57"/>
      <c r="L269" s="39"/>
      <c r="M269" s="27"/>
      <c r="N269" s="99"/>
      <c r="O269" s="27"/>
    </row>
    <row r="270" spans="1:15" x14ac:dyDescent="0.25">
      <c r="A270" s="27"/>
      <c r="B270" s="27"/>
      <c r="C270" s="66"/>
      <c r="D270" s="53"/>
      <c r="E270" s="27"/>
      <c r="F270" s="27"/>
      <c r="G270" s="27"/>
      <c r="H270" s="91"/>
      <c r="I270" s="50"/>
      <c r="J270" s="27"/>
      <c r="K270" s="57"/>
      <c r="L270" s="39"/>
      <c r="M270" s="27"/>
      <c r="N270" s="99"/>
      <c r="O270" s="27"/>
    </row>
    <row r="271" spans="1:15" x14ac:dyDescent="0.25">
      <c r="A271" s="27"/>
      <c r="B271" s="27"/>
      <c r="C271" s="66"/>
      <c r="D271" s="53"/>
      <c r="E271" s="27"/>
      <c r="F271" s="27"/>
      <c r="G271" s="27"/>
      <c r="H271" s="91"/>
      <c r="I271" s="50"/>
      <c r="J271" s="27"/>
      <c r="K271" s="57"/>
      <c r="L271" s="39"/>
      <c r="M271" s="27"/>
      <c r="N271" s="99"/>
      <c r="O271" s="27"/>
    </row>
    <row r="272" spans="1:15" x14ac:dyDescent="0.25">
      <c r="A272" s="27"/>
      <c r="B272" s="27"/>
      <c r="C272" s="66"/>
      <c r="D272" s="53"/>
      <c r="E272" s="27"/>
      <c r="F272" s="27"/>
      <c r="G272" s="27"/>
      <c r="H272" s="91"/>
      <c r="I272" s="50"/>
      <c r="J272" s="27"/>
      <c r="K272" s="57"/>
      <c r="L272" s="39"/>
      <c r="M272" s="27"/>
      <c r="N272" s="99"/>
      <c r="O272" s="27"/>
    </row>
    <row r="273" spans="1:15" x14ac:dyDescent="0.25">
      <c r="A273" s="27"/>
      <c r="B273" s="27"/>
      <c r="C273" s="66"/>
      <c r="D273" s="53"/>
      <c r="E273" s="27"/>
      <c r="F273" s="27"/>
      <c r="G273" s="27"/>
      <c r="H273" s="91"/>
      <c r="I273" s="50"/>
      <c r="J273" s="27"/>
      <c r="K273" s="57"/>
      <c r="L273" s="39"/>
      <c r="M273" s="27"/>
      <c r="N273" s="99"/>
      <c r="O273" s="27"/>
    </row>
  </sheetData>
  <autoFilter ref="A1:P267" xr:uid="{00000000-0009-0000-0000-000002000000}"/>
  <conditionalFormatting sqref="A13:A25">
    <cfRule type="duplicateValues" dxfId="218" priority="336"/>
  </conditionalFormatting>
  <conditionalFormatting sqref="A53 A51 A49 A47 A45 A43 A41 A39 A37 A35 A33 A31">
    <cfRule type="duplicateValues" dxfId="217" priority="308"/>
  </conditionalFormatting>
  <conditionalFormatting sqref="A65:A70">
    <cfRule type="duplicateValues" dxfId="216" priority="274"/>
  </conditionalFormatting>
  <conditionalFormatting sqref="A81:A86">
    <cfRule type="duplicateValues" dxfId="215" priority="251"/>
  </conditionalFormatting>
  <conditionalFormatting sqref="A104:A113">
    <cfRule type="duplicateValues" dxfId="214" priority="407"/>
  </conditionalFormatting>
  <conditionalFormatting sqref="A120">
    <cfRule type="duplicateValues" dxfId="213" priority="154"/>
  </conditionalFormatting>
  <conditionalFormatting sqref="A123:A136">
    <cfRule type="duplicateValues" dxfId="212" priority="204"/>
  </conditionalFormatting>
  <conditionalFormatting sqref="A137:A146">
    <cfRule type="duplicateValues" dxfId="211" priority="198"/>
  </conditionalFormatting>
  <conditionalFormatting sqref="A156:A161">
    <cfRule type="duplicateValues" dxfId="210" priority="163"/>
  </conditionalFormatting>
  <conditionalFormatting sqref="A193:A230 A232:A233 A236:A238 A244:A245 A249 A252:A255 A257 A261:A262 A266 A268:A273">
    <cfRule type="duplicateValues" dxfId="209" priority="134"/>
  </conditionalFormatting>
  <conditionalFormatting sqref="A231">
    <cfRule type="duplicateValues" dxfId="208" priority="128"/>
  </conditionalFormatting>
  <conditionalFormatting sqref="A234">
    <cfRule type="duplicateValues" dxfId="207" priority="121"/>
  </conditionalFormatting>
  <conditionalFormatting sqref="A235">
    <cfRule type="duplicateValues" dxfId="206" priority="115"/>
  </conditionalFormatting>
  <conditionalFormatting sqref="A239">
    <cfRule type="duplicateValues" dxfId="205" priority="108"/>
  </conditionalFormatting>
  <conditionalFormatting sqref="A240">
    <cfRule type="duplicateValues" dxfId="204" priority="102"/>
  </conditionalFormatting>
  <conditionalFormatting sqref="A241">
    <cfRule type="duplicateValues" dxfId="203" priority="98"/>
  </conditionalFormatting>
  <conditionalFormatting sqref="A242">
    <cfRule type="duplicateValues" dxfId="202" priority="91"/>
  </conditionalFormatting>
  <conditionalFormatting sqref="A246:A247">
    <cfRule type="duplicateValues" dxfId="201" priority="78"/>
  </conditionalFormatting>
  <conditionalFormatting sqref="A250">
    <cfRule type="duplicateValues" dxfId="200" priority="70"/>
  </conditionalFormatting>
  <conditionalFormatting sqref="A251">
    <cfRule type="duplicateValues" dxfId="199" priority="59"/>
  </conditionalFormatting>
  <conditionalFormatting sqref="A256">
    <cfRule type="duplicateValues" dxfId="198" priority="52"/>
  </conditionalFormatting>
  <conditionalFormatting sqref="A258">
    <cfRule type="duplicateValues" dxfId="197" priority="42"/>
  </conditionalFormatting>
  <conditionalFormatting sqref="A259">
    <cfRule type="duplicateValues" dxfId="196" priority="33"/>
  </conditionalFormatting>
  <conditionalFormatting sqref="A260">
    <cfRule type="duplicateValues" dxfId="195" priority="29"/>
  </conditionalFormatting>
  <conditionalFormatting sqref="A265">
    <cfRule type="duplicateValues" dxfId="194" priority="12"/>
  </conditionalFormatting>
  <conditionalFormatting sqref="A267">
    <cfRule type="duplicateValues" dxfId="193" priority="7"/>
  </conditionalFormatting>
  <conditionalFormatting sqref="B1:B25">
    <cfRule type="duplicateValues" dxfId="192" priority="342"/>
  </conditionalFormatting>
  <conditionalFormatting sqref="B2:B12">
    <cfRule type="duplicateValues" dxfId="191" priority="341"/>
  </conditionalFormatting>
  <conditionalFormatting sqref="B13:B24">
    <cfRule type="duplicateValues" dxfId="190" priority="338"/>
  </conditionalFormatting>
  <conditionalFormatting sqref="B25">
    <cfRule type="duplicateValues" dxfId="189" priority="337"/>
  </conditionalFormatting>
  <conditionalFormatting sqref="B26">
    <cfRule type="duplicateValues" dxfId="188" priority="335"/>
  </conditionalFormatting>
  <conditionalFormatting sqref="B26:B54">
    <cfRule type="duplicateValues" dxfId="187" priority="332"/>
  </conditionalFormatting>
  <conditionalFormatting sqref="B27">
    <cfRule type="duplicateValues" dxfId="186" priority="321"/>
  </conditionalFormatting>
  <conditionalFormatting sqref="B28">
    <cfRule type="duplicateValues" dxfId="185" priority="320"/>
  </conditionalFormatting>
  <conditionalFormatting sqref="B29">
    <cfRule type="duplicateValues" dxfId="184" priority="316"/>
  </conditionalFormatting>
  <conditionalFormatting sqref="B30">
    <cfRule type="duplicateValues" dxfId="183" priority="312"/>
  </conditionalFormatting>
  <conditionalFormatting sqref="B32">
    <cfRule type="duplicateValues" dxfId="182" priority="306"/>
  </conditionalFormatting>
  <conditionalFormatting sqref="B34">
    <cfRule type="duplicateValues" dxfId="181" priority="305"/>
  </conditionalFormatting>
  <conditionalFormatting sqref="B36">
    <cfRule type="duplicateValues" dxfId="180" priority="304"/>
  </conditionalFormatting>
  <conditionalFormatting sqref="B38">
    <cfRule type="duplicateValues" dxfId="179" priority="303"/>
  </conditionalFormatting>
  <conditionalFormatting sqref="B40">
    <cfRule type="duplicateValues" dxfId="178" priority="302"/>
  </conditionalFormatting>
  <conditionalFormatting sqref="B42">
    <cfRule type="duplicateValues" dxfId="177" priority="301"/>
  </conditionalFormatting>
  <conditionalFormatting sqref="B44">
    <cfRule type="duplicateValues" dxfId="176" priority="300"/>
  </conditionalFormatting>
  <conditionalFormatting sqref="B46">
    <cfRule type="duplicateValues" dxfId="175" priority="299"/>
  </conditionalFormatting>
  <conditionalFormatting sqref="B48">
    <cfRule type="duplicateValues" dxfId="174" priority="298"/>
  </conditionalFormatting>
  <conditionalFormatting sqref="B50">
    <cfRule type="duplicateValues" dxfId="173" priority="297"/>
  </conditionalFormatting>
  <conditionalFormatting sqref="B51 B49 B47 B45 B43 B41 B39 B37 B35 B33 B31">
    <cfRule type="duplicateValues" dxfId="172" priority="307"/>
  </conditionalFormatting>
  <conditionalFormatting sqref="B52">
    <cfRule type="duplicateValues" dxfId="171" priority="296"/>
  </conditionalFormatting>
  <conditionalFormatting sqref="B53">
    <cfRule type="duplicateValues" dxfId="170" priority="295"/>
  </conditionalFormatting>
  <conditionalFormatting sqref="B54">
    <cfRule type="duplicateValues" dxfId="169" priority="153"/>
  </conditionalFormatting>
  <conditionalFormatting sqref="B55:B57">
    <cfRule type="duplicateValues" dxfId="168" priority="294"/>
  </conditionalFormatting>
  <conditionalFormatting sqref="B55:B70">
    <cfRule type="duplicateValues" dxfId="167" priority="291"/>
  </conditionalFormatting>
  <conditionalFormatting sqref="B58">
    <cfRule type="duplicateValues" dxfId="166" priority="284"/>
  </conditionalFormatting>
  <conditionalFormatting sqref="B59">
    <cfRule type="duplicateValues" dxfId="165" priority="280"/>
  </conditionalFormatting>
  <conditionalFormatting sqref="B60">
    <cfRule type="duplicateValues" dxfId="164" priority="279"/>
  </conditionalFormatting>
  <conditionalFormatting sqref="B61">
    <cfRule type="duplicateValues" dxfId="163" priority="278"/>
  </conditionalFormatting>
  <conditionalFormatting sqref="B62">
    <cfRule type="duplicateValues" dxfId="162" priority="277"/>
  </conditionalFormatting>
  <conditionalFormatting sqref="B63">
    <cfRule type="duplicateValues" dxfId="161" priority="276"/>
  </conditionalFormatting>
  <conditionalFormatting sqref="B64">
    <cfRule type="duplicateValues" dxfId="160" priority="275"/>
  </conditionalFormatting>
  <conditionalFormatting sqref="B65:B69">
    <cfRule type="duplicateValues" dxfId="159" priority="273"/>
  </conditionalFormatting>
  <conditionalFormatting sqref="B70">
    <cfRule type="duplicateValues" dxfId="158" priority="272"/>
  </conditionalFormatting>
  <conditionalFormatting sqref="B71:B73">
    <cfRule type="duplicateValues" dxfId="157" priority="271"/>
  </conditionalFormatting>
  <conditionalFormatting sqref="B71:B86">
    <cfRule type="duplicateValues" dxfId="156" priority="268"/>
  </conditionalFormatting>
  <conditionalFormatting sqref="B74">
    <cfRule type="duplicateValues" dxfId="155" priority="261"/>
  </conditionalFormatting>
  <conditionalFormatting sqref="B75">
    <cfRule type="duplicateValues" dxfId="154" priority="257"/>
  </conditionalFormatting>
  <conditionalFormatting sqref="B76">
    <cfRule type="duplicateValues" dxfId="153" priority="256"/>
  </conditionalFormatting>
  <conditionalFormatting sqref="B77">
    <cfRule type="duplicateValues" dxfId="152" priority="255"/>
  </conditionalFormatting>
  <conditionalFormatting sqref="B78">
    <cfRule type="duplicateValues" dxfId="151" priority="254"/>
  </conditionalFormatting>
  <conditionalFormatting sqref="B79">
    <cfRule type="duplicateValues" dxfId="150" priority="253"/>
  </conditionalFormatting>
  <conditionalFormatting sqref="B80">
    <cfRule type="duplicateValues" dxfId="149" priority="252"/>
  </conditionalFormatting>
  <conditionalFormatting sqref="B81:B85">
    <cfRule type="duplicateValues" dxfId="148" priority="250"/>
  </conditionalFormatting>
  <conditionalFormatting sqref="B86">
    <cfRule type="duplicateValues" dxfId="147" priority="249"/>
  </conditionalFormatting>
  <conditionalFormatting sqref="B87:B88">
    <cfRule type="duplicateValues" dxfId="146" priority="248"/>
  </conditionalFormatting>
  <conditionalFormatting sqref="B87:B103">
    <cfRule type="duplicateValues" dxfId="145" priority="245"/>
  </conditionalFormatting>
  <conditionalFormatting sqref="B104:B112">
    <cfRule type="duplicateValues" dxfId="144" priority="402"/>
  </conditionalFormatting>
  <conditionalFormatting sqref="B104:B113">
    <cfRule type="duplicateValues" dxfId="143" priority="406"/>
  </conditionalFormatting>
  <conditionalFormatting sqref="B113">
    <cfRule type="duplicateValues" dxfId="142" priority="217"/>
  </conditionalFormatting>
  <conditionalFormatting sqref="B114:B119 B121">
    <cfRule type="duplicateValues" dxfId="141" priority="215"/>
  </conditionalFormatting>
  <conditionalFormatting sqref="B114:B136">
    <cfRule type="duplicateValues" dxfId="140" priority="212"/>
  </conditionalFormatting>
  <conditionalFormatting sqref="B125:B135">
    <cfRule type="duplicateValues" dxfId="139" priority="203"/>
  </conditionalFormatting>
  <conditionalFormatting sqref="B136">
    <cfRule type="duplicateValues" dxfId="138" priority="199"/>
  </conditionalFormatting>
  <conditionalFormatting sqref="B137:B145">
    <cfRule type="duplicateValues" dxfId="137" priority="197"/>
  </conditionalFormatting>
  <conditionalFormatting sqref="B137:B146">
    <cfRule type="duplicateValues" dxfId="136" priority="196"/>
  </conditionalFormatting>
  <conditionalFormatting sqref="B146">
    <cfRule type="duplicateValues" dxfId="135" priority="190"/>
  </conditionalFormatting>
  <conditionalFormatting sqref="B147:B154">
    <cfRule type="duplicateValues" dxfId="134" priority="189"/>
  </conditionalFormatting>
  <conditionalFormatting sqref="B147:B155">
    <cfRule type="duplicateValues" dxfId="133" priority="186"/>
  </conditionalFormatting>
  <conditionalFormatting sqref="B155">
    <cfRule type="duplicateValues" dxfId="132" priority="167"/>
  </conditionalFormatting>
  <conditionalFormatting sqref="B156:B160">
    <cfRule type="duplicateValues" dxfId="131" priority="162"/>
  </conditionalFormatting>
  <conditionalFormatting sqref="B156:B161">
    <cfRule type="duplicateValues" dxfId="130" priority="161"/>
  </conditionalFormatting>
  <conditionalFormatting sqref="B161">
    <cfRule type="duplicateValues" dxfId="129" priority="155"/>
  </conditionalFormatting>
  <conditionalFormatting sqref="B162:B190">
    <cfRule type="duplicateValues" dxfId="128" priority="152"/>
  </conditionalFormatting>
  <conditionalFormatting sqref="B162:B230 B232:B233 B236:B238 B244:B245 B249 B252:B255 B257 B261:B262 B266 B268:B273">
    <cfRule type="duplicateValues" dxfId="127" priority="149"/>
  </conditionalFormatting>
  <conditionalFormatting sqref="B191:B192">
    <cfRule type="duplicateValues" dxfId="126" priority="135"/>
  </conditionalFormatting>
  <conditionalFormatting sqref="B193:B228">
    <cfRule type="duplicateValues" dxfId="125" priority="133"/>
  </conditionalFormatting>
  <conditionalFormatting sqref="B229:B230">
    <cfRule type="duplicateValues" dxfId="124" priority="132"/>
  </conditionalFormatting>
  <conditionalFormatting sqref="B231">
    <cfRule type="duplicateValues" dxfId="123" priority="127"/>
    <cfRule type="duplicateValues" dxfId="122" priority="130"/>
  </conditionalFormatting>
  <conditionalFormatting sqref="B232:B233 B236:B238 B244:B245 B249 B252:B255 B257 B261:B262 B266 B268:B273">
    <cfRule type="duplicateValues" dxfId="121" priority="131"/>
  </conditionalFormatting>
  <conditionalFormatting sqref="B234">
    <cfRule type="duplicateValues" dxfId="120" priority="120"/>
    <cfRule type="duplicateValues" dxfId="119" priority="123"/>
  </conditionalFormatting>
  <conditionalFormatting sqref="B235">
    <cfRule type="duplicateValues" dxfId="118" priority="112"/>
    <cfRule type="duplicateValues" dxfId="117" priority="114"/>
  </conditionalFormatting>
  <conditionalFormatting sqref="B239">
    <cfRule type="duplicateValues" dxfId="116" priority="106"/>
    <cfRule type="duplicateValues" dxfId="115" priority="107"/>
  </conditionalFormatting>
  <conditionalFormatting sqref="B240">
    <cfRule type="duplicateValues" dxfId="114" priority="101"/>
    <cfRule type="duplicateValues" dxfId="113" priority="104"/>
  </conditionalFormatting>
  <conditionalFormatting sqref="B241">
    <cfRule type="duplicateValues" dxfId="112" priority="97"/>
    <cfRule type="duplicateValues" dxfId="111" priority="100"/>
  </conditionalFormatting>
  <conditionalFormatting sqref="B242">
    <cfRule type="duplicateValues" dxfId="110" priority="89"/>
    <cfRule type="duplicateValues" dxfId="109" priority="90"/>
  </conditionalFormatting>
  <conditionalFormatting sqref="B243">
    <cfRule type="duplicateValues" dxfId="108" priority="84"/>
  </conditionalFormatting>
  <conditionalFormatting sqref="B248">
    <cfRule type="duplicateValues" dxfId="107" priority="75"/>
    <cfRule type="duplicateValues" dxfId="106" priority="76"/>
  </conditionalFormatting>
  <conditionalFormatting sqref="B250">
    <cfRule type="duplicateValues" dxfId="105" priority="68"/>
    <cfRule type="duplicateValues" dxfId="104" priority="69"/>
  </conditionalFormatting>
  <conditionalFormatting sqref="B251">
    <cfRule type="duplicateValues" dxfId="103" priority="58"/>
    <cfRule type="duplicateValues" dxfId="102" priority="60"/>
  </conditionalFormatting>
  <conditionalFormatting sqref="B256">
    <cfRule type="duplicateValues" dxfId="101" priority="50"/>
    <cfRule type="duplicateValues" dxfId="100" priority="51"/>
  </conditionalFormatting>
  <conditionalFormatting sqref="B258">
    <cfRule type="duplicateValues" dxfId="99" priority="41"/>
    <cfRule type="duplicateValues" dxfId="98" priority="43"/>
  </conditionalFormatting>
  <conditionalFormatting sqref="B259">
    <cfRule type="duplicateValues" dxfId="97" priority="32"/>
    <cfRule type="duplicateValues" dxfId="96" priority="35"/>
  </conditionalFormatting>
  <conditionalFormatting sqref="B260">
    <cfRule type="duplicateValues" dxfId="95" priority="28"/>
    <cfRule type="duplicateValues" dxfId="94" priority="31"/>
  </conditionalFormatting>
  <conditionalFormatting sqref="B263">
    <cfRule type="duplicateValues" dxfId="93" priority="26"/>
  </conditionalFormatting>
  <conditionalFormatting sqref="B264">
    <cfRule type="duplicateValues" dxfId="92" priority="19"/>
    <cfRule type="duplicateValues" dxfId="91" priority="20"/>
  </conditionalFormatting>
  <conditionalFormatting sqref="B265">
    <cfRule type="duplicateValues" dxfId="90" priority="11"/>
    <cfRule type="duplicateValues" dxfId="89" priority="13"/>
  </conditionalFormatting>
  <conditionalFormatting sqref="B267">
    <cfRule type="duplicateValues" dxfId="88" priority="6"/>
    <cfRule type="duplicateValues" dxfId="87" priority="8"/>
  </conditionalFormatting>
  <conditionalFormatting sqref="G2:G273">
    <cfRule type="containsText" dxfId="86" priority="5" operator="containsText" text="SIM">
      <formula>NOT(ISERROR(SEARCH("SIM",G2)))</formula>
    </cfRule>
  </conditionalFormatting>
  <conditionalFormatting sqref="I1:I9 N1:O9">
    <cfRule type="containsText" dxfId="85" priority="349" operator="containsText" text="Aguardando pedido">
      <formula>NOT(ISERROR(SEARCH("Aguardando pedido",I1)))</formula>
    </cfRule>
  </conditionalFormatting>
  <conditionalFormatting sqref="I26">
    <cfRule type="containsText" dxfId="84" priority="333" operator="containsText" text="Aguardar NF">
      <formula>NOT(ISERROR(SEARCH("Aguardar NF",I26)))</formula>
    </cfRule>
    <cfRule type="containsText" dxfId="83" priority="334" operator="containsText" text="Aguardando pedido">
      <formula>NOT(ISERROR(SEARCH("Aguardando pedido",I26)))</formula>
    </cfRule>
  </conditionalFormatting>
  <conditionalFormatting sqref="I55 N55:O55">
    <cfRule type="containsText" dxfId="82" priority="293" operator="containsText" text="Aguardando pedido">
      <formula>NOT(ISERROR(SEARCH("Aguardando pedido",I55)))</formula>
    </cfRule>
  </conditionalFormatting>
  <conditionalFormatting sqref="I71 N71:O71">
    <cfRule type="containsText" dxfId="81" priority="270" operator="containsText" text="Aguardando pedido">
      <formula>NOT(ISERROR(SEARCH("Aguardando pedido",I71)))</formula>
    </cfRule>
  </conditionalFormatting>
  <conditionalFormatting sqref="I87 N87:O87">
    <cfRule type="containsText" dxfId="80" priority="247" operator="containsText" text="Aguardando pedido">
      <formula>NOT(ISERROR(SEARCH("Aguardando pedido",I87)))</formula>
    </cfRule>
  </conditionalFormatting>
  <conditionalFormatting sqref="I114:I119 N114:O119 N120:N121">
    <cfRule type="containsText" dxfId="79" priority="214" operator="containsText" text="Aguardando pedido">
      <formula>NOT(ISERROR(SEARCH("Aguardando pedido",I114)))</formula>
    </cfRule>
  </conditionalFormatting>
  <conditionalFormatting sqref="I147:I152 N147:O152 N153:N154">
    <cfRule type="containsText" dxfId="78" priority="188" operator="containsText" text="Aguardando pedido">
      <formula>NOT(ISERROR(SEARCH("Aguardando pedido",I147)))</formula>
    </cfRule>
  </conditionalFormatting>
  <conditionalFormatting sqref="I162:I181 N162:O183 N184:N188">
    <cfRule type="containsText" dxfId="77" priority="151" operator="containsText" text="Aguardando pedido">
      <formula>NOT(ISERROR(SEARCH("Aguardando pedido",I162)))</formula>
    </cfRule>
  </conditionalFormatting>
  <conditionalFormatting sqref="L1:L273">
    <cfRule type="cellIs" dxfId="76" priority="4" operator="equal">
      <formula>4502</formula>
    </cfRule>
  </conditionalFormatting>
  <conditionalFormatting sqref="N10:N54">
    <cfRule type="containsText" dxfId="75" priority="322" operator="containsText" text="NF LANÇADA">
      <formula>NOT(ISERROR(SEARCH("NF LANÇADA",N10)))</formula>
    </cfRule>
    <cfRule type="containsText" dxfId="74" priority="325" operator="containsText" text="Aguardar NF">
      <formula>NOT(ISERROR(SEARCH("Aguardar NF",N10)))</formula>
    </cfRule>
    <cfRule type="containsText" dxfId="73" priority="326" operator="containsText" text="Aguardando pedido">
      <formula>NOT(ISERROR(SEARCH("Aguardando pedido",N10)))</formula>
    </cfRule>
  </conditionalFormatting>
  <conditionalFormatting sqref="N56:N70">
    <cfRule type="containsText" dxfId="72" priority="285" operator="containsText" text="NF LANÇADA">
      <formula>NOT(ISERROR(SEARCH("NF LANÇADA",N56)))</formula>
    </cfRule>
    <cfRule type="containsText" dxfId="71" priority="286" operator="containsText" text="Aguardar NF">
      <formula>NOT(ISERROR(SEARCH("Aguardar NF",N56)))</formula>
    </cfRule>
    <cfRule type="containsText" dxfId="70" priority="287" operator="containsText" text="Aguardando pedido">
      <formula>NOT(ISERROR(SEARCH("Aguardando pedido",N56)))</formula>
    </cfRule>
  </conditionalFormatting>
  <conditionalFormatting sqref="N72:N86">
    <cfRule type="containsText" dxfId="69" priority="262" operator="containsText" text="NF LANÇADA">
      <formula>NOT(ISERROR(SEARCH("NF LANÇADA",N72)))</formula>
    </cfRule>
    <cfRule type="containsText" dxfId="68" priority="263" operator="containsText" text="Aguardar NF">
      <formula>NOT(ISERROR(SEARCH("Aguardar NF",N72)))</formula>
    </cfRule>
    <cfRule type="containsText" dxfId="67" priority="264" operator="containsText" text="Aguardando pedido">
      <formula>NOT(ISERROR(SEARCH("Aguardando pedido",N72)))</formula>
    </cfRule>
  </conditionalFormatting>
  <conditionalFormatting sqref="N88:N113">
    <cfRule type="containsText" dxfId="66" priority="227" operator="containsText" text="NF LANÇADA">
      <formula>NOT(ISERROR(SEARCH("NF LANÇADA",N88)))</formula>
    </cfRule>
    <cfRule type="containsText" dxfId="65" priority="228" operator="containsText" text="Aguardar NF">
      <formula>NOT(ISERROR(SEARCH("Aguardar NF",N88)))</formula>
    </cfRule>
    <cfRule type="containsText" dxfId="64" priority="229" operator="containsText" text="Aguardando pedido">
      <formula>NOT(ISERROR(SEARCH("Aguardando pedido",N88)))</formula>
    </cfRule>
  </conditionalFormatting>
  <conditionalFormatting sqref="N119:N121">
    <cfRule type="containsText" dxfId="63" priority="210" operator="containsText" text="NF LANÇADA">
      <formula>NOT(ISERROR(SEARCH("NF LANÇADA",N119)))</formula>
    </cfRule>
  </conditionalFormatting>
  <conditionalFormatting sqref="N123:N146">
    <cfRule type="containsText" dxfId="62" priority="192" operator="containsText" text="NF LANÇADA">
      <formula>NOT(ISERROR(SEARCH("NF LANÇADA",N123)))</formula>
    </cfRule>
    <cfRule type="containsText" dxfId="61" priority="193" operator="containsText" text="Aguardar NF">
      <formula>NOT(ISERROR(SEARCH("Aguardar NF",N123)))</formula>
    </cfRule>
    <cfRule type="containsText" dxfId="60" priority="194" operator="containsText" text="Aguardando pedido">
      <formula>NOT(ISERROR(SEARCH("Aguardando pedido",N123)))</formula>
    </cfRule>
  </conditionalFormatting>
  <conditionalFormatting sqref="N152:N154">
    <cfRule type="containsText" dxfId="59" priority="178" operator="containsText" text="NF LANÇADA">
      <formula>NOT(ISERROR(SEARCH("NF LANÇADA",N152)))</formula>
    </cfRule>
  </conditionalFormatting>
  <conditionalFormatting sqref="N155:N161">
    <cfRule type="containsText" dxfId="58" priority="157" operator="containsText" text="NF LANÇADA">
      <formula>NOT(ISERROR(SEARCH("NF LANÇADA",N155)))</formula>
    </cfRule>
    <cfRule type="containsText" dxfId="57" priority="158" operator="containsText" text="Aguardar NF">
      <formula>NOT(ISERROR(SEARCH("Aguardar NF",N155)))</formula>
    </cfRule>
    <cfRule type="containsText" dxfId="56" priority="159" operator="containsText" text="Aguardando pedido">
      <formula>NOT(ISERROR(SEARCH("Aguardando pedido",N155)))</formula>
    </cfRule>
  </conditionalFormatting>
  <conditionalFormatting sqref="N182:N188 N178:N179 O182:O183">
    <cfRule type="containsText" dxfId="55" priority="147" operator="containsText" text="NF LANÇADA">
      <formula>NOT(ISERROR(SEARCH("NF LANÇADA",N178)))</formula>
    </cfRule>
  </conditionalFormatting>
  <conditionalFormatting sqref="N184">
    <cfRule type="containsText" dxfId="54" priority="139" operator="containsText" text="NF LANÇADA">
      <formula>NOT(ISERROR(SEARCH("NF LANÇADA",N184)))</formula>
    </cfRule>
    <cfRule type="containsText" dxfId="53" priority="142" operator="containsText" text="Aguardar NF">
      <formula>NOT(ISERROR(SEARCH("Aguardar NF",N184)))</formula>
    </cfRule>
    <cfRule type="containsText" dxfId="52" priority="143" operator="containsText" text="Aguardando pedido">
      <formula>NOT(ISERROR(SEARCH("Aguardando pedido",N184)))</formula>
    </cfRule>
  </conditionalFormatting>
  <conditionalFormatting sqref="N191:N273">
    <cfRule type="containsText" dxfId="51" priority="1" operator="containsText" text="NF LANÇADA">
      <formula>NOT(ISERROR(SEARCH("NF LANÇADA",N191)))</formula>
    </cfRule>
    <cfRule type="containsText" dxfId="50" priority="2" operator="containsText" text="Aguardar NF">
      <formula>NOT(ISERROR(SEARCH("Aguardar NF",N191)))</formula>
    </cfRule>
    <cfRule type="containsText" dxfId="49" priority="3" operator="containsText" text="Aguardando pedido">
      <formula>NOT(ISERROR(SEARCH("Aguardando pedido",N191)))</formula>
    </cfRule>
  </conditionalFormatting>
  <conditionalFormatting sqref="N1:O9 I1:I9">
    <cfRule type="containsText" dxfId="48" priority="348" operator="containsText" text="Aguardar NF">
      <formula>NOT(ISERROR(SEARCH("Aguardar NF",I1)))</formula>
    </cfRule>
  </conditionalFormatting>
  <conditionalFormatting sqref="N1:O9">
    <cfRule type="containsText" dxfId="47" priority="339" operator="containsText" text="NF LANÇADA">
      <formula>NOT(ISERROR(SEARCH("NF LANÇADA",N1)))</formula>
    </cfRule>
  </conditionalFormatting>
  <conditionalFormatting sqref="N26:O26">
    <cfRule type="containsText" dxfId="46" priority="328" operator="containsText" text="NF LANÇADA">
      <formula>NOT(ISERROR(SEARCH("NF LANÇADA",N26)))</formula>
    </cfRule>
    <cfRule type="containsText" dxfId="45" priority="329" operator="containsText" text="Aguardar NF">
      <formula>NOT(ISERROR(SEARCH("Aguardar NF",N26)))</formula>
    </cfRule>
    <cfRule type="containsText" dxfId="44" priority="330" operator="containsText" text="Aguardando pedido">
      <formula>NOT(ISERROR(SEARCH("Aguardando pedido",N26)))</formula>
    </cfRule>
  </conditionalFormatting>
  <conditionalFormatting sqref="N55:O55 I55">
    <cfRule type="containsText" dxfId="43" priority="292" operator="containsText" text="Aguardar NF">
      <formula>NOT(ISERROR(SEARCH("Aguardar NF",I55)))</formula>
    </cfRule>
  </conditionalFormatting>
  <conditionalFormatting sqref="N55:O55">
    <cfRule type="containsText" dxfId="42" priority="289" operator="containsText" text="NF LANÇADA">
      <formula>NOT(ISERROR(SEARCH("NF LANÇADA",N55)))</formula>
    </cfRule>
  </conditionalFormatting>
  <conditionalFormatting sqref="N71:O71 I71">
    <cfRule type="containsText" dxfId="41" priority="269" operator="containsText" text="Aguardar NF">
      <formula>NOT(ISERROR(SEARCH("Aguardar NF",I71)))</formula>
    </cfRule>
  </conditionalFormatting>
  <conditionalFormatting sqref="N71:O71">
    <cfRule type="containsText" dxfId="40" priority="266" operator="containsText" text="NF LANÇADA">
      <formula>NOT(ISERROR(SEARCH("NF LANÇADA",N71)))</formula>
    </cfRule>
  </conditionalFormatting>
  <conditionalFormatting sqref="N87:O87 I87">
    <cfRule type="containsText" dxfId="39" priority="246" operator="containsText" text="Aguardar NF">
      <formula>NOT(ISERROR(SEARCH("Aguardar NF",I87)))</formula>
    </cfRule>
  </conditionalFormatting>
  <conditionalFormatting sqref="N87:O87">
    <cfRule type="containsText" dxfId="38" priority="243" operator="containsText" text="NF LANÇADA">
      <formula>NOT(ISERROR(SEARCH("NF LANÇADA",N87)))</formula>
    </cfRule>
  </conditionalFormatting>
  <conditionalFormatting sqref="N114:O119 N120:N121 I114:I119">
    <cfRule type="containsText" dxfId="37" priority="213" operator="containsText" text="Aguardar NF">
      <formula>NOT(ISERROR(SEARCH("Aguardar NF",I114)))</formula>
    </cfRule>
  </conditionalFormatting>
  <conditionalFormatting sqref="N114:O119">
    <cfRule type="containsText" dxfId="36" priority="208" operator="containsText" text="NF LANÇADA">
      <formula>NOT(ISERROR(SEARCH("NF LANÇADA",N114)))</formula>
    </cfRule>
  </conditionalFormatting>
  <conditionalFormatting sqref="N121:O122">
    <cfRule type="containsText" dxfId="35" priority="205" operator="containsText" text="NF LANÇADA">
      <formula>NOT(ISERROR(SEARCH("NF LANÇADA",N121)))</formula>
    </cfRule>
    <cfRule type="containsText" dxfId="34" priority="206" operator="containsText" text="Aguardar NF">
      <formula>NOT(ISERROR(SEARCH("Aguardar NF",N121)))</formula>
    </cfRule>
    <cfRule type="containsText" dxfId="33" priority="207" operator="containsText" text="Aguardando pedido">
      <formula>NOT(ISERROR(SEARCH("Aguardando pedido",N121)))</formula>
    </cfRule>
  </conditionalFormatting>
  <conditionalFormatting sqref="N147:O152 N153:N154 I147:I152">
    <cfRule type="containsText" dxfId="32" priority="187" operator="containsText" text="Aguardar NF">
      <formula>NOT(ISERROR(SEARCH("Aguardar NF",I147)))</formula>
    </cfRule>
  </conditionalFormatting>
  <conditionalFormatting sqref="N147:O153">
    <cfRule type="containsText" dxfId="31" priority="168" operator="containsText" text="NF LANÇADA">
      <formula>NOT(ISERROR(SEARCH("NF LANÇADA",N147)))</formula>
    </cfRule>
  </conditionalFormatting>
  <conditionalFormatting sqref="N153:O153">
    <cfRule type="containsText" dxfId="30" priority="173" operator="containsText" text="Aguardar NF">
      <formula>NOT(ISERROR(SEARCH("Aguardar NF",N153)))</formula>
    </cfRule>
    <cfRule type="containsText" dxfId="29" priority="174" operator="containsText" text="Aguardando pedido">
      <formula>NOT(ISERROR(SEARCH("Aguardando pedido",N153)))</formula>
    </cfRule>
  </conditionalFormatting>
  <conditionalFormatting sqref="N162:O181">
    <cfRule type="containsText" dxfId="28" priority="144" operator="containsText" text="NF LANÇADA">
      <formula>NOT(ISERROR(SEARCH("NF LANÇADA",N162)))</formula>
    </cfRule>
  </conditionalFormatting>
  <conditionalFormatting sqref="N162:O183 N184:N188 I162:I181">
    <cfRule type="containsText" dxfId="27" priority="150" operator="containsText" text="Aguardar NF">
      <formula>NOT(ISERROR(SEARCH("Aguardar NF",I162)))</formula>
    </cfRule>
  </conditionalFormatting>
  <conditionalFormatting sqref="O28:O30">
    <cfRule type="containsText" dxfId="26" priority="309" operator="containsText" text="NF LANÇADA">
      <formula>NOT(ISERROR(SEARCH("NF LANÇADA",O28)))</formula>
    </cfRule>
    <cfRule type="containsText" dxfId="25" priority="310" operator="containsText" text="Aguardar NF">
      <formula>NOT(ISERROR(SEARCH("Aguardar NF",O28)))</formula>
    </cfRule>
    <cfRule type="containsText" dxfId="24" priority="311" operator="containsText" text="Aguardando pedido">
      <formula>NOT(ISERROR(SEARCH("Aguardando pedido",O28)))</formula>
    </cfRule>
  </conditionalFormatting>
  <conditionalFormatting sqref="O57:O58">
    <cfRule type="containsText" dxfId="23" priority="281" operator="containsText" text="NF LANÇADA">
      <formula>NOT(ISERROR(SEARCH("NF LANÇADA",O57)))</formula>
    </cfRule>
    <cfRule type="containsText" dxfId="22" priority="282" operator="containsText" text="Aguardar NF">
      <formula>NOT(ISERROR(SEARCH("Aguardar NF",O57)))</formula>
    </cfRule>
    <cfRule type="containsText" dxfId="21" priority="283" operator="containsText" text="Aguardando pedido">
      <formula>NOT(ISERROR(SEARCH("Aguardando pedido",O57)))</formula>
    </cfRule>
  </conditionalFormatting>
  <conditionalFormatting sqref="O73:O74">
    <cfRule type="containsText" dxfId="20" priority="258" operator="containsText" text="NF LANÇADA">
      <formula>NOT(ISERROR(SEARCH("NF LANÇADA",O73)))</formula>
    </cfRule>
    <cfRule type="containsText" dxfId="19" priority="259" operator="containsText" text="Aguardar NF">
      <formula>NOT(ISERROR(SEARCH("Aguardar NF",O73)))</formula>
    </cfRule>
    <cfRule type="containsText" dxfId="18" priority="260" operator="containsText" text="Aguardando pedido">
      <formula>NOT(ISERROR(SEARCH("Aguardando pedido",O73)))</formula>
    </cfRule>
  </conditionalFormatting>
  <conditionalFormatting sqref="O89">
    <cfRule type="containsText" dxfId="17" priority="239" operator="containsText" text="NF LANÇADA">
      <formula>NOT(ISERROR(SEARCH("NF LANÇADA",O89)))</formula>
    </cfRule>
    <cfRule type="containsText" dxfId="16" priority="240" operator="containsText" text="Aguardar NF">
      <formula>NOT(ISERROR(SEARCH("Aguardar NF",O89)))</formula>
    </cfRule>
    <cfRule type="containsText" dxfId="15" priority="241" operator="containsText" text="Aguardando pedido">
      <formula>NOT(ISERROR(SEARCH("Aguardando pedido",O89)))</formula>
    </cfRule>
  </conditionalFormatting>
  <conditionalFormatting sqref="O127">
    <cfRule type="containsText" dxfId="14" priority="200" operator="containsText" text="NF LANÇADA">
      <formula>NOT(ISERROR(SEARCH("NF LANÇADA",O127)))</formula>
    </cfRule>
    <cfRule type="containsText" dxfId="13" priority="201" operator="containsText" text="Aguardar NF">
      <formula>NOT(ISERROR(SEARCH("Aguardar NF",O127)))</formula>
    </cfRule>
    <cfRule type="containsText" dxfId="12" priority="202" operator="containsText" text="Aguardando pedido">
      <formula>NOT(ISERROR(SEARCH("Aguardando pedido",O127)))</formula>
    </cfRule>
  </conditionalFormatting>
  <conditionalFormatting sqref="O149">
    <cfRule type="containsText" dxfId="11" priority="182" operator="containsText" text="NF LANÇADA">
      <formula>NOT(ISERROR(SEARCH("NF LANÇADA",O149)))</formula>
    </cfRule>
  </conditionalFormatting>
  <conditionalFormatting sqref="O185:O188">
    <cfRule type="containsText" dxfId="10" priority="136" operator="containsText" text="NF LANÇADA">
      <formula>NOT(ISERROR(SEARCH("NF LANÇADA",O185)))</formula>
    </cfRule>
    <cfRule type="containsText" dxfId="9" priority="137" operator="containsText" text="Aguardar NF">
      <formula>NOT(ISERROR(SEARCH("Aguardar NF",O185)))</formula>
    </cfRule>
    <cfRule type="containsText" dxfId="8" priority="138" operator="containsText" text="Aguardando pedido">
      <formula>NOT(ISERROR(SEARCH("Aguardando pedido",O185)))</formula>
    </cfRule>
  </conditionalFormatting>
  <conditionalFormatting sqref="P1">
    <cfRule type="containsText" dxfId="7" priority="343" operator="containsText" text="NF LANÇADA">
      <formula>NOT(ISERROR(SEARCH("NF LANÇADA",P1)))</formula>
    </cfRule>
    <cfRule type="containsText" dxfId="6" priority="344" operator="containsText" text="Aguardar NF">
      <formula>NOT(ISERROR(SEARCH("Aguardar NF",P1)))</formula>
    </cfRule>
    <cfRule type="containsText" dxfId="5" priority="345" operator="containsText" text="Aguardando pedido">
      <formula>NOT(ISERROR(SEARCH("Aguardando pedido",P1)))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AJ24"/>
  <sheetViews>
    <sheetView showGridLines="0" workbookViewId="0">
      <pane ySplit="1" topLeftCell="A2" activePane="bottomLeft" state="frozen"/>
      <selection pane="bottomLeft" activeCell="AS10" sqref="A10:AS10"/>
    </sheetView>
  </sheetViews>
  <sheetFormatPr defaultColWidth="9.28515625" defaultRowHeight="15" x14ac:dyDescent="0.25"/>
  <cols>
    <col min="1" max="1" width="30.140625" customWidth="1"/>
    <col min="2" max="2" width="23.28515625" bestFit="1" customWidth="1"/>
    <col min="3" max="3" width="10.140625" bestFit="1" customWidth="1"/>
    <col min="4" max="4" width="11.5703125" customWidth="1"/>
    <col min="5" max="5" width="15" bestFit="1" customWidth="1"/>
    <col min="6" max="6" width="10.7109375" customWidth="1"/>
    <col min="7" max="7" width="8.7109375" bestFit="1" customWidth="1"/>
    <col min="8" max="8" width="25.28515625" customWidth="1"/>
    <col min="9" max="9" width="16.28515625" bestFit="1" customWidth="1"/>
    <col min="10" max="10" width="11.42578125" customWidth="1"/>
    <col min="11" max="11" width="17.7109375" bestFit="1" customWidth="1"/>
    <col min="12" max="12" width="21.5703125" customWidth="1"/>
    <col min="13" max="13" width="93.85546875" customWidth="1"/>
    <col min="14" max="28" width="11.5703125" hidden="1" customWidth="1"/>
    <col min="29" max="33" width="11.5703125" customWidth="1"/>
    <col min="34" max="34" width="9.28515625" customWidth="1"/>
    <col min="35" max="35" width="9.5703125" customWidth="1"/>
    <col min="36" max="36" width="12.28515625" customWidth="1"/>
  </cols>
  <sheetData>
    <row r="1" spans="1:36" x14ac:dyDescent="0.25">
      <c r="A1" s="7" t="s">
        <v>1393</v>
      </c>
      <c r="B1" s="7" t="s">
        <v>1394</v>
      </c>
      <c r="C1" s="7" t="s">
        <v>1395</v>
      </c>
      <c r="D1" s="7" t="s">
        <v>1396</v>
      </c>
      <c r="E1" s="8" t="s">
        <v>1397</v>
      </c>
      <c r="F1" s="7" t="s">
        <v>1398</v>
      </c>
      <c r="G1" s="7" t="s">
        <v>1399</v>
      </c>
      <c r="H1" s="7" t="s">
        <v>1268</v>
      </c>
      <c r="I1" s="7" t="s">
        <v>1400</v>
      </c>
      <c r="J1" s="9" t="s">
        <v>1401</v>
      </c>
      <c r="K1" s="9" t="s">
        <v>1402</v>
      </c>
      <c r="L1" s="7" t="s">
        <v>1403</v>
      </c>
      <c r="M1" s="10" t="s">
        <v>1404</v>
      </c>
      <c r="N1" s="11">
        <v>45352</v>
      </c>
      <c r="O1" s="11">
        <v>45383</v>
      </c>
      <c r="P1" s="11">
        <v>45413</v>
      </c>
      <c r="Q1" s="11">
        <v>45444</v>
      </c>
      <c r="R1" s="11">
        <v>45474</v>
      </c>
      <c r="S1" s="11">
        <v>45505</v>
      </c>
      <c r="T1" s="11">
        <v>45536</v>
      </c>
      <c r="U1" s="11">
        <v>45566</v>
      </c>
      <c r="V1" s="11">
        <v>45597</v>
      </c>
      <c r="W1" s="11">
        <v>45627</v>
      </c>
      <c r="X1" s="11">
        <v>45658</v>
      </c>
      <c r="Y1" s="11">
        <v>45689</v>
      </c>
      <c r="Z1" s="11">
        <v>45717</v>
      </c>
      <c r="AA1" s="11">
        <v>45748</v>
      </c>
      <c r="AB1" s="11">
        <v>45778</v>
      </c>
      <c r="AC1" s="11">
        <v>45809</v>
      </c>
      <c r="AD1" s="11">
        <v>45839</v>
      </c>
      <c r="AE1" s="11">
        <v>45870</v>
      </c>
      <c r="AF1" s="11">
        <v>45901</v>
      </c>
      <c r="AG1" s="11">
        <v>45931</v>
      </c>
      <c r="AH1" s="11">
        <v>45962</v>
      </c>
      <c r="AI1" s="11">
        <v>45992</v>
      </c>
      <c r="AJ1" s="11">
        <v>46023</v>
      </c>
    </row>
    <row r="2" spans="1:36" x14ac:dyDescent="0.25">
      <c r="A2" s="12" t="s">
        <v>1405</v>
      </c>
      <c r="B2" s="13" t="s">
        <v>1406</v>
      </c>
      <c r="C2" s="14">
        <v>112589</v>
      </c>
      <c r="D2" s="14">
        <v>14445</v>
      </c>
      <c r="E2" s="15">
        <v>146936.89000000001</v>
      </c>
      <c r="F2" s="14">
        <v>3623537</v>
      </c>
      <c r="G2" s="14">
        <v>3769130</v>
      </c>
      <c r="H2" s="14" t="s">
        <v>1407</v>
      </c>
      <c r="I2" s="14" t="s">
        <v>1408</v>
      </c>
      <c r="J2" s="16">
        <v>45313</v>
      </c>
      <c r="K2" s="16">
        <v>46043</v>
      </c>
      <c r="L2" s="14" t="s">
        <v>1409</v>
      </c>
      <c r="M2" s="17" t="s">
        <v>1410</v>
      </c>
      <c r="N2" s="14" t="s">
        <v>37</v>
      </c>
      <c r="O2" s="14" t="s">
        <v>37</v>
      </c>
      <c r="P2" s="14" t="s">
        <v>37</v>
      </c>
      <c r="Q2" s="14" t="s">
        <v>37</v>
      </c>
      <c r="R2" s="14" t="s">
        <v>37</v>
      </c>
      <c r="S2" s="14" t="s">
        <v>37</v>
      </c>
      <c r="T2" s="14" t="s">
        <v>37</v>
      </c>
      <c r="U2" s="14" t="s">
        <v>37</v>
      </c>
      <c r="V2" s="14" t="s">
        <v>37</v>
      </c>
      <c r="W2" s="14" t="s">
        <v>37</v>
      </c>
      <c r="X2" s="14" t="s">
        <v>37</v>
      </c>
      <c r="Y2" s="14" t="s">
        <v>37</v>
      </c>
      <c r="Z2" s="14" t="s">
        <v>37</v>
      </c>
      <c r="AA2" s="14" t="s">
        <v>37</v>
      </c>
      <c r="AB2" s="14" t="s">
        <v>37</v>
      </c>
      <c r="AC2" s="14" t="s">
        <v>37</v>
      </c>
      <c r="AD2" s="14" t="s">
        <v>37</v>
      </c>
      <c r="AE2" s="14" t="s">
        <v>37</v>
      </c>
      <c r="AF2" s="14" t="s">
        <v>37</v>
      </c>
      <c r="AG2" s="14" t="s">
        <v>37</v>
      </c>
      <c r="AH2" s="14" t="s">
        <v>37</v>
      </c>
      <c r="AI2" s="14" t="s">
        <v>37</v>
      </c>
      <c r="AJ2" s="14"/>
    </row>
    <row r="3" spans="1:36" hidden="1" x14ac:dyDescent="0.25">
      <c r="A3" s="18" t="s">
        <v>1411</v>
      </c>
      <c r="B3" s="18" t="s">
        <v>1412</v>
      </c>
      <c r="C3" s="19">
        <v>112325</v>
      </c>
      <c r="D3" s="19">
        <v>14277</v>
      </c>
      <c r="E3" s="20" t="s">
        <v>1413</v>
      </c>
      <c r="F3" s="19">
        <v>3623588</v>
      </c>
      <c r="G3" s="19">
        <v>3769114</v>
      </c>
      <c r="H3" s="19"/>
      <c r="I3" s="19" t="s">
        <v>1414</v>
      </c>
      <c r="J3" s="21">
        <v>45215</v>
      </c>
      <c r="K3" s="21">
        <v>45580</v>
      </c>
      <c r="L3" s="19" t="s">
        <v>1409</v>
      </c>
      <c r="M3" s="22" t="s">
        <v>1415</v>
      </c>
      <c r="N3" s="19" t="s">
        <v>37</v>
      </c>
      <c r="O3" s="19" t="s">
        <v>37</v>
      </c>
      <c r="P3" s="19" t="s">
        <v>37</v>
      </c>
      <c r="Q3" s="19" t="s">
        <v>37</v>
      </c>
      <c r="R3" s="19" t="s">
        <v>37</v>
      </c>
      <c r="S3" s="19" t="s">
        <v>37</v>
      </c>
      <c r="T3" s="19" t="s">
        <v>37</v>
      </c>
      <c r="U3" s="19" t="s">
        <v>64</v>
      </c>
      <c r="V3" s="19" t="s">
        <v>64</v>
      </c>
      <c r="W3" s="19" t="s">
        <v>64</v>
      </c>
      <c r="X3" s="19" t="s">
        <v>64</v>
      </c>
      <c r="Y3" s="19" t="s">
        <v>64</v>
      </c>
      <c r="Z3" s="19" t="s">
        <v>64</v>
      </c>
      <c r="AA3" s="19" t="s">
        <v>64</v>
      </c>
      <c r="AB3" s="19" t="s">
        <v>64</v>
      </c>
      <c r="AC3" s="19" t="s">
        <v>64</v>
      </c>
      <c r="AD3" s="19" t="s">
        <v>64</v>
      </c>
      <c r="AE3" s="19" t="s">
        <v>64</v>
      </c>
      <c r="AF3" s="19" t="s">
        <v>64</v>
      </c>
      <c r="AG3" s="19" t="s">
        <v>64</v>
      </c>
      <c r="AH3" s="19" t="s">
        <v>64</v>
      </c>
      <c r="AI3" s="19" t="s">
        <v>64</v>
      </c>
      <c r="AJ3" s="19"/>
    </row>
    <row r="4" spans="1:36" hidden="1" x14ac:dyDescent="0.25">
      <c r="A4" s="18" t="s">
        <v>1416</v>
      </c>
      <c r="B4" s="18" t="s">
        <v>1412</v>
      </c>
      <c r="C4" s="19">
        <v>111420</v>
      </c>
      <c r="D4" s="19">
        <v>13958</v>
      </c>
      <c r="E4" s="23">
        <v>31664.98</v>
      </c>
      <c r="F4" s="19"/>
      <c r="G4" s="19">
        <v>3763776</v>
      </c>
      <c r="H4" s="19" t="s">
        <v>1407</v>
      </c>
      <c r="I4" s="19" t="s">
        <v>1417</v>
      </c>
      <c r="J4" s="21">
        <v>45215</v>
      </c>
      <c r="K4" s="21">
        <v>45580</v>
      </c>
      <c r="L4" s="19" t="s">
        <v>1409</v>
      </c>
      <c r="M4" s="22" t="s">
        <v>1418</v>
      </c>
      <c r="N4" s="19" t="s">
        <v>37</v>
      </c>
      <c r="O4" s="19" t="s">
        <v>37</v>
      </c>
      <c r="P4" s="19" t="s">
        <v>37</v>
      </c>
      <c r="Q4" s="19" t="s">
        <v>37</v>
      </c>
      <c r="R4" s="19" t="s">
        <v>37</v>
      </c>
      <c r="S4" s="19" t="s">
        <v>37</v>
      </c>
      <c r="T4" s="19" t="s">
        <v>37</v>
      </c>
      <c r="U4" s="19" t="s">
        <v>37</v>
      </c>
      <c r="V4" s="19" t="s">
        <v>64</v>
      </c>
      <c r="W4" s="19" t="s">
        <v>64</v>
      </c>
      <c r="X4" s="19" t="s">
        <v>64</v>
      </c>
      <c r="Y4" s="19" t="s">
        <v>64</v>
      </c>
      <c r="Z4" s="19" t="s">
        <v>64</v>
      </c>
      <c r="AA4" s="19" t="s">
        <v>64</v>
      </c>
      <c r="AB4" s="19" t="s">
        <v>64</v>
      </c>
      <c r="AC4" s="19" t="s">
        <v>64</v>
      </c>
      <c r="AD4" s="19" t="s">
        <v>64</v>
      </c>
      <c r="AE4" s="19" t="s">
        <v>64</v>
      </c>
      <c r="AF4" s="19" t="s">
        <v>64</v>
      </c>
      <c r="AG4" s="19" t="s">
        <v>64</v>
      </c>
      <c r="AH4" s="19" t="s">
        <v>64</v>
      </c>
      <c r="AI4" s="19" t="s">
        <v>64</v>
      </c>
      <c r="AJ4" s="19"/>
    </row>
    <row r="5" spans="1:36" x14ac:dyDescent="0.25">
      <c r="A5" s="12" t="s">
        <v>1419</v>
      </c>
      <c r="B5" s="13" t="s">
        <v>1406</v>
      </c>
      <c r="C5" s="14">
        <v>111657</v>
      </c>
      <c r="D5" s="14">
        <v>3624</v>
      </c>
      <c r="E5" s="15">
        <v>4074.44</v>
      </c>
      <c r="F5" s="14">
        <v>3619858</v>
      </c>
      <c r="G5" s="14">
        <v>3766711</v>
      </c>
      <c r="H5" s="14" t="s">
        <v>1407</v>
      </c>
      <c r="I5" s="14" t="s">
        <v>1417</v>
      </c>
      <c r="J5" s="16">
        <v>41792</v>
      </c>
      <c r="K5" s="16">
        <v>72686</v>
      </c>
      <c r="L5" s="14" t="s">
        <v>1420</v>
      </c>
      <c r="M5" s="17" t="s">
        <v>1421</v>
      </c>
      <c r="N5" s="14" t="s">
        <v>37</v>
      </c>
      <c r="O5" s="14" t="s">
        <v>37</v>
      </c>
      <c r="P5" s="14" t="s">
        <v>37</v>
      </c>
      <c r="Q5" s="14" t="s">
        <v>37</v>
      </c>
      <c r="R5" s="14" t="s">
        <v>37</v>
      </c>
      <c r="S5" s="14" t="s">
        <v>37</v>
      </c>
      <c r="T5" s="14" t="s">
        <v>37</v>
      </c>
      <c r="U5" s="14" t="s">
        <v>37</v>
      </c>
      <c r="V5" s="14" t="s">
        <v>37</v>
      </c>
      <c r="W5" s="14" t="s">
        <v>37</v>
      </c>
      <c r="X5" s="14" t="s">
        <v>37</v>
      </c>
      <c r="Y5" s="14" t="s">
        <v>37</v>
      </c>
      <c r="Z5" s="14" t="s">
        <v>37</v>
      </c>
      <c r="AA5" s="14" t="s">
        <v>37</v>
      </c>
      <c r="AB5" s="14" t="s">
        <v>37</v>
      </c>
      <c r="AC5" s="14" t="s">
        <v>37</v>
      </c>
      <c r="AD5" s="14" t="s">
        <v>37</v>
      </c>
      <c r="AE5" s="14" t="s">
        <v>37</v>
      </c>
      <c r="AF5" s="14" t="s">
        <v>37</v>
      </c>
      <c r="AG5" s="14" t="s">
        <v>37</v>
      </c>
      <c r="AH5" s="14" t="s">
        <v>37</v>
      </c>
      <c r="AI5" s="14" t="s">
        <v>37</v>
      </c>
      <c r="AJ5" s="14"/>
    </row>
    <row r="6" spans="1:36" ht="165" x14ac:dyDescent="0.25">
      <c r="A6" s="12" t="s">
        <v>1422</v>
      </c>
      <c r="B6" s="13" t="s">
        <v>1423</v>
      </c>
      <c r="C6" s="14">
        <v>112382</v>
      </c>
      <c r="D6" s="14">
        <v>834</v>
      </c>
      <c r="E6" s="15">
        <v>13133.68</v>
      </c>
      <c r="F6" s="24">
        <v>3494194</v>
      </c>
      <c r="G6" s="24">
        <v>3741081</v>
      </c>
      <c r="H6" s="14">
        <v>2208</v>
      </c>
      <c r="I6" s="14" t="s">
        <v>1424</v>
      </c>
      <c r="J6" s="16">
        <v>40134</v>
      </c>
      <c r="K6" s="16">
        <v>73049</v>
      </c>
      <c r="L6" s="14" t="s">
        <v>1425</v>
      </c>
      <c r="M6" s="17" t="s">
        <v>1426</v>
      </c>
      <c r="N6" s="14" t="s">
        <v>37</v>
      </c>
      <c r="O6" s="14" t="s">
        <v>37</v>
      </c>
      <c r="P6" s="14" t="s">
        <v>37</v>
      </c>
      <c r="Q6" s="14" t="s">
        <v>37</v>
      </c>
      <c r="R6" s="14" t="s">
        <v>37</v>
      </c>
      <c r="S6" s="14" t="s">
        <v>37</v>
      </c>
      <c r="T6" s="14" t="s">
        <v>71</v>
      </c>
      <c r="U6" s="14" t="s">
        <v>37</v>
      </c>
      <c r="V6" s="14" t="s">
        <v>37</v>
      </c>
      <c r="W6" s="14" t="s">
        <v>37</v>
      </c>
      <c r="X6" s="25" t="s">
        <v>1427</v>
      </c>
      <c r="Y6" s="25" t="s">
        <v>1427</v>
      </c>
      <c r="Z6" s="25" t="s">
        <v>1427</v>
      </c>
      <c r="AA6" s="25" t="s">
        <v>1427</v>
      </c>
      <c r="AB6" s="25" t="s">
        <v>1427</v>
      </c>
      <c r="AC6" s="25" t="s">
        <v>1427</v>
      </c>
      <c r="AD6" s="25" t="s">
        <v>1427</v>
      </c>
      <c r="AE6" s="25" t="s">
        <v>1427</v>
      </c>
      <c r="AF6" s="25" t="s">
        <v>1427</v>
      </c>
      <c r="AG6" s="25" t="s">
        <v>1427</v>
      </c>
      <c r="AH6" s="25" t="s">
        <v>1427</v>
      </c>
      <c r="AI6" s="25" t="s">
        <v>1427</v>
      </c>
      <c r="AJ6" s="200" t="s">
        <v>1428</v>
      </c>
    </row>
    <row r="7" spans="1:36" x14ac:dyDescent="0.25">
      <c r="A7" s="12" t="s">
        <v>1429</v>
      </c>
      <c r="B7" s="13" t="s">
        <v>1406</v>
      </c>
      <c r="C7" s="14">
        <v>112582</v>
      </c>
      <c r="D7" s="14">
        <v>14441</v>
      </c>
      <c r="E7" s="26">
        <v>1595.88</v>
      </c>
      <c r="F7" s="14">
        <v>3627916</v>
      </c>
      <c r="G7" s="14">
        <v>3773474</v>
      </c>
      <c r="H7" s="14" t="s">
        <v>1430</v>
      </c>
      <c r="I7" s="14" t="s">
        <v>1431</v>
      </c>
      <c r="J7" s="16">
        <v>45215</v>
      </c>
      <c r="K7" s="16">
        <v>45782</v>
      </c>
      <c r="L7" s="14" t="s">
        <v>1409</v>
      </c>
      <c r="M7" s="17" t="s">
        <v>1432</v>
      </c>
      <c r="N7" s="14" t="s">
        <v>37</v>
      </c>
      <c r="O7" s="14" t="s">
        <v>37</v>
      </c>
      <c r="P7" s="14" t="s">
        <v>37</v>
      </c>
      <c r="Q7" s="14" t="s">
        <v>37</v>
      </c>
      <c r="R7" s="14" t="s">
        <v>71</v>
      </c>
      <c r="S7" s="14" t="s">
        <v>37</v>
      </c>
      <c r="T7" s="14" t="s">
        <v>37</v>
      </c>
      <c r="U7" s="14" t="s">
        <v>37</v>
      </c>
      <c r="V7" s="14" t="s">
        <v>37</v>
      </c>
      <c r="W7" s="14" t="s">
        <v>37</v>
      </c>
      <c r="X7" s="14" t="s">
        <v>37</v>
      </c>
      <c r="Y7" s="14" t="s">
        <v>37</v>
      </c>
      <c r="Z7" s="14" t="s">
        <v>37</v>
      </c>
      <c r="AA7" s="14" t="s">
        <v>71</v>
      </c>
      <c r="AB7" s="14" t="s">
        <v>37</v>
      </c>
      <c r="AC7" s="14" t="s">
        <v>37</v>
      </c>
      <c r="AD7" s="14" t="s">
        <v>37</v>
      </c>
      <c r="AE7" s="14" t="s">
        <v>37</v>
      </c>
      <c r="AF7" s="14" t="s">
        <v>37</v>
      </c>
      <c r="AG7" s="14" t="s">
        <v>37</v>
      </c>
      <c r="AH7" s="14" t="s">
        <v>37</v>
      </c>
      <c r="AI7" s="14" t="s">
        <v>37</v>
      </c>
      <c r="AJ7" s="14"/>
    </row>
    <row r="8" spans="1:36" x14ac:dyDescent="0.25">
      <c r="A8" s="12" t="s">
        <v>1429</v>
      </c>
      <c r="B8" s="13" t="s">
        <v>1406</v>
      </c>
      <c r="C8" s="14">
        <v>112582</v>
      </c>
      <c r="D8" s="14">
        <v>14441</v>
      </c>
      <c r="E8" s="15">
        <v>521.95000000000005</v>
      </c>
      <c r="F8" s="14">
        <v>3631801</v>
      </c>
      <c r="G8" s="14">
        <v>3776543</v>
      </c>
      <c r="H8" s="14" t="s">
        <v>1430</v>
      </c>
      <c r="I8" s="14" t="s">
        <v>1431</v>
      </c>
      <c r="J8" s="16">
        <v>45215</v>
      </c>
      <c r="K8" s="16">
        <v>45782</v>
      </c>
      <c r="L8" s="14" t="s">
        <v>1409</v>
      </c>
      <c r="M8" s="17" t="s">
        <v>1433</v>
      </c>
      <c r="N8" s="14" t="s">
        <v>37</v>
      </c>
      <c r="O8" s="14" t="s">
        <v>37</v>
      </c>
      <c r="P8" s="14" t="s">
        <v>37</v>
      </c>
      <c r="Q8" s="14" t="s">
        <v>37</v>
      </c>
      <c r="R8" s="14" t="s">
        <v>37</v>
      </c>
      <c r="S8" s="14" t="s">
        <v>71</v>
      </c>
      <c r="T8" s="14" t="s">
        <v>37</v>
      </c>
      <c r="U8" s="14" t="s">
        <v>37</v>
      </c>
      <c r="V8" s="14" t="s">
        <v>37</v>
      </c>
      <c r="W8" s="14" t="s">
        <v>37</v>
      </c>
      <c r="X8" s="14" t="s">
        <v>37</v>
      </c>
      <c r="Y8" s="14" t="s">
        <v>37</v>
      </c>
      <c r="Z8" s="14" t="s">
        <v>37</v>
      </c>
      <c r="AA8" s="14" t="s">
        <v>37</v>
      </c>
      <c r="AB8" s="14" t="s">
        <v>71</v>
      </c>
      <c r="AC8" s="14" t="s">
        <v>37</v>
      </c>
      <c r="AD8" s="14" t="s">
        <v>37</v>
      </c>
      <c r="AE8" s="14" t="s">
        <v>37</v>
      </c>
      <c r="AF8" s="14" t="s">
        <v>37</v>
      </c>
      <c r="AG8" s="14" t="s">
        <v>37</v>
      </c>
      <c r="AH8" s="14" t="s">
        <v>37</v>
      </c>
      <c r="AI8" s="14" t="s">
        <v>37</v>
      </c>
      <c r="AJ8" s="14" t="s">
        <v>71</v>
      </c>
    </row>
    <row r="9" spans="1:36" x14ac:dyDescent="0.25">
      <c r="A9" s="12" t="s">
        <v>1434</v>
      </c>
      <c r="B9" s="13" t="s">
        <v>1406</v>
      </c>
      <c r="C9" s="14">
        <v>114403</v>
      </c>
      <c r="D9" s="14">
        <v>9655</v>
      </c>
      <c r="E9" s="15">
        <v>415</v>
      </c>
      <c r="F9" s="14">
        <v>3796459</v>
      </c>
      <c r="G9" s="14">
        <v>3934135</v>
      </c>
      <c r="H9" s="27">
        <v>2054</v>
      </c>
      <c r="I9" s="14" t="s">
        <v>1417</v>
      </c>
      <c r="J9" s="16">
        <v>43983</v>
      </c>
      <c r="K9" s="16" t="s">
        <v>1435</v>
      </c>
      <c r="L9" s="14" t="s">
        <v>1409</v>
      </c>
      <c r="M9" s="28" t="s">
        <v>1285</v>
      </c>
      <c r="N9" s="14" t="s">
        <v>35</v>
      </c>
      <c r="O9" s="14" t="s">
        <v>35</v>
      </c>
      <c r="P9" s="14" t="s">
        <v>35</v>
      </c>
      <c r="Q9" s="14" t="s">
        <v>35</v>
      </c>
      <c r="R9" s="14" t="s">
        <v>37</v>
      </c>
      <c r="S9" s="14" t="s">
        <v>37</v>
      </c>
      <c r="T9" s="14" t="s">
        <v>37</v>
      </c>
      <c r="U9" s="14" t="s">
        <v>37</v>
      </c>
      <c r="V9" s="14" t="s">
        <v>37</v>
      </c>
      <c r="W9" s="14" t="s">
        <v>37</v>
      </c>
      <c r="X9" s="14" t="s">
        <v>37</v>
      </c>
      <c r="Y9" s="14" t="s">
        <v>37</v>
      </c>
      <c r="Z9" s="14" t="s">
        <v>37</v>
      </c>
      <c r="AA9" s="14" t="s">
        <v>37</v>
      </c>
      <c r="AB9" s="14" t="s">
        <v>37</v>
      </c>
      <c r="AC9" s="14" t="s">
        <v>37</v>
      </c>
      <c r="AD9" s="14" t="s">
        <v>37</v>
      </c>
      <c r="AE9" s="14" t="s">
        <v>37</v>
      </c>
      <c r="AF9" s="14" t="s">
        <v>37</v>
      </c>
      <c r="AG9" s="14" t="s">
        <v>37</v>
      </c>
      <c r="AH9" s="14" t="s">
        <v>37</v>
      </c>
      <c r="AI9" s="14" t="s">
        <v>37</v>
      </c>
      <c r="AJ9" s="14"/>
    </row>
    <row r="10" spans="1:36" ht="135" x14ac:dyDescent="0.25">
      <c r="A10" s="12" t="s">
        <v>1436</v>
      </c>
      <c r="B10" s="13" t="s">
        <v>1406</v>
      </c>
      <c r="C10" s="14">
        <v>114402</v>
      </c>
      <c r="D10" s="14">
        <v>9654</v>
      </c>
      <c r="E10" s="15">
        <v>6250.23</v>
      </c>
      <c r="F10" s="14">
        <v>3796471</v>
      </c>
      <c r="G10" s="14">
        <v>3934127</v>
      </c>
      <c r="H10" s="27" t="s">
        <v>1437</v>
      </c>
      <c r="I10" s="14" t="s">
        <v>1417</v>
      </c>
      <c r="J10" s="16">
        <v>43983</v>
      </c>
      <c r="K10" s="16" t="s">
        <v>1435</v>
      </c>
      <c r="L10" s="14" t="s">
        <v>1409</v>
      </c>
      <c r="M10" s="28" t="s">
        <v>1438</v>
      </c>
      <c r="N10" s="14" t="s">
        <v>35</v>
      </c>
      <c r="O10" s="14" t="s">
        <v>35</v>
      </c>
      <c r="P10" s="14" t="s">
        <v>35</v>
      </c>
      <c r="Q10" s="14" t="s">
        <v>35</v>
      </c>
      <c r="R10" s="14" t="s">
        <v>71</v>
      </c>
      <c r="S10" s="14" t="s">
        <v>71</v>
      </c>
      <c r="T10" s="14" t="s">
        <v>71</v>
      </c>
      <c r="U10" s="14" t="s">
        <v>71</v>
      </c>
      <c r="V10" s="14" t="s">
        <v>37</v>
      </c>
      <c r="W10" s="14" t="s">
        <v>37</v>
      </c>
      <c r="X10" s="14" t="s">
        <v>37</v>
      </c>
      <c r="Y10" s="14" t="s">
        <v>37</v>
      </c>
      <c r="Z10" s="14" t="s">
        <v>37</v>
      </c>
      <c r="AA10" s="14" t="s">
        <v>37</v>
      </c>
      <c r="AB10" s="14" t="s">
        <v>37</v>
      </c>
      <c r="AC10" s="14" t="s">
        <v>37</v>
      </c>
      <c r="AD10" s="14" t="s">
        <v>37</v>
      </c>
      <c r="AE10" s="14" t="s">
        <v>37</v>
      </c>
      <c r="AF10" s="14" t="s">
        <v>37</v>
      </c>
      <c r="AG10" s="14" t="s">
        <v>37</v>
      </c>
      <c r="AH10" s="14" t="s">
        <v>37</v>
      </c>
      <c r="AI10" s="14" t="s">
        <v>37</v>
      </c>
      <c r="AJ10" s="14"/>
    </row>
    <row r="11" spans="1:36" x14ac:dyDescent="0.25">
      <c r="A11" s="12" t="s">
        <v>1439</v>
      </c>
      <c r="B11" s="13" t="s">
        <v>1406</v>
      </c>
      <c r="C11" s="14">
        <v>113132</v>
      </c>
      <c r="D11" s="14">
        <v>5835</v>
      </c>
      <c r="E11" s="15">
        <v>1321.16</v>
      </c>
      <c r="F11" s="14" t="s">
        <v>35</v>
      </c>
      <c r="G11" s="14" t="s">
        <v>35</v>
      </c>
      <c r="H11" s="14">
        <v>1295</v>
      </c>
      <c r="I11" s="14" t="s">
        <v>1440</v>
      </c>
      <c r="J11" s="16">
        <v>42555</v>
      </c>
      <c r="K11" s="16">
        <v>46387</v>
      </c>
      <c r="L11" s="14" t="s">
        <v>35</v>
      </c>
      <c r="M11" s="17" t="s">
        <v>1304</v>
      </c>
      <c r="N11" s="14" t="s">
        <v>37</v>
      </c>
      <c r="O11" s="14" t="s">
        <v>35</v>
      </c>
      <c r="P11" s="14" t="s">
        <v>35</v>
      </c>
      <c r="Q11" s="14" t="s">
        <v>35</v>
      </c>
      <c r="R11" s="14" t="s">
        <v>37</v>
      </c>
      <c r="S11" s="14" t="s">
        <v>37</v>
      </c>
      <c r="T11" s="14" t="s">
        <v>37</v>
      </c>
      <c r="U11" s="14" t="s">
        <v>71</v>
      </c>
      <c r="V11" s="14" t="s">
        <v>37</v>
      </c>
      <c r="W11" s="14" t="s">
        <v>37</v>
      </c>
      <c r="X11" s="14" t="s">
        <v>37</v>
      </c>
      <c r="Y11" s="14" t="s">
        <v>37</v>
      </c>
      <c r="Z11" s="14" t="s">
        <v>37</v>
      </c>
      <c r="AA11" s="14" t="s">
        <v>37</v>
      </c>
      <c r="AB11" s="14" t="s">
        <v>37</v>
      </c>
      <c r="AC11" s="14" t="s">
        <v>37</v>
      </c>
      <c r="AD11" s="14" t="s">
        <v>37</v>
      </c>
      <c r="AE11" s="14" t="s">
        <v>37</v>
      </c>
      <c r="AF11" s="14" t="s">
        <v>37</v>
      </c>
      <c r="AG11" s="14" t="s">
        <v>37</v>
      </c>
      <c r="AH11" s="14" t="s">
        <v>37</v>
      </c>
      <c r="AI11" s="14" t="s">
        <v>37</v>
      </c>
      <c r="AJ11" s="14"/>
    </row>
    <row r="12" spans="1:36" hidden="1" x14ac:dyDescent="0.25">
      <c r="A12" s="18" t="s">
        <v>1309</v>
      </c>
      <c r="B12" s="19" t="s">
        <v>1441</v>
      </c>
      <c r="C12" s="19">
        <v>119738</v>
      </c>
      <c r="D12" s="19">
        <v>15713</v>
      </c>
      <c r="E12" s="23">
        <v>7500</v>
      </c>
      <c r="F12" s="19">
        <v>3977321</v>
      </c>
      <c r="G12" s="19">
        <v>4106352</v>
      </c>
      <c r="H12" s="19">
        <v>1210</v>
      </c>
      <c r="I12" s="19" t="s">
        <v>1440</v>
      </c>
      <c r="J12" s="21">
        <v>45645</v>
      </c>
      <c r="K12" s="21">
        <v>45991</v>
      </c>
      <c r="L12" s="19" t="s">
        <v>1420</v>
      </c>
      <c r="M12" s="22" t="s">
        <v>1307</v>
      </c>
      <c r="N12" s="19" t="s">
        <v>35</v>
      </c>
      <c r="O12" s="19" t="s">
        <v>35</v>
      </c>
      <c r="P12" s="19" t="s">
        <v>35</v>
      </c>
      <c r="Q12" s="19" t="s">
        <v>35</v>
      </c>
      <c r="R12" s="19" t="s">
        <v>35</v>
      </c>
      <c r="S12" s="19" t="s">
        <v>35</v>
      </c>
      <c r="T12" s="19" t="s">
        <v>35</v>
      </c>
      <c r="U12" s="19" t="s">
        <v>35</v>
      </c>
      <c r="V12" s="19" t="s">
        <v>35</v>
      </c>
      <c r="W12" s="19" t="s">
        <v>35</v>
      </c>
      <c r="X12" s="19" t="s">
        <v>37</v>
      </c>
      <c r="Y12" s="19" t="s">
        <v>37</v>
      </c>
      <c r="Z12" s="19" t="s">
        <v>37</v>
      </c>
      <c r="AA12" s="19" t="s">
        <v>37</v>
      </c>
      <c r="AB12" s="19" t="s">
        <v>37</v>
      </c>
      <c r="AC12" s="19" t="s">
        <v>37</v>
      </c>
      <c r="AD12" s="19" t="s">
        <v>37</v>
      </c>
      <c r="AE12" s="19" t="s">
        <v>37</v>
      </c>
      <c r="AF12" s="19" t="s">
        <v>37</v>
      </c>
      <c r="AG12" s="19" t="s">
        <v>37</v>
      </c>
      <c r="AH12" s="19" t="s">
        <v>37</v>
      </c>
      <c r="AI12" s="19" t="s">
        <v>64</v>
      </c>
      <c r="AJ12" s="19"/>
    </row>
    <row r="13" spans="1:36" x14ac:dyDescent="0.25">
      <c r="A13" s="12" t="s">
        <v>1442</v>
      </c>
      <c r="B13" s="13" t="s">
        <v>1406</v>
      </c>
      <c r="C13" s="14">
        <v>128247</v>
      </c>
      <c r="D13" s="14">
        <v>18060</v>
      </c>
      <c r="E13" s="15">
        <v>8730</v>
      </c>
      <c r="F13" s="14">
        <v>4285976</v>
      </c>
      <c r="G13" s="14">
        <v>4412650</v>
      </c>
      <c r="H13" s="14">
        <v>1210</v>
      </c>
      <c r="I13" s="14" t="s">
        <v>1443</v>
      </c>
      <c r="J13" s="16">
        <v>45992</v>
      </c>
      <c r="K13" s="16" t="s">
        <v>1435</v>
      </c>
      <c r="L13" s="14" t="s">
        <v>1409</v>
      </c>
      <c r="M13" s="17" t="s">
        <v>1307</v>
      </c>
      <c r="N13" s="14"/>
      <c r="O13" s="14"/>
      <c r="P13" s="14"/>
      <c r="Q13" s="14"/>
      <c r="R13" s="14"/>
      <c r="S13" s="14"/>
      <c r="T13" s="14"/>
      <c r="U13" s="14"/>
      <c r="V13" s="14"/>
      <c r="W13" s="14"/>
      <c r="X13" s="14"/>
      <c r="Y13" s="14"/>
      <c r="Z13" s="14"/>
      <c r="AA13" s="14"/>
      <c r="AB13" s="14"/>
      <c r="AC13" s="14"/>
      <c r="AD13" s="14"/>
      <c r="AE13" s="14" t="s">
        <v>35</v>
      </c>
      <c r="AF13" s="14" t="s">
        <v>35</v>
      </c>
      <c r="AG13" s="14" t="s">
        <v>35</v>
      </c>
      <c r="AH13" s="14" t="s">
        <v>35</v>
      </c>
      <c r="AI13" s="14" t="s">
        <v>37</v>
      </c>
      <c r="AJ13" s="14"/>
    </row>
    <row r="14" spans="1:36" ht="315" x14ac:dyDescent="0.25">
      <c r="A14" s="12" t="s">
        <v>1311</v>
      </c>
      <c r="B14" s="13" t="s">
        <v>1406</v>
      </c>
      <c r="C14" s="14">
        <v>119950</v>
      </c>
      <c r="D14" s="14">
        <v>15839</v>
      </c>
      <c r="E14" s="15">
        <v>2750</v>
      </c>
      <c r="F14" s="14">
        <v>4002793</v>
      </c>
      <c r="G14" s="14">
        <v>4129082</v>
      </c>
      <c r="H14" s="27" t="s">
        <v>1444</v>
      </c>
      <c r="I14" s="14" t="s">
        <v>1431</v>
      </c>
      <c r="J14" s="16">
        <v>45689</v>
      </c>
      <c r="K14" s="16" t="s">
        <v>1435</v>
      </c>
      <c r="L14" s="14" t="s">
        <v>1420</v>
      </c>
      <c r="M14" s="28" t="s">
        <v>1445</v>
      </c>
      <c r="N14" s="14" t="s">
        <v>35</v>
      </c>
      <c r="O14" s="14" t="s">
        <v>35</v>
      </c>
      <c r="P14" s="14" t="s">
        <v>35</v>
      </c>
      <c r="Q14" s="14" t="s">
        <v>35</v>
      </c>
      <c r="R14" s="14" t="s">
        <v>35</v>
      </c>
      <c r="S14" s="14" t="s">
        <v>35</v>
      </c>
      <c r="T14" s="14" t="s">
        <v>35</v>
      </c>
      <c r="U14" s="14" t="s">
        <v>35</v>
      </c>
      <c r="V14" s="14" t="s">
        <v>35</v>
      </c>
      <c r="W14" s="14" t="s">
        <v>35</v>
      </c>
      <c r="X14" s="14" t="s">
        <v>35</v>
      </c>
      <c r="Y14" s="14" t="s">
        <v>35</v>
      </c>
      <c r="Z14" s="14" t="s">
        <v>37</v>
      </c>
      <c r="AA14" s="14" t="s">
        <v>37</v>
      </c>
      <c r="AB14" s="14" t="s">
        <v>37</v>
      </c>
      <c r="AC14" s="14" t="s">
        <v>37</v>
      </c>
      <c r="AD14" s="14" t="s">
        <v>37</v>
      </c>
      <c r="AE14" s="14" t="s">
        <v>37</v>
      </c>
      <c r="AF14" s="14" t="s">
        <v>37</v>
      </c>
      <c r="AG14" s="14" t="s">
        <v>37</v>
      </c>
      <c r="AH14" s="14" t="s">
        <v>37</v>
      </c>
      <c r="AI14" s="14" t="s">
        <v>37</v>
      </c>
      <c r="AJ14" s="14" t="s">
        <v>37</v>
      </c>
    </row>
    <row r="15" spans="1:36" ht="30" x14ac:dyDescent="0.25">
      <c r="A15" s="12" t="s">
        <v>248</v>
      </c>
      <c r="B15" s="13" t="s">
        <v>1406</v>
      </c>
      <c r="C15" s="14">
        <v>112762</v>
      </c>
      <c r="D15" s="14">
        <v>14442</v>
      </c>
      <c r="E15" s="15">
        <v>29471.02</v>
      </c>
      <c r="F15" s="29">
        <v>4004885</v>
      </c>
      <c r="G15" s="29">
        <v>4131474</v>
      </c>
      <c r="H15" s="30" t="s">
        <v>1332</v>
      </c>
      <c r="I15" s="29" t="s">
        <v>1446</v>
      </c>
      <c r="J15" s="16">
        <v>45292</v>
      </c>
      <c r="K15" s="16">
        <v>46022</v>
      </c>
      <c r="L15" s="14" t="s">
        <v>1447</v>
      </c>
      <c r="M15" s="28" t="s">
        <v>1448</v>
      </c>
      <c r="N15" s="14" t="s">
        <v>35</v>
      </c>
      <c r="O15" s="14" t="s">
        <v>35</v>
      </c>
      <c r="P15" s="14" t="s">
        <v>35</v>
      </c>
      <c r="Q15" s="14" t="s">
        <v>35</v>
      </c>
      <c r="R15" s="14" t="s">
        <v>35</v>
      </c>
      <c r="S15" s="14" t="s">
        <v>35</v>
      </c>
      <c r="T15" s="14" t="s">
        <v>35</v>
      </c>
      <c r="U15" s="14" t="s">
        <v>35</v>
      </c>
      <c r="V15" s="14" t="s">
        <v>35</v>
      </c>
      <c r="W15" s="14" t="s">
        <v>35</v>
      </c>
      <c r="X15" s="14" t="s">
        <v>37</v>
      </c>
      <c r="Y15" s="14" t="s">
        <v>37</v>
      </c>
      <c r="Z15" s="14" t="s">
        <v>37</v>
      </c>
      <c r="AA15" s="14" t="s">
        <v>37</v>
      </c>
      <c r="AB15" s="14" t="s">
        <v>37</v>
      </c>
      <c r="AC15" s="14" t="s">
        <v>37</v>
      </c>
      <c r="AD15" s="14" t="s">
        <v>37</v>
      </c>
      <c r="AE15" s="14" t="s">
        <v>37</v>
      </c>
      <c r="AF15" s="14" t="s">
        <v>37</v>
      </c>
      <c r="AG15" s="14" t="s">
        <v>37</v>
      </c>
      <c r="AH15" s="14" t="s">
        <v>37</v>
      </c>
      <c r="AI15" s="14" t="s">
        <v>37</v>
      </c>
      <c r="AJ15" s="14"/>
    </row>
    <row r="16" spans="1:36" ht="30" x14ac:dyDescent="0.25">
      <c r="A16" s="12" t="s">
        <v>54</v>
      </c>
      <c r="B16" s="13" t="s">
        <v>1406</v>
      </c>
      <c r="C16" s="14">
        <v>120411</v>
      </c>
      <c r="D16" s="14">
        <v>16000</v>
      </c>
      <c r="E16" s="31">
        <v>200</v>
      </c>
      <c r="F16" s="14">
        <v>4039778</v>
      </c>
      <c r="G16" s="14">
        <v>4165984</v>
      </c>
      <c r="H16" s="19" t="s">
        <v>1449</v>
      </c>
      <c r="I16" s="14" t="s">
        <v>1408</v>
      </c>
      <c r="J16" s="32">
        <v>45717</v>
      </c>
      <c r="K16" s="16" t="s">
        <v>1435</v>
      </c>
      <c r="L16" s="14" t="s">
        <v>1409</v>
      </c>
      <c r="M16" s="28" t="s">
        <v>1450</v>
      </c>
      <c r="N16" s="14" t="s">
        <v>35</v>
      </c>
      <c r="O16" s="14" t="s">
        <v>35</v>
      </c>
      <c r="P16" s="14" t="s">
        <v>35</v>
      </c>
      <c r="Q16" s="14" t="s">
        <v>35</v>
      </c>
      <c r="R16" s="14" t="s">
        <v>35</v>
      </c>
      <c r="S16" s="14" t="s">
        <v>35</v>
      </c>
      <c r="T16" s="14" t="s">
        <v>35</v>
      </c>
      <c r="U16" s="14" t="s">
        <v>35</v>
      </c>
      <c r="V16" s="14" t="s">
        <v>35</v>
      </c>
      <c r="W16" s="14" t="s">
        <v>35</v>
      </c>
      <c r="X16" s="14" t="s">
        <v>35</v>
      </c>
      <c r="Y16" s="14" t="s">
        <v>35</v>
      </c>
      <c r="Z16" s="14" t="s">
        <v>35</v>
      </c>
      <c r="AA16" s="14" t="s">
        <v>35</v>
      </c>
      <c r="AB16" s="14" t="s">
        <v>35</v>
      </c>
      <c r="AC16" s="14" t="s">
        <v>35</v>
      </c>
      <c r="AD16" s="14" t="s">
        <v>35</v>
      </c>
      <c r="AE16" s="14" t="s">
        <v>35</v>
      </c>
      <c r="AF16" s="14" t="s">
        <v>35</v>
      </c>
      <c r="AG16" s="14" t="s">
        <v>35</v>
      </c>
      <c r="AH16" s="14" t="s">
        <v>35</v>
      </c>
      <c r="AI16" s="14" t="s">
        <v>35</v>
      </c>
      <c r="AJ16" s="14" t="s">
        <v>35</v>
      </c>
    </row>
    <row r="17" spans="1:36" ht="30" x14ac:dyDescent="0.25">
      <c r="A17" s="12" t="s">
        <v>54</v>
      </c>
      <c r="B17" s="13" t="s">
        <v>1406</v>
      </c>
      <c r="C17" s="14">
        <v>120411</v>
      </c>
      <c r="D17" s="14">
        <v>16000</v>
      </c>
      <c r="E17" s="31">
        <v>210</v>
      </c>
      <c r="F17" s="14">
        <v>4039904</v>
      </c>
      <c r="G17" s="14">
        <v>4165989</v>
      </c>
      <c r="H17" s="19" t="s">
        <v>1449</v>
      </c>
      <c r="I17" s="14" t="s">
        <v>1408</v>
      </c>
      <c r="J17" s="32">
        <v>45717</v>
      </c>
      <c r="K17" s="16" t="s">
        <v>1435</v>
      </c>
      <c r="L17" s="14" t="s">
        <v>1409</v>
      </c>
      <c r="M17" s="28" t="s">
        <v>1451</v>
      </c>
      <c r="N17" s="14" t="s">
        <v>35</v>
      </c>
      <c r="O17" s="14" t="s">
        <v>35</v>
      </c>
      <c r="P17" s="14" t="s">
        <v>35</v>
      </c>
      <c r="Q17" s="14" t="s">
        <v>35</v>
      </c>
      <c r="R17" s="14" t="s">
        <v>35</v>
      </c>
      <c r="S17" s="14" t="s">
        <v>35</v>
      </c>
      <c r="T17" s="14" t="s">
        <v>35</v>
      </c>
      <c r="U17" s="14" t="s">
        <v>35</v>
      </c>
      <c r="V17" s="14" t="s">
        <v>35</v>
      </c>
      <c r="W17" s="14" t="s">
        <v>35</v>
      </c>
      <c r="X17" s="14" t="s">
        <v>35</v>
      </c>
      <c r="Y17" s="14" t="s">
        <v>35</v>
      </c>
      <c r="Z17" s="14" t="s">
        <v>35</v>
      </c>
      <c r="AA17" s="14" t="s">
        <v>35</v>
      </c>
      <c r="AB17" s="14" t="s">
        <v>35</v>
      </c>
      <c r="AC17" s="14" t="s">
        <v>35</v>
      </c>
      <c r="AD17" s="14" t="s">
        <v>35</v>
      </c>
      <c r="AE17" s="14" t="s">
        <v>35</v>
      </c>
      <c r="AF17" s="14" t="s">
        <v>35</v>
      </c>
      <c r="AG17" s="14" t="s">
        <v>35</v>
      </c>
      <c r="AH17" s="14" t="s">
        <v>35</v>
      </c>
      <c r="AI17" s="14" t="s">
        <v>35</v>
      </c>
      <c r="AJ17" s="14" t="s">
        <v>35</v>
      </c>
    </row>
    <row r="18" spans="1:36" ht="30" x14ac:dyDescent="0.25">
      <c r="A18" s="12" t="s">
        <v>54</v>
      </c>
      <c r="B18" s="13" t="s">
        <v>1406</v>
      </c>
      <c r="C18" s="14">
        <v>120411</v>
      </c>
      <c r="D18" s="14">
        <v>16000</v>
      </c>
      <c r="E18" s="31">
        <v>290</v>
      </c>
      <c r="F18" s="14">
        <v>4039909</v>
      </c>
      <c r="G18" s="19"/>
      <c r="H18" s="19" t="s">
        <v>1449</v>
      </c>
      <c r="I18" s="14" t="s">
        <v>1408</v>
      </c>
      <c r="J18" s="32">
        <v>45717</v>
      </c>
      <c r="K18" s="16" t="s">
        <v>1435</v>
      </c>
      <c r="L18" s="14" t="s">
        <v>1409</v>
      </c>
      <c r="M18" s="28" t="s">
        <v>1452</v>
      </c>
      <c r="N18" s="14" t="s">
        <v>35</v>
      </c>
      <c r="O18" s="14" t="s">
        <v>35</v>
      </c>
      <c r="P18" s="14" t="s">
        <v>35</v>
      </c>
      <c r="Q18" s="14" t="s">
        <v>35</v>
      </c>
      <c r="R18" s="14" t="s">
        <v>35</v>
      </c>
      <c r="S18" s="14" t="s">
        <v>35</v>
      </c>
      <c r="T18" s="14" t="s">
        <v>35</v>
      </c>
      <c r="U18" s="14" t="s">
        <v>35</v>
      </c>
      <c r="V18" s="14" t="s">
        <v>35</v>
      </c>
      <c r="W18" s="14" t="s">
        <v>35</v>
      </c>
      <c r="X18" s="14" t="s">
        <v>35</v>
      </c>
      <c r="Y18" s="14" t="s">
        <v>35</v>
      </c>
      <c r="Z18" s="14" t="s">
        <v>35</v>
      </c>
      <c r="AA18" s="14" t="s">
        <v>35</v>
      </c>
      <c r="AB18" s="14" t="s">
        <v>35</v>
      </c>
      <c r="AC18" s="14" t="s">
        <v>35</v>
      </c>
      <c r="AD18" s="14" t="s">
        <v>35</v>
      </c>
      <c r="AE18" s="14" t="s">
        <v>35</v>
      </c>
      <c r="AF18" s="14" t="s">
        <v>35</v>
      </c>
      <c r="AG18" s="14" t="s">
        <v>35</v>
      </c>
      <c r="AH18" s="14" t="s">
        <v>35</v>
      </c>
      <c r="AI18" s="14" t="s">
        <v>35</v>
      </c>
      <c r="AJ18" s="14" t="s">
        <v>35</v>
      </c>
    </row>
    <row r="19" spans="1:36" ht="69" customHeight="1" x14ac:dyDescent="0.25">
      <c r="A19" s="12" t="s">
        <v>258</v>
      </c>
      <c r="B19" s="13" t="s">
        <v>1406</v>
      </c>
      <c r="C19" s="14">
        <v>121666</v>
      </c>
      <c r="D19" s="14">
        <v>16242</v>
      </c>
      <c r="E19" s="15">
        <v>27196.67</v>
      </c>
      <c r="F19" s="14">
        <v>4083066</v>
      </c>
      <c r="G19" s="33">
        <v>4206828</v>
      </c>
      <c r="H19" s="27">
        <v>1210</v>
      </c>
      <c r="I19" s="14" t="s">
        <v>1443</v>
      </c>
      <c r="J19" s="16">
        <v>45717</v>
      </c>
      <c r="K19" s="16">
        <v>46813</v>
      </c>
      <c r="L19" s="14" t="s">
        <v>1453</v>
      </c>
      <c r="M19" s="28" t="s">
        <v>1454</v>
      </c>
      <c r="N19" s="14" t="s">
        <v>35</v>
      </c>
      <c r="O19" s="14" t="s">
        <v>35</v>
      </c>
      <c r="P19" s="14" t="s">
        <v>35</v>
      </c>
      <c r="Q19" s="14" t="s">
        <v>35</v>
      </c>
      <c r="R19" s="14" t="s">
        <v>35</v>
      </c>
      <c r="S19" s="14" t="s">
        <v>35</v>
      </c>
      <c r="T19" s="14" t="s">
        <v>35</v>
      </c>
      <c r="U19" s="14" t="s">
        <v>35</v>
      </c>
      <c r="V19" s="14" t="s">
        <v>35</v>
      </c>
      <c r="W19" s="14" t="s">
        <v>35</v>
      </c>
      <c r="X19" s="14" t="s">
        <v>35</v>
      </c>
      <c r="Y19" s="14" t="s">
        <v>35</v>
      </c>
      <c r="Z19" s="14" t="s">
        <v>35</v>
      </c>
      <c r="AA19" s="14" t="s">
        <v>35</v>
      </c>
      <c r="AB19" s="14" t="s">
        <v>37</v>
      </c>
      <c r="AC19" s="14" t="s">
        <v>37</v>
      </c>
      <c r="AD19" s="14" t="s">
        <v>37</v>
      </c>
      <c r="AE19" s="14" t="s">
        <v>37</v>
      </c>
      <c r="AF19" s="14" t="s">
        <v>37</v>
      </c>
      <c r="AG19" s="14" t="s">
        <v>37</v>
      </c>
      <c r="AH19" s="14" t="s">
        <v>37</v>
      </c>
      <c r="AI19" s="14" t="s">
        <v>37</v>
      </c>
      <c r="AJ19" s="14"/>
    </row>
    <row r="20" spans="1:36" ht="30" x14ac:dyDescent="0.25">
      <c r="A20" s="12" t="s">
        <v>1376</v>
      </c>
      <c r="B20" s="13" t="s">
        <v>1406</v>
      </c>
      <c r="C20" s="14">
        <v>122708</v>
      </c>
      <c r="D20" s="14">
        <v>16445</v>
      </c>
      <c r="E20" s="15">
        <v>4550</v>
      </c>
      <c r="F20" s="14">
        <v>4125154</v>
      </c>
      <c r="G20" s="33">
        <v>4245451</v>
      </c>
      <c r="H20" s="19" t="s">
        <v>1449</v>
      </c>
      <c r="I20" s="14" t="s">
        <v>1455</v>
      </c>
      <c r="J20" s="16">
        <v>45805</v>
      </c>
      <c r="K20" s="16" t="s">
        <v>1435</v>
      </c>
      <c r="L20" s="14"/>
      <c r="M20" s="28" t="s">
        <v>1456</v>
      </c>
      <c r="N20" s="14" t="s">
        <v>35</v>
      </c>
      <c r="O20" s="14" t="s">
        <v>35</v>
      </c>
      <c r="P20" s="14" t="s">
        <v>35</v>
      </c>
      <c r="Q20" s="14" t="s">
        <v>35</v>
      </c>
      <c r="R20" s="14" t="s">
        <v>35</v>
      </c>
      <c r="S20" s="14" t="s">
        <v>35</v>
      </c>
      <c r="T20" s="14" t="s">
        <v>35</v>
      </c>
      <c r="U20" s="14" t="s">
        <v>35</v>
      </c>
      <c r="V20" s="14" t="s">
        <v>35</v>
      </c>
      <c r="W20" s="14" t="s">
        <v>35</v>
      </c>
      <c r="X20" s="14" t="s">
        <v>35</v>
      </c>
      <c r="Y20" s="14" t="s">
        <v>35</v>
      </c>
      <c r="Z20" s="14" t="s">
        <v>35</v>
      </c>
      <c r="AA20" s="14" t="s">
        <v>35</v>
      </c>
      <c r="AB20" s="14" t="s">
        <v>35</v>
      </c>
      <c r="AC20" s="14" t="s">
        <v>35</v>
      </c>
      <c r="AD20" s="14" t="s">
        <v>35</v>
      </c>
      <c r="AE20" s="14" t="s">
        <v>35</v>
      </c>
      <c r="AF20" s="14" t="s">
        <v>35</v>
      </c>
      <c r="AG20" s="14" t="s">
        <v>35</v>
      </c>
      <c r="AH20" s="14" t="s">
        <v>35</v>
      </c>
      <c r="AI20" s="14" t="s">
        <v>35</v>
      </c>
      <c r="AJ20" s="14" t="s">
        <v>35</v>
      </c>
    </row>
    <row r="21" spans="1:36" ht="30" x14ac:dyDescent="0.25">
      <c r="A21" s="12" t="s">
        <v>1376</v>
      </c>
      <c r="B21" s="13" t="s">
        <v>1406</v>
      </c>
      <c r="C21" s="14">
        <v>122708</v>
      </c>
      <c r="D21" s="14">
        <v>16445</v>
      </c>
      <c r="E21" s="15">
        <v>6150</v>
      </c>
      <c r="F21" s="14">
        <v>4125189</v>
      </c>
      <c r="G21" s="33">
        <v>4245547</v>
      </c>
      <c r="H21" s="19" t="s">
        <v>1449</v>
      </c>
      <c r="I21" s="14" t="s">
        <v>1455</v>
      </c>
      <c r="J21" s="16">
        <v>45805</v>
      </c>
      <c r="K21" s="16" t="s">
        <v>1435</v>
      </c>
      <c r="L21" s="14"/>
      <c r="M21" s="28" t="s">
        <v>1457</v>
      </c>
      <c r="N21" s="14" t="s">
        <v>35</v>
      </c>
      <c r="O21" s="14" t="s">
        <v>35</v>
      </c>
      <c r="P21" s="14" t="s">
        <v>35</v>
      </c>
      <c r="Q21" s="14" t="s">
        <v>35</v>
      </c>
      <c r="R21" s="14" t="s">
        <v>35</v>
      </c>
      <c r="S21" s="14" t="s">
        <v>35</v>
      </c>
      <c r="T21" s="14" t="s">
        <v>35</v>
      </c>
      <c r="U21" s="14" t="s">
        <v>35</v>
      </c>
      <c r="V21" s="14" t="s">
        <v>35</v>
      </c>
      <c r="W21" s="14" t="s">
        <v>35</v>
      </c>
      <c r="X21" s="14" t="s">
        <v>35</v>
      </c>
      <c r="Y21" s="14" t="s">
        <v>35</v>
      </c>
      <c r="Z21" s="14" t="s">
        <v>35</v>
      </c>
      <c r="AA21" s="14" t="s">
        <v>35</v>
      </c>
      <c r="AB21" s="14" t="s">
        <v>35</v>
      </c>
      <c r="AC21" s="14" t="s">
        <v>35</v>
      </c>
      <c r="AD21" s="14" t="s">
        <v>35</v>
      </c>
      <c r="AE21" s="14" t="s">
        <v>35</v>
      </c>
      <c r="AF21" s="14" t="s">
        <v>35</v>
      </c>
      <c r="AG21" s="14" t="s">
        <v>35</v>
      </c>
      <c r="AH21" s="14" t="s">
        <v>35</v>
      </c>
      <c r="AI21" s="14" t="s">
        <v>35</v>
      </c>
      <c r="AJ21" s="14" t="s">
        <v>35</v>
      </c>
    </row>
    <row r="22" spans="1:36" ht="135" x14ac:dyDescent="0.25">
      <c r="A22" s="12" t="s">
        <v>1376</v>
      </c>
      <c r="B22" s="13" t="s">
        <v>1406</v>
      </c>
      <c r="C22" s="14">
        <v>122708</v>
      </c>
      <c r="D22" s="14">
        <v>16445</v>
      </c>
      <c r="E22" s="34" t="s">
        <v>1458</v>
      </c>
      <c r="F22" s="14">
        <v>4125235</v>
      </c>
      <c r="G22" s="33">
        <v>4245557</v>
      </c>
      <c r="H22" s="19" t="s">
        <v>1449</v>
      </c>
      <c r="I22" s="14" t="s">
        <v>1455</v>
      </c>
      <c r="J22" s="16">
        <v>45805</v>
      </c>
      <c r="K22" s="16" t="s">
        <v>1435</v>
      </c>
      <c r="L22" s="14"/>
      <c r="M22" s="28" t="s">
        <v>1459</v>
      </c>
      <c r="N22" s="14" t="s">
        <v>35</v>
      </c>
      <c r="O22" s="14" t="s">
        <v>35</v>
      </c>
      <c r="P22" s="14" t="s">
        <v>35</v>
      </c>
      <c r="Q22" s="14" t="s">
        <v>35</v>
      </c>
      <c r="R22" s="14" t="s">
        <v>35</v>
      </c>
      <c r="S22" s="14" t="s">
        <v>35</v>
      </c>
      <c r="T22" s="14" t="s">
        <v>35</v>
      </c>
      <c r="U22" s="14" t="s">
        <v>35</v>
      </c>
      <c r="V22" s="14" t="s">
        <v>35</v>
      </c>
      <c r="W22" s="14" t="s">
        <v>35</v>
      </c>
      <c r="X22" s="14" t="s">
        <v>35</v>
      </c>
      <c r="Y22" s="14" t="s">
        <v>35</v>
      </c>
      <c r="Z22" s="14" t="s">
        <v>35</v>
      </c>
      <c r="AA22" s="14" t="s">
        <v>35</v>
      </c>
      <c r="AB22" s="14" t="s">
        <v>35</v>
      </c>
      <c r="AC22" s="14" t="s">
        <v>35</v>
      </c>
      <c r="AD22" s="14" t="s">
        <v>35</v>
      </c>
      <c r="AE22" s="14" t="s">
        <v>35</v>
      </c>
      <c r="AF22" s="14" t="s">
        <v>35</v>
      </c>
      <c r="AG22" s="14" t="s">
        <v>35</v>
      </c>
      <c r="AH22" s="14" t="s">
        <v>35</v>
      </c>
      <c r="AI22" s="14" t="s">
        <v>35</v>
      </c>
      <c r="AJ22" s="14" t="s">
        <v>35</v>
      </c>
    </row>
    <row r="23" spans="1:36" x14ac:dyDescent="0.25">
      <c r="A23" s="12" t="s">
        <v>1376</v>
      </c>
      <c r="B23" s="13" t="s">
        <v>1406</v>
      </c>
      <c r="C23" s="14">
        <v>122708</v>
      </c>
      <c r="D23" s="14">
        <v>16445</v>
      </c>
      <c r="E23" s="34"/>
      <c r="F23" s="27">
        <v>4168151</v>
      </c>
      <c r="G23" s="33">
        <v>4324442</v>
      </c>
      <c r="H23" s="19" t="s">
        <v>1449</v>
      </c>
      <c r="I23" s="14" t="s">
        <v>1455</v>
      </c>
      <c r="J23" s="16">
        <v>45875</v>
      </c>
      <c r="K23" s="16" t="s">
        <v>1435</v>
      </c>
      <c r="L23" s="14"/>
      <c r="M23" s="203" t="s">
        <v>1460</v>
      </c>
      <c r="N23" s="14" t="s">
        <v>35</v>
      </c>
      <c r="O23" s="14" t="s">
        <v>35</v>
      </c>
      <c r="P23" s="14" t="s">
        <v>35</v>
      </c>
      <c r="Q23" s="14" t="s">
        <v>35</v>
      </c>
      <c r="R23" s="14" t="s">
        <v>35</v>
      </c>
      <c r="S23" s="14" t="s">
        <v>35</v>
      </c>
      <c r="T23" s="14" t="s">
        <v>35</v>
      </c>
      <c r="U23" s="14" t="s">
        <v>35</v>
      </c>
      <c r="V23" s="14" t="s">
        <v>35</v>
      </c>
      <c r="W23" s="14" t="s">
        <v>35</v>
      </c>
      <c r="X23" s="14" t="s">
        <v>35</v>
      </c>
      <c r="Y23" s="14" t="s">
        <v>35</v>
      </c>
      <c r="Z23" s="14" t="s">
        <v>35</v>
      </c>
      <c r="AA23" s="14" t="s">
        <v>35</v>
      </c>
      <c r="AB23" s="14" t="s">
        <v>35</v>
      </c>
      <c r="AC23" s="14" t="s">
        <v>35</v>
      </c>
      <c r="AD23" s="14" t="s">
        <v>35</v>
      </c>
      <c r="AE23" s="14" t="s">
        <v>35</v>
      </c>
      <c r="AF23" s="14" t="s">
        <v>35</v>
      </c>
      <c r="AG23" s="14" t="s">
        <v>35</v>
      </c>
      <c r="AH23" s="14" t="s">
        <v>35</v>
      </c>
      <c r="AI23" s="14" t="s">
        <v>35</v>
      </c>
      <c r="AJ23" s="14" t="s">
        <v>35</v>
      </c>
    </row>
    <row r="24" spans="1:36" ht="75" x14ac:dyDescent="0.25">
      <c r="A24" s="12" t="s">
        <v>1461</v>
      </c>
      <c r="B24" s="13" t="s">
        <v>1406</v>
      </c>
      <c r="C24" s="14">
        <v>128212</v>
      </c>
      <c r="D24" s="14">
        <v>18036</v>
      </c>
      <c r="E24" s="34" t="s">
        <v>1462</v>
      </c>
      <c r="F24" s="14">
        <v>4264873</v>
      </c>
      <c r="G24" s="33">
        <v>4412622</v>
      </c>
      <c r="H24" s="19" t="s">
        <v>1449</v>
      </c>
      <c r="I24" s="14" t="s">
        <v>1408</v>
      </c>
      <c r="J24" s="16">
        <v>45946</v>
      </c>
      <c r="K24" s="16" t="s">
        <v>1435</v>
      </c>
      <c r="L24" s="14" t="s">
        <v>1453</v>
      </c>
      <c r="M24" s="28" t="s">
        <v>1463</v>
      </c>
      <c r="N24" s="14"/>
      <c r="O24" s="14"/>
      <c r="P24" s="14"/>
      <c r="Q24" s="14"/>
      <c r="R24" s="14"/>
      <c r="S24" s="14"/>
      <c r="T24" s="14"/>
      <c r="U24" s="14"/>
      <c r="V24" s="14"/>
      <c r="W24" s="14"/>
      <c r="X24" s="14"/>
      <c r="Y24" s="14"/>
      <c r="Z24" s="14"/>
      <c r="AA24" s="14"/>
      <c r="AB24" s="14"/>
      <c r="AC24" s="14"/>
      <c r="AD24" s="14"/>
      <c r="AE24" s="14" t="s">
        <v>35</v>
      </c>
      <c r="AF24" s="14" t="s">
        <v>35</v>
      </c>
      <c r="AG24" s="14" t="s">
        <v>35</v>
      </c>
      <c r="AH24" s="14" t="s">
        <v>35</v>
      </c>
      <c r="AI24" s="14" t="s">
        <v>35</v>
      </c>
      <c r="AJ24" s="14" t="s">
        <v>35</v>
      </c>
    </row>
  </sheetData>
  <autoFilter ref="A1:AI24" xr:uid="{00000000-0009-0000-0000-000003000000}">
    <filterColumn colId="1">
      <filters>
        <filter val="VIGENTE"/>
        <filter val="VIGENTE (MATRIZ)"/>
      </filters>
    </filterColumn>
  </autoFilter>
  <conditionalFormatting sqref="F23">
    <cfRule type="duplicateValues" dxfId="4"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N31"/>
  <sheetViews>
    <sheetView showGridLines="0" workbookViewId="0">
      <selection activeCell="D7" sqref="D7:D8"/>
    </sheetView>
  </sheetViews>
  <sheetFormatPr defaultRowHeight="15" customHeight="1" x14ac:dyDescent="0.25"/>
  <cols>
    <col min="2" max="2" width="47.5703125" customWidth="1"/>
    <col min="5" max="6" width="18.42578125" customWidth="1"/>
    <col min="10" max="10" width="29.5703125" customWidth="1"/>
    <col min="12" max="14" width="19" customWidth="1"/>
  </cols>
  <sheetData>
    <row r="1" spans="2:14" x14ac:dyDescent="0.25">
      <c r="D1" s="35"/>
      <c r="F1" s="36"/>
    </row>
    <row r="2" spans="2:14" x14ac:dyDescent="0.25">
      <c r="B2" s="37" t="s">
        <v>1464</v>
      </c>
      <c r="C2" s="35"/>
      <c r="D2" s="35"/>
      <c r="F2" s="36"/>
      <c r="J2" s="37" t="s">
        <v>1464</v>
      </c>
      <c r="K2" s="35"/>
      <c r="L2" s="35"/>
      <c r="N2" s="36"/>
    </row>
    <row r="3" spans="2:14" x14ac:dyDescent="0.25">
      <c r="B3" s="38" t="s">
        <v>1465</v>
      </c>
      <c r="C3" s="35"/>
      <c r="D3" s="35"/>
      <c r="F3" s="36"/>
      <c r="J3" s="38" t="s">
        <v>1465</v>
      </c>
      <c r="K3" s="35"/>
      <c r="L3" s="35"/>
      <c r="N3" s="36"/>
    </row>
    <row r="4" spans="2:14" x14ac:dyDescent="0.25">
      <c r="F4" s="36"/>
      <c r="N4" s="36"/>
    </row>
    <row r="5" spans="2:14" ht="120.75" customHeight="1" x14ac:dyDescent="0.25">
      <c r="B5" s="39" t="s">
        <v>1466</v>
      </c>
      <c r="F5" s="36"/>
      <c r="J5" s="39" t="s">
        <v>961</v>
      </c>
      <c r="N5" s="36"/>
    </row>
    <row r="6" spans="2:14" x14ac:dyDescent="0.25">
      <c r="D6" s="35" t="s">
        <v>1467</v>
      </c>
      <c r="E6" t="s">
        <v>1268</v>
      </c>
      <c r="F6" s="36"/>
      <c r="L6" s="35" t="s">
        <v>1467</v>
      </c>
      <c r="M6" t="s">
        <v>1268</v>
      </c>
      <c r="N6" s="36"/>
    </row>
    <row r="7" spans="2:14" ht="14.45" customHeight="1" x14ac:dyDescent="0.25">
      <c r="B7" t="s">
        <v>1468</v>
      </c>
      <c r="D7" s="40">
        <v>0.5</v>
      </c>
      <c r="E7" s="41">
        <v>2291</v>
      </c>
      <c r="F7" s="42">
        <f>D7*$B$8</f>
        <v>3576.75</v>
      </c>
      <c r="G7" s="36"/>
      <c r="J7" t="s">
        <v>1468</v>
      </c>
      <c r="L7" s="40">
        <f>N7/$J$8</f>
        <v>2.6666666666666665</v>
      </c>
      <c r="M7" s="41">
        <v>2151</v>
      </c>
      <c r="N7" s="42">
        <v>400</v>
      </c>
    </row>
    <row r="8" spans="2:14" x14ac:dyDescent="0.25">
      <c r="B8" s="44">
        <v>7153.5</v>
      </c>
      <c r="D8" s="40">
        <v>0.5</v>
      </c>
      <c r="E8" s="41">
        <v>2230</v>
      </c>
      <c r="F8" s="42">
        <f>D8*$B$8</f>
        <v>3576.75</v>
      </c>
      <c r="G8" s="36"/>
      <c r="J8" s="44">
        <v>150</v>
      </c>
      <c r="L8" s="40">
        <f t="shared" ref="L8:L10" si="0">N8/$J$8</f>
        <v>5</v>
      </c>
      <c r="M8" s="41">
        <v>2054</v>
      </c>
      <c r="N8" s="42">
        <v>750</v>
      </c>
    </row>
    <row r="9" spans="2:14" ht="14.45" customHeight="1" x14ac:dyDescent="0.25">
      <c r="D9" s="40"/>
      <c r="E9" s="41"/>
      <c r="F9" s="42">
        <f>D9*$B$8</f>
        <v>0</v>
      </c>
      <c r="G9" s="36"/>
      <c r="L9" s="40">
        <f t="shared" si="0"/>
        <v>6.1333333333333337</v>
      </c>
      <c r="M9" s="41">
        <v>1759</v>
      </c>
      <c r="N9" s="42">
        <v>920</v>
      </c>
    </row>
    <row r="10" spans="2:14" x14ac:dyDescent="0.25">
      <c r="D10" s="40"/>
      <c r="E10" s="41"/>
      <c r="F10" s="42">
        <f>D10*$B$8</f>
        <v>0</v>
      </c>
      <c r="G10" s="36"/>
      <c r="L10" s="40">
        <f t="shared" si="0"/>
        <v>1.4666666666666666</v>
      </c>
      <c r="M10" s="41">
        <v>2208</v>
      </c>
      <c r="N10" s="42">
        <v>220</v>
      </c>
    </row>
    <row r="11" spans="2:14" x14ac:dyDescent="0.25">
      <c r="D11" s="40"/>
      <c r="E11" s="41"/>
      <c r="F11" s="42">
        <f t="shared" ref="F11:F25" si="1">D11*$B$8</f>
        <v>0</v>
      </c>
      <c r="G11" s="36"/>
      <c r="L11" s="40"/>
      <c r="M11" s="41"/>
      <c r="N11" s="42">
        <f t="shared" ref="N11:N25" si="2">L11*$B$8</f>
        <v>0</v>
      </c>
    </row>
    <row r="12" spans="2:14" x14ac:dyDescent="0.25">
      <c r="B12" s="46" t="s">
        <v>8</v>
      </c>
      <c r="D12" s="40"/>
      <c r="E12" s="41"/>
      <c r="F12" s="42">
        <f t="shared" si="1"/>
        <v>0</v>
      </c>
      <c r="G12" s="36"/>
      <c r="J12" s="46" t="s">
        <v>8</v>
      </c>
      <c r="L12" s="40"/>
      <c r="M12" s="41"/>
      <c r="N12" s="42">
        <f t="shared" si="2"/>
        <v>0</v>
      </c>
    </row>
    <row r="13" spans="2:14" ht="33.75" customHeight="1" x14ac:dyDescent="0.25">
      <c r="B13" s="211">
        <v>262</v>
      </c>
      <c r="D13" s="40"/>
      <c r="E13" s="41"/>
      <c r="F13" s="42">
        <f t="shared" si="1"/>
        <v>0</v>
      </c>
      <c r="G13" s="36"/>
      <c r="J13" s="211">
        <v>262</v>
      </c>
      <c r="L13" s="40"/>
      <c r="M13" s="41"/>
      <c r="N13" s="42">
        <f t="shared" si="2"/>
        <v>0</v>
      </c>
    </row>
    <row r="14" spans="2:14" x14ac:dyDescent="0.25">
      <c r="B14" s="211"/>
      <c r="D14" s="40"/>
      <c r="E14" s="41"/>
      <c r="F14" s="42">
        <f t="shared" si="1"/>
        <v>0</v>
      </c>
      <c r="J14" s="211"/>
      <c r="L14" s="40"/>
      <c r="M14" s="41"/>
      <c r="N14" s="42">
        <f t="shared" si="2"/>
        <v>0</v>
      </c>
    </row>
    <row r="15" spans="2:14" x14ac:dyDescent="0.25">
      <c r="D15" s="40"/>
      <c r="E15" s="41"/>
      <c r="F15" s="42">
        <f t="shared" si="1"/>
        <v>0</v>
      </c>
      <c r="L15" s="40"/>
      <c r="M15" s="41"/>
      <c r="N15" s="42">
        <f t="shared" si="2"/>
        <v>0</v>
      </c>
    </row>
    <row r="16" spans="2:14" ht="15" customHeight="1" x14ac:dyDescent="0.25">
      <c r="D16" s="40"/>
      <c r="E16" s="41"/>
      <c r="F16" s="42">
        <f t="shared" si="1"/>
        <v>0</v>
      </c>
      <c r="L16" s="40"/>
      <c r="M16" s="41"/>
      <c r="N16" s="42">
        <f t="shared" si="2"/>
        <v>0</v>
      </c>
    </row>
    <row r="17" spans="4:14" ht="15" customHeight="1" x14ac:dyDescent="0.25">
      <c r="D17" s="45"/>
      <c r="E17" s="41"/>
      <c r="F17" s="42">
        <f t="shared" si="1"/>
        <v>0</v>
      </c>
      <c r="L17" s="45"/>
      <c r="M17" s="41"/>
      <c r="N17" s="42">
        <f t="shared" si="2"/>
        <v>0</v>
      </c>
    </row>
    <row r="18" spans="4:14" x14ac:dyDescent="0.25">
      <c r="D18" s="45"/>
      <c r="E18" s="41"/>
      <c r="F18" s="42">
        <f t="shared" si="1"/>
        <v>0</v>
      </c>
      <c r="L18" s="45"/>
      <c r="M18" s="41"/>
      <c r="N18" s="42">
        <f t="shared" si="2"/>
        <v>0</v>
      </c>
    </row>
    <row r="19" spans="4:14" x14ac:dyDescent="0.25">
      <c r="D19" s="45"/>
      <c r="E19" s="41"/>
      <c r="F19" s="42">
        <f t="shared" si="1"/>
        <v>0</v>
      </c>
      <c r="L19" s="45"/>
      <c r="M19" s="41"/>
      <c r="N19" s="42">
        <f t="shared" si="2"/>
        <v>0</v>
      </c>
    </row>
    <row r="20" spans="4:14" x14ac:dyDescent="0.25">
      <c r="D20" s="45"/>
      <c r="E20" s="41"/>
      <c r="F20" s="42">
        <f t="shared" si="1"/>
        <v>0</v>
      </c>
      <c r="L20" s="45"/>
      <c r="M20" s="41"/>
      <c r="N20" s="42">
        <f t="shared" si="2"/>
        <v>0</v>
      </c>
    </row>
    <row r="21" spans="4:14" x14ac:dyDescent="0.25">
      <c r="D21" s="45"/>
      <c r="E21" s="41"/>
      <c r="F21" s="42">
        <f t="shared" si="1"/>
        <v>0</v>
      </c>
      <c r="L21" s="45"/>
      <c r="M21" s="41"/>
      <c r="N21" s="42">
        <f t="shared" si="2"/>
        <v>0</v>
      </c>
    </row>
    <row r="22" spans="4:14" x14ac:dyDescent="0.25">
      <c r="D22" s="45"/>
      <c r="E22" s="41"/>
      <c r="F22" s="42">
        <f t="shared" si="1"/>
        <v>0</v>
      </c>
      <c r="L22" s="45"/>
      <c r="M22" s="41"/>
      <c r="N22" s="42">
        <f t="shared" si="2"/>
        <v>0</v>
      </c>
    </row>
    <row r="23" spans="4:14" x14ac:dyDescent="0.25">
      <c r="D23" s="45"/>
      <c r="E23" s="41"/>
      <c r="F23" s="42">
        <f t="shared" si="1"/>
        <v>0</v>
      </c>
      <c r="L23" s="45"/>
      <c r="M23" s="41"/>
      <c r="N23" s="42">
        <f t="shared" si="2"/>
        <v>0</v>
      </c>
    </row>
    <row r="24" spans="4:14" x14ac:dyDescent="0.25">
      <c r="D24" s="45"/>
      <c r="E24" s="41"/>
      <c r="F24" s="42">
        <f t="shared" si="1"/>
        <v>0</v>
      </c>
      <c r="L24" s="45"/>
      <c r="M24" s="41"/>
      <c r="N24" s="42">
        <f t="shared" si="2"/>
        <v>0</v>
      </c>
    </row>
    <row r="25" spans="4:14" x14ac:dyDescent="0.25">
      <c r="D25" s="45"/>
      <c r="E25" s="41"/>
      <c r="F25" s="42">
        <f t="shared" si="1"/>
        <v>0</v>
      </c>
      <c r="L25" s="45"/>
      <c r="M25" s="41"/>
      <c r="N25" s="42">
        <f t="shared" si="2"/>
        <v>0</v>
      </c>
    </row>
    <row r="26" spans="4:14" x14ac:dyDescent="0.25">
      <c r="D26" s="35"/>
      <c r="F26" s="36"/>
      <c r="L26" s="35"/>
      <c r="N26" s="36"/>
    </row>
    <row r="27" spans="4:14" x14ac:dyDescent="0.25">
      <c r="D27" s="35"/>
      <c r="F27" s="42">
        <f>SUM(F7:F25)</f>
        <v>7153.5</v>
      </c>
      <c r="L27" s="35"/>
      <c r="N27" s="42">
        <f>SUM(N7:N25)</f>
        <v>2290</v>
      </c>
    </row>
    <row r="28" spans="4:14" x14ac:dyDescent="0.25">
      <c r="D28" s="35"/>
      <c r="F28" s="36"/>
    </row>
    <row r="29" spans="4:14" ht="14.45" customHeight="1" x14ac:dyDescent="0.25">
      <c r="D29" s="35"/>
      <c r="F29" s="36"/>
    </row>
    <row r="30" spans="4:14" ht="14.45" customHeight="1" x14ac:dyDescent="0.25">
      <c r="D30" s="35"/>
      <c r="F30" s="36"/>
    </row>
    <row r="31" spans="4:14" x14ac:dyDescent="0.25">
      <c r="D31" s="35"/>
      <c r="F31" s="36"/>
    </row>
  </sheetData>
  <mergeCells count="2">
    <mergeCell ref="B13:B14"/>
    <mergeCell ref="J13:J14"/>
  </mergeCells>
  <conditionalFormatting sqref="B5">
    <cfRule type="cellIs" dxfId="3" priority="4" operator="equal">
      <formula>4502</formula>
    </cfRule>
  </conditionalFormatting>
  <conditionalFormatting sqref="B13">
    <cfRule type="cellIs" dxfId="2" priority="3" operator="equal">
      <formula>4502</formula>
    </cfRule>
  </conditionalFormatting>
  <conditionalFormatting sqref="J5">
    <cfRule type="cellIs" dxfId="1" priority="2" operator="equal">
      <formula>4502</formula>
    </cfRule>
  </conditionalFormatting>
  <conditionalFormatting sqref="J13">
    <cfRule type="cellIs" dxfId="0" priority="1" operator="equal">
      <formula>4502</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71220A11FEA46C4886D3604CC483AD6B" ma:contentTypeVersion="15" ma:contentTypeDescription="Crie um novo documento." ma:contentTypeScope="" ma:versionID="bb07fbe832bfbac930195f44faefcab7">
  <xsd:schema xmlns:xsd="http://www.w3.org/2001/XMLSchema" xmlns:xs="http://www.w3.org/2001/XMLSchema" xmlns:p="http://schemas.microsoft.com/office/2006/metadata/properties" xmlns:ns2="6dbcbc56-3d12-411a-a735-f36ec8e8bfd2" xmlns:ns3="8de5c96d-c68a-4bc1-8ca7-a6766c74fd4d" targetNamespace="http://schemas.microsoft.com/office/2006/metadata/properties" ma:root="true" ma:fieldsID="71ce47b93599878504e7d9a94c5299da" ns2:_="" ns3:_="">
    <xsd:import namespace="6dbcbc56-3d12-411a-a735-f36ec8e8bfd2"/>
    <xsd:import namespace="8de5c96d-c68a-4bc1-8ca7-a6766c74fd4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2:MediaServiceOCR"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bcbc56-3d12-411a-a735-f36ec8e8bf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Marcações de imagem" ma:readOnly="false" ma:fieldId="{5cf76f15-5ced-4ddc-b409-7134ff3c332f}" ma:taxonomyMulti="true" ma:sspId="69df8bfc-69f5-472b-bcc3-14f5ad47a75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de5c96d-c68a-4bc1-8ca7-a6766c74fd4d" elementFormDefault="qualified">
    <xsd:import namespace="http://schemas.microsoft.com/office/2006/documentManagement/types"/>
    <xsd:import namespace="http://schemas.microsoft.com/office/infopath/2007/PartnerControls"/>
    <xsd:element name="SharedWithUsers" ma:index="15"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bcbc56-3d12-411a-a735-f36ec8e8bfd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4650467-4C7D-42B4-91BA-A0E0F8FB5E54}">
  <ds:schemaRefs>
    <ds:schemaRef ds:uri="http://schemas.microsoft.com/sharepoint/v3/contenttype/forms"/>
  </ds:schemaRefs>
</ds:datastoreItem>
</file>

<file path=customXml/itemProps2.xml><?xml version="1.0" encoding="utf-8"?>
<ds:datastoreItem xmlns:ds="http://schemas.openxmlformats.org/officeDocument/2006/customXml" ds:itemID="{966D70E7-DD16-4CA7-972B-BE7A432BAB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bcbc56-3d12-411a-a735-f36ec8e8bfd2"/>
    <ds:schemaRef ds:uri="8de5c96d-c68a-4bc1-8ca7-a6766c74fd4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6789367-A5F1-4388-8120-DDEDA2FE2BF0}">
  <ds:schemaRefs>
    <ds:schemaRef ds:uri="http://schemas.microsoft.com/office/2006/metadata/properties"/>
    <ds:schemaRef ds:uri="http://schemas.microsoft.com/office/infopath/2007/PartnerControls"/>
    <ds:schemaRef ds:uri="6dbcbc56-3d12-411a-a735-f36ec8e8bfd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CONTROLE RC E NF</vt:lpstr>
      <vt:lpstr>LISTA SUSPENSA - NÃO ALTERAR </vt:lpstr>
      <vt:lpstr>NF FIXA MENSAL - CONTRATO</vt:lpstr>
      <vt:lpstr>CONTROLE - CONTRATOS SERVIÇO</vt:lpstr>
      <vt:lpstr>RATEIO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Camila Ramos</dc:creator>
  <cp:keywords/>
  <dc:description/>
  <cp:lastModifiedBy>José Adenilson</cp:lastModifiedBy>
  <cp:revision/>
  <dcterms:created xsi:type="dcterms:W3CDTF">2025-10-21T18:33:23Z</dcterms:created>
  <dcterms:modified xsi:type="dcterms:W3CDTF">2026-01-13T01:40:10Z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0x01010071220A11FEA46C4886D3604CC483AD6B</vt:lpwstr>
  </property>
  <property fmtid="{D5CDD505-2E9C-101B-9397-08002B2CF9AE}" pid="3" name="MediaServiceImageTags">
    <vt:lpwstr/>
  </property>
</Properties>
</file>