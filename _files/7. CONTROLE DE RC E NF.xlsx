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mc:AlternateContent xmlns:mc="http://schemas.openxmlformats.org/markup-compatibility/2006">
    <mc:Choice Requires="x15">
      <x15ac:absPath xmlns:x15ac="http://schemas.microsoft.com/office/spreadsheetml/2010/11/ac" url="C:\Users\zeluz\Downloads\"/>
    </mc:Choice>
  </mc:AlternateContent>
  <xr:revisionPtr revIDLastSave="0" documentId="13_ncr:1_{9E258DF9-DD26-4652-A79D-94C60F88302F}" xr6:coauthVersionLast="47" xr6:coauthVersionMax="47" xr10:uidLastSave="{00000000-0000-0000-0000-000000000000}"/>
  <bookViews>
    <workbookView xWindow="990" yWindow="945" windowWidth="27285" windowHeight="14865" xr2:uid="{00000000-000D-0000-FFFF-FFFF00000000}"/>
  </bookViews>
  <sheets>
    <sheet name="CONTROLE RC E NF" sheetId="1" r:id="rId1"/>
    <sheet name="LISTA SUSPENSA - NÃO ALTERAR " sheetId="3" state="hidden" r:id="rId2"/>
    <sheet name="NF FIXA MENSAL - CONTRATO" sheetId="7" r:id="rId3"/>
    <sheet name="CONTROLE - CONTRATOS SERVIÇO" sheetId="4" r:id="rId4"/>
    <sheet name="RATEIO" sheetId="5" r:id="rId5"/>
  </sheets>
  <definedNames>
    <definedName name="_xlnm._FilterDatabase" localSheetId="3" hidden="1">'CONTROLE - CONTRATOS SERVIÇO'!$A$1:$AJ$24</definedName>
    <definedName name="_xlnm._FilterDatabase" localSheetId="0" hidden="1">'CONTROLE RC E NF'!$A$3:$AH$15</definedName>
    <definedName name="_xlnm._FilterDatabase" localSheetId="1" hidden="1">'LISTA SUSPENSA - NÃO ALTERAR '!$E$1:$E$9</definedName>
    <definedName name="_xlnm._FilterDatabase" localSheetId="2" hidden="1">'NF FIXA MENSAL - CONTRATO'!$A$1:$P$276</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7" i="5" l="1"/>
  <c r="L7" i="5"/>
  <c r="L10" i="5"/>
  <c r="L9" i="5"/>
  <c r="L8" i="5"/>
  <c r="N25" i="5"/>
  <c r="N24" i="5"/>
  <c r="N23" i="5"/>
  <c r="N22" i="5"/>
  <c r="N21" i="5"/>
  <c r="N20" i="5"/>
  <c r="N19" i="5"/>
  <c r="N18" i="5"/>
  <c r="N17" i="5"/>
  <c r="N16" i="5"/>
  <c r="N15" i="5"/>
  <c r="N14" i="5"/>
  <c r="N13" i="5"/>
  <c r="N12" i="5"/>
  <c r="N11" i="5"/>
  <c r="AC12" i="1"/>
  <c r="AC4" i="1"/>
  <c r="AC5" i="1"/>
  <c r="F25" i="5"/>
  <c r="F24" i="5"/>
  <c r="F23" i="5"/>
  <c r="F22" i="5"/>
  <c r="F21" i="5"/>
  <c r="F20" i="5"/>
  <c r="F19" i="5"/>
  <c r="F18" i="5"/>
  <c r="F17" i="5"/>
  <c r="F16" i="5"/>
  <c r="F15" i="5"/>
  <c r="F14" i="5"/>
  <c r="F13" i="5"/>
  <c r="F12" i="5"/>
  <c r="F11" i="5"/>
  <c r="F10" i="5"/>
  <c r="F9" i="5"/>
  <c r="F8" i="5"/>
  <c r="F27" i="5" s="1"/>
  <c r="AC7" i="1"/>
  <c r="AC8" i="1"/>
  <c r="AC9" i="1"/>
  <c r="AC10" i="1"/>
  <c r="AC11" i="1"/>
  <c r="N27" i="5"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Camila Ramos</author>
  </authors>
  <commentList>
    <comment ref="M3" authorId="0" shapeId="0" xr:uid="{44679321-D12B-405E-B8C5-AF398642D53C}">
      <text>
        <r>
          <rPr>
            <sz val="11"/>
            <color theme="1"/>
            <rFont val="Calibri"/>
            <family val="2"/>
            <scheme val="minor"/>
          </rPr>
          <t>Camila Ramos:
SE A CLASSIFICAÇÃO FOR 5 OU 8, ANEXAR REGISTRO DE PORTARIA NA ABERTURA DA REQUISIÇÃO CONFORME ESTÁ NA NORMA.</t>
        </r>
      </text>
    </comment>
  </commentList>
</comments>
</file>

<file path=xl/sharedStrings.xml><?xml version="1.0" encoding="utf-8"?>
<sst xmlns="http://schemas.openxmlformats.org/spreadsheetml/2006/main" count="2874" uniqueCount="361">
  <si>
    <t>NF SAÍDA</t>
  </si>
  <si>
    <t>REQUISIÇÃO DE COMPRA</t>
  </si>
  <si>
    <t>NF DE SERVIÇO</t>
  </si>
  <si>
    <t>STATUS GERAL</t>
  </si>
  <si>
    <t>SOLICITANTE</t>
  </si>
  <si>
    <t>EMPRESA</t>
  </si>
  <si>
    <t>DESCRIÇÃO DO SERVIÇO</t>
  </si>
  <si>
    <t>C.A/RATEIO</t>
  </si>
  <si>
    <t>USO</t>
  </si>
  <si>
    <t>QUEM ABRIU 
A RC</t>
  </si>
  <si>
    <t>ORÇAMENTO</t>
  </si>
  <si>
    <t>O.S</t>
  </si>
  <si>
    <t>CLASSIF.</t>
  </si>
  <si>
    <t>JUSTIFICATIVA CLASSIFICAÇÃO</t>
  </si>
  <si>
    <r>
      <rPr>
        <sz val="9"/>
        <color rgb="FF000000"/>
        <rFont val="Calibri"/>
        <scheme val="minor"/>
      </rPr>
      <t xml:space="preserve">SPAF0009 - Acesso portária </t>
    </r>
    <r>
      <rPr>
        <sz val="9"/>
        <color rgb="FFFF0000"/>
        <rFont val="Calibri"/>
        <scheme val="minor"/>
      </rPr>
      <t>p/ classif. 5 e 8</t>
    </r>
  </si>
  <si>
    <t>RC</t>
  </si>
  <si>
    <t>DATA RC</t>
  </si>
  <si>
    <t>PEDIDO</t>
  </si>
  <si>
    <t>VALOR TOTAL DO PEDIDO</t>
  </si>
  <si>
    <t>PREVISÃO PARA USO</t>
  </si>
  <si>
    <t>NF SERVIÇO</t>
  </si>
  <si>
    <t>NF RETORNO E DATA LANÇAMENTO</t>
  </si>
  <si>
    <t>CNPJ AURORA</t>
  </si>
  <si>
    <t>SIMPLES NACIONAL</t>
  </si>
  <si>
    <t>VALOR NF</t>
  </si>
  <si>
    <t>EMISSÃO</t>
  </si>
  <si>
    <t>INCLUSÃO 198</t>
  </si>
  <si>
    <t>STATUS</t>
  </si>
  <si>
    <t>OBS</t>
  </si>
  <si>
    <t xml:space="preserve">SALDO RESIDUAL PEDIDO </t>
  </si>
  <si>
    <t>Alex</t>
  </si>
  <si>
    <t>VELOTANO</t>
  </si>
  <si>
    <t>-</t>
  </si>
  <si>
    <t>TORNO -  USINAGEM / FABRICAÇÃO DE 11  EIXOS PARA POLIDORA DO ABATE COM FORNECIMENTO DE MÃO DE OBRA E MATERIAL.</t>
  </si>
  <si>
    <t>Tayane</t>
  </si>
  <si>
    <t>49 - VELOTANO 74.800,00</t>
  </si>
  <si>
    <r>
      <rPr>
        <sz val="9"/>
        <color rgb="FFFF0000"/>
        <rFont val="Calibri"/>
        <scheme val="minor"/>
      </rPr>
      <t xml:space="preserve">3213
</t>
    </r>
    <r>
      <rPr>
        <sz val="9"/>
        <color rgb="FF000000"/>
        <rFont val="Calibri"/>
        <scheme val="minor"/>
      </rPr>
      <t>3220</t>
    </r>
  </si>
  <si>
    <t>OK</t>
  </si>
  <si>
    <t xml:space="preserve">6. NF - PENDENTE </t>
  </si>
  <si>
    <t>Barbara</t>
  </si>
  <si>
    <t>Eder</t>
  </si>
  <si>
    <t>SOS SERVICE</t>
  </si>
  <si>
    <t>Descrição: Contratação de serviço de empresa de instalações elétricas manutenção corretiva de pendências geradas da manutenção preventiva “Cabines elétricas de MT/BT” de 2023
Anexos: Descritivo técnico 00009 Revisão Pendências 2023.pdf</t>
  </si>
  <si>
    <t>Francis</t>
  </si>
  <si>
    <t>12073 - SOS SERVICE
547 - C &amp; E SERVICE
18603 - SERCAMP</t>
  </si>
  <si>
    <t>ok</t>
  </si>
  <si>
    <t>NÃO</t>
  </si>
  <si>
    <t>10. SALDO CANCELADO</t>
  </si>
  <si>
    <t xml:space="preserve">Cancelado saldo a pedido do Eder </t>
  </si>
  <si>
    <t>Cleiton</t>
  </si>
  <si>
    <t>multtec</t>
  </si>
  <si>
    <t>SERVIÇO DE ASSISTÊNCIA TÉCNICA PARA   MANUTENÇÃO PREVENTIVA PARA 3 X EQUIPAMENTOS F200, 1 X EQUIPAMENTO R535, 2 X EQUIPAMENTOS R145, 12 VISITAS A SEREM REALIZADAS NO PERÍODO DE 12 MESES, INCLUINDO 1 X TÉCNICO ESPECIALISTA, TODAS AS DESPESAS DE VIAGEM, HORAS DE TRABALHO E IMPOSTOS.</t>
  </si>
  <si>
    <t>10. PARCIALMENTE ATENDIDO</t>
  </si>
  <si>
    <t>William G.</t>
  </si>
  <si>
    <t>Camila</t>
  </si>
  <si>
    <t>SIM</t>
  </si>
  <si>
    <t>9. FINALIZADO 100%</t>
  </si>
  <si>
    <t>Rhuan</t>
  </si>
  <si>
    <t>5. NF - PEDIDO GERADO, AGUARDANDO NF</t>
  </si>
  <si>
    <t>Eric</t>
  </si>
  <si>
    <t>Flavio</t>
  </si>
  <si>
    <t>José</t>
  </si>
  <si>
    <t>MAREL</t>
  </si>
  <si>
    <t>Jeverson</t>
  </si>
  <si>
    <t>MAYEKAWA</t>
  </si>
  <si>
    <t xml:space="preserve">NÃO </t>
  </si>
  <si>
    <t>8. NF INCLUSA NA 198</t>
  </si>
  <si>
    <t>J ORTIZ</t>
  </si>
  <si>
    <t>Bruno</t>
  </si>
  <si>
    <t>METAL C</t>
  </si>
  <si>
    <t>sim</t>
  </si>
  <si>
    <t>10. RC/PEDIDO CANCELADO</t>
  </si>
  <si>
    <t>Giovana</t>
  </si>
  <si>
    <t>Rafael B.</t>
  </si>
  <si>
    <t>William Felipe</t>
  </si>
  <si>
    <t>não</t>
  </si>
  <si>
    <t>Thales</t>
  </si>
  <si>
    <t>PHDS</t>
  </si>
  <si>
    <t>4. RC - RC ABERTA, AGUARDANDO GERAR PEDIDO</t>
  </si>
  <si>
    <t>Francilei</t>
  </si>
  <si>
    <t>Tiago F.</t>
  </si>
  <si>
    <t>Tiago</t>
  </si>
  <si>
    <t>Marcos</t>
  </si>
  <si>
    <t>Rafael S.</t>
  </si>
  <si>
    <t>Yasmin</t>
  </si>
  <si>
    <t>Igor</t>
  </si>
  <si>
    <t>Emanuel</t>
  </si>
  <si>
    <t>ARTEFATOS DE BORRACHA PCR LTDA</t>
  </si>
  <si>
    <t>Serviço de material e mão de obra para reforma de cilindros de tração do equipamento MÁQUINA DE TRIPAS.</t>
  </si>
  <si>
    <t>TORNO - usinagem placas para o o flap das estufas.</t>
  </si>
  <si>
    <t>384 - PHDS 12.535,80</t>
  </si>
  <si>
    <t>O flap da estufa quebrou, onde o mesmo é responsável por direcionar a fumaça no processo de cozimento dos produtos, devido estar quebrado, a coloração e cozimento do produto estava fora de padrão, pois a fumaça estava apenas de um lado do produto.</t>
  </si>
  <si>
    <t>77 - outras saídas (entrada) - 22/09/25</t>
  </si>
  <si>
    <t>confecção e instalação de 2 sapatas e 2 bases para reparo das portas dos tumbler, fixar 2 sapatas no piso com chumbador químico, realizar corte da base da estrutura da porta e soldar a nova, e realizar o ajuste da porta com o tumbler.</t>
  </si>
  <si>
    <t>2086 - METAL C 18.800,00</t>
  </si>
  <si>
    <t>Durante o processo, o operador está colocando plástico na tampa do tumbler para não dar passagem de vácuo durante o tumbleamento correndo risco de contaminação física com o plástico e perda de produto. Está prejudicando o tempo de montagem operacional no processo, pois o operador precisa ajustar a tampa manualmente porque a porta não possibilita mais regulagem devido a fixação da estrutura do piso estar comprometida.</t>
  </si>
  <si>
    <t>CROWN</t>
  </si>
  <si>
    <t>6. NF - AGUARDANDO APROVAÇÃO PARA LANÇAMENTO</t>
  </si>
  <si>
    <t xml:space="preserve">2488 25% 5345 25%
4588 25% 2291 25%
</t>
  </si>
  <si>
    <t>barbara</t>
  </si>
  <si>
    <t>INDUSTRIAS MARQUES DA COSTA LTDA</t>
  </si>
  <si>
    <t xml:space="preserve">SERVIÇO DE CONSERTO MÁQUINA DE LIMPEZA DE TUBOS MC2000. </t>
  </si>
  <si>
    <t xml:space="preserve"> INDUSTRIAS MARQUES DA COSTA LTDA - 35663</t>
  </si>
  <si>
    <t>32322 - 02/12/25</t>
  </si>
  <si>
    <t>ARTEFATOS DE BORRACHA PCR LTDA - 126664</t>
  </si>
  <si>
    <t>EDINOX</t>
  </si>
  <si>
    <t>ADEQUAÇÃO DE SEGURANÇA NOS DRIVEIN CONDIMENTARIA</t>
  </si>
  <si>
    <t>3 orç</t>
  </si>
  <si>
    <t>Tiago T.</t>
  </si>
  <si>
    <t>Cristiano</t>
  </si>
  <si>
    <t>francis</t>
  </si>
  <si>
    <t xml:space="preserve">2151– 400,00 reais
2054– 750,00 reais
1759– 920,00 reais
2208– 220,00 reais
</t>
  </si>
  <si>
    <t>TORNO - Usinagem em flanges para tubulação acelerador vácuo VC999</t>
  </si>
  <si>
    <t>453 - VELOTANO 2.100,00</t>
  </si>
  <si>
    <t>4022 - 05/01/26</t>
  </si>
  <si>
    <t>7. NF - APROVADO, LANÇAR</t>
  </si>
  <si>
    <t>Torbim</t>
  </si>
  <si>
    <t>1. RC - AGUARDANDO RETORNO DO SOLICITANTE</t>
  </si>
  <si>
    <t>Filtrat
Environ</t>
  </si>
  <si>
    <t>MANUTENÇÃO ABRANDADOR CALDEIRA.</t>
  </si>
  <si>
    <t>2 orç</t>
  </si>
  <si>
    <t>SOMENTE DUAS EMPRESAS ENCAMINHARAM PROPOSTA PARA MANUTENÇÃO.</t>
  </si>
  <si>
    <t>2 orçamentos</t>
  </si>
  <si>
    <t xml:space="preserve">SERVIÇOS MECÂNICOS EM GERAL;
CORREÇÃO DE SOLDAS EM ESTRUTURAS DE ESTEIRAS;
CORREÇÃO DE SOLDAS EM CHAPAS E PROTEÇÕES DA LINHA DE EVISCERAÇÃO E ESPOTEJAMENTO;
CONSERTO DE GAIOLAS;
CONSERTO CARRINHO DE MIÚDOS;
CONSERTO CARRINHO DE COZIMENTO DAS ESTUFAS;
</t>
  </si>
  <si>
    <t>2. RC - ABRIR RC</t>
  </si>
  <si>
    <t>MetalC
Balena
UsiCastro</t>
  </si>
  <si>
    <t>TORNO</t>
  </si>
  <si>
    <t>Velotano</t>
  </si>
  <si>
    <t>SERVIÇO DE TERCEIRO COM MÃO DE OBRA E MATERIAL PARA USINAGEM EM EIXO PRINCIPAL V-CUT (SOMENTE AS BUCHAS)</t>
  </si>
  <si>
    <t xml:space="preserve">467 - Velotano - 4.800,00 
</t>
  </si>
  <si>
    <t xml:space="preserve">4.800,00 
</t>
  </si>
  <si>
    <t>CEFEQ</t>
  </si>
  <si>
    <t>SERVIÇO TERCEIRO: MATERIAL E MÃO DE OBRA PARA CONSERTO DE FURADEIRA DE IMPACTO BOSCH</t>
  </si>
  <si>
    <t>97.326 - CEFEQ - 406,9</t>
  </si>
  <si>
    <t>SERVIÇO TERCEIRO: MATERIAL E MÃO DE OBRA PARA CONSERTO DE ESMIRILHADEIRA BOSCH.</t>
  </si>
  <si>
    <t xml:space="preserve"> 97.328
- CEFEQ - 555,12</t>
  </si>
  <si>
    <t>QUEM ABRIU RC</t>
  </si>
  <si>
    <t>3. RC - AGUARDANDO APROVAÇÃO CRISTIANO</t>
  </si>
  <si>
    <t>10. NF CANCELADA</t>
  </si>
  <si>
    <t>Karine</t>
  </si>
  <si>
    <t>CONTRATO</t>
  </si>
  <si>
    <t>FORNECEDOR</t>
  </si>
  <si>
    <t>OPTANTE SIMPLES NACIONAL</t>
  </si>
  <si>
    <t>VALOR TOTAL/VALOR BRUTO</t>
  </si>
  <si>
    <t>EMISSÃO DA NF</t>
  </si>
  <si>
    <t>INLCUSÃO  NA 198</t>
  </si>
  <si>
    <t>NF</t>
  </si>
  <si>
    <t>C.A</t>
  </si>
  <si>
    <t>USO CONT.</t>
  </si>
  <si>
    <t>LANÇAMENTO REALIZADO POR</t>
  </si>
  <si>
    <t>OBS. DE INRREGULARIDADES</t>
  </si>
  <si>
    <t>LOCAÇÃO DE EQUIPAMENTOS UTILIZADOS PARA MOVIMENTAÇÃO DE
 CARGAS PALETIZADAS REFERENTE AO CONTRATO SEQUENCIA AURORA:3624 - Nº AURORA 111657</t>
  </si>
  <si>
    <t>Sequencia Aurora:3624
nº aurora 111657</t>
  </si>
  <si>
    <t>DISKTRANS</t>
  </si>
  <si>
    <t>RATEIO</t>
  </si>
  <si>
    <t>NF LANÇADA</t>
  </si>
  <si>
    <t>CAMILA</t>
  </si>
  <si>
    <t>TAYANE</t>
  </si>
  <si>
    <t xml:space="preserve">NF LANÇADA </t>
  </si>
  <si>
    <t>LOCAÇÃO TANQUE C.O2</t>
  </si>
  <si>
    <t>112582
14441</t>
  </si>
  <si>
    <t>MESSER</t>
  </si>
  <si>
    <t>ASSISTENCIA TÉCNICA DO TANQUE DE CO2.</t>
  </si>
  <si>
    <t>FRANCIS</t>
  </si>
  <si>
    <t xml:space="preserve">ASSISTENCIA TÉCNICA DO TANQUE DE CO2. - 112582 - 14441
</t>
  </si>
  <si>
    <t>Serviço de legalização e licenciamento dos comunicadores radiofrequência junto a Anatel.</t>
  </si>
  <si>
    <t>114403	9655</t>
  </si>
  <si>
    <t>CRICOM</t>
  </si>
  <si>
    <t xml:space="preserve">Operação Tratamento de Efluentes	1228	3	3,75%	 R$ 15,00 
Operação de Frio	1210	3	3,75%	 R$ 15,00 
Operação de Calor	1236	2	2,50%	 R$ 10,00 
Abate/Resfriamento	2488	4	5,00%	 R$ 20,00 
Recepção de Suínos	2216	3	3,75%	 R$ 15,00 
Espostejamento	2224	8	10,00%	 R$ 40,00 
Higienização	2437	2	2,50%	 R$ 10,00 
Túneis e Câmaras	2313	2	2,50%	 R$ 10,00 
Embalagem (Cortes)	4413	1	1,25%	 R$ 5,00 
Logística	2348	2	2,50%	 R$ 10,00 
Fábrica de Farinha	2330	2	2,50%	 R$ 10,00 
Produção	2208	3	3,75%	 R$ 15,00 
Frescais	4057	1	1,25%	 R$ 5,00 
Presuntaria 	2291	1	1,25%	 R$ 5,00 
Cozidos	2283	1	1,25%	 R$ 5,00 
Embalagem secundária (Ind)	5345	1	1,25%	 R$ 5,00 
Fatiados	4600	1	1,25%	 R$ 5,00 
Curados	5525	1	1,25%	 R$ 5,00 
SESMT	2101	4	5,00%	 R$ 20,00 
Manut. Elétrica	1163	13	16,25%	 R$ 65,00 
Manut. Mecanica	1171	16	20,00%	 R$ 80,00 
Manut. Civil	1180	1	1,25%	 R$ 5,00 
Engenharia e Manutenção	1155	3	3,75%	 R$ 15,00 
Adm	2054	1	1,25%	 R$ 5,00 
Controle de Materiais	2089	1	1,25%	 R$ 5,00 
</t>
  </si>
  <si>
    <t>59 conta
81 USO</t>
  </si>
  <si>
    <r>
      <rPr>
        <sz val="11"/>
        <color rgb="FFFF0000"/>
        <rFont val="Calibri"/>
        <scheme val="minor"/>
      </rPr>
      <t xml:space="preserve">152
</t>
    </r>
    <r>
      <rPr>
        <sz val="11"/>
        <color rgb="FF000000"/>
        <rFont val="Calibri"/>
        <scheme val="minor"/>
      </rPr>
      <t>619</t>
    </r>
  </si>
  <si>
    <t>3796497
3799643</t>
  </si>
  <si>
    <t>"Serviço de locação de radiotransmissores e central, composta por um sistema de repetidoras e baterias estacionárias, para a planta.
CONTRATO 114402 - 9654"</t>
  </si>
  <si>
    <t>114402	9654</t>
  </si>
  <si>
    <t>ABIX</t>
  </si>
  <si>
    <t xml:space="preserve">Operação Tratamento de Efluentes	1228	3	3,75%	 R$ 239,68 
Operação de Frio	1210	3	3,75%	 R$ 239,68 
Operação de Calor	1236	2	2,50%	 R$ 159,79 
Abate/Resfriamento	2488	4	5,00%	 R$ 319,57 
Recepção de Suínos	2216	3	3,75%	 R$ 239,68 
Espostejamento	2224	8	10,00%	 R$ 639,14 
Higienização	2437	2	2,50%	 R$ 159,79 
Túneis e Câmaras	2313	2	2,50%	 R$ 159,79 
Embalagem (Cortes)	4413	1	1,25%	 R$ 79,89 
Logística	2348	2	2,50%	 R$ 159,79 
Fábrica de Farinha	2330	2	2,50%	 R$ 159,79 
Produção	2208	3	3,75%	 R$ 239,68 
Frescais	4057	1	1,25%	 R$ 79,89 
Presuntaria 	2291	1	1,25%	 R$ 79,89 
Cozidos	2283	1	1,25%	 R$ 79,89 
Embalagem secundária (Ind)	5345	1	1,25%	 R$ 79,89 
Fatiados	4600	1	1,25%	 R$ 79,89 
Curados	5525	1	1,25%	 R$ 79,89 
SESMT	2101	4	5,00%	 R$ 319,57 
Manut. Elétrica	1163	13	16,25%	 R$ 1.038,61 
Manut. Mecanica	1171	16	20,00%	 R$ 1.278,29 
Manut. Civil	1180	1	1,25%	 R$ 79,89 
Engenharia e Manutenção	1155	3	3,75%	 R$ 239,68 
Adm	2054	1	1,25%	 R$ 79,89 
Controle de Materiais	2089	1	1,25%	 R$ 79,89 
</t>
  </si>
  <si>
    <t>Operação Tratamento de Efluentes	1228	3,75%	217,89
Operação de Frio	1210	3,75%	217,89
Operação de Calor	1236	2,50%	145,26
Abate/Resfriamento	2488	5,00%	290,52
Recepção de Suínos	2216	3,75%	217,89
Espostejamento	2224	10,00%	581,04
Higienização	2437	2,50%	145,26
Túneis e Câmaras	2313	2,50%	145,26
Embalagem (Cortes)	4413	1,25%	72,63
Logística	2348	2,50%	145,26
Fábrica de Farinha	2330	2,50%	145,26
Produção	2208	3,75%	217,89
Frescais	4057	1,25%	72,63
Presuntaria 	2291	1,25%	72,63
Cozidos	2283	1,25%	72,63
Embalagem secundária (Ind)	5345	1,25%	72,63
Fatiados	4600	1,25%	72,63
Curados	5525	1,25%	72,63
SESMT	2101	5,00%	290,52
Manut. Elétrica	1163	16,25%	944,19
Manut. Mecanica	1171	20,00%	1162,08
Manut. Civil	1180	1,25%	72,63
Engenharia e Manutenção	1155	3,75%	217,89
Adm	2054	1,25%	72,63
Controle de Materiais	2089	1,25%	72,63</t>
  </si>
  <si>
    <t>CA 2054:  406,73 (todos CA do ADM)
CA 2208: 2.672,78 (todos os CA que envolve dep. manutenção).
CA 1163: 2.730,89 (todos os CA da produção).</t>
  </si>
  <si>
    <t>354 conta
262 USO</t>
  </si>
  <si>
    <r>
      <rPr>
        <sz val="11"/>
        <color rgb="FFFF0000"/>
        <rFont val="Calibri"/>
        <scheme val="minor"/>
      </rPr>
      <t xml:space="preserve">1004
</t>
    </r>
    <r>
      <rPr>
        <sz val="11"/>
        <color rgb="FF000000"/>
        <rFont val="Calibri"/>
        <scheme val="minor"/>
      </rPr>
      <t>1004</t>
    </r>
  </si>
  <si>
    <t>2054:  426,11(todos CA do ADM)
2208: 2.800,16 (todos os CA que envolve dep. manutenção).
1163: 2.861,03 (todos os CA da produção).</t>
  </si>
  <si>
    <r>
      <rPr>
        <sz val="11"/>
        <color rgb="FF000000"/>
        <rFont val="Calibri"/>
        <scheme val="minor"/>
      </rPr>
      <t>262</t>
    </r>
    <r>
      <rPr>
        <b/>
        <sz val="11"/>
        <color rgb="FF000000"/>
        <rFont val="Calibri"/>
        <scheme val="minor"/>
      </rPr>
      <t xml:space="preserve"> </t>
    </r>
    <r>
      <rPr>
        <b/>
        <sz val="11"/>
        <color rgb="FFFF0000"/>
        <rFont val="Calibri"/>
        <scheme val="minor"/>
      </rPr>
      <t>- FATURA</t>
    </r>
  </si>
  <si>
    <r>
      <rPr>
        <sz val="11"/>
        <color rgb="FF000000"/>
        <rFont val="Calibri"/>
        <scheme val="minor"/>
      </rPr>
      <t xml:space="preserve">262 </t>
    </r>
    <r>
      <rPr>
        <b/>
        <sz val="11"/>
        <color rgb="FFFF0000"/>
        <rFont val="Calibri"/>
        <scheme val="minor"/>
      </rPr>
      <t>- FATURA</t>
    </r>
  </si>
  <si>
    <r>
      <rPr>
        <sz val="11"/>
        <color rgb="FF000000"/>
        <rFont val="Calibri"/>
        <scheme val="minor"/>
      </rPr>
      <t xml:space="preserve">262 - </t>
    </r>
    <r>
      <rPr>
        <b/>
        <sz val="11"/>
        <color rgb="FFFF0000"/>
        <rFont val="Calibri"/>
        <scheme val="minor"/>
      </rPr>
      <t>FATURA</t>
    </r>
  </si>
  <si>
    <t>REFERENTE A ENERGIA ELETRICA DA SUBESTAÇÃO</t>
  </si>
  <si>
    <t>ELECTRA</t>
  </si>
  <si>
    <t>ADRIANA</t>
  </si>
  <si>
    <t>SERVIÇO DE MÃO DE OBRA ESPECIALIZADA PARA MANUTENÇÃO DO SISTEMA DE CLIMATIZAÇÃO COM ELABORAÇÃO E GESTÃO DO PMOC (PLANO DE MANUTENÇÃO, OPERAÇÃO E CONTROLE) COM EMISSÃO E RECOLHIMENTO DA ART (ANOTAÇÃO DE RESPONSABILIDADE TÉCNICA ¿ CREA), CONFORME CONTRATO SEQ. AURORA Nº 15713, NÚMERO AURORA 119738.</t>
  </si>
  <si>
    <t>91230	316</t>
  </si>
  <si>
    <t>VIDALAR</t>
  </si>
  <si>
    <t>3547890 - 
3550014 - 3557528</t>
  </si>
  <si>
    <t>DELTA</t>
  </si>
  <si>
    <t>Mão de obra terceira para realizar a aferição da vibração nas máquinas, verificando a vida útil dos rolamentos de motores e caixas redutoras. 
Confeccionar um relatório após as análises e apresentar assim que finalizado.</t>
  </si>
  <si>
    <t>NF CANCELADA - EMITIDA APÓS O PRAZO</t>
  </si>
  <si>
    <t>"Mão de obra terceira para realizar a aferição da vibração nas máquinas, verificando a vida útil dos rolamentos de motores e caixas redutoras. 
Confeccionar um relatório após as análises e apresentar assim que finalizado."</t>
  </si>
  <si>
    <t xml:space="preserve">MÃO DE OBRA TERCEIRA PARA REALIZAR A AFERIÇÃO DA VIBRAÇÃO NAS MÁQUINAS, VERIFICANDO A VIDA ÚTIL DOS ROLAMENTOS DE MOTORES E CAIXAS REDUTORAS. 
CONFECCIONAR UM RELATÓRIO APÓS AS ANÁLISES E APRESENTAR ASSIM QUE FINALIZADO.
</t>
  </si>
  <si>
    <t>NF CANCELADA - EMITIDA APÓS O PRAZO PERMITIDO PARA LANÇAMENTO</t>
  </si>
  <si>
    <t>NOTA CANCELADA - EMITIDA APÓS PRAZO</t>
  </si>
  <si>
    <t xml:space="preserve">          FRANCIS </t>
  </si>
  <si>
    <t>MÃO DE OBRA PARA REALIZAÇÃO DE ANÁLISES DE VIBRAÇÃO EM EQUIPAMENTOS E MÁQUINAS, VERIFICANDO A VIDA ÚTIL DOS ROLAMENTOS DE BOMBAS, MOTORES E REDUTORES. OBS: SERVIÇO DEVERÁ SER REALIZADO 1X POR MÊS DE JANEIRO A DEZEMBRO DE 2025, A CADA VISITA DEVERÁ SER APRESENTADO RELATÓRIOS DE DIAGNÓSTICOS E DE ALARMES COM OS HISTÓRICOS DAS ANÁLISES.
Contrato Seq. Aurora nº 15839 e número Aurora 119950.</t>
  </si>
  <si>
    <t>119950 - 15839</t>
  </si>
  <si>
    <r>
      <rPr>
        <sz val="11"/>
        <color rgb="FFFF0000"/>
        <rFont val="Calibri"/>
        <scheme val="minor"/>
      </rPr>
      <t xml:space="preserve">1559
</t>
    </r>
    <r>
      <rPr>
        <sz val="11"/>
        <color rgb="FF000000"/>
        <rFont val="Calibri"/>
        <scheme val="minor"/>
      </rPr>
      <t>1560</t>
    </r>
  </si>
  <si>
    <t xml:space="preserve">CA 2488 – ABT
R$ 275,00
CA 1236 - GEV
R$ 275,00
CA 1244 - ETA
R$ 275,00
CA 1228 - ETE
R$ 275,00
CA 2330 - FFG
R$ 275,00
CA 1210 - GEF
R$ 275,00
CA 2283 - CEB
R$ 275,00
CA 4057 - SRF
R$ 275,00
CA 2291 - PRU
R$ 275,00
CA 4588 - EST
R$ 275,00
</t>
  </si>
  <si>
    <t>NF CANCELADA - EMITIDA EM DUPLICIDADE COM A NOTA 1560 DO CONTRATO</t>
  </si>
  <si>
    <t>CA 2488 – ABT
R$ 275,00
CA 1236 - GEV
R$ 275,00
CA 1244 - ETA
R$ 275,00
CA 1228 - ETE
R$ 275,00
CA 2330 - FFG
R$ 275,00
CA 1210 - GEF
R$ 275,00
CA 2283 - CEB
R$ 275,00
CA 4057 - SRF
R$ 275,00
CA 2291 - PRU
R$ 275,00
CA 4588 - EST
R$ 275,00</t>
  </si>
  <si>
    <t xml:space="preserve">SERVIÇO DE MÃO DE OBRA PARA REALIZAÇÃO DE ANÁLISES DE VIBRAÇÃO EM EQUIPAMENTOS E MÁQUINAS, VERIFICANDO A VIDA ÚTIL DOS ROLAMENTOS DE BOMBAS, MOTORES E REDUTORES. OBS: SERVIÇO DEVERÁ SER REALIZADO 1X POR MÊS DE JANEIRO A DEZEMBRO DE 2025, A CADA VISITA DEVERÁ SER APRESENTADO RELATÓRIOS DE DIAGNÓSTICOS E DE ALARMES COM OS HISTÓRICOS DAS ANÁLISES.
</t>
  </si>
  <si>
    <t xml:space="preserve">CA 2488 – 275,00
CA 1236 -  275,00
CA 1244 -  275,00
CA 1228 - 275,00
CA 2330 -  275,00
CA 1210 - 275,00
CA 2283 - 275,00
CA 4057 -  275,00
CA 2291 -  275,00
CA 4588 -  275,00
</t>
  </si>
  <si>
    <t>SERVIÇO DE MÃO DE OBRA PARA REALIZAÇÃO DE ANÁLISES DE VIBRAÇÃO EM EQUIPAMENTOS E MÁQUINAS, VERIFICANDO A VIDA ÚTIL DOS ROLAMENTOS DE BOMBAS, MOTORES E REDUTORES. OBS: SERVIÇO DEVERÁ SER REALIZADO 1X POR MÊS DE JANEIRO A DEZEMBRO DE 2025, A CADA VISITA DEVERÁ SER APRESENTADO RELATÓRIOS DE DIAGNÓSTICOS E DE ALARMES COM OS HISTÓRICOS DAS ANÁLISES.</t>
  </si>
  <si>
    <t xml:space="preserve">CA 2488 – 275,00
CA 1236 -  275,00
CA 1244 -  275,00
CA 1228 - 275,00
CA 2330 -  275,00
CA 1210 - 275,00
CA 2283 - 275,00
CA 4057 -  275,00
CA 2291 -  275,00
CA 4588 -  275,00
</t>
  </si>
  <si>
    <t>referente a 01ª parcela da proposta O291631 de Contrato para prestação de serviços.</t>
  </si>
  <si>
    <t>Nº Aurora 112762	- Seq. 14442</t>
  </si>
  <si>
    <r>
      <rPr>
        <sz val="11"/>
        <color rgb="FFFF0000"/>
        <rFont val="Calibri"/>
        <scheme val="minor"/>
      </rPr>
      <t xml:space="preserve">4227
</t>
    </r>
    <r>
      <rPr>
        <sz val="11"/>
        <color rgb="FF000000"/>
        <rFont val="Calibri"/>
        <scheme val="minor"/>
      </rPr>
      <t>4244</t>
    </r>
  </si>
  <si>
    <t>2224 - 25%
2488 - 75%</t>
  </si>
  <si>
    <t>referente a 02ª parcela da proposta O291631 de Contrato para prestação de serviços.</t>
  </si>
  <si>
    <t>referente a 03ª parcela da proposta O291631 de Contrato para prestação de serviços.</t>
  </si>
  <si>
    <t>referente a 04ª parcela da proposta O291631 de Contrato para prestação de serviços.</t>
  </si>
  <si>
    <t>referente a 05ª parcela da proposta O291631 de Contrato para prestação de serviços.</t>
  </si>
  <si>
    <t>referente a 06ª parcela da proposta O291631 de Contrato para prestação de serviços.</t>
  </si>
  <si>
    <t>referente a 07ª parcela da proposta O291631 de Contrato para prestação de serviços.</t>
  </si>
  <si>
    <t>referente a 08ª parcela da proposta O291631 de Contrato para prestação de serviços.</t>
  </si>
  <si>
    <t>referente a 09ª parcela da proposta O291631 de Contrato para prestação de serviços.</t>
  </si>
  <si>
    <t>referente a 10ª parcela da proposta O291631 de Contrato para prestação de serviços.</t>
  </si>
  <si>
    <t>"2224 - 25% - 7.367,76
2488 - 75% - 22.103,26"</t>
  </si>
  <si>
    <t>contrato 112325
seq Aurora  14277</t>
  </si>
  <si>
    <t>NAVIER</t>
  </si>
  <si>
    <t>Manutenção preventiva nos compressores de amônia. PARCELA 1/36</t>
  </si>
  <si>
    <t>121666	- 16242</t>
  </si>
  <si>
    <t>Manutenção preventiva nos compressores de amônia. PARCELA 02/36</t>
  </si>
  <si>
    <t>Manutenção preventiva nos compressores de amônia. PARCELA 03/36</t>
  </si>
  <si>
    <t>Manutenção preventiva nos compressores de amônia. PARCELA 04/36</t>
  </si>
  <si>
    <t>Manutenção preventiva nos compressores de amônia. PARCELA 05/36</t>
  </si>
  <si>
    <t>CAMILA*</t>
  </si>
  <si>
    <t>Manutenção preventiva nos compressores de amônia. PARCELA 06/36</t>
  </si>
  <si>
    <t>FATURA CANCELADA POR COBRANÇAS DIVERGENTES</t>
  </si>
  <si>
    <t>"SERVIÇO DE CONSERTO ELÉTRICO DE EMPILHADEIRA A COMBUSTÃO REALIZADO DENTRO DA UNIDADE PELA EMPRESA ESPECIALIZADA NO EQUIPAMENTO. EQUIPAMENTO ESTAVA PARADO DEVIDO ROMPIMENTO DE MANGUEIRA E VAZAMENTO DE ÓLEO, SENDO NECESSÁRIO CHAMAR A EMPRESA PARA CONSERTO URGENTE DEVIDO EQUIPAMENTO SER USADO PARA TRANSPORTE DE MATERIAIS E CONDIMENTOS PARA ABASTECIMENTO DO FRIGORIFICO E INDUSTRIALIZADOS
NF 4743"</t>
  </si>
  <si>
    <t>SERVIÇO DE CONSERTO ELÉTRICO DE TRANSPALETEIRA REALIZADO DENTRO DA UNIDADE PELA EMPRESA ESPECIALIZADA NO EQUIPAMENTO. EQUIPAMENTO ESTAVA PARADO DEVIDO TEREM MOLHADO O EQUIPAMENTO COM ÁGUA, OCASIONANDO ATENDIMENTO POR MAU USO.
NOTA 4823</t>
  </si>
  <si>
    <t xml:space="preserve">FATURA REFERENTE A LOCAÇÃO DE EQUIPAMENTOS </t>
  </si>
  <si>
    <t>NF CANCELADA</t>
  </si>
  <si>
    <t>rateio</t>
  </si>
  <si>
    <t>valor errado</t>
  </si>
  <si>
    <t>NF CANCELADA - VALOR INCORRETO</t>
  </si>
  <si>
    <t>fatura cancelada</t>
  </si>
  <si>
    <t>2348/2313</t>
  </si>
  <si>
    <t xml:space="preserve">FRANCIS </t>
  </si>
  <si>
    <t>Serviços de munck com cesto para colocação de tubos ETE - O.S.778</t>
  </si>
  <si>
    <t>Serviços de munck normal para erguer tubos, retirada de esteira e troca de plataforma doca - o.s. 671-675-783-779</t>
  </si>
  <si>
    <t>1228 - 2224 - 4472 -  800</t>
  </si>
  <si>
    <t>Manutenção preventiva nos compressores de amônia. PARCELA 07/36</t>
  </si>
  <si>
    <r>
      <rPr>
        <sz val="11"/>
        <color rgb="FFFF0000"/>
        <rFont val="Calibri"/>
        <scheme val="minor"/>
      </rPr>
      <t xml:space="preserve">881001017
</t>
    </r>
    <r>
      <rPr>
        <sz val="11"/>
        <color rgb="FF000000"/>
        <rFont val="Calibri"/>
        <scheme val="minor"/>
      </rPr>
      <t>74504</t>
    </r>
  </si>
  <si>
    <t>2054:  437,52 (todos CA do ADM)
2208: 2.875,11  (todos os CA que envolve dep. manutenção).
1163: 2.937,60 (todos os CA da produção).</t>
  </si>
  <si>
    <t>francis
CAMILA</t>
  </si>
  <si>
    <r>
      <rPr>
        <sz val="11"/>
        <color rgb="FFFF0000"/>
        <rFont val="Calibri"/>
        <scheme val="minor"/>
      </rPr>
      <t xml:space="preserve">263
</t>
    </r>
    <r>
      <rPr>
        <sz val="11"/>
        <color rgb="FF000000"/>
        <rFont val="Calibri"/>
        <scheme val="minor"/>
      </rPr>
      <t>721</t>
    </r>
  </si>
  <si>
    <t>referente a 11ª parcela da proposta O291631 de Contrato para prestação de serviços.</t>
  </si>
  <si>
    <t>Serviços de munck para alocação e remoção da balsa na lagoa de aeração ETE - O.S. 702-791</t>
  </si>
  <si>
    <t>Serviços de munck para troca de motor lagoa, movimentação niveladora da doca contentores e troca de ventilador - O.S. 701-703-704</t>
  </si>
  <si>
    <t xml:space="preserve">34% ETE 1228
33% ABATE 2488
33% CONDIMENTARIA 4472
</t>
  </si>
  <si>
    <t xml:space="preserve">FOSSA, RALO, E LIMPEZA DA SANGRIA </t>
  </si>
  <si>
    <t>DR AMBIENTAL</t>
  </si>
  <si>
    <t xml:space="preserve">limpeza de ralo e caixa de passagem no faqueiro do espostejamento </t>
  </si>
  <si>
    <t>128247	
18060</t>
  </si>
  <si>
    <t>GATO AR</t>
  </si>
  <si>
    <r>
      <rPr>
        <sz val="11"/>
        <color rgb="FFFF0000"/>
        <rFont val="Calibri"/>
        <scheme val="minor"/>
      </rPr>
      <t xml:space="preserve">705
</t>
    </r>
    <r>
      <rPr>
        <sz val="11"/>
        <color rgb="FF000000"/>
        <rFont val="Calibri"/>
        <scheme val="minor"/>
      </rPr>
      <t>708</t>
    </r>
  </si>
  <si>
    <t>referente a 12ª parcela da proposta O291631 de Contrato para prestação de serviços.</t>
  </si>
  <si>
    <t>CA 2488 – 275,00
CA 1236 -  275,00
CA 1244 -  275,00
CA 1228 - 275,00
CA 2330 -  275,00
CA 1210 - 275,00
CA 2283 - 275,00
CA 4057 -  275,00
CA 2291 -  275,00
CA 4588 -  275,00</t>
  </si>
  <si>
    <t>Serviços de munck com cadeirinha, içamento de ventilador - O.S. 686</t>
  </si>
  <si>
    <t xml:space="preserve">
Serviços de munck para movimentação de container, colocação de platibanda, içamento ventilador, retirada de barca lagoa ETE, movimentação de maquinas e 
troca de platibanda - O.S. 706-707-795-797-798-799</t>
  </si>
  <si>
    <t xml:space="preserve"> 707                                                                                             R$   1.800,00
2071
1210
706
 R$   1.000,00
2071
1210
798
 R$      800,00
2071
1228
799
 R$   1.000,00
2071
2330
795
 R$      800,00
2071
4057
797
 R$      800,00
2071
4472</t>
  </si>
  <si>
    <t>Manutenção preventiva nos compressores de amônia. PARCELA 08/36</t>
  </si>
  <si>
    <t>Serviços de munck com cadeirinha para medição de gases da caldeira e colocação de tela biodigestor</t>
  </si>
  <si>
    <t>1236 - 2.050,00
1228 - 1.470,00</t>
  </si>
  <si>
    <t>Serviços de munck normal para retirada de esteiras, montagem de ventilador, descarregamento de tanque, colocar boia na lagoa, movimentação de motor,
montagem de motor, retirada de motor com compressor sala de máquinas - O.S. 714-715-718-719-720-693-694</t>
  </si>
  <si>
    <t xml:space="preserve">BRUNO 714 - 2244 1550
BRUNO 715 - 2470 1800
JEVERSON 720 - 2488 800
RAFAEL 694 - 2488 1300
JEVERSON 719 - 1210 800
TIAGO 693 - 1228 1500
JEVERSON 718 - 1210 800
</t>
  </si>
  <si>
    <t>O.S 16780</t>
  </si>
  <si>
    <t>122708	16445</t>
  </si>
  <si>
    <t>BARBARA</t>
  </si>
  <si>
    <t xml:space="preserve">
Seviços de munck normal - O.S. 697-721-801-802-803-804-806-808-813
Tirar motor da lagoa
Retirada de exaustores da sala de máquina
Manutenção lagoa
Descarregar geradores ETA
Manutenção do trocador de calor
Troca de filtro natural eta 
Carregar lonas lagoa e montar medidor no biodigestor
Colocação do mexidor do biodigestor</t>
  </si>
  <si>
    <t>1244 - 2500,00
1228 - 2450,00
1210 - 800,00
2488 - 1300,00
2321 - 5250,00</t>
  </si>
  <si>
    <t>referente a 1ª/2026 parcela da proposta O291631 de Contrato para prestação de serviços.</t>
  </si>
  <si>
    <t xml:space="preserve">0,25	2224	 8.552,51 
0,75	2488	 25.657,53 </t>
  </si>
  <si>
    <t xml:space="preserve">
Seviços de munck normal - O.S. 809 - 700
Munck com cadeirinha biodigestor
Munck com cadeirinha verificar lona biodigestor</t>
  </si>
  <si>
    <r>
      <rPr>
        <sz val="11"/>
        <color rgb="FF000000"/>
        <rFont val="Calibri"/>
        <scheme val="minor"/>
      </rPr>
      <t xml:space="preserve">2113
</t>
    </r>
    <r>
      <rPr>
        <sz val="11"/>
        <color rgb="FFFF0000"/>
        <rFont val="Calibri"/>
        <scheme val="minor"/>
      </rPr>
      <t>2109</t>
    </r>
  </si>
  <si>
    <t>2321 - 1680,00</t>
  </si>
  <si>
    <t xml:space="preserve">Serviços de munck Normal - OS 724 - 810
Tirar motor da lagoa e colocar outro
Colocar fresa na oficina, buscar grades no ferro velho e trazer na oficina </t>
  </si>
  <si>
    <t>2321 - 1050,00
1151 - 1100,00</t>
  </si>
  <si>
    <t>Fornecedor</t>
  </si>
  <si>
    <t>Status</t>
  </si>
  <si>
    <t>Nº Aurora</t>
  </si>
  <si>
    <t>Seq. Aurora</t>
  </si>
  <si>
    <t>Valor</t>
  </si>
  <si>
    <t>Requisição</t>
  </si>
  <si>
    <t>Pedido</t>
  </si>
  <si>
    <t>Responsável</t>
  </si>
  <si>
    <t>Inicio</t>
  </si>
  <si>
    <t>Fim</t>
  </si>
  <si>
    <t>Comprador</t>
  </si>
  <si>
    <t>Descrição do Contrato</t>
  </si>
  <si>
    <t>Crown</t>
  </si>
  <si>
    <t>VIGENTE</t>
  </si>
  <si>
    <t>Rateio</t>
  </si>
  <si>
    <t>BRUNO</t>
  </si>
  <si>
    <t>Sara</t>
  </si>
  <si>
    <t>Locação de paleteira e transpaleteira</t>
  </si>
  <si>
    <t>Marel</t>
  </si>
  <si>
    <t>ENCERRADO 16/10/2024</t>
  </si>
  <si>
    <t>EUR 26.916.99</t>
  </si>
  <si>
    <t>CRISTIANO</t>
  </si>
  <si>
    <t>Serviço de TI e informática</t>
  </si>
  <si>
    <t>Soma</t>
  </si>
  <si>
    <t>LEONARDO</t>
  </si>
  <si>
    <t>Locação de impressora</t>
  </si>
  <si>
    <t>Disktran</t>
  </si>
  <si>
    <t>Joel Moises</t>
  </si>
  <si>
    <t>Locação de transpaleteira</t>
  </si>
  <si>
    <t>Toledo</t>
  </si>
  <si>
    <t>VIGENTE (MATRIZ)</t>
  </si>
  <si>
    <t>PAULO ROBERTO</t>
  </si>
  <si>
    <t>Vlademir Lourenço</t>
  </si>
  <si>
    <t>Contrato de Manutenção de Software</t>
  </si>
  <si>
    <t>ok - lançado pela matriz de acordo com a Rebecca Stter Scalvi Macharett</t>
  </si>
  <si>
    <t>VERIFICAR</t>
  </si>
  <si>
    <t>Messer</t>
  </si>
  <si>
    <t>espostejamento</t>
  </si>
  <si>
    <t>ERIC</t>
  </si>
  <si>
    <t>Locação do Tanque de CO2</t>
  </si>
  <si>
    <t>Serviço assistencia técnica no tanque de C.O</t>
  </si>
  <si>
    <t>Cricom</t>
  </si>
  <si>
    <t>Sem data definida.</t>
  </si>
  <si>
    <t>Abix</t>
  </si>
  <si>
    <t>CA 2054:  406,73 (todos CA do ADM)
CA 2208: 2.672,78 (todos os CA que envolve dep. manutenção).
CA 1155: 2.730,89 (todos os CA da produção).</t>
  </si>
  <si>
    <t>Serviço de locação de radiotransmissores e central, composta por um sistema de repetidoras e baterias estacionárias, para a planta.
80 unidades - PD506 - Rádio Portátil em UHF
(Kit contém: Rádio, Transformador, Base e Bateria)
80 unidades - PD506 - Bateria Extra (1500mAh)
2 unidades  - Estação Base - Repetidora Digital
(Cada Repetidora permite a conversação de 2 grupos
simultâneos, duas repetidoras devem atender à demanda dessa
unidade)</t>
  </si>
  <si>
    <t>ELECTRA ENERGIA</t>
  </si>
  <si>
    <t>UNIDADE</t>
  </si>
  <si>
    <t>ENCERRADO 30/11/2025</t>
  </si>
  <si>
    <t>GATO AR CONDICIONADO (OS TAURAS DO AR)</t>
  </si>
  <si>
    <t>JEVERSON</t>
  </si>
  <si>
    <t xml:space="preserve">CA 2488 – ABT
R$ 275,00
CA 1236 - GEV
R$ 275,00
CA 1244 - ETA
R$ 275,00
CA 1228 - ETE
R$ 275,00
CA 2330 - FFG
R$ 275,00
CA 1210 - GEF
R$ 275,00
CA 2283 - CEB
R$ 275,00
CA 4057 - SRF
R$ 275,00
CA 2291 - PRU
R$ 275,00
CA 4588 - EST
R$ 275,00
</t>
  </si>
  <si>
    <t>serviços 
especializados de manutenção preventiva mensal de 143 (cento e quarenta e três) conjuntos de 
equipamentos industriais, monitoramento e análise de vibração para análises preditivas e emissão do 
relatório/laudo técnico</t>
  </si>
  <si>
    <t>CORPORATIVO</t>
  </si>
  <si>
    <t>VINICIUS BECHER</t>
  </si>
  <si>
    <t>referente a parcela da proposta O291631 de Contrato para prestação de serviços.</t>
  </si>
  <si>
    <t>VARIÁVEL</t>
  </si>
  <si>
    <r>
      <rPr>
        <sz val="11"/>
        <color rgb="FF000000"/>
        <rFont val="Calibri"/>
        <scheme val="minor"/>
      </rPr>
      <t xml:space="preserve">CONTRATO PARA SERVIÇO DE MUNK  
MUNCK MODELO ATÉ 12 TON </t>
    </r>
    <r>
      <rPr>
        <b/>
        <sz val="11"/>
        <color rgb="FFFF0000"/>
        <rFont val="Calibri"/>
        <scheme val="minor"/>
      </rPr>
      <t xml:space="preserve">SEM </t>
    </r>
    <r>
      <rPr>
        <sz val="11"/>
        <color rgb="FF000000"/>
        <rFont val="Calibri"/>
        <scheme val="minor"/>
      </rPr>
      <t>CESTO AEREO OU PORTA PALET</t>
    </r>
  </si>
  <si>
    <r>
      <rPr>
        <sz val="11"/>
        <color rgb="FF000000"/>
        <rFont val="Calibri"/>
        <scheme val="minor"/>
      </rPr>
      <t xml:space="preserve">CONTRATO PARA SERVIÇO DE MUNK  
MUNCK MODELO ATÉ 12 TON </t>
    </r>
    <r>
      <rPr>
        <b/>
        <sz val="11"/>
        <color rgb="FFFF0000"/>
        <rFont val="Calibri"/>
        <scheme val="minor"/>
      </rPr>
      <t xml:space="preserve">COM </t>
    </r>
    <r>
      <rPr>
        <sz val="11"/>
        <color rgb="FF000000"/>
        <rFont val="Calibri"/>
        <scheme val="minor"/>
      </rPr>
      <t>CESTO AEREO OU PORTA PALET</t>
    </r>
  </si>
  <si>
    <r>
      <rPr>
        <sz val="11"/>
        <color rgb="FF000000"/>
        <rFont val="Calibri"/>
        <scheme val="minor"/>
      </rPr>
      <t xml:space="preserve">CONTRATO PARA SERVIÇO DE MUNK  
MUNCK MODELO ATÉ 12 TON </t>
    </r>
    <r>
      <rPr>
        <b/>
        <sz val="11"/>
        <color rgb="FFFF0000"/>
        <rFont val="Calibri"/>
        <scheme val="minor"/>
      </rPr>
      <t>PARA PEFURAÇÃO</t>
    </r>
    <r>
      <rPr>
        <sz val="11"/>
        <color rgb="FF000000"/>
        <rFont val="Calibri"/>
        <scheme val="minor"/>
      </rPr>
      <t xml:space="preserve"> DE ESTACAS ATÉ 6 METROS</t>
    </r>
  </si>
  <si>
    <t>z</t>
  </si>
  <si>
    <t>ALEXANDRE ROSSETTO</t>
  </si>
  <si>
    <t>Manutenção preventiva nos compressores de amônia.</t>
  </si>
  <si>
    <t>GIOVANA</t>
  </si>
  <si>
    <r>
      <rPr>
        <sz val="11"/>
        <color rgb="FF000000"/>
        <rFont val="Calibri"/>
        <scheme val="minor"/>
      </rPr>
      <t xml:space="preserve">LIMPEZA COM CAMINHÕES DE HIDROVACUO E HIDROJATEAMENTO
</t>
    </r>
    <r>
      <rPr>
        <b/>
        <sz val="11"/>
        <color rgb="FFFF0000"/>
        <rFont val="Calibri"/>
        <scheme val="minor"/>
      </rPr>
      <t>MEIA DIÁRIA</t>
    </r>
  </si>
  <si>
    <r>
      <rPr>
        <sz val="11"/>
        <color rgb="FF000000"/>
        <rFont val="Calibri"/>
        <scheme val="minor"/>
      </rPr>
      <t xml:space="preserve">LIMPEZA COM CAMINHÕES DE HIDROVACUO E HIDROJATEAMENTO
</t>
    </r>
    <r>
      <rPr>
        <b/>
        <sz val="11"/>
        <color rgb="FFFF0000"/>
        <rFont val="Calibri"/>
        <scheme val="minor"/>
      </rPr>
      <t>DIÁRIA</t>
    </r>
  </si>
  <si>
    <t>850 A HORA 
550 MOBILIZAÇÃO COM CONTRATAÇÃO MINIMA DE 2 HORAS
14,16667 reais por minuto</t>
  </si>
  <si>
    <r>
      <rPr>
        <sz val="11"/>
        <color rgb="FF000000"/>
        <rFont val="Calibri"/>
        <scheme val="minor"/>
      </rPr>
      <t xml:space="preserve">LIMPEZA COM CAMINHÕES DE HIDROVACUO E HIDROJATEAMENTO
</t>
    </r>
    <r>
      <rPr>
        <b/>
        <sz val="11"/>
        <color rgb="FFFF0000"/>
        <rFont val="Calibri"/>
        <scheme val="minor"/>
      </rPr>
      <t>POR HORA</t>
    </r>
  </si>
  <si>
    <r>
      <rPr>
        <sz val="11"/>
        <color rgb="FF000000"/>
        <rFont val="Calibri"/>
        <scheme val="minor"/>
      </rPr>
      <t xml:space="preserve">variaveis com os </t>
    </r>
    <r>
      <rPr>
        <b/>
        <sz val="11"/>
        <color rgb="FFFF0000"/>
        <rFont val="Calibri"/>
        <scheme val="minor"/>
      </rPr>
      <t xml:space="preserve">25 % </t>
    </r>
    <r>
      <rPr>
        <sz val="11"/>
        <color rgb="FF000000"/>
        <rFont val="Calibri"/>
        <scheme val="minor"/>
      </rPr>
      <t xml:space="preserve">e adiconal por hora </t>
    </r>
  </si>
  <si>
    <t>MUNKART</t>
  </si>
  <si>
    <t>R$190,00 por hora (seg a sex)
R$210,00 por hora (sáb, dom, feriados)</t>
  </si>
  <si>
    <t>Mínimo 3 horas de permanência</t>
  </si>
  <si>
    <t>PREENCHER</t>
  </si>
  <si>
    <t>FORMULA</t>
  </si>
  <si>
    <t>%</t>
  </si>
  <si>
    <t>VALOR TOTAL</t>
  </si>
  <si>
    <t>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</si>
</sst>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3" formatCode="_-* #,##0.00_-;\-* #,##0.00_-;_-* &quot;-&quot;??_-;_-@_-"/>
    <numFmt numFmtId="164" formatCode="&quot;R$&quot;\ #,##0.00;[Red]\-&quot;R$&quot;\ #,##0.00"/>
    <numFmt numFmtId="165" formatCode="_-&quot;R$&quot;\ * #,##0.00_-;\-&quot;R$&quot;\ * #,##0.00_-;_-&quot;R$&quot;\ * &quot;-&quot;??_-;_-@_-"/>
    <numFmt numFmtId="166" formatCode="[$-416]mmm\-yy;@"/>
    <numFmt numFmtId="167" formatCode="_-[$R$-416]\ * #,##0.00_-;\-[$R$-416]\ * #,##0.00_-;_-[$R$-416]\ * &quot;-&quot;??_-;_-@_-"/>
    <numFmt numFmtId="168" formatCode="_-[$€-2]\ * #,##0.00_-;\-[$€-2]\ * #,##0.00_-;_-[$€-2]\ * &quot;-&quot;??_-;_-@_-"/>
  </numFmts>
  <fonts count="24" x14ac:knownFonts="1">
    <font>
      <sz val="11"/>
      <color theme="1"/>
      <name val="Calibri"/>
      <family val="2"/>
      <scheme val="minor"/>
    </font>
    <font>
      <sz val="11"/>
      <color theme="1"/>
      <name val="Calibri"/>
      <scheme val="minor"/>
    </font>
    <font>
      <sz val="11"/>
      <color theme="1"/>
      <name val="Calibri"/>
      <family val="2"/>
      <scheme val="minor"/>
    </font>
    <font>
      <sz val="9"/>
      <color theme="1"/>
      <name val="Calibri"/>
      <family val="2"/>
      <scheme val="minor"/>
    </font>
    <font>
      <b/>
      <sz val="9"/>
      <color theme="1"/>
      <name val="Calibri"/>
      <family val="2"/>
      <scheme val="minor"/>
    </font>
    <font>
      <b/>
      <sz val="10"/>
      <color theme="0"/>
      <name val="Calibri"/>
      <family val="2"/>
      <scheme val="minor"/>
    </font>
    <font>
      <sz val="9"/>
      <color rgb="FF00B050"/>
      <name val="Calibri"/>
      <family val="2"/>
      <scheme val="minor"/>
    </font>
    <font>
      <sz val="9"/>
      <color rgb="FFFF0000"/>
      <name val="Calibri"/>
      <family val="2"/>
      <scheme val="minor"/>
    </font>
    <font>
      <sz val="9"/>
      <color rgb="FFFF0000"/>
      <name val="Calibri"/>
      <scheme val="minor"/>
    </font>
    <font>
      <sz val="9"/>
      <color rgb="FF000000"/>
      <name val="Calibri"/>
      <scheme val="minor"/>
    </font>
    <font>
      <sz val="9"/>
      <color theme="1"/>
      <name val="Calibri"/>
      <scheme val="minor"/>
    </font>
    <font>
      <sz val="9"/>
      <color rgb="FF000000"/>
      <name val="Calibri"/>
      <family val="2"/>
      <scheme val="minor"/>
    </font>
    <font>
      <sz val="11"/>
      <color rgb="FFFF0000"/>
      <name val="Calibri"/>
      <scheme val="minor"/>
    </font>
    <font>
      <b/>
      <sz val="11"/>
      <color theme="1"/>
      <name val="Calibri"/>
      <family val="2"/>
      <scheme val="minor"/>
    </font>
    <font>
      <sz val="11"/>
      <color rgb="FF000000"/>
      <name val="Calibri"/>
      <scheme val="minor"/>
    </font>
    <font>
      <sz val="11"/>
      <color rgb="FF000000"/>
      <name val="Calibri"/>
      <family val="2"/>
      <scheme val="minor"/>
    </font>
    <font>
      <b/>
      <sz val="11"/>
      <color rgb="FFFF0000"/>
      <name val="Calibri"/>
      <scheme val="minor"/>
    </font>
    <font>
      <sz val="11"/>
      <color rgb="FF00B050"/>
      <name val="Calibri"/>
      <family val="2"/>
      <scheme val="minor"/>
    </font>
    <font>
      <sz val="26"/>
      <color rgb="FFFF0000"/>
      <name val="Calibri"/>
      <family val="2"/>
      <scheme val="minor"/>
    </font>
    <font>
      <b/>
      <sz val="11"/>
      <color theme="0"/>
      <name val="Calibri"/>
      <family val="2"/>
      <scheme val="minor"/>
    </font>
    <font>
      <b/>
      <sz val="11"/>
      <color rgb="FF000000"/>
      <name val="Calibri"/>
      <scheme val="minor"/>
    </font>
    <font>
      <sz val="11"/>
      <color rgb="FFC00000"/>
      <name val="Calibri"/>
      <family val="2"/>
      <scheme val="minor"/>
    </font>
    <font>
      <sz val="11"/>
      <color rgb="FF9C0006"/>
      <name val="Calibri"/>
      <charset val="1"/>
    </font>
    <font>
      <sz val="11"/>
      <color rgb="FF00B050"/>
      <name val="Calibri"/>
      <scheme val="minor"/>
    </font>
  </fonts>
  <fills count="18">
    <fill>
      <patternFill patternType="none"/>
    </fill>
    <fill>
      <patternFill patternType="gray125"/>
    </fill>
    <fill>
      <patternFill patternType="solid">
        <fgColor rgb="FFFFFF00"/>
        <bgColor indexed="64"/>
      </patternFill>
    </fill>
    <fill>
      <patternFill patternType="solid">
        <fgColor rgb="FFFFC000"/>
        <bgColor indexed="64"/>
      </patternFill>
    </fill>
    <fill>
      <patternFill patternType="solid">
        <fgColor rgb="FF92D050"/>
        <bgColor indexed="64"/>
      </patternFill>
    </fill>
    <fill>
      <patternFill patternType="solid">
        <fgColor theme="5" tint="0.79998168889431442"/>
        <bgColor indexed="64"/>
      </patternFill>
    </fill>
    <fill>
      <patternFill patternType="solid">
        <fgColor theme="7" tint="0.79998168889431442"/>
        <bgColor indexed="64"/>
      </patternFill>
    </fill>
    <fill>
      <patternFill patternType="solid">
        <fgColor theme="9" tint="0.79998168889431442"/>
        <bgColor indexed="64"/>
      </patternFill>
    </fill>
    <fill>
      <patternFill patternType="solid">
        <fgColor theme="1"/>
        <bgColor indexed="64"/>
      </patternFill>
    </fill>
    <fill>
      <patternFill patternType="solid">
        <fgColor rgb="FF00B0F0"/>
        <bgColor indexed="64"/>
      </patternFill>
    </fill>
    <fill>
      <patternFill patternType="solid">
        <fgColor theme="7"/>
        <bgColor indexed="64"/>
      </patternFill>
    </fill>
    <fill>
      <patternFill patternType="solid">
        <fgColor theme="9" tint="0.59999389629810485"/>
        <bgColor indexed="64"/>
      </patternFill>
    </fill>
    <fill>
      <patternFill patternType="solid">
        <fgColor rgb="FFFFFFFF"/>
        <bgColor indexed="64"/>
      </patternFill>
    </fill>
    <fill>
      <patternFill patternType="solid">
        <fgColor theme="5" tint="0.59999389629810485"/>
        <bgColor indexed="64"/>
      </patternFill>
    </fill>
    <fill>
      <patternFill patternType="solid">
        <fgColor rgb="FFC00000"/>
        <bgColor indexed="64"/>
      </patternFill>
    </fill>
    <fill>
      <patternFill patternType="solid">
        <fgColor theme="0"/>
        <bgColor indexed="64"/>
      </patternFill>
    </fill>
    <fill>
      <patternFill patternType="solid">
        <fgColor rgb="FF00B050"/>
        <bgColor indexed="64"/>
      </patternFill>
    </fill>
    <fill>
      <patternFill patternType="solid">
        <fgColor rgb="FFFF0000"/>
        <bgColor indexed="64"/>
      </patternFill>
    </fill>
  </fills>
  <borders count="11">
    <border>
      <left/>
      <right/>
      <top/>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thin">
        <color theme="0" tint="-0.24994659260841701"/>
      </left>
      <right/>
      <top style="thin">
        <color theme="0" tint="-0.24994659260841701"/>
      </top>
      <bottom style="thin">
        <color theme="0" tint="-0.24994659260841701"/>
      </bottom>
      <diagonal/>
    </border>
    <border>
      <left/>
      <right style="thin">
        <color theme="0" tint="-0.24994659260841701"/>
      </right>
      <top style="thin">
        <color theme="0" tint="-0.24994659260841701"/>
      </top>
      <bottom style="thin">
        <color theme="0" tint="-0.24994659260841701"/>
      </bottom>
      <diagonal/>
    </border>
    <border>
      <left/>
      <right/>
      <top style="thin">
        <color theme="0" tint="-0.24994659260841701"/>
      </top>
      <bottom style="thin">
        <color theme="0" tint="-0.24994659260841701"/>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s>
  <cellStyleXfs count="2">
    <xf numFmtId="0" fontId="0" fillId="0" borderId="0"/>
    <xf numFmtId="165" fontId="2" fillId="0" borderId="0" applyFont="0" applyFill="0" applyBorder="0" applyAlignment="0" applyProtection="0"/>
  </cellStyleXfs>
  <cellXfs count="158">
    <xf numFmtId="0" fontId="0" fillId="0" borderId="0" xfId="0"/>
    <xf numFmtId="0" fontId="0" fillId="0" borderId="0" xfId="0" applyAlignment="1">
      <alignment horizontal="center" vertical="center"/>
    </xf>
    <xf numFmtId="0" fontId="3" fillId="5" borderId="1" xfId="0" applyFont="1" applyFill="1" applyBorder="1" applyAlignment="1">
      <alignment horizontal="center" vertical="center" wrapText="1"/>
    </xf>
    <xf numFmtId="0" fontId="3" fillId="6" borderId="1" xfId="0" applyFont="1" applyFill="1" applyBorder="1" applyAlignment="1">
      <alignment horizontal="center" vertical="center" wrapText="1"/>
    </xf>
    <xf numFmtId="0" fontId="5" fillId="8" borderId="1" xfId="0" applyFont="1" applyFill="1" applyBorder="1" applyAlignment="1">
      <alignment horizontal="center" vertical="center" wrapText="1"/>
    </xf>
    <xf numFmtId="0" fontId="0" fillId="5" borderId="0" xfId="0" applyFill="1"/>
    <xf numFmtId="0" fontId="0" fillId="3" borderId="0" xfId="0" applyFill="1"/>
    <xf numFmtId="0" fontId="13" fillId="10" borderId="5" xfId="0" applyFont="1" applyFill="1" applyBorder="1" applyAlignment="1">
      <alignment horizontal="center" vertical="center"/>
    </xf>
    <xf numFmtId="167" fontId="13" fillId="10" borderId="5" xfId="0" applyNumberFormat="1" applyFont="1" applyFill="1" applyBorder="1" applyAlignment="1">
      <alignment horizontal="center" vertical="center"/>
    </xf>
    <xf numFmtId="14" fontId="13" fillId="10" borderId="5" xfId="0" applyNumberFormat="1" applyFont="1" applyFill="1" applyBorder="1" applyAlignment="1">
      <alignment horizontal="center" vertical="center"/>
    </xf>
    <xf numFmtId="0" fontId="13" fillId="10" borderId="5" xfId="0" applyFont="1" applyFill="1" applyBorder="1" applyAlignment="1">
      <alignment horizontal="left" vertical="center"/>
    </xf>
    <xf numFmtId="17" fontId="13" fillId="3" borderId="5" xfId="0" applyNumberFormat="1" applyFont="1" applyFill="1" applyBorder="1" applyAlignment="1">
      <alignment horizontal="center" vertical="center"/>
    </xf>
    <xf numFmtId="0" fontId="0" fillId="0" borderId="5" xfId="0" applyBorder="1" applyAlignment="1">
      <alignment vertical="center"/>
    </xf>
    <xf numFmtId="0" fontId="0" fillId="11" borderId="5" xfId="0" applyFill="1" applyBorder="1" applyAlignment="1">
      <alignment horizontal="center" vertical="center"/>
    </xf>
    <xf numFmtId="0" fontId="0" fillId="0" borderId="5" xfId="0" applyBorder="1" applyAlignment="1">
      <alignment horizontal="center" vertical="center"/>
    </xf>
    <xf numFmtId="167" fontId="0" fillId="0" borderId="5" xfId="0" applyNumberFormat="1" applyBorder="1" applyAlignment="1">
      <alignment horizontal="center" vertical="center"/>
    </xf>
    <xf numFmtId="14" fontId="0" fillId="0" borderId="5" xfId="0" applyNumberFormat="1" applyBorder="1" applyAlignment="1">
      <alignment horizontal="center" vertical="center"/>
    </xf>
    <xf numFmtId="0" fontId="0" fillId="0" borderId="5" xfId="0" applyBorder="1" applyAlignment="1">
      <alignment horizontal="left" vertical="center"/>
    </xf>
    <xf numFmtId="0" fontId="0" fillId="2" borderId="5" xfId="0" applyFill="1" applyBorder="1" applyAlignment="1">
      <alignment vertical="center"/>
    </xf>
    <xf numFmtId="0" fontId="0" fillId="2" borderId="5" xfId="0" applyFill="1" applyBorder="1" applyAlignment="1">
      <alignment horizontal="center" vertical="center"/>
    </xf>
    <xf numFmtId="168" fontId="0" fillId="2" borderId="5" xfId="0" applyNumberFormat="1" applyFill="1" applyBorder="1" applyAlignment="1">
      <alignment horizontal="center" vertical="center"/>
    </xf>
    <xf numFmtId="14" fontId="0" fillId="2" borderId="5" xfId="0" applyNumberFormat="1" applyFill="1" applyBorder="1" applyAlignment="1">
      <alignment horizontal="center" vertical="center"/>
    </xf>
    <xf numFmtId="0" fontId="0" fillId="2" borderId="5" xfId="0" applyFill="1" applyBorder="1" applyAlignment="1">
      <alignment horizontal="left" vertical="center"/>
    </xf>
    <xf numFmtId="167" fontId="0" fillId="2" borderId="5" xfId="0" applyNumberFormat="1" applyFill="1" applyBorder="1" applyAlignment="1">
      <alignment horizontal="center" vertical="center"/>
    </xf>
    <xf numFmtId="0" fontId="14" fillId="0" borderId="5" xfId="0" applyFont="1" applyBorder="1" applyAlignment="1">
      <alignment horizontal="center" vertical="center" wrapText="1"/>
    </xf>
    <xf numFmtId="0" fontId="0" fillId="0" borderId="5" xfId="0" applyBorder="1" applyAlignment="1">
      <alignment horizontal="left" vertical="top" wrapText="1"/>
    </xf>
    <xf numFmtId="167" fontId="15" fillId="0" borderId="5" xfId="0" applyNumberFormat="1" applyFont="1" applyBorder="1" applyAlignment="1">
      <alignment horizontal="center" vertical="center"/>
    </xf>
    <xf numFmtId="0" fontId="0" fillId="0" borderId="5" xfId="0" applyBorder="1" applyAlignment="1">
      <alignment horizontal="center" vertical="center" wrapText="1"/>
    </xf>
    <xf numFmtId="0" fontId="0" fillId="0" borderId="5" xfId="0" applyBorder="1" applyAlignment="1">
      <alignment horizontal="left" vertical="center" wrapText="1"/>
    </xf>
    <xf numFmtId="0" fontId="0" fillId="0" borderId="6" xfId="0" applyBorder="1" applyAlignment="1">
      <alignment horizontal="center" vertical="center"/>
    </xf>
    <xf numFmtId="0" fontId="0" fillId="0" borderId="6" xfId="0" applyBorder="1" applyAlignment="1">
      <alignment horizontal="center" vertical="center" wrapText="1"/>
    </xf>
    <xf numFmtId="167" fontId="0" fillId="0" borderId="7" xfId="0" applyNumberFormat="1" applyBorder="1" applyAlignment="1">
      <alignment horizontal="center" vertical="center"/>
    </xf>
    <xf numFmtId="14" fontId="0" fillId="0" borderId="8" xfId="0" applyNumberFormat="1" applyBorder="1" applyAlignment="1">
      <alignment horizontal="center" vertical="center"/>
    </xf>
    <xf numFmtId="0" fontId="0" fillId="12" borderId="5" xfId="0" applyFill="1" applyBorder="1" applyAlignment="1">
      <alignment horizontal="center" vertical="center"/>
    </xf>
    <xf numFmtId="167" fontId="0" fillId="0" borderId="5" xfId="0" applyNumberFormat="1" applyBorder="1" applyAlignment="1">
      <alignment horizontal="center" vertical="center" wrapText="1"/>
    </xf>
    <xf numFmtId="9" fontId="0" fillId="0" borderId="0" xfId="0" applyNumberFormat="1"/>
    <xf numFmtId="43" fontId="0" fillId="0" borderId="0" xfId="0" applyNumberFormat="1"/>
    <xf numFmtId="9" fontId="15" fillId="13" borderId="0" xfId="0" applyNumberFormat="1" applyFont="1" applyFill="1" applyAlignment="1">
      <alignment horizontal="center" vertical="center"/>
    </xf>
    <xf numFmtId="165" fontId="0" fillId="11" borderId="0" xfId="0" applyNumberFormat="1" applyFill="1" applyAlignment="1">
      <alignment horizontal="center" vertical="center"/>
    </xf>
    <xf numFmtId="0" fontId="17" fillId="0" borderId="5" xfId="0" applyFont="1" applyBorder="1" applyAlignment="1">
      <alignment horizontal="center" vertical="center" wrapText="1"/>
    </xf>
    <xf numFmtId="2" fontId="15" fillId="13" borderId="0" xfId="0" applyNumberFormat="1" applyFont="1" applyFill="1"/>
    <xf numFmtId="0" fontId="15" fillId="13" borderId="0" xfId="0" applyFont="1" applyFill="1"/>
    <xf numFmtId="43" fontId="0" fillId="11" borderId="0" xfId="0" applyNumberFormat="1" applyFill="1"/>
    <xf numFmtId="165" fontId="0" fillId="0" borderId="0" xfId="0" applyNumberFormat="1"/>
    <xf numFmtId="165" fontId="15" fillId="13" borderId="5" xfId="1" applyFont="1" applyFill="1" applyBorder="1" applyAlignment="1">
      <alignment wrapText="1"/>
    </xf>
    <xf numFmtId="9" fontId="15" fillId="13" borderId="0" xfId="0" applyNumberFormat="1" applyFont="1" applyFill="1"/>
    <xf numFmtId="9" fontId="13" fillId="0" borderId="6" xfId="0" applyNumberFormat="1" applyFont="1" applyBorder="1" applyAlignment="1">
      <alignment horizontal="center"/>
    </xf>
    <xf numFmtId="0" fontId="19" fillId="14" borderId="0" xfId="0" applyFont="1" applyFill="1" applyAlignment="1">
      <alignment horizontal="center" vertical="center" wrapText="1"/>
    </xf>
    <xf numFmtId="165" fontId="5" fillId="14" borderId="0" xfId="1" applyFont="1" applyFill="1" applyAlignment="1">
      <alignment horizontal="center" vertical="center" wrapText="1"/>
    </xf>
    <xf numFmtId="165" fontId="19" fillId="14" borderId="0" xfId="1" applyFont="1" applyFill="1" applyAlignment="1">
      <alignment horizontal="center" vertical="center" wrapText="1"/>
    </xf>
    <xf numFmtId="16" fontId="0" fillId="0" borderId="5" xfId="0" applyNumberFormat="1" applyBorder="1" applyAlignment="1">
      <alignment horizontal="center" vertical="center" wrapText="1"/>
    </xf>
    <xf numFmtId="16" fontId="0" fillId="15" borderId="5" xfId="0" applyNumberFormat="1" applyFill="1" applyBorder="1" applyAlignment="1">
      <alignment horizontal="center" vertical="center" wrapText="1"/>
    </xf>
    <xf numFmtId="0" fontId="0" fillId="11" borderId="5" xfId="0" applyFill="1" applyBorder="1" applyAlignment="1">
      <alignment horizontal="center" vertical="center" wrapText="1"/>
    </xf>
    <xf numFmtId="0" fontId="0" fillId="0" borderId="5" xfId="0" applyBorder="1" applyAlignment="1">
      <alignment wrapText="1"/>
    </xf>
    <xf numFmtId="0" fontId="0" fillId="2" borderId="5" xfId="0" applyFill="1" applyBorder="1" applyAlignment="1">
      <alignment horizontal="center" vertical="center" wrapText="1"/>
    </xf>
    <xf numFmtId="0" fontId="0" fillId="4" borderId="5" xfId="0" applyFill="1" applyBorder="1" applyAlignment="1">
      <alignment horizontal="center" vertical="center" wrapText="1"/>
    </xf>
    <xf numFmtId="165" fontId="17" fillId="0" borderId="5" xfId="1" applyFont="1" applyBorder="1" applyAlignment="1">
      <alignment wrapText="1"/>
    </xf>
    <xf numFmtId="0" fontId="15" fillId="0" borderId="5" xfId="0" applyFont="1" applyBorder="1" applyAlignment="1">
      <alignment horizontal="center" vertical="center" wrapText="1"/>
    </xf>
    <xf numFmtId="0" fontId="12" fillId="0" borderId="5" xfId="0" applyFont="1" applyBorder="1" applyAlignment="1">
      <alignment horizontal="center" vertical="center" wrapText="1"/>
    </xf>
    <xf numFmtId="0" fontId="0" fillId="0" borderId="9" xfId="0" applyBorder="1" applyAlignment="1">
      <alignment horizontal="center" vertical="center"/>
    </xf>
    <xf numFmtId="0" fontId="0" fillId="0" borderId="6" xfId="0" applyBorder="1" applyAlignment="1">
      <alignment horizontal="left" vertical="top" wrapText="1"/>
    </xf>
    <xf numFmtId="0" fontId="0" fillId="0" borderId="0" xfId="0" applyAlignment="1">
      <alignment horizontal="left" vertical="top"/>
    </xf>
    <xf numFmtId="3" fontId="0" fillId="0" borderId="5" xfId="0" applyNumberFormat="1" applyBorder="1" applyAlignment="1">
      <alignment horizontal="center" vertical="center" wrapText="1"/>
    </xf>
    <xf numFmtId="0" fontId="0" fillId="0" borderId="0" xfId="0" applyAlignment="1">
      <alignment horizontal="center" vertical="center" wrapText="1"/>
    </xf>
    <xf numFmtId="0" fontId="0" fillId="15" borderId="5" xfId="0" applyFill="1" applyBorder="1" applyAlignment="1">
      <alignment horizontal="center" vertical="center" wrapText="1"/>
    </xf>
    <xf numFmtId="0" fontId="0" fillId="0" borderId="8" xfId="0" applyBorder="1" applyAlignment="1">
      <alignment horizontal="center" vertical="center" wrapText="1"/>
    </xf>
    <xf numFmtId="0" fontId="0" fillId="0" borderId="5" xfId="0" applyBorder="1" applyAlignment="1">
      <alignment vertical="top" wrapText="1"/>
    </xf>
    <xf numFmtId="165" fontId="17" fillId="0" borderId="5" xfId="1" applyFont="1" applyBorder="1" applyAlignment="1">
      <alignment vertical="center" wrapText="1"/>
    </xf>
    <xf numFmtId="0" fontId="0" fillId="0" borderId="5" xfId="0" applyBorder="1" applyAlignment="1">
      <alignment vertical="center" wrapText="1"/>
    </xf>
    <xf numFmtId="165" fontId="17" fillId="0" borderId="6" xfId="1" applyFont="1" applyBorder="1" applyAlignment="1">
      <alignment vertical="center" wrapText="1"/>
    </xf>
    <xf numFmtId="167" fontId="17" fillId="0" borderId="5" xfId="0" applyNumberFormat="1" applyFont="1" applyBorder="1" applyAlignment="1">
      <alignment vertical="center" wrapText="1"/>
    </xf>
    <xf numFmtId="0" fontId="0" fillId="11" borderId="5" xfId="0" applyFill="1" applyBorder="1" applyAlignment="1">
      <alignment vertical="center" wrapText="1"/>
    </xf>
    <xf numFmtId="165" fontId="17" fillId="0" borderId="5" xfId="0" applyNumberFormat="1" applyFont="1" applyBorder="1" applyAlignment="1">
      <alignment vertical="center" wrapText="1"/>
    </xf>
    <xf numFmtId="0" fontId="0" fillId="4" borderId="5" xfId="0" applyFill="1" applyBorder="1" applyAlignment="1">
      <alignment vertical="center" wrapText="1"/>
    </xf>
    <xf numFmtId="0" fontId="0" fillId="16" borderId="5" xfId="0" applyFill="1" applyBorder="1" applyAlignment="1">
      <alignment vertical="center" wrapText="1"/>
    </xf>
    <xf numFmtId="0" fontId="0" fillId="2" borderId="5" xfId="0" applyFill="1" applyBorder="1" applyAlignment="1">
      <alignment vertical="center" wrapText="1"/>
    </xf>
    <xf numFmtId="167" fontId="0" fillId="0" borderId="5" xfId="0" applyNumberFormat="1" applyBorder="1" applyAlignment="1">
      <alignment vertical="center" wrapText="1"/>
    </xf>
    <xf numFmtId="165" fontId="0" fillId="0" borderId="5" xfId="1" applyFont="1" applyBorder="1" applyAlignment="1">
      <alignment vertical="center" wrapText="1"/>
    </xf>
    <xf numFmtId="165" fontId="15" fillId="0" borderId="5" xfId="1" applyFont="1" applyBorder="1" applyAlignment="1">
      <alignment vertical="center" wrapText="1"/>
    </xf>
    <xf numFmtId="0" fontId="0" fillId="17" borderId="5" xfId="0" applyFill="1" applyBorder="1" applyAlignment="1">
      <alignment vertical="center" wrapText="1"/>
    </xf>
    <xf numFmtId="16" fontId="0" fillId="0" borderId="5" xfId="0" applyNumberFormat="1" applyBorder="1" applyAlignment="1">
      <alignment horizontal="center" vertical="center"/>
    </xf>
    <xf numFmtId="0" fontId="0" fillId="0" borderId="8" xfId="0" applyBorder="1" applyAlignment="1">
      <alignment horizontal="left" vertical="center" wrapText="1"/>
    </xf>
    <xf numFmtId="167" fontId="0" fillId="0" borderId="5" xfId="0" applyNumberFormat="1" applyBorder="1" applyAlignment="1">
      <alignment horizontal="left" vertical="center" wrapText="1"/>
    </xf>
    <xf numFmtId="0" fontId="0" fillId="7" borderId="5" xfId="0" applyFill="1" applyBorder="1" applyAlignment="1">
      <alignment horizontal="center" vertical="center" wrapText="1"/>
    </xf>
    <xf numFmtId="165" fontId="0" fillId="0" borderId="5" xfId="1" applyFont="1" applyBorder="1" applyAlignment="1">
      <alignment wrapText="1"/>
    </xf>
    <xf numFmtId="0" fontId="0" fillId="0" borderId="6" xfId="0" applyBorder="1" applyAlignment="1">
      <alignment wrapText="1"/>
    </xf>
    <xf numFmtId="165" fontId="0" fillId="0" borderId="6" xfId="1" applyFont="1" applyBorder="1" applyAlignment="1">
      <alignment wrapText="1"/>
    </xf>
    <xf numFmtId="165" fontId="15" fillId="0" borderId="5" xfId="1" applyFont="1" applyBorder="1" applyAlignment="1">
      <alignment wrapText="1"/>
    </xf>
    <xf numFmtId="0" fontId="17" fillId="0" borderId="6" xfId="0" applyFont="1" applyBorder="1" applyAlignment="1">
      <alignment horizontal="center" vertical="center" wrapText="1"/>
    </xf>
    <xf numFmtId="0" fontId="21" fillId="5" borderId="5" xfId="0" applyFont="1" applyFill="1" applyBorder="1" applyAlignment="1">
      <alignment vertical="center" wrapText="1"/>
    </xf>
    <xf numFmtId="165" fontId="0" fillId="0" borderId="5" xfId="1" applyFont="1" applyFill="1" applyBorder="1" applyAlignment="1">
      <alignment wrapText="1"/>
    </xf>
    <xf numFmtId="165" fontId="15" fillId="0" borderId="5" xfId="1" applyFont="1" applyFill="1" applyBorder="1" applyAlignment="1">
      <alignment wrapText="1"/>
    </xf>
    <xf numFmtId="0" fontId="21" fillId="5" borderId="5" xfId="0" applyFont="1" applyFill="1" applyBorder="1" applyAlignment="1">
      <alignment horizontal="center" vertical="center" wrapText="1"/>
    </xf>
    <xf numFmtId="16" fontId="0" fillId="0" borderId="6" xfId="0" applyNumberFormat="1" applyBorder="1" applyAlignment="1">
      <alignment horizontal="center" vertical="center" wrapText="1"/>
    </xf>
    <xf numFmtId="0" fontId="0" fillId="11" borderId="6" xfId="0" applyFill="1" applyBorder="1" applyAlignment="1">
      <alignment horizontal="center" vertical="center" wrapText="1"/>
    </xf>
    <xf numFmtId="0" fontId="0" fillId="0" borderId="6" xfId="0" applyBorder="1" applyAlignment="1">
      <alignment vertical="top" wrapText="1"/>
    </xf>
    <xf numFmtId="165" fontId="15" fillId="0" borderId="6" xfId="1" applyFont="1" applyBorder="1" applyAlignment="1">
      <alignment wrapText="1"/>
    </xf>
    <xf numFmtId="0" fontId="15" fillId="0" borderId="6" xfId="0" applyFont="1" applyBorder="1" applyAlignment="1">
      <alignment horizontal="center" vertical="center" wrapText="1"/>
    </xf>
    <xf numFmtId="0" fontId="0" fillId="4" borderId="6" xfId="0" applyFill="1" applyBorder="1" applyAlignment="1">
      <alignment horizontal="center" vertical="center" wrapText="1"/>
    </xf>
    <xf numFmtId="0" fontId="21" fillId="0" borderId="5" xfId="0" applyFont="1" applyBorder="1" applyAlignment="1">
      <alignment horizontal="center" vertical="center" wrapText="1"/>
    </xf>
    <xf numFmtId="14" fontId="0" fillId="0" borderId="5" xfId="0" applyNumberFormat="1" applyBorder="1" applyAlignment="1">
      <alignment horizontal="center" vertical="center" wrapText="1"/>
    </xf>
    <xf numFmtId="0" fontId="3" fillId="0" borderId="0" xfId="0" applyFont="1" applyAlignment="1" applyProtection="1">
      <alignment vertical="center" wrapText="1"/>
      <protection locked="0"/>
    </xf>
    <xf numFmtId="14" fontId="3" fillId="0" borderId="0" xfId="0" applyNumberFormat="1" applyFont="1" applyAlignment="1" applyProtection="1">
      <alignment vertical="center" wrapText="1"/>
      <protection locked="0"/>
    </xf>
    <xf numFmtId="165" fontId="3" fillId="0" borderId="0" xfId="1" applyFont="1" applyFill="1" applyAlignment="1" applyProtection="1">
      <alignment vertical="center" wrapText="1"/>
      <protection locked="0"/>
    </xf>
    <xf numFmtId="166" fontId="3" fillId="0" borderId="0" xfId="0" applyNumberFormat="1" applyFont="1" applyAlignment="1" applyProtection="1">
      <alignment vertical="center" wrapText="1"/>
      <protection locked="0"/>
    </xf>
    <xf numFmtId="0" fontId="5" fillId="8" borderId="2" xfId="0" applyFont="1" applyFill="1" applyBorder="1" applyAlignment="1" applyProtection="1">
      <alignment horizontal="center" vertical="center" wrapText="1"/>
      <protection locked="0"/>
    </xf>
    <xf numFmtId="0" fontId="3" fillId="5" borderId="1" xfId="0" applyFont="1" applyFill="1" applyBorder="1" applyAlignment="1" applyProtection="1">
      <alignment horizontal="center" vertical="center" wrapText="1"/>
      <protection locked="0"/>
    </xf>
    <xf numFmtId="0" fontId="3" fillId="6" borderId="1" xfId="0" applyFont="1" applyFill="1" applyBorder="1" applyAlignment="1" applyProtection="1">
      <alignment horizontal="center" vertical="center" wrapText="1"/>
      <protection locked="0"/>
    </xf>
    <xf numFmtId="0" fontId="10" fillId="6" borderId="1" xfId="0" applyFont="1" applyFill="1" applyBorder="1" applyAlignment="1" applyProtection="1">
      <alignment horizontal="center" vertical="center" wrapText="1"/>
      <protection locked="0"/>
    </xf>
    <xf numFmtId="14" fontId="3" fillId="6" borderId="1" xfId="0" applyNumberFormat="1" applyFont="1" applyFill="1" applyBorder="1" applyAlignment="1" applyProtection="1">
      <alignment horizontal="center" vertical="center" wrapText="1"/>
      <protection locked="0"/>
    </xf>
    <xf numFmtId="165" fontId="3" fillId="6" borderId="1" xfId="1" applyFont="1" applyFill="1" applyBorder="1" applyAlignment="1" applyProtection="1">
      <alignment horizontal="center" vertical="center" wrapText="1"/>
      <protection locked="0"/>
    </xf>
    <xf numFmtId="166" fontId="3" fillId="6" borderId="1" xfId="0" applyNumberFormat="1" applyFont="1" applyFill="1" applyBorder="1" applyAlignment="1" applyProtection="1">
      <alignment horizontal="center" vertical="center" wrapText="1"/>
      <protection locked="0"/>
    </xf>
    <xf numFmtId="0" fontId="3" fillId="7" borderId="1" xfId="0" applyFont="1" applyFill="1" applyBorder="1" applyAlignment="1" applyProtection="1">
      <alignment horizontal="center" vertical="center" wrapText="1"/>
      <protection locked="0"/>
    </xf>
    <xf numFmtId="165" fontId="3" fillId="7" borderId="1" xfId="1" applyFont="1" applyFill="1" applyBorder="1" applyAlignment="1" applyProtection="1">
      <alignment horizontal="center" vertical="center" wrapText="1"/>
      <protection locked="0"/>
    </xf>
    <xf numFmtId="14" fontId="3" fillId="7" borderId="1" xfId="0" applyNumberFormat="1" applyFont="1" applyFill="1" applyBorder="1" applyAlignment="1" applyProtection="1">
      <alignment horizontal="center" vertical="center" wrapText="1"/>
      <protection locked="0"/>
    </xf>
    <xf numFmtId="0" fontId="5" fillId="8" borderId="1" xfId="0" applyFont="1" applyFill="1" applyBorder="1" applyAlignment="1" applyProtection="1">
      <alignment horizontal="center" vertical="center" wrapText="1"/>
      <protection locked="0"/>
    </xf>
    <xf numFmtId="0" fontId="3" fillId="0" borderId="0" xfId="0" applyFont="1" applyAlignment="1" applyProtection="1">
      <alignment horizontal="center" vertical="center" wrapText="1"/>
      <protection locked="0"/>
    </xf>
    <xf numFmtId="0" fontId="3" fillId="9" borderId="1" xfId="0" applyFont="1" applyFill="1" applyBorder="1" applyAlignment="1" applyProtection="1">
      <alignment horizontal="center" vertical="center" wrapText="1"/>
      <protection locked="0"/>
    </xf>
    <xf numFmtId="0" fontId="3" fillId="0" borderId="1" xfId="0" applyFont="1" applyBorder="1" applyAlignment="1" applyProtection="1">
      <alignment horizontal="center" vertical="center" wrapText="1"/>
      <protection locked="0"/>
    </xf>
    <xf numFmtId="0" fontId="3" fillId="9" borderId="1" xfId="0" applyFont="1" applyFill="1" applyBorder="1" applyAlignment="1" applyProtection="1">
      <alignment horizontal="left" vertical="top" wrapText="1"/>
      <protection locked="0"/>
    </xf>
    <xf numFmtId="0" fontId="6" fillId="0" borderId="1" xfId="0" applyFont="1" applyBorder="1" applyAlignment="1" applyProtection="1">
      <alignment horizontal="center" vertical="center" wrapText="1"/>
      <protection locked="0"/>
    </xf>
    <xf numFmtId="14" fontId="3" fillId="0" borderId="1" xfId="0" applyNumberFormat="1" applyFont="1" applyBorder="1" applyAlignment="1" applyProtection="1">
      <alignment horizontal="center" vertical="center" wrapText="1"/>
      <protection locked="0"/>
    </xf>
    <xf numFmtId="164" fontId="6" fillId="0" borderId="1" xfId="1" applyNumberFormat="1" applyFont="1" applyBorder="1" applyAlignment="1" applyProtection="1">
      <alignment horizontal="center" vertical="center" wrapText="1"/>
      <protection locked="0"/>
    </xf>
    <xf numFmtId="166" fontId="3" fillId="0" borderId="1" xfId="0" applyNumberFormat="1" applyFont="1" applyBorder="1" applyAlignment="1" applyProtection="1">
      <alignment horizontal="center" vertical="center" wrapText="1"/>
      <protection locked="0"/>
    </xf>
    <xf numFmtId="165" fontId="6" fillId="0" borderId="1" xfId="1" applyFont="1" applyBorder="1" applyAlignment="1" applyProtection="1">
      <alignment horizontal="center" vertical="center" wrapText="1"/>
      <protection locked="0"/>
    </xf>
    <xf numFmtId="0" fontId="3" fillId="2" borderId="1" xfId="0" applyFont="1" applyFill="1" applyBorder="1" applyAlignment="1" applyProtection="1">
      <alignment horizontal="center" vertical="center" wrapText="1"/>
      <protection locked="0"/>
    </xf>
    <xf numFmtId="164" fontId="3" fillId="0" borderId="2" xfId="0" applyNumberFormat="1" applyFont="1" applyBorder="1" applyAlignment="1" applyProtection="1">
      <alignment horizontal="center" vertical="center" wrapText="1"/>
      <protection locked="0"/>
    </xf>
    <xf numFmtId="0" fontId="3" fillId="0" borderId="1" xfId="0" applyFont="1" applyBorder="1" applyAlignment="1" applyProtection="1">
      <alignment horizontal="left" vertical="top" wrapText="1"/>
      <protection locked="0"/>
    </xf>
    <xf numFmtId="165" fontId="3" fillId="0" borderId="1" xfId="1" applyFont="1" applyBorder="1" applyAlignment="1" applyProtection="1">
      <alignment horizontal="center" vertical="center" wrapText="1"/>
      <protection locked="0"/>
    </xf>
    <xf numFmtId="0" fontId="8" fillId="0" borderId="1" xfId="0" applyFont="1" applyBorder="1" applyAlignment="1" applyProtection="1">
      <alignment horizontal="center" vertical="center" wrapText="1"/>
      <protection locked="0"/>
    </xf>
    <xf numFmtId="165" fontId="11" fillId="0" borderId="1" xfId="1" applyFont="1" applyBorder="1" applyAlignment="1" applyProtection="1">
      <alignment horizontal="center" vertical="center" wrapText="1"/>
      <protection locked="0"/>
    </xf>
    <xf numFmtId="16" fontId="3" fillId="0" borderId="1" xfId="0" applyNumberFormat="1" applyFont="1" applyBorder="1" applyAlignment="1" applyProtection="1">
      <alignment horizontal="center" vertical="center" wrapText="1"/>
      <protection locked="0"/>
    </xf>
    <xf numFmtId="0" fontId="3" fillId="0" borderId="1" xfId="0" applyFont="1" applyBorder="1" applyAlignment="1" applyProtection="1">
      <alignment horizontal="left" vertical="center" wrapText="1"/>
      <protection locked="0"/>
    </xf>
    <xf numFmtId="165" fontId="11" fillId="0" borderId="0" xfId="1" applyFont="1" applyAlignment="1" applyProtection="1">
      <alignment vertical="center" wrapText="1"/>
      <protection locked="0"/>
    </xf>
    <xf numFmtId="165" fontId="3" fillId="0" borderId="0" xfId="1" applyFont="1" applyAlignment="1" applyProtection="1">
      <alignment vertical="center" wrapText="1"/>
      <protection locked="0"/>
    </xf>
    <xf numFmtId="0" fontId="0" fillId="0" borderId="5" xfId="0" applyBorder="1"/>
    <xf numFmtId="0" fontId="0" fillId="0" borderId="7" xfId="0" applyBorder="1" applyAlignment="1">
      <alignment horizontal="center" vertical="center" wrapText="1"/>
    </xf>
    <xf numFmtId="0" fontId="0" fillId="12" borderId="10" xfId="0" applyFill="1" applyBorder="1" applyAlignment="1">
      <alignment horizontal="center" vertical="center"/>
    </xf>
    <xf numFmtId="0" fontId="0" fillId="0" borderId="10" xfId="0" applyBorder="1" applyAlignment="1">
      <alignment vertical="top" wrapText="1"/>
    </xf>
    <xf numFmtId="0" fontId="0" fillId="0" borderId="10" xfId="0" applyBorder="1" applyAlignment="1">
      <alignment horizontal="center" vertical="center"/>
    </xf>
    <xf numFmtId="0" fontId="3" fillId="0" borderId="0" xfId="0" applyFont="1" applyAlignment="1" applyProtection="1">
      <alignment horizontal="left" vertical="center" wrapText="1"/>
      <protection locked="0"/>
    </xf>
    <xf numFmtId="0" fontId="3" fillId="9" borderId="1" xfId="0" applyFont="1" applyFill="1" applyBorder="1" applyAlignment="1" applyProtection="1">
      <alignment horizontal="left" vertical="center" wrapText="1"/>
      <protection locked="0"/>
    </xf>
    <xf numFmtId="0" fontId="23" fillId="0" borderId="5" xfId="0" applyFont="1" applyBorder="1" applyAlignment="1">
      <alignment horizontal="center" vertical="center" wrapText="1"/>
    </xf>
    <xf numFmtId="165" fontId="7" fillId="0" borderId="1" xfId="1" applyFont="1" applyFill="1" applyBorder="1" applyAlignment="1" applyProtection="1">
      <alignment horizontal="center" vertical="center" wrapText="1"/>
      <protection locked="0"/>
    </xf>
    <xf numFmtId="165" fontId="3" fillId="0" borderId="1" xfId="1" applyFont="1" applyFill="1" applyBorder="1" applyAlignment="1" applyProtection="1">
      <alignment horizontal="center" vertical="center" wrapText="1"/>
      <protection locked="0"/>
    </xf>
    <xf numFmtId="0" fontId="0" fillId="2" borderId="5" xfId="0" applyFill="1" applyBorder="1" applyAlignment="1">
      <alignment horizontal="left" vertical="top" wrapText="1"/>
    </xf>
    <xf numFmtId="0" fontId="22" fillId="0" borderId="1" xfId="0" applyFont="1" applyBorder="1" applyProtection="1">
      <protection locked="0"/>
    </xf>
    <xf numFmtId="0" fontId="1" fillId="11" borderId="5" xfId="0" applyFont="1" applyFill="1" applyBorder="1" applyAlignment="1">
      <alignment horizontal="center" vertical="center" wrapText="1"/>
    </xf>
    <xf numFmtId="0" fontId="1" fillId="0" borderId="5" xfId="0" applyFont="1" applyBorder="1" applyAlignment="1">
      <alignment horizontal="center" vertical="center" wrapText="1"/>
    </xf>
    <xf numFmtId="0" fontId="1" fillId="0" borderId="5" xfId="0" applyFont="1" applyBorder="1" applyAlignment="1">
      <alignment horizontal="left" vertical="center" wrapText="1"/>
    </xf>
    <xf numFmtId="0" fontId="4" fillId="4" borderId="1" xfId="0" applyFont="1" applyFill="1" applyBorder="1" applyAlignment="1" applyProtection="1">
      <alignment horizontal="center" vertical="center" wrapText="1"/>
      <protection locked="0"/>
    </xf>
    <xf numFmtId="0" fontId="4" fillId="2" borderId="1" xfId="0" applyFont="1" applyFill="1" applyBorder="1" applyAlignment="1" applyProtection="1">
      <alignment horizontal="center" vertical="center" wrapText="1"/>
      <protection locked="0"/>
    </xf>
    <xf numFmtId="0" fontId="5" fillId="8" borderId="2" xfId="0" applyFont="1" applyFill="1" applyBorder="1" applyAlignment="1" applyProtection="1">
      <alignment horizontal="center" vertical="center" wrapText="1"/>
      <protection locked="0"/>
    </xf>
    <xf numFmtId="0" fontId="5" fillId="8" borderId="4" xfId="0" applyFont="1" applyFill="1" applyBorder="1" applyAlignment="1" applyProtection="1">
      <alignment horizontal="center" vertical="center" wrapText="1"/>
      <protection locked="0"/>
    </xf>
    <xf numFmtId="0" fontId="4" fillId="3" borderId="2" xfId="0" applyFont="1" applyFill="1" applyBorder="1" applyAlignment="1" applyProtection="1">
      <alignment horizontal="center" vertical="center" wrapText="1"/>
      <protection locked="0"/>
    </xf>
    <xf numFmtId="0" fontId="4" fillId="3" borderId="4" xfId="0" applyFont="1" applyFill="1" applyBorder="1" applyAlignment="1" applyProtection="1">
      <alignment horizontal="center" vertical="center" wrapText="1"/>
      <protection locked="0"/>
    </xf>
    <xf numFmtId="0" fontId="4" fillId="3" borderId="3" xfId="0" applyFont="1" applyFill="1" applyBorder="1" applyAlignment="1" applyProtection="1">
      <alignment horizontal="center" vertical="center" wrapText="1"/>
      <protection locked="0"/>
    </xf>
    <xf numFmtId="1" fontId="18" fillId="0" borderId="5" xfId="0" applyNumberFormat="1" applyFont="1" applyBorder="1" applyAlignment="1">
      <alignment horizontal="center" vertical="center" wrapText="1"/>
    </xf>
  </cellXfs>
  <cellStyles count="2">
    <cellStyle name="Moeda" xfId="1" builtinId="4"/>
    <cellStyle name="Normal" xfId="0" builtinId="0"/>
  </cellStyles>
  <dxfs count="242">
    <dxf>
      <font>
        <color rgb="FF9C0006"/>
      </font>
      <fill>
        <patternFill patternType="solid">
          <bgColor theme="5" tint="0.79998168889431442"/>
        </patternFill>
      </fill>
    </dxf>
    <dxf>
      <font>
        <color rgb="FF9C0006"/>
      </font>
      <fill>
        <patternFill patternType="solid">
          <bgColor theme="5" tint="0.79998168889431442"/>
        </patternFill>
      </fill>
    </dxf>
    <dxf>
      <font>
        <color rgb="FF9C0006"/>
      </font>
      <fill>
        <patternFill patternType="solid">
          <bgColor theme="5" tint="0.79998168889431442"/>
        </patternFill>
      </fill>
    </dxf>
    <dxf>
      <font>
        <color rgb="FF9C0006"/>
      </font>
      <fill>
        <patternFill patternType="solid">
          <bgColor theme="5" tint="0.79998168889431442"/>
        </patternFill>
      </fill>
    </dxf>
    <dxf>
      <font>
        <color rgb="FF9C0006"/>
      </font>
      <fill>
        <patternFill>
          <bgColor rgb="FFFFC7CE"/>
        </patternFill>
      </fill>
    </dxf>
    <dxf>
      <fill>
        <patternFill patternType="solid">
          <bgColor theme="5" tint="0.79998168889431442"/>
        </patternFill>
      </fill>
    </dxf>
    <dxf>
      <fill>
        <patternFill patternType="solid">
          <bgColor rgb="FFFFC000"/>
        </patternFill>
      </fill>
    </dxf>
    <dxf>
      <font>
        <color theme="9" tint="-0.499984740745262"/>
      </font>
      <fill>
        <patternFill patternType="solid">
          <bgColor theme="9" tint="0.59999389629810485"/>
        </patternFill>
      </fill>
    </dxf>
    <dxf>
      <fill>
        <patternFill patternType="solid">
          <bgColor theme="5" tint="0.79998168889431442"/>
        </patternFill>
      </fill>
    </dxf>
    <dxf>
      <fill>
        <patternFill patternType="solid">
          <bgColor rgb="FFFFC000"/>
        </patternFill>
      </fill>
    </dxf>
    <dxf>
      <font>
        <color theme="9" tint="-0.499984740745262"/>
      </font>
      <fill>
        <patternFill patternType="solid">
          <bgColor theme="9" tint="0.59999389629810485"/>
        </patternFill>
      </fill>
    </dxf>
    <dxf>
      <font>
        <color theme="9" tint="-0.499984740745262"/>
      </font>
      <fill>
        <patternFill patternType="solid">
          <bgColor theme="9" tint="0.59999389629810485"/>
        </patternFill>
      </fill>
    </dxf>
    <dxf>
      <fill>
        <patternFill patternType="solid">
          <bgColor theme="5" tint="0.79998168889431442"/>
        </patternFill>
      </fill>
    </dxf>
    <dxf>
      <fill>
        <patternFill patternType="solid">
          <bgColor rgb="FFFFC000"/>
        </patternFill>
      </fill>
    </dxf>
    <dxf>
      <font>
        <color theme="9" tint="-0.499984740745262"/>
      </font>
      <fill>
        <patternFill patternType="solid">
          <bgColor theme="9" tint="0.59999389629810485"/>
        </patternFill>
      </fill>
    </dxf>
    <dxf>
      <fill>
        <patternFill patternType="solid">
          <bgColor theme="5" tint="0.79998168889431442"/>
        </patternFill>
      </fill>
    </dxf>
    <dxf>
      <fill>
        <patternFill patternType="solid">
          <bgColor rgb="FFFFC000"/>
        </patternFill>
      </fill>
    </dxf>
    <dxf>
      <font>
        <color theme="9" tint="-0.499984740745262"/>
      </font>
      <fill>
        <patternFill patternType="solid">
          <bgColor theme="9" tint="0.59999389629810485"/>
        </patternFill>
      </fill>
    </dxf>
    <dxf>
      <fill>
        <patternFill patternType="solid">
          <bgColor theme="5" tint="0.79998168889431442"/>
        </patternFill>
      </fill>
    </dxf>
    <dxf>
      <fill>
        <patternFill patternType="solid">
          <bgColor rgb="FFFFC000"/>
        </patternFill>
      </fill>
    </dxf>
    <dxf>
      <font>
        <color theme="9" tint="-0.499984740745262"/>
      </font>
      <fill>
        <patternFill patternType="solid">
          <bgColor theme="9" tint="0.59999389629810485"/>
        </patternFill>
      </fill>
    </dxf>
    <dxf>
      <fill>
        <patternFill patternType="solid">
          <bgColor theme="5" tint="0.79998168889431442"/>
        </patternFill>
      </fill>
    </dxf>
    <dxf>
      <fill>
        <patternFill patternType="solid">
          <bgColor rgb="FFFFC000"/>
        </patternFill>
      </fill>
    </dxf>
    <dxf>
      <font>
        <color theme="9" tint="-0.499984740745262"/>
      </font>
      <fill>
        <patternFill patternType="solid">
          <bgColor theme="9" tint="0.59999389629810485"/>
        </patternFill>
      </fill>
    </dxf>
    <dxf>
      <fill>
        <patternFill patternType="solid">
          <bgColor theme="5" tint="0.79998168889431442"/>
        </patternFill>
      </fill>
    </dxf>
    <dxf>
      <fill>
        <patternFill patternType="solid">
          <bgColor rgb="FFFFC000"/>
        </patternFill>
      </fill>
    </dxf>
    <dxf>
      <font>
        <color theme="9" tint="-0.499984740745262"/>
      </font>
      <fill>
        <patternFill patternType="solid">
          <bgColor theme="9" tint="0.59999389629810485"/>
        </patternFill>
      </fill>
    </dxf>
    <dxf>
      <fill>
        <patternFill patternType="solid">
          <bgColor rgb="FFFFC000"/>
        </patternFill>
      </fill>
    </dxf>
    <dxf>
      <font>
        <color theme="9" tint="-0.499984740745262"/>
      </font>
      <fill>
        <patternFill patternType="solid">
          <bgColor theme="9" tint="0.59999389629810485"/>
        </patternFill>
      </fill>
    </dxf>
    <dxf>
      <fill>
        <patternFill patternType="solid">
          <bgColor theme="5" tint="0.79998168889431442"/>
        </patternFill>
      </fill>
    </dxf>
    <dxf>
      <fill>
        <patternFill patternType="solid">
          <bgColor rgb="FFFFC000"/>
        </patternFill>
      </fill>
    </dxf>
    <dxf>
      <font>
        <color theme="9" tint="-0.499984740745262"/>
      </font>
      <fill>
        <patternFill patternType="solid">
          <bgColor theme="9" tint="0.59999389629810485"/>
        </patternFill>
      </fill>
    </dxf>
    <dxf>
      <fill>
        <patternFill patternType="solid">
          <bgColor rgb="FFFFC000"/>
        </patternFill>
      </fill>
    </dxf>
    <dxf>
      <fill>
        <patternFill patternType="solid">
          <bgColor theme="5" tint="0.79998168889431442"/>
        </patternFill>
      </fill>
    </dxf>
    <dxf>
      <fill>
        <patternFill patternType="solid">
          <bgColor rgb="FFFFC000"/>
        </patternFill>
      </fill>
    </dxf>
    <dxf>
      <font>
        <color theme="9" tint="-0.499984740745262"/>
      </font>
      <fill>
        <patternFill patternType="solid">
          <bgColor theme="9" tint="0.59999389629810485"/>
        </patternFill>
      </fill>
    </dxf>
    <dxf>
      <font>
        <color theme="9" tint="-0.499984740745262"/>
      </font>
      <fill>
        <patternFill patternType="solid">
          <bgColor theme="9" tint="0.59999389629810485"/>
        </patternFill>
      </fill>
    </dxf>
    <dxf>
      <fill>
        <patternFill patternType="solid">
          <bgColor rgb="FFFFC000"/>
        </patternFill>
      </fill>
    </dxf>
    <dxf>
      <font>
        <color theme="9" tint="-0.499984740745262"/>
      </font>
      <fill>
        <patternFill patternType="solid">
          <bgColor theme="9" tint="0.59999389629810485"/>
        </patternFill>
      </fill>
    </dxf>
    <dxf>
      <fill>
        <patternFill patternType="solid">
          <bgColor rgb="FFFFC000"/>
        </patternFill>
      </fill>
    </dxf>
    <dxf>
      <font>
        <color theme="9" tint="-0.499984740745262"/>
      </font>
      <fill>
        <patternFill patternType="solid">
          <bgColor theme="9" tint="0.59999389629810485"/>
        </patternFill>
      </fill>
    </dxf>
    <dxf>
      <fill>
        <patternFill patternType="solid">
          <bgColor rgb="FFFFC000"/>
        </patternFill>
      </fill>
    </dxf>
    <dxf>
      <font>
        <color theme="9" tint="-0.499984740745262"/>
      </font>
      <fill>
        <patternFill patternType="solid">
          <bgColor theme="9" tint="0.59999389629810485"/>
        </patternFill>
      </fill>
    </dxf>
    <dxf>
      <fill>
        <patternFill patternType="solid">
          <bgColor rgb="FFFFC000"/>
        </patternFill>
      </fill>
    </dxf>
    <dxf>
      <fill>
        <patternFill patternType="solid">
          <bgColor theme="5" tint="0.79998168889431442"/>
        </patternFill>
      </fill>
    </dxf>
    <dxf>
      <fill>
        <patternFill patternType="solid">
          <bgColor rgb="FFFFC000"/>
        </patternFill>
      </fill>
    </dxf>
    <dxf>
      <font>
        <color theme="9" tint="-0.499984740745262"/>
      </font>
      <fill>
        <patternFill patternType="solid">
          <bgColor theme="9" tint="0.59999389629810485"/>
        </patternFill>
      </fill>
    </dxf>
    <dxf>
      <font>
        <color theme="9" tint="-0.499984740745262"/>
      </font>
      <fill>
        <patternFill patternType="solid">
          <bgColor theme="9" tint="0.59999389629810485"/>
        </patternFill>
      </fill>
    </dxf>
    <dxf>
      <fill>
        <patternFill patternType="solid">
          <bgColor rgb="FFFFC000"/>
        </patternFill>
      </fill>
    </dxf>
    <dxf>
      <fill>
        <patternFill patternType="solid">
          <bgColor theme="5" tint="0.79998168889431442"/>
        </patternFill>
      </fill>
    </dxf>
    <dxf>
      <fill>
        <patternFill patternType="solid">
          <bgColor rgb="FFFFC000"/>
        </patternFill>
      </fill>
    </dxf>
    <dxf>
      <font>
        <color theme="9" tint="-0.499984740745262"/>
      </font>
      <fill>
        <patternFill patternType="solid">
          <bgColor theme="9" tint="0.59999389629810485"/>
        </patternFill>
      </fill>
    </dxf>
    <dxf>
      <fill>
        <patternFill patternType="solid">
          <bgColor theme="5" tint="0.79998168889431442"/>
        </patternFill>
      </fill>
    </dxf>
    <dxf>
      <fill>
        <patternFill patternType="solid">
          <bgColor rgb="FFFFC000"/>
        </patternFill>
      </fill>
    </dxf>
    <dxf>
      <font>
        <color theme="9" tint="-0.499984740745262"/>
      </font>
      <fill>
        <patternFill patternType="solid">
          <bgColor theme="9" tint="0.59999389629810485"/>
        </patternFill>
      </fill>
    </dxf>
    <dxf>
      <font>
        <color theme="9" tint="-0.499984740745262"/>
      </font>
      <fill>
        <patternFill patternType="solid">
          <bgColor theme="9" tint="0.59999389629810485"/>
        </patternFill>
      </fill>
    </dxf>
    <dxf>
      <fill>
        <patternFill patternType="solid">
          <bgColor theme="5" tint="0.79998168889431442"/>
        </patternFill>
      </fill>
    </dxf>
    <dxf>
      <fill>
        <patternFill patternType="solid">
          <bgColor rgb="FFFFC000"/>
        </patternFill>
      </fill>
    </dxf>
    <dxf>
      <font>
        <color theme="9" tint="-0.499984740745262"/>
      </font>
      <fill>
        <patternFill patternType="solid">
          <bgColor theme="9" tint="0.59999389629810485"/>
        </patternFill>
      </fill>
    </dxf>
    <dxf>
      <font>
        <color theme="9" tint="-0.499984740745262"/>
      </font>
      <fill>
        <patternFill patternType="solid">
          <bgColor theme="9" tint="0.59999389629810485"/>
        </patternFill>
      </fill>
    </dxf>
    <dxf>
      <fill>
        <patternFill patternType="solid">
          <bgColor theme="5" tint="0.79998168889431442"/>
        </patternFill>
      </fill>
    </dxf>
    <dxf>
      <fill>
        <patternFill patternType="solid">
          <bgColor rgb="FFFFC000"/>
        </patternFill>
      </fill>
    </dxf>
    <dxf>
      <font>
        <color theme="9" tint="-0.499984740745262"/>
      </font>
      <fill>
        <patternFill patternType="solid">
          <bgColor theme="9" tint="0.59999389629810485"/>
        </patternFill>
      </fill>
    </dxf>
    <dxf>
      <font>
        <color theme="9" tint="-0.499984740745262"/>
      </font>
      <fill>
        <patternFill patternType="solid">
          <bgColor theme="9" tint="0.59999389629810485"/>
        </patternFill>
      </fill>
    </dxf>
    <dxf>
      <fill>
        <patternFill patternType="solid">
          <bgColor theme="5" tint="0.79998168889431442"/>
        </patternFill>
      </fill>
    </dxf>
    <dxf>
      <fill>
        <patternFill patternType="solid">
          <bgColor rgb="FFFFC000"/>
        </patternFill>
      </fill>
    </dxf>
    <dxf>
      <font>
        <color theme="9" tint="-0.499984740745262"/>
      </font>
      <fill>
        <patternFill patternType="solid">
          <bgColor theme="9" tint="0.59999389629810485"/>
        </patternFill>
      </fill>
    </dxf>
    <dxf>
      <fill>
        <patternFill patternType="solid">
          <bgColor theme="5" tint="0.79998168889431442"/>
        </patternFill>
      </fill>
    </dxf>
    <dxf>
      <fill>
        <patternFill patternType="solid">
          <bgColor rgb="FFFFC000"/>
        </patternFill>
      </fill>
    </dxf>
    <dxf>
      <font>
        <color theme="9" tint="-0.499984740745262"/>
      </font>
      <fill>
        <patternFill patternType="solid">
          <bgColor theme="9" tint="0.59999389629810485"/>
        </patternFill>
      </fill>
    </dxf>
    <dxf>
      <fill>
        <patternFill patternType="solid">
          <bgColor theme="5" tint="0.79998168889431442"/>
        </patternFill>
      </fill>
    </dxf>
    <dxf>
      <fill>
        <patternFill patternType="solid">
          <bgColor rgb="FFFFC000"/>
        </patternFill>
      </fill>
    </dxf>
    <dxf>
      <font>
        <color theme="9" tint="-0.499984740745262"/>
      </font>
      <fill>
        <patternFill patternType="solid">
          <bgColor theme="9" tint="0.59999389629810485"/>
        </patternFill>
      </fill>
    </dxf>
    <dxf>
      <fill>
        <patternFill patternType="solid">
          <bgColor theme="5" tint="0.79998168889431442"/>
        </patternFill>
      </fill>
    </dxf>
    <dxf>
      <fill>
        <patternFill patternType="solid">
          <bgColor rgb="FFFFC000"/>
        </patternFill>
      </fill>
    </dxf>
    <dxf>
      <font>
        <color theme="9" tint="-0.499984740745262"/>
      </font>
      <fill>
        <patternFill patternType="solid">
          <bgColor theme="9" tint="0.59999389629810485"/>
        </patternFill>
      </fill>
    </dxf>
    <dxf>
      <font>
        <color rgb="FF9C0006"/>
      </font>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theme="5" tint="0.79998168889431442"/>
        </patternFill>
      </fill>
    </dxf>
    <dxf>
      <fill>
        <patternFill patternType="solid">
          <bgColor rgb="FFFFC000"/>
        </patternFill>
      </fill>
    </dxf>
    <dxf>
      <fill>
        <patternFill patternType="solid">
          <bgColor theme="5"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patternType="solid">
          <bgColor rgb="FFFFFF00"/>
        </patternFill>
      </fill>
    </dxf>
    <dxf>
      <fill>
        <patternFill patternType="solid">
          <bgColor rgb="FFFFEB9C"/>
        </patternFill>
      </fill>
    </dxf>
    <dxf>
      <fill>
        <patternFill patternType="solid">
          <bgColor rgb="FFFFC7CE"/>
        </patternFill>
      </fill>
    </dxf>
    <dxf>
      <fill>
        <patternFill patternType="solid">
          <bgColor rgb="FFC6EFCE"/>
        </patternFill>
      </fill>
    </dxf>
    <dxf>
      <fill>
        <patternFill patternType="solid">
          <bgColor rgb="FF92D050"/>
        </patternFill>
      </fill>
    </dxf>
    <dxf>
      <fill>
        <patternFill patternType="solid">
          <bgColor rgb="FF92D05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patternType="solid">
          <bgColor theme="5" tint="0.39997558519241921"/>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microsoft.com/office/2017/10/relationships/person" Target="persons/person.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Tema do Office">
  <a:themeElements>
    <a:clrScheme name="Escritório">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Escritório">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Escritório">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C370"/>
  <sheetViews>
    <sheetView showGridLines="0" tabSelected="1" zoomScale="55" zoomScaleNormal="55" workbookViewId="0">
      <pane xSplit="1" ySplit="3" topLeftCell="B4" activePane="bottomRight" state="frozen"/>
      <selection pane="topRight" activeCell="B1" sqref="B1"/>
      <selection pane="bottomLeft" activeCell="A4" sqref="A4"/>
      <selection pane="bottomRight" activeCell="D16" sqref="D16"/>
    </sheetView>
  </sheetViews>
  <sheetFormatPr defaultColWidth="9.140625" defaultRowHeight="45" customHeight="1" x14ac:dyDescent="0.25"/>
  <cols>
    <col min="1" max="2" width="9.140625" style="101" customWidth="1"/>
    <col min="3" max="3" width="11.42578125" style="101" bestFit="1" customWidth="1"/>
    <col min="4" max="5" width="9.140625" style="101" customWidth="1"/>
    <col min="6" max="6" width="71.85546875" style="140" customWidth="1"/>
    <col min="7" max="7" width="11.28515625" style="101" customWidth="1"/>
    <col min="8" max="8" width="13.5703125" style="101" customWidth="1"/>
    <col min="9" max="9" width="8.85546875" style="101" customWidth="1"/>
    <col min="10" max="10" width="22.7109375" style="101" customWidth="1"/>
    <col min="11" max="11" width="13.5703125" style="101" customWidth="1"/>
    <col min="12" max="12" width="13.7109375" style="101" customWidth="1"/>
    <col min="13" max="13" width="26.42578125" style="101" customWidth="1"/>
    <col min="14" max="14" width="11.42578125" style="101" customWidth="1"/>
    <col min="15" max="15" width="16.85546875" style="101" customWidth="1"/>
    <col min="16" max="16" width="9.140625" style="102" customWidth="1"/>
    <col min="17" max="17" width="9.140625" style="101" customWidth="1"/>
    <col min="18" max="18" width="18.7109375" style="134" customWidth="1"/>
    <col min="19" max="19" width="14.28515625" style="104" customWidth="1"/>
    <col min="20" max="20" width="9.140625" style="101" customWidth="1"/>
    <col min="21" max="21" width="10.85546875" style="101" customWidth="1"/>
    <col min="22" max="22" width="9" style="101" customWidth="1"/>
    <col min="23" max="23" width="11.85546875" style="101" customWidth="1"/>
    <col min="24" max="24" width="11.28515625" style="134" customWidth="1"/>
    <col min="25" max="25" width="9.5703125" style="102" customWidth="1"/>
    <col min="26" max="26" width="9.140625" style="102" customWidth="1"/>
    <col min="27" max="27" width="17.7109375" style="101" customWidth="1"/>
    <col min="28" max="28" width="27.42578125" style="101" customWidth="1"/>
    <col min="29" max="29" width="13.28515625" style="101" customWidth="1"/>
    <col min="30" max="33" width="9.140625" style="101" bestFit="1" customWidth="1"/>
    <col min="34" max="34" width="9.140625" style="101" customWidth="1"/>
    <col min="35" max="16384" width="9.140625" style="101"/>
  </cols>
  <sheetData>
    <row r="1" spans="1:29" ht="13.15" customHeight="1" x14ac:dyDescent="0.25">
      <c r="R1" s="103"/>
      <c r="X1" s="103"/>
    </row>
    <row r="2" spans="1:29" ht="21.6" customHeight="1" x14ac:dyDescent="0.25">
      <c r="C2" s="154" t="s">
        <v>0</v>
      </c>
      <c r="D2" s="155"/>
      <c r="E2" s="156"/>
      <c r="F2" s="151" t="s">
        <v>1</v>
      </c>
      <c r="G2" s="151"/>
      <c r="H2" s="151"/>
      <c r="I2" s="151"/>
      <c r="J2" s="151"/>
      <c r="K2" s="151"/>
      <c r="L2" s="151"/>
      <c r="M2" s="151"/>
      <c r="N2" s="151"/>
      <c r="O2" s="151"/>
      <c r="P2" s="151"/>
      <c r="Q2" s="151"/>
      <c r="R2" s="151"/>
      <c r="S2" s="151"/>
      <c r="T2" s="150" t="s">
        <v>2</v>
      </c>
      <c r="U2" s="150"/>
      <c r="V2" s="150"/>
      <c r="W2" s="150"/>
      <c r="X2" s="150"/>
      <c r="Y2" s="150"/>
      <c r="Z2" s="150"/>
      <c r="AA2" s="152" t="s">
        <v>3</v>
      </c>
      <c r="AB2" s="153"/>
      <c r="AC2" s="153"/>
    </row>
    <row r="3" spans="1:29" s="116" customFormat="1" ht="58.15" customHeight="1" x14ac:dyDescent="0.25">
      <c r="B3" s="106" t="s">
        <v>360</v>
      </c>
      <c r="C3" s="106" t="s">
        <v>4</v>
      </c>
      <c r="D3" s="106" t="s">
        <v>5</v>
      </c>
      <c r="E3" s="106" t="s">
        <v>0</v>
      </c>
      <c r="F3" s="107" t="s">
        <v>6</v>
      </c>
      <c r="G3" s="107" t="s">
        <v>7</v>
      </c>
      <c r="H3" s="107" t="s">
        <v>8</v>
      </c>
      <c r="I3" s="107" t="s">
        <v>9</v>
      </c>
      <c r="J3" s="107" t="s">
        <v>10</v>
      </c>
      <c r="K3" s="107" t="s">
        <v>11</v>
      </c>
      <c r="L3" s="107" t="s">
        <v>12</v>
      </c>
      <c r="M3" s="107" t="s">
        <v>13</v>
      </c>
      <c r="N3" s="108" t="s">
        <v>14</v>
      </c>
      <c r="O3" s="107" t="s">
        <v>15</v>
      </c>
      <c r="P3" s="109" t="s">
        <v>16</v>
      </c>
      <c r="Q3" s="107" t="s">
        <v>17</v>
      </c>
      <c r="R3" s="110" t="s">
        <v>18</v>
      </c>
      <c r="S3" s="111" t="s">
        <v>19</v>
      </c>
      <c r="T3" s="112" t="s">
        <v>20</v>
      </c>
      <c r="U3" s="112" t="s">
        <v>21</v>
      </c>
      <c r="V3" s="112" t="s">
        <v>22</v>
      </c>
      <c r="W3" s="112" t="s">
        <v>23</v>
      </c>
      <c r="X3" s="113" t="s">
        <v>24</v>
      </c>
      <c r="Y3" s="114" t="s">
        <v>25</v>
      </c>
      <c r="Z3" s="114" t="s">
        <v>26</v>
      </c>
      <c r="AA3" s="115" t="s">
        <v>27</v>
      </c>
      <c r="AB3" s="115" t="s">
        <v>28</v>
      </c>
      <c r="AC3" s="105" t="s">
        <v>29</v>
      </c>
    </row>
    <row r="4" spans="1:29" ht="45" customHeight="1" x14ac:dyDescent="0.25">
      <c r="B4" s="118">
        <v>1</v>
      </c>
      <c r="C4" s="118" t="s">
        <v>30</v>
      </c>
      <c r="D4" s="118" t="s">
        <v>31</v>
      </c>
      <c r="E4" s="118" t="s">
        <v>32</v>
      </c>
      <c r="F4" s="141" t="s">
        <v>33</v>
      </c>
      <c r="G4" s="118">
        <v>2216</v>
      </c>
      <c r="H4" s="118">
        <v>242</v>
      </c>
      <c r="I4" s="118" t="s">
        <v>34</v>
      </c>
      <c r="J4" s="118" t="s">
        <v>35</v>
      </c>
      <c r="K4" s="118">
        <v>7277</v>
      </c>
      <c r="L4" s="118">
        <v>1</v>
      </c>
      <c r="M4" s="118" t="s">
        <v>32</v>
      </c>
      <c r="N4" s="118" t="s">
        <v>32</v>
      </c>
      <c r="O4" s="118">
        <v>3625884</v>
      </c>
      <c r="P4" s="121">
        <v>45320</v>
      </c>
      <c r="Q4" s="118">
        <v>3781090</v>
      </c>
      <c r="R4" s="124">
        <v>54400.01</v>
      </c>
      <c r="S4" s="123"/>
      <c r="T4" s="129" t="s">
        <v>36</v>
      </c>
      <c r="U4" s="118" t="s">
        <v>32</v>
      </c>
      <c r="V4" s="118" t="s">
        <v>37</v>
      </c>
      <c r="W4" s="118" t="s">
        <v>23</v>
      </c>
      <c r="X4" s="124">
        <v>20400</v>
      </c>
      <c r="Y4" s="121">
        <v>46007</v>
      </c>
      <c r="Z4" s="121"/>
      <c r="AA4" s="118" t="s">
        <v>38</v>
      </c>
      <c r="AB4" s="118" t="s">
        <v>39</v>
      </c>
      <c r="AC4" s="126">
        <f>R4-X4</f>
        <v>34000.01</v>
      </c>
    </row>
    <row r="5" spans="1:29" ht="45" customHeight="1" x14ac:dyDescent="0.25">
      <c r="B5" s="118">
        <v>2</v>
      </c>
      <c r="C5" s="118" t="s">
        <v>40</v>
      </c>
      <c r="D5" s="118" t="s">
        <v>41</v>
      </c>
      <c r="E5" s="118" t="s">
        <v>32</v>
      </c>
      <c r="F5" s="132" t="s">
        <v>42</v>
      </c>
      <c r="G5" s="118">
        <v>1295</v>
      </c>
      <c r="H5" s="118">
        <v>242</v>
      </c>
      <c r="I5" s="118" t="s">
        <v>43</v>
      </c>
      <c r="J5" s="118" t="s">
        <v>44</v>
      </c>
      <c r="K5" s="146">
        <v>23624</v>
      </c>
      <c r="L5" s="118">
        <v>1</v>
      </c>
      <c r="M5" s="118" t="s">
        <v>32</v>
      </c>
      <c r="N5" s="118" t="s">
        <v>32</v>
      </c>
      <c r="O5" s="118">
        <v>3845839</v>
      </c>
      <c r="P5" s="121">
        <v>45525</v>
      </c>
      <c r="Q5" s="118">
        <v>3985320</v>
      </c>
      <c r="R5" s="130">
        <v>132000</v>
      </c>
      <c r="S5" s="123" t="s">
        <v>32</v>
      </c>
      <c r="T5" s="118">
        <v>2956</v>
      </c>
      <c r="U5" s="118" t="s">
        <v>32</v>
      </c>
      <c r="V5" s="118" t="s">
        <v>45</v>
      </c>
      <c r="W5" s="118" t="s">
        <v>46</v>
      </c>
      <c r="X5" s="128">
        <v>123990</v>
      </c>
      <c r="Y5" s="121">
        <v>45965</v>
      </c>
      <c r="Z5" s="121">
        <v>45965</v>
      </c>
      <c r="AA5" s="118" t="s">
        <v>47</v>
      </c>
      <c r="AB5" s="118" t="s">
        <v>48</v>
      </c>
      <c r="AC5" s="126">
        <f>R5-X5</f>
        <v>8010</v>
      </c>
    </row>
    <row r="6" spans="1:29" ht="45" customHeight="1" x14ac:dyDescent="0.25">
      <c r="B6" s="118">
        <v>3</v>
      </c>
      <c r="C6" s="118" t="s">
        <v>49</v>
      </c>
      <c r="D6" s="118" t="s">
        <v>50</v>
      </c>
      <c r="E6" s="118" t="s">
        <v>32</v>
      </c>
      <c r="F6" s="132" t="s">
        <v>51</v>
      </c>
      <c r="G6" s="118">
        <v>5345</v>
      </c>
      <c r="H6" s="118">
        <v>242</v>
      </c>
      <c r="I6" s="118" t="s">
        <v>34</v>
      </c>
      <c r="J6" s="118">
        <v>22</v>
      </c>
      <c r="K6" s="118">
        <v>26751</v>
      </c>
      <c r="L6" s="118">
        <v>19</v>
      </c>
      <c r="M6" s="118" t="s">
        <v>32</v>
      </c>
      <c r="N6" s="118" t="s">
        <v>32</v>
      </c>
      <c r="O6" s="118">
        <v>3857992</v>
      </c>
      <c r="P6" s="121">
        <v>45902</v>
      </c>
      <c r="Q6" s="118">
        <v>3993405</v>
      </c>
      <c r="R6" s="130">
        <v>67000</v>
      </c>
      <c r="S6" s="123" t="s">
        <v>32</v>
      </c>
      <c r="T6" s="118">
        <v>327</v>
      </c>
      <c r="U6" s="118" t="s">
        <v>32</v>
      </c>
      <c r="V6" s="118" t="s">
        <v>45</v>
      </c>
      <c r="W6" s="118" t="s">
        <v>23</v>
      </c>
      <c r="X6" s="128">
        <v>11166.66</v>
      </c>
      <c r="Y6" s="121">
        <v>45973</v>
      </c>
      <c r="Z6" s="121">
        <v>45975</v>
      </c>
      <c r="AA6" s="118" t="s">
        <v>52</v>
      </c>
      <c r="AB6" s="118"/>
      <c r="AC6" s="126">
        <v>2365.0300000000002</v>
      </c>
    </row>
    <row r="7" spans="1:29" ht="45" customHeight="1" x14ac:dyDescent="0.25">
      <c r="B7" s="118">
        <v>4</v>
      </c>
      <c r="C7" s="117" t="s">
        <v>74</v>
      </c>
      <c r="D7" s="118" t="s">
        <v>77</v>
      </c>
      <c r="E7" s="118" t="s">
        <v>32</v>
      </c>
      <c r="F7" s="119" t="s">
        <v>89</v>
      </c>
      <c r="G7" s="120">
        <v>4588</v>
      </c>
      <c r="H7" s="120">
        <v>242</v>
      </c>
      <c r="I7" s="118" t="s">
        <v>54</v>
      </c>
      <c r="J7" s="118" t="s">
        <v>90</v>
      </c>
      <c r="K7" s="118">
        <v>84946</v>
      </c>
      <c r="L7" s="118">
        <v>5</v>
      </c>
      <c r="M7" s="118" t="s">
        <v>91</v>
      </c>
      <c r="N7" s="118" t="s">
        <v>37</v>
      </c>
      <c r="O7" s="118">
        <v>4268442</v>
      </c>
      <c r="P7" s="121">
        <v>45943</v>
      </c>
      <c r="Q7" s="118">
        <v>4387720</v>
      </c>
      <c r="R7" s="122">
        <v>12535.8</v>
      </c>
      <c r="S7" s="123">
        <v>45940</v>
      </c>
      <c r="T7" s="118">
        <v>279</v>
      </c>
      <c r="U7" s="118" t="s">
        <v>92</v>
      </c>
      <c r="V7" s="118" t="s">
        <v>45</v>
      </c>
      <c r="W7" s="118" t="s">
        <v>75</v>
      </c>
      <c r="X7" s="124">
        <v>12535.8</v>
      </c>
      <c r="Y7" s="121">
        <v>45947</v>
      </c>
      <c r="Z7" s="121">
        <v>45953</v>
      </c>
      <c r="AA7" s="125" t="s">
        <v>56</v>
      </c>
      <c r="AB7" s="118"/>
      <c r="AC7" s="126">
        <f t="shared" ref="AC7:AC8" si="0">R7-X7</f>
        <v>0</v>
      </c>
    </row>
    <row r="8" spans="1:29" ht="45" customHeight="1" x14ac:dyDescent="0.25">
      <c r="B8" s="118">
        <v>5</v>
      </c>
      <c r="C8" s="117" t="s">
        <v>74</v>
      </c>
      <c r="D8" s="118" t="s">
        <v>69</v>
      </c>
      <c r="E8" s="118" t="s">
        <v>32</v>
      </c>
      <c r="F8" s="127" t="s">
        <v>93</v>
      </c>
      <c r="G8" s="118">
        <v>2291</v>
      </c>
      <c r="H8" s="118">
        <v>242</v>
      </c>
      <c r="I8" s="118" t="s">
        <v>54</v>
      </c>
      <c r="J8" s="118" t="s">
        <v>94</v>
      </c>
      <c r="K8" s="118">
        <v>86110</v>
      </c>
      <c r="L8" s="118">
        <v>2</v>
      </c>
      <c r="M8" s="118" t="s">
        <v>95</v>
      </c>
      <c r="N8" s="118" t="s">
        <v>32</v>
      </c>
      <c r="O8" s="118">
        <v>4268451</v>
      </c>
      <c r="P8" s="121">
        <v>45943</v>
      </c>
      <c r="Q8" s="118">
        <v>4384366</v>
      </c>
      <c r="R8" s="122">
        <v>16000</v>
      </c>
      <c r="S8" s="123">
        <v>45960</v>
      </c>
      <c r="T8" s="118"/>
      <c r="U8" s="118"/>
      <c r="V8" s="118"/>
      <c r="W8" s="118"/>
      <c r="X8" s="128"/>
      <c r="Y8" s="121"/>
      <c r="Z8" s="121"/>
      <c r="AA8" s="118" t="s">
        <v>58</v>
      </c>
      <c r="AB8" s="118"/>
      <c r="AC8" s="126">
        <f t="shared" si="0"/>
        <v>16000</v>
      </c>
    </row>
    <row r="9" spans="1:29" ht="45" customHeight="1" x14ac:dyDescent="0.25">
      <c r="B9" s="118">
        <v>6</v>
      </c>
      <c r="C9" s="118" t="s">
        <v>83</v>
      </c>
      <c r="D9" s="118" t="s">
        <v>100</v>
      </c>
      <c r="E9" s="118">
        <v>40141</v>
      </c>
      <c r="F9" s="132" t="s">
        <v>101</v>
      </c>
      <c r="G9" s="118">
        <v>1236</v>
      </c>
      <c r="H9" s="118">
        <v>242</v>
      </c>
      <c r="I9" s="118" t="s">
        <v>34</v>
      </c>
      <c r="J9" s="118" t="s">
        <v>102</v>
      </c>
      <c r="K9" s="118">
        <v>89051</v>
      </c>
      <c r="L9" s="118">
        <v>6</v>
      </c>
      <c r="M9" s="118" t="s">
        <v>32</v>
      </c>
      <c r="N9" s="118" t="s">
        <v>32</v>
      </c>
      <c r="O9" s="118">
        <v>4304086</v>
      </c>
      <c r="P9" s="121">
        <v>45979</v>
      </c>
      <c r="Q9" s="118">
        <v>4422960</v>
      </c>
      <c r="R9" s="130">
        <v>3606.6</v>
      </c>
      <c r="S9" s="123">
        <v>45996</v>
      </c>
      <c r="T9" s="118">
        <v>5777</v>
      </c>
      <c r="U9" s="118" t="s">
        <v>103</v>
      </c>
      <c r="V9" s="118" t="s">
        <v>37</v>
      </c>
      <c r="W9" s="118" t="s">
        <v>65</v>
      </c>
      <c r="X9" s="128">
        <v>3606.6</v>
      </c>
      <c r="Y9" s="121">
        <v>45987</v>
      </c>
      <c r="Z9" s="121">
        <v>45994</v>
      </c>
      <c r="AA9" s="118" t="s">
        <v>56</v>
      </c>
      <c r="AB9" s="118"/>
      <c r="AC9" s="126">
        <f t="shared" ref="AC9:AC11" si="1">R9-X9</f>
        <v>0</v>
      </c>
    </row>
    <row r="10" spans="1:29" ht="45" customHeight="1" x14ac:dyDescent="0.25">
      <c r="B10" s="118">
        <v>7</v>
      </c>
      <c r="C10" s="118" t="s">
        <v>57</v>
      </c>
      <c r="D10" s="118" t="s">
        <v>87</v>
      </c>
      <c r="E10" s="118">
        <v>36375</v>
      </c>
      <c r="F10" s="132" t="s">
        <v>88</v>
      </c>
      <c r="G10" s="118">
        <v>2232</v>
      </c>
      <c r="H10" s="118">
        <v>242</v>
      </c>
      <c r="I10" s="118" t="s">
        <v>34</v>
      </c>
      <c r="J10" s="118" t="s">
        <v>104</v>
      </c>
      <c r="K10" s="118">
        <v>92364</v>
      </c>
      <c r="L10" s="118">
        <v>6</v>
      </c>
      <c r="M10" s="118" t="s">
        <v>32</v>
      </c>
      <c r="N10" s="118" t="s">
        <v>32</v>
      </c>
      <c r="O10" s="118">
        <v>4304337</v>
      </c>
      <c r="P10" s="121">
        <v>45979</v>
      </c>
      <c r="Q10" s="118">
        <v>4422962</v>
      </c>
      <c r="R10" s="130">
        <v>9461</v>
      </c>
      <c r="S10" s="123">
        <v>45992</v>
      </c>
      <c r="T10" s="118">
        <v>4482</v>
      </c>
      <c r="U10" s="118"/>
      <c r="V10" s="118" t="s">
        <v>70</v>
      </c>
      <c r="W10" s="118" t="s">
        <v>75</v>
      </c>
      <c r="X10" s="128">
        <v>9177.17</v>
      </c>
      <c r="Y10" s="121">
        <v>46007</v>
      </c>
      <c r="Z10" s="121">
        <v>46029</v>
      </c>
      <c r="AA10" s="118" t="s">
        <v>56</v>
      </c>
      <c r="AB10" s="118"/>
      <c r="AC10" s="126">
        <f t="shared" si="1"/>
        <v>283.82999999999993</v>
      </c>
    </row>
    <row r="11" spans="1:29" ht="45" customHeight="1" x14ac:dyDescent="0.25">
      <c r="B11" s="118">
        <v>8</v>
      </c>
      <c r="C11" s="118" t="s">
        <v>82</v>
      </c>
      <c r="D11" s="118" t="s">
        <v>105</v>
      </c>
      <c r="E11" s="118" t="s">
        <v>32</v>
      </c>
      <c r="F11" s="132" t="s">
        <v>106</v>
      </c>
      <c r="G11" s="118">
        <v>4472</v>
      </c>
      <c r="H11" s="118">
        <v>242</v>
      </c>
      <c r="I11" s="118" t="s">
        <v>43</v>
      </c>
      <c r="J11" s="118" t="s">
        <v>107</v>
      </c>
      <c r="K11" s="118">
        <v>90705</v>
      </c>
      <c r="L11" s="118">
        <v>1</v>
      </c>
      <c r="M11" s="118" t="s">
        <v>32</v>
      </c>
      <c r="N11" s="118" t="s">
        <v>32</v>
      </c>
      <c r="O11" s="118">
        <v>4305359</v>
      </c>
      <c r="P11" s="121">
        <v>45980</v>
      </c>
      <c r="Q11" s="118">
        <v>4431248</v>
      </c>
      <c r="R11" s="130">
        <v>13500</v>
      </c>
      <c r="S11" s="123">
        <v>45996</v>
      </c>
      <c r="T11" s="118">
        <v>96</v>
      </c>
      <c r="U11" s="118"/>
      <c r="V11" s="118" t="s">
        <v>45</v>
      </c>
      <c r="W11" s="118" t="s">
        <v>75</v>
      </c>
      <c r="X11" s="128">
        <v>13500</v>
      </c>
      <c r="Y11" s="121">
        <v>46032</v>
      </c>
      <c r="Z11" s="121">
        <v>46043</v>
      </c>
      <c r="AA11" s="118" t="s">
        <v>66</v>
      </c>
      <c r="AB11" s="118"/>
      <c r="AC11" s="126">
        <f t="shared" si="1"/>
        <v>0</v>
      </c>
    </row>
    <row r="12" spans="1:29" ht="45" customHeight="1" x14ac:dyDescent="0.25">
      <c r="B12" s="118">
        <v>9</v>
      </c>
      <c r="C12" s="118" t="s">
        <v>82</v>
      </c>
      <c r="D12" s="118" t="s">
        <v>31</v>
      </c>
      <c r="E12" s="118">
        <v>42570</v>
      </c>
      <c r="F12" s="141" t="s">
        <v>112</v>
      </c>
      <c r="G12" s="118">
        <v>5345</v>
      </c>
      <c r="H12" s="118">
        <v>242</v>
      </c>
      <c r="I12" s="118" t="s">
        <v>54</v>
      </c>
      <c r="J12" s="118" t="s">
        <v>113</v>
      </c>
      <c r="K12" s="118">
        <v>97602</v>
      </c>
      <c r="L12" s="118">
        <v>6</v>
      </c>
      <c r="M12" s="118" t="s">
        <v>32</v>
      </c>
      <c r="N12" s="118" t="s">
        <v>32</v>
      </c>
      <c r="O12" s="118">
        <v>4338792</v>
      </c>
      <c r="P12" s="131">
        <v>46013</v>
      </c>
      <c r="Q12" s="118">
        <v>4456214</v>
      </c>
      <c r="R12" s="124">
        <v>1995</v>
      </c>
      <c r="S12" s="123">
        <v>46357</v>
      </c>
      <c r="T12" s="118">
        <v>3225</v>
      </c>
      <c r="U12" s="118" t="s">
        <v>114</v>
      </c>
      <c r="V12" s="118" t="s">
        <v>37</v>
      </c>
      <c r="W12" s="118" t="s">
        <v>55</v>
      </c>
      <c r="X12" s="124">
        <v>1995</v>
      </c>
      <c r="Y12" s="121">
        <v>46023</v>
      </c>
      <c r="Z12" s="121">
        <v>46029</v>
      </c>
      <c r="AA12" s="118" t="s">
        <v>56</v>
      </c>
      <c r="AB12" s="118"/>
      <c r="AC12" s="126">
        <f t="shared" ref="AC12" si="2">R12-X12</f>
        <v>0</v>
      </c>
    </row>
    <row r="13" spans="1:29" ht="45" customHeight="1" x14ac:dyDescent="0.25">
      <c r="B13" s="118">
        <v>10</v>
      </c>
      <c r="C13" s="118" t="s">
        <v>83</v>
      </c>
      <c r="D13" s="118" t="s">
        <v>118</v>
      </c>
      <c r="E13" s="118"/>
      <c r="F13" s="132" t="s">
        <v>119</v>
      </c>
      <c r="G13" s="118">
        <v>1236</v>
      </c>
      <c r="H13" s="118">
        <v>242</v>
      </c>
      <c r="I13" s="118" t="s">
        <v>39</v>
      </c>
      <c r="J13" s="118" t="s">
        <v>120</v>
      </c>
      <c r="K13" s="118">
        <v>100690</v>
      </c>
      <c r="L13" s="118">
        <v>29</v>
      </c>
      <c r="M13" s="118" t="s">
        <v>121</v>
      </c>
      <c r="N13" s="118"/>
      <c r="O13" s="118">
        <v>4363553</v>
      </c>
      <c r="P13" s="121">
        <v>46041</v>
      </c>
      <c r="Q13" s="118"/>
      <c r="R13" s="143" t="s">
        <v>122</v>
      </c>
      <c r="S13" s="123">
        <v>46062</v>
      </c>
      <c r="T13" s="118"/>
      <c r="U13" s="118"/>
      <c r="V13" s="118"/>
      <c r="W13" s="118"/>
      <c r="X13" s="144"/>
      <c r="Y13" s="121"/>
      <c r="Z13" s="121"/>
      <c r="AA13" s="118" t="s">
        <v>78</v>
      </c>
      <c r="AB13" s="118"/>
      <c r="AC13" s="126"/>
    </row>
    <row r="14" spans="1:29" ht="45" customHeight="1" x14ac:dyDescent="0.25">
      <c r="B14" s="118">
        <v>11</v>
      </c>
      <c r="C14" s="118" t="s">
        <v>73</v>
      </c>
      <c r="D14" s="118" t="s">
        <v>125</v>
      </c>
      <c r="E14" s="118"/>
      <c r="F14" s="132" t="s">
        <v>123</v>
      </c>
      <c r="G14" s="118" t="s">
        <v>98</v>
      </c>
      <c r="H14" s="118">
        <v>5</v>
      </c>
      <c r="I14" s="118" t="s">
        <v>39</v>
      </c>
      <c r="J14" s="118" t="s">
        <v>107</v>
      </c>
      <c r="K14" s="118">
        <v>100942</v>
      </c>
      <c r="L14" s="118">
        <v>1</v>
      </c>
      <c r="M14" s="118" t="s">
        <v>32</v>
      </c>
      <c r="N14" s="118" t="s">
        <v>32</v>
      </c>
      <c r="O14" s="118">
        <v>4369660</v>
      </c>
      <c r="P14" s="121">
        <v>46045</v>
      </c>
      <c r="Q14" s="118"/>
      <c r="R14" s="143" t="s">
        <v>107</v>
      </c>
      <c r="S14" s="123">
        <v>46023</v>
      </c>
      <c r="T14" s="118"/>
      <c r="U14" s="118"/>
      <c r="V14" s="118"/>
      <c r="W14" s="118"/>
      <c r="X14" s="144"/>
      <c r="Y14" s="121"/>
      <c r="Z14" s="121"/>
      <c r="AA14" s="118" t="s">
        <v>78</v>
      </c>
      <c r="AB14" s="118"/>
      <c r="AC14" s="126"/>
    </row>
    <row r="15" spans="1:29" ht="45" customHeight="1" x14ac:dyDescent="0.25">
      <c r="A15" s="101" t="s">
        <v>126</v>
      </c>
      <c r="B15" s="118">
        <v>12</v>
      </c>
      <c r="C15" s="118" t="s">
        <v>59</v>
      </c>
      <c r="D15" s="118" t="s">
        <v>127</v>
      </c>
      <c r="E15" s="118">
        <v>41992</v>
      </c>
      <c r="F15" s="141" t="s">
        <v>128</v>
      </c>
      <c r="G15" s="118">
        <v>2224</v>
      </c>
      <c r="H15" s="118">
        <v>242</v>
      </c>
      <c r="I15" s="118" t="s">
        <v>39</v>
      </c>
      <c r="J15" s="118" t="s">
        <v>129</v>
      </c>
      <c r="K15" s="118">
        <v>101819</v>
      </c>
      <c r="L15" s="118">
        <v>6</v>
      </c>
      <c r="M15" s="118" t="s">
        <v>32</v>
      </c>
      <c r="N15" s="118" t="s">
        <v>32</v>
      </c>
      <c r="O15" s="118"/>
      <c r="P15" s="121"/>
      <c r="Q15" s="118"/>
      <c r="R15" s="143" t="s">
        <v>130</v>
      </c>
      <c r="S15" s="123"/>
      <c r="T15" s="118"/>
      <c r="U15" s="118"/>
      <c r="V15" s="118"/>
      <c r="W15" s="118"/>
      <c r="X15" s="144"/>
      <c r="Y15" s="121"/>
      <c r="Z15" s="121"/>
      <c r="AA15" s="118" t="s">
        <v>124</v>
      </c>
      <c r="AB15" s="118"/>
      <c r="AC15" s="126"/>
    </row>
    <row r="16" spans="1:29" ht="45" customHeight="1" x14ac:dyDescent="0.25">
      <c r="B16" s="118">
        <v>13</v>
      </c>
      <c r="C16" s="118" t="s">
        <v>57</v>
      </c>
      <c r="D16" s="118" t="s">
        <v>131</v>
      </c>
      <c r="E16" s="118">
        <v>42685</v>
      </c>
      <c r="F16" s="132" t="s">
        <v>132</v>
      </c>
      <c r="G16" s="118">
        <v>1171</v>
      </c>
      <c r="H16" s="118">
        <v>242</v>
      </c>
      <c r="I16" s="118" t="s">
        <v>39</v>
      </c>
      <c r="J16" s="118" t="s">
        <v>133</v>
      </c>
      <c r="K16" s="118">
        <v>101907</v>
      </c>
      <c r="L16" s="118">
        <v>6</v>
      </c>
      <c r="M16" s="118" t="s">
        <v>32</v>
      </c>
      <c r="N16" s="118" t="s">
        <v>32</v>
      </c>
      <c r="O16" s="118"/>
      <c r="P16" s="121"/>
      <c r="Q16" s="118"/>
      <c r="R16" s="143">
        <v>406.9</v>
      </c>
      <c r="S16" s="123"/>
      <c r="T16" s="118"/>
      <c r="U16" s="118"/>
      <c r="V16" s="118"/>
      <c r="W16" s="118"/>
      <c r="X16" s="144"/>
      <c r="Y16" s="121"/>
      <c r="Z16" s="121"/>
      <c r="AA16" s="118" t="s">
        <v>124</v>
      </c>
      <c r="AB16" s="118"/>
      <c r="AC16" s="126"/>
    </row>
    <row r="17" spans="2:29" ht="45" customHeight="1" x14ac:dyDescent="0.25">
      <c r="B17" s="118">
        <v>14</v>
      </c>
      <c r="C17" s="118" t="s">
        <v>57</v>
      </c>
      <c r="D17" s="118" t="s">
        <v>131</v>
      </c>
      <c r="E17" s="118">
        <v>42685</v>
      </c>
      <c r="F17" s="132" t="s">
        <v>134</v>
      </c>
      <c r="G17" s="118">
        <v>1171</v>
      </c>
      <c r="H17" s="118">
        <v>242</v>
      </c>
      <c r="I17" s="118" t="s">
        <v>39</v>
      </c>
      <c r="J17" s="118" t="s">
        <v>135</v>
      </c>
      <c r="K17" s="118">
        <v>101859</v>
      </c>
      <c r="L17" s="118">
        <v>6</v>
      </c>
      <c r="M17" s="118" t="s">
        <v>32</v>
      </c>
      <c r="N17" s="118" t="s">
        <v>32</v>
      </c>
      <c r="O17" s="118"/>
      <c r="P17" s="121"/>
      <c r="Q17" s="118"/>
      <c r="R17" s="143">
        <v>555.12</v>
      </c>
      <c r="S17" s="123"/>
      <c r="T17" s="118"/>
      <c r="U17" s="118"/>
      <c r="V17" s="118"/>
      <c r="W17" s="118"/>
      <c r="X17" s="144"/>
      <c r="Y17" s="121"/>
      <c r="Z17" s="121"/>
      <c r="AA17" s="118" t="s">
        <v>124</v>
      </c>
      <c r="AB17" s="118"/>
      <c r="AC17" s="126"/>
    </row>
    <row r="18" spans="2:29" ht="45" customHeight="1" x14ac:dyDescent="0.25">
      <c r="C18" s="118"/>
      <c r="D18" s="118"/>
      <c r="E18" s="118"/>
      <c r="F18" s="132"/>
      <c r="G18" s="118"/>
      <c r="H18" s="118"/>
      <c r="I18" s="118"/>
      <c r="J18" s="118"/>
      <c r="K18" s="118"/>
      <c r="L18" s="118"/>
      <c r="M18" s="118"/>
      <c r="N18" s="118"/>
      <c r="O18" s="118"/>
      <c r="P18" s="121"/>
      <c r="Q18" s="118"/>
      <c r="R18" s="143"/>
      <c r="S18" s="123"/>
      <c r="T18" s="118"/>
      <c r="U18" s="118"/>
      <c r="V18" s="118"/>
      <c r="W18" s="118"/>
      <c r="X18" s="144"/>
      <c r="Y18" s="121"/>
      <c r="Z18" s="121"/>
      <c r="AA18" s="118"/>
      <c r="AB18" s="118"/>
      <c r="AC18" s="126"/>
    </row>
    <row r="19" spans="2:29" ht="45" customHeight="1" x14ac:dyDescent="0.25">
      <c r="C19" s="118"/>
      <c r="D19" s="118"/>
      <c r="E19" s="118"/>
      <c r="F19" s="132"/>
      <c r="G19" s="118"/>
      <c r="H19" s="118"/>
      <c r="I19" s="118"/>
      <c r="J19" s="118"/>
      <c r="K19" s="118"/>
      <c r="L19" s="118"/>
      <c r="M19" s="118"/>
      <c r="N19" s="118"/>
      <c r="O19" s="118"/>
      <c r="P19" s="121"/>
      <c r="Q19" s="118"/>
      <c r="R19" s="143"/>
      <c r="S19" s="123"/>
      <c r="T19" s="118"/>
      <c r="U19" s="118"/>
      <c r="V19" s="118"/>
      <c r="W19" s="118"/>
      <c r="X19" s="144"/>
      <c r="Y19" s="121"/>
      <c r="Z19" s="121"/>
      <c r="AA19" s="118"/>
      <c r="AB19" s="118"/>
      <c r="AC19" s="126"/>
    </row>
    <row r="20" spans="2:29" ht="45" customHeight="1" x14ac:dyDescent="0.25">
      <c r="C20" s="118"/>
      <c r="D20" s="118"/>
      <c r="E20" s="118"/>
      <c r="F20" s="132"/>
      <c r="G20" s="118"/>
      <c r="H20" s="118"/>
      <c r="I20" s="118"/>
      <c r="J20" s="118"/>
      <c r="K20" s="118"/>
      <c r="L20" s="118"/>
      <c r="M20" s="118"/>
      <c r="N20" s="118"/>
      <c r="O20" s="118"/>
      <c r="P20" s="121"/>
      <c r="Q20" s="118"/>
      <c r="R20" s="143"/>
      <c r="S20" s="123"/>
      <c r="T20" s="118"/>
      <c r="U20" s="118"/>
      <c r="V20" s="118"/>
      <c r="W20" s="118"/>
      <c r="X20" s="144"/>
      <c r="Y20" s="121"/>
      <c r="Z20" s="121"/>
      <c r="AA20" s="118"/>
      <c r="AB20" s="118"/>
      <c r="AC20" s="126"/>
    </row>
    <row r="21" spans="2:29" ht="45" customHeight="1" x14ac:dyDescent="0.25">
      <c r="C21" s="118"/>
      <c r="D21" s="118"/>
      <c r="E21" s="118"/>
      <c r="F21" s="132"/>
      <c r="G21" s="118"/>
      <c r="H21" s="118"/>
      <c r="I21" s="118"/>
      <c r="J21" s="118"/>
      <c r="K21" s="118"/>
      <c r="L21" s="118"/>
      <c r="M21" s="118"/>
      <c r="N21" s="118"/>
      <c r="O21" s="118"/>
      <c r="P21" s="121"/>
      <c r="Q21" s="118"/>
      <c r="R21" s="143"/>
      <c r="S21" s="123"/>
      <c r="T21" s="118"/>
      <c r="U21" s="118"/>
      <c r="V21" s="118"/>
      <c r="W21" s="118"/>
      <c r="X21" s="144"/>
      <c r="Y21" s="121"/>
      <c r="Z21" s="121"/>
      <c r="AA21" s="118"/>
      <c r="AB21" s="118"/>
      <c r="AC21" s="126"/>
    </row>
    <row r="22" spans="2:29" ht="45" customHeight="1" x14ac:dyDescent="0.25">
      <c r="C22" s="118"/>
      <c r="D22" s="118"/>
      <c r="E22" s="118"/>
      <c r="F22" s="132"/>
      <c r="G22" s="118"/>
      <c r="H22" s="118"/>
      <c r="I22" s="118"/>
      <c r="J22" s="118"/>
      <c r="K22" s="118"/>
      <c r="L22" s="118"/>
      <c r="M22" s="118"/>
      <c r="N22" s="118"/>
      <c r="O22" s="118"/>
      <c r="P22" s="121"/>
      <c r="Q22" s="118"/>
      <c r="R22" s="143"/>
      <c r="S22" s="123"/>
      <c r="T22" s="118"/>
      <c r="U22" s="118"/>
      <c r="V22" s="118"/>
      <c r="W22" s="118"/>
      <c r="X22" s="144"/>
      <c r="Y22" s="121"/>
      <c r="Z22" s="121"/>
      <c r="AA22" s="118"/>
      <c r="AB22" s="118"/>
      <c r="AC22" s="126"/>
    </row>
    <row r="23" spans="2:29" ht="45" customHeight="1" x14ac:dyDescent="0.25">
      <c r="C23" s="118"/>
      <c r="D23" s="118"/>
      <c r="E23" s="118"/>
      <c r="F23" s="132"/>
      <c r="G23" s="118"/>
      <c r="H23" s="118"/>
      <c r="I23" s="118"/>
      <c r="J23" s="118"/>
      <c r="K23" s="118"/>
      <c r="L23" s="118"/>
      <c r="M23" s="118"/>
      <c r="N23" s="118"/>
      <c r="O23" s="118"/>
      <c r="P23" s="121"/>
      <c r="Q23" s="118"/>
      <c r="R23" s="143"/>
      <c r="S23" s="123"/>
      <c r="T23" s="118"/>
      <c r="U23" s="118"/>
      <c r="V23" s="118"/>
      <c r="W23" s="118"/>
      <c r="X23" s="144"/>
      <c r="Y23" s="121"/>
      <c r="Z23" s="121"/>
      <c r="AA23" s="118"/>
      <c r="AB23" s="118"/>
      <c r="AC23" s="126"/>
    </row>
    <row r="24" spans="2:29" ht="45" customHeight="1" x14ac:dyDescent="0.25">
      <c r="C24" s="118"/>
      <c r="D24" s="118"/>
      <c r="E24" s="118"/>
      <c r="F24" s="132"/>
      <c r="G24" s="118"/>
      <c r="H24" s="118"/>
      <c r="I24" s="118"/>
      <c r="J24" s="118"/>
      <c r="K24" s="118"/>
      <c r="L24" s="118"/>
      <c r="M24" s="118"/>
      <c r="N24" s="118"/>
      <c r="O24" s="118"/>
      <c r="P24" s="121"/>
      <c r="Q24" s="118"/>
      <c r="R24" s="143"/>
      <c r="S24" s="123"/>
      <c r="T24" s="118"/>
      <c r="U24" s="118"/>
      <c r="V24" s="118"/>
      <c r="W24" s="118"/>
      <c r="X24" s="144"/>
      <c r="Y24" s="121"/>
      <c r="Z24" s="121"/>
      <c r="AA24" s="118"/>
      <c r="AB24" s="118"/>
      <c r="AC24" s="126"/>
    </row>
    <row r="25" spans="2:29" ht="45" customHeight="1" x14ac:dyDescent="0.25">
      <c r="C25" s="118"/>
      <c r="D25" s="118"/>
      <c r="E25" s="118"/>
      <c r="F25" s="132"/>
      <c r="G25" s="118"/>
      <c r="H25" s="118"/>
      <c r="I25" s="118"/>
      <c r="J25" s="118"/>
      <c r="K25" s="118"/>
      <c r="L25" s="118"/>
      <c r="M25" s="118"/>
      <c r="N25" s="118"/>
      <c r="O25" s="118"/>
      <c r="P25" s="121"/>
      <c r="Q25" s="118"/>
      <c r="R25" s="143"/>
      <c r="S25" s="123"/>
      <c r="T25" s="118"/>
      <c r="U25" s="118"/>
      <c r="V25" s="118"/>
      <c r="W25" s="118"/>
      <c r="X25" s="144"/>
      <c r="Y25" s="121"/>
      <c r="Z25" s="121"/>
      <c r="AA25" s="118"/>
      <c r="AB25" s="118"/>
      <c r="AC25" s="126"/>
    </row>
    <row r="26" spans="2:29" ht="45" customHeight="1" x14ac:dyDescent="0.25">
      <c r="C26" s="118"/>
      <c r="D26" s="118"/>
      <c r="E26" s="118"/>
      <c r="F26" s="132"/>
      <c r="G26" s="118"/>
      <c r="H26" s="118"/>
      <c r="I26" s="118"/>
      <c r="J26" s="118"/>
      <c r="K26" s="118"/>
      <c r="L26" s="118"/>
      <c r="M26" s="118"/>
      <c r="N26" s="118"/>
      <c r="O26" s="118"/>
      <c r="P26" s="121"/>
      <c r="Q26" s="118"/>
      <c r="R26" s="143"/>
      <c r="S26" s="123"/>
      <c r="T26" s="118"/>
      <c r="U26" s="118"/>
      <c r="V26" s="118"/>
      <c r="W26" s="118"/>
      <c r="X26" s="144"/>
      <c r="Y26" s="121"/>
      <c r="Z26" s="121"/>
      <c r="AA26" s="118"/>
      <c r="AB26" s="118"/>
      <c r="AC26" s="126"/>
    </row>
    <row r="27" spans="2:29" ht="45" customHeight="1" x14ac:dyDescent="0.25">
      <c r="C27" s="118"/>
      <c r="D27" s="118"/>
      <c r="E27" s="118"/>
      <c r="F27" s="132"/>
      <c r="G27" s="118"/>
      <c r="H27" s="118"/>
      <c r="I27" s="118"/>
      <c r="J27" s="118"/>
      <c r="K27" s="118"/>
      <c r="L27" s="118"/>
      <c r="M27" s="118"/>
      <c r="N27" s="118"/>
      <c r="O27" s="118"/>
      <c r="P27" s="121"/>
      <c r="Q27" s="118"/>
      <c r="R27" s="143"/>
      <c r="S27" s="123"/>
      <c r="T27" s="118"/>
      <c r="U27" s="118"/>
      <c r="V27" s="118"/>
      <c r="W27" s="118"/>
      <c r="X27" s="144"/>
      <c r="Y27" s="121"/>
      <c r="Z27" s="121"/>
      <c r="AA27" s="118"/>
      <c r="AB27" s="118"/>
      <c r="AC27" s="126"/>
    </row>
    <row r="28" spans="2:29" ht="45" customHeight="1" x14ac:dyDescent="0.25">
      <c r="C28" s="118"/>
      <c r="D28" s="118"/>
      <c r="E28" s="118"/>
      <c r="F28" s="132"/>
      <c r="G28" s="118"/>
      <c r="H28" s="118"/>
      <c r="I28" s="118"/>
      <c r="J28" s="118"/>
      <c r="K28" s="118"/>
      <c r="L28" s="118"/>
      <c r="M28" s="118"/>
      <c r="N28" s="118"/>
      <c r="O28" s="118"/>
      <c r="P28" s="121"/>
      <c r="Q28" s="118"/>
      <c r="R28" s="143"/>
      <c r="S28" s="123"/>
      <c r="T28" s="118"/>
      <c r="U28" s="118"/>
      <c r="V28" s="118"/>
      <c r="W28" s="118"/>
      <c r="X28" s="144"/>
      <c r="Y28" s="121"/>
      <c r="Z28" s="121"/>
      <c r="AA28" s="118"/>
      <c r="AB28" s="118"/>
      <c r="AC28" s="126"/>
    </row>
    <row r="29" spans="2:29" ht="45" customHeight="1" x14ac:dyDescent="0.25">
      <c r="C29" s="118"/>
      <c r="D29" s="118"/>
      <c r="E29" s="118"/>
      <c r="F29" s="132"/>
      <c r="G29" s="118"/>
      <c r="H29" s="118"/>
      <c r="I29" s="118"/>
      <c r="J29" s="118"/>
      <c r="K29" s="118"/>
      <c r="L29" s="118"/>
      <c r="M29" s="118"/>
      <c r="N29" s="118"/>
      <c r="O29" s="118"/>
      <c r="P29" s="121"/>
      <c r="Q29" s="118"/>
      <c r="R29" s="143"/>
      <c r="S29" s="123"/>
      <c r="T29" s="118"/>
      <c r="U29" s="118"/>
      <c r="V29" s="118"/>
      <c r="W29" s="118"/>
      <c r="X29" s="144"/>
      <c r="Y29" s="121"/>
      <c r="Z29" s="121"/>
      <c r="AA29" s="118"/>
      <c r="AB29" s="118"/>
      <c r="AC29" s="126"/>
    </row>
    <row r="30" spans="2:29" ht="45" customHeight="1" x14ac:dyDescent="0.25">
      <c r="C30" s="118"/>
      <c r="D30" s="118"/>
      <c r="E30" s="118"/>
      <c r="F30" s="132"/>
      <c r="G30" s="118"/>
      <c r="H30" s="118"/>
      <c r="I30" s="118"/>
      <c r="J30" s="118"/>
      <c r="K30" s="118"/>
      <c r="L30" s="118"/>
      <c r="M30" s="118"/>
      <c r="N30" s="118"/>
      <c r="O30" s="118"/>
      <c r="P30" s="121"/>
      <c r="Q30" s="118"/>
      <c r="R30" s="143"/>
      <c r="S30" s="123"/>
      <c r="T30" s="118"/>
      <c r="U30" s="118"/>
      <c r="V30" s="118"/>
      <c r="W30" s="118"/>
      <c r="X30" s="144"/>
      <c r="Y30" s="121"/>
      <c r="Z30" s="121"/>
      <c r="AA30" s="118"/>
      <c r="AB30" s="118"/>
      <c r="AC30" s="126"/>
    </row>
    <row r="31" spans="2:29" ht="45" customHeight="1" x14ac:dyDescent="0.25">
      <c r="C31" s="118"/>
      <c r="D31" s="118"/>
      <c r="E31" s="118"/>
      <c r="F31" s="132"/>
      <c r="G31" s="118"/>
      <c r="H31" s="118"/>
      <c r="I31" s="118"/>
      <c r="J31" s="118"/>
      <c r="K31" s="118"/>
      <c r="L31" s="118"/>
      <c r="M31" s="118"/>
      <c r="N31" s="118"/>
      <c r="O31" s="118"/>
      <c r="P31" s="121"/>
      <c r="Q31" s="118"/>
      <c r="R31" s="143"/>
      <c r="S31" s="123"/>
      <c r="T31" s="118"/>
      <c r="U31" s="118"/>
      <c r="V31" s="118"/>
      <c r="W31" s="118"/>
      <c r="X31" s="144"/>
      <c r="Y31" s="121"/>
      <c r="Z31" s="121"/>
      <c r="AA31" s="118"/>
      <c r="AB31" s="118"/>
      <c r="AC31" s="126"/>
    </row>
    <row r="32" spans="2:29" ht="45" customHeight="1" x14ac:dyDescent="0.25">
      <c r="C32" s="118"/>
      <c r="D32" s="118"/>
      <c r="E32" s="118"/>
      <c r="F32" s="132"/>
      <c r="G32" s="118"/>
      <c r="H32" s="118"/>
      <c r="I32" s="118"/>
      <c r="J32" s="118"/>
      <c r="K32" s="118"/>
      <c r="L32" s="118"/>
      <c r="M32" s="118"/>
      <c r="N32" s="118"/>
      <c r="O32" s="118"/>
      <c r="P32" s="121"/>
      <c r="Q32" s="118"/>
      <c r="R32" s="143"/>
      <c r="S32" s="123"/>
      <c r="T32" s="118"/>
      <c r="U32" s="118"/>
      <c r="V32" s="118"/>
      <c r="W32" s="118"/>
      <c r="X32" s="144"/>
      <c r="Y32" s="121"/>
      <c r="Z32" s="121"/>
      <c r="AA32" s="118"/>
      <c r="AB32" s="118"/>
      <c r="AC32" s="126"/>
    </row>
    <row r="33" spans="3:29" ht="45" customHeight="1" x14ac:dyDescent="0.25">
      <c r="C33" s="118"/>
      <c r="D33" s="118"/>
      <c r="E33" s="118"/>
      <c r="F33" s="132"/>
      <c r="G33" s="118"/>
      <c r="H33" s="118"/>
      <c r="I33" s="118"/>
      <c r="J33" s="118"/>
      <c r="K33" s="118"/>
      <c r="L33" s="118"/>
      <c r="M33" s="118"/>
      <c r="N33" s="118"/>
      <c r="O33" s="118"/>
      <c r="P33" s="121"/>
      <c r="Q33" s="118"/>
      <c r="R33" s="143"/>
      <c r="S33" s="123"/>
      <c r="T33" s="118"/>
      <c r="U33" s="118"/>
      <c r="V33" s="118"/>
      <c r="W33" s="118"/>
      <c r="X33" s="144"/>
      <c r="Y33" s="121"/>
      <c r="Z33" s="121"/>
      <c r="AA33" s="118"/>
      <c r="AB33" s="118"/>
      <c r="AC33" s="126"/>
    </row>
    <row r="34" spans="3:29" ht="45" customHeight="1" x14ac:dyDescent="0.25">
      <c r="C34" s="118"/>
      <c r="D34" s="118"/>
      <c r="E34" s="118"/>
      <c r="F34" s="132"/>
      <c r="G34" s="118"/>
      <c r="H34" s="118"/>
      <c r="I34" s="118"/>
      <c r="J34" s="118"/>
      <c r="K34" s="118"/>
      <c r="L34" s="118"/>
      <c r="M34" s="118"/>
      <c r="N34" s="118"/>
      <c r="O34" s="118"/>
      <c r="P34" s="121"/>
      <c r="Q34" s="118"/>
      <c r="R34" s="143"/>
      <c r="S34" s="123"/>
      <c r="T34" s="118"/>
      <c r="U34" s="118"/>
      <c r="V34" s="118"/>
      <c r="W34" s="118"/>
      <c r="X34" s="144"/>
      <c r="Y34" s="121"/>
      <c r="Z34" s="121"/>
      <c r="AA34" s="118"/>
      <c r="AB34" s="118"/>
      <c r="AC34" s="126"/>
    </row>
    <row r="35" spans="3:29" ht="45" customHeight="1" x14ac:dyDescent="0.25">
      <c r="C35" s="118"/>
      <c r="D35" s="118"/>
      <c r="E35" s="118"/>
      <c r="F35" s="132"/>
      <c r="G35" s="118"/>
      <c r="H35" s="118"/>
      <c r="I35" s="118"/>
      <c r="J35" s="118"/>
      <c r="K35" s="118"/>
      <c r="L35" s="118"/>
      <c r="M35" s="118"/>
      <c r="N35" s="118"/>
      <c r="O35" s="118"/>
      <c r="P35" s="121"/>
      <c r="Q35" s="118"/>
      <c r="R35" s="143"/>
      <c r="S35" s="123"/>
      <c r="T35" s="118"/>
      <c r="U35" s="118"/>
      <c r="V35" s="118"/>
      <c r="W35" s="118"/>
      <c r="X35" s="144"/>
      <c r="Y35" s="121"/>
      <c r="Z35" s="121"/>
      <c r="AA35" s="118"/>
      <c r="AB35" s="118"/>
      <c r="AC35" s="126"/>
    </row>
    <row r="36" spans="3:29" ht="45" customHeight="1" x14ac:dyDescent="0.25">
      <c r="C36" s="118"/>
      <c r="D36" s="118"/>
      <c r="E36" s="118"/>
      <c r="F36" s="132"/>
      <c r="G36" s="118"/>
      <c r="H36" s="118"/>
      <c r="I36" s="118"/>
      <c r="J36" s="118"/>
      <c r="K36" s="118"/>
      <c r="L36" s="118"/>
      <c r="M36" s="118"/>
      <c r="N36" s="118"/>
      <c r="O36" s="118"/>
      <c r="P36" s="121"/>
      <c r="Q36" s="118"/>
      <c r="R36" s="143"/>
      <c r="S36" s="123"/>
      <c r="T36" s="118"/>
      <c r="U36" s="118"/>
      <c r="V36" s="118"/>
      <c r="W36" s="118"/>
      <c r="X36" s="144"/>
      <c r="Y36" s="121"/>
      <c r="Z36" s="121"/>
      <c r="AA36" s="118"/>
      <c r="AB36" s="118"/>
      <c r="AC36" s="126"/>
    </row>
    <row r="37" spans="3:29" ht="45" customHeight="1" x14ac:dyDescent="0.25">
      <c r="C37" s="118"/>
      <c r="D37" s="118"/>
      <c r="E37" s="118"/>
      <c r="F37" s="132"/>
      <c r="G37" s="118"/>
      <c r="H37" s="118"/>
      <c r="I37" s="118"/>
      <c r="J37" s="118"/>
      <c r="K37" s="118"/>
      <c r="L37" s="118"/>
      <c r="M37" s="118"/>
      <c r="N37" s="118"/>
      <c r="O37" s="118"/>
      <c r="P37" s="121"/>
      <c r="Q37" s="118"/>
      <c r="R37" s="143"/>
      <c r="S37" s="123"/>
      <c r="T37" s="118"/>
      <c r="U37" s="118"/>
      <c r="V37" s="118"/>
      <c r="W37" s="118"/>
      <c r="X37" s="144"/>
      <c r="Y37" s="121"/>
      <c r="Z37" s="121"/>
      <c r="AA37" s="118"/>
      <c r="AB37" s="118"/>
      <c r="AC37" s="126"/>
    </row>
    <row r="38" spans="3:29" ht="45" customHeight="1" x14ac:dyDescent="0.25">
      <c r="R38" s="133"/>
    </row>
    <row r="39" spans="3:29" ht="45" customHeight="1" x14ac:dyDescent="0.25">
      <c r="R39" s="133"/>
    </row>
    <row r="40" spans="3:29" ht="45" customHeight="1" x14ac:dyDescent="0.25">
      <c r="R40" s="133"/>
    </row>
    <row r="41" spans="3:29" ht="45" customHeight="1" x14ac:dyDescent="0.25">
      <c r="R41" s="133"/>
    </row>
    <row r="42" spans="3:29" ht="45" customHeight="1" x14ac:dyDescent="0.25">
      <c r="R42" s="133"/>
    </row>
    <row r="43" spans="3:29" ht="45" customHeight="1" x14ac:dyDescent="0.25">
      <c r="R43" s="133"/>
    </row>
    <row r="44" spans="3:29" ht="45" customHeight="1" x14ac:dyDescent="0.25">
      <c r="R44" s="133"/>
    </row>
    <row r="45" spans="3:29" ht="45" customHeight="1" x14ac:dyDescent="0.25">
      <c r="R45" s="133"/>
    </row>
    <row r="46" spans="3:29" ht="45" customHeight="1" x14ac:dyDescent="0.25">
      <c r="R46" s="133"/>
    </row>
    <row r="47" spans="3:29" ht="45" customHeight="1" x14ac:dyDescent="0.25">
      <c r="R47" s="133"/>
    </row>
    <row r="48" spans="3:29" ht="45" customHeight="1" x14ac:dyDescent="0.25">
      <c r="R48" s="133"/>
    </row>
    <row r="49" spans="18:18" ht="45" customHeight="1" x14ac:dyDescent="0.25">
      <c r="R49" s="133"/>
    </row>
    <row r="50" spans="18:18" ht="45" customHeight="1" x14ac:dyDescent="0.25">
      <c r="R50" s="133"/>
    </row>
    <row r="51" spans="18:18" ht="45" customHeight="1" x14ac:dyDescent="0.25">
      <c r="R51" s="133"/>
    </row>
    <row r="52" spans="18:18" ht="45" customHeight="1" x14ac:dyDescent="0.25">
      <c r="R52" s="133"/>
    </row>
    <row r="53" spans="18:18" ht="45" customHeight="1" x14ac:dyDescent="0.25">
      <c r="R53" s="133"/>
    </row>
    <row r="54" spans="18:18" ht="45" customHeight="1" x14ac:dyDescent="0.25">
      <c r="R54" s="133"/>
    </row>
    <row r="55" spans="18:18" ht="45" customHeight="1" x14ac:dyDescent="0.25">
      <c r="R55" s="133"/>
    </row>
    <row r="56" spans="18:18" ht="45" customHeight="1" x14ac:dyDescent="0.25">
      <c r="R56" s="133"/>
    </row>
    <row r="57" spans="18:18" ht="45" customHeight="1" x14ac:dyDescent="0.25">
      <c r="R57" s="133"/>
    </row>
    <row r="58" spans="18:18" ht="45" customHeight="1" x14ac:dyDescent="0.25">
      <c r="R58" s="133"/>
    </row>
    <row r="59" spans="18:18" ht="45" customHeight="1" x14ac:dyDescent="0.25">
      <c r="R59" s="133"/>
    </row>
    <row r="60" spans="18:18" ht="45" customHeight="1" x14ac:dyDescent="0.25">
      <c r="R60" s="133"/>
    </row>
    <row r="61" spans="18:18" ht="45" customHeight="1" x14ac:dyDescent="0.25">
      <c r="R61" s="133"/>
    </row>
    <row r="62" spans="18:18" ht="45" customHeight="1" x14ac:dyDescent="0.25">
      <c r="R62" s="133"/>
    </row>
    <row r="63" spans="18:18" ht="45" customHeight="1" x14ac:dyDescent="0.25">
      <c r="R63" s="133"/>
    </row>
    <row r="64" spans="18:18" ht="45" customHeight="1" x14ac:dyDescent="0.25">
      <c r="R64" s="133"/>
    </row>
    <row r="65" spans="18:18" ht="45" customHeight="1" x14ac:dyDescent="0.25">
      <c r="R65" s="133"/>
    </row>
    <row r="66" spans="18:18" ht="45" customHeight="1" x14ac:dyDescent="0.25">
      <c r="R66" s="133"/>
    </row>
    <row r="67" spans="18:18" ht="45" customHeight="1" x14ac:dyDescent="0.25">
      <c r="R67" s="133"/>
    </row>
    <row r="68" spans="18:18" ht="45" customHeight="1" x14ac:dyDescent="0.25">
      <c r="R68" s="133"/>
    </row>
    <row r="69" spans="18:18" ht="45" customHeight="1" x14ac:dyDescent="0.25">
      <c r="R69" s="133"/>
    </row>
    <row r="70" spans="18:18" ht="45" customHeight="1" x14ac:dyDescent="0.25">
      <c r="R70" s="133"/>
    </row>
    <row r="71" spans="18:18" ht="45" customHeight="1" x14ac:dyDescent="0.25">
      <c r="R71" s="133"/>
    </row>
    <row r="72" spans="18:18" ht="45" customHeight="1" x14ac:dyDescent="0.25">
      <c r="R72" s="133"/>
    </row>
    <row r="73" spans="18:18" ht="45" customHeight="1" x14ac:dyDescent="0.25">
      <c r="R73" s="133"/>
    </row>
    <row r="74" spans="18:18" ht="45" customHeight="1" x14ac:dyDescent="0.25">
      <c r="R74" s="133"/>
    </row>
    <row r="75" spans="18:18" ht="45" customHeight="1" x14ac:dyDescent="0.25">
      <c r="R75" s="133"/>
    </row>
    <row r="76" spans="18:18" ht="45" customHeight="1" x14ac:dyDescent="0.25">
      <c r="R76" s="133"/>
    </row>
    <row r="77" spans="18:18" ht="45" customHeight="1" x14ac:dyDescent="0.25">
      <c r="R77" s="133"/>
    </row>
    <row r="78" spans="18:18" ht="45" customHeight="1" x14ac:dyDescent="0.25">
      <c r="R78" s="133"/>
    </row>
    <row r="79" spans="18:18" ht="45" customHeight="1" x14ac:dyDescent="0.25">
      <c r="R79" s="133"/>
    </row>
    <row r="80" spans="18:18" ht="45" customHeight="1" x14ac:dyDescent="0.25">
      <c r="R80" s="133"/>
    </row>
    <row r="81" spans="18:18" ht="45" customHeight="1" x14ac:dyDescent="0.25">
      <c r="R81" s="133"/>
    </row>
    <row r="82" spans="18:18" ht="45" customHeight="1" x14ac:dyDescent="0.25">
      <c r="R82" s="133"/>
    </row>
    <row r="83" spans="18:18" ht="45" customHeight="1" x14ac:dyDescent="0.25">
      <c r="R83" s="133"/>
    </row>
    <row r="84" spans="18:18" ht="45" customHeight="1" x14ac:dyDescent="0.25">
      <c r="R84" s="133"/>
    </row>
    <row r="85" spans="18:18" ht="45" customHeight="1" x14ac:dyDescent="0.25">
      <c r="R85" s="133"/>
    </row>
    <row r="86" spans="18:18" ht="45" customHeight="1" x14ac:dyDescent="0.25">
      <c r="R86" s="133"/>
    </row>
    <row r="87" spans="18:18" ht="45" customHeight="1" x14ac:dyDescent="0.25">
      <c r="R87" s="133"/>
    </row>
    <row r="88" spans="18:18" ht="45" customHeight="1" x14ac:dyDescent="0.25">
      <c r="R88" s="133"/>
    </row>
    <row r="89" spans="18:18" ht="45" customHeight="1" x14ac:dyDescent="0.25">
      <c r="R89" s="133"/>
    </row>
    <row r="90" spans="18:18" ht="45" customHeight="1" x14ac:dyDescent="0.25">
      <c r="R90" s="133"/>
    </row>
    <row r="91" spans="18:18" ht="45" customHeight="1" x14ac:dyDescent="0.25">
      <c r="R91" s="133"/>
    </row>
    <row r="92" spans="18:18" ht="45" customHeight="1" x14ac:dyDescent="0.25">
      <c r="R92" s="133"/>
    </row>
    <row r="93" spans="18:18" ht="45" customHeight="1" x14ac:dyDescent="0.25">
      <c r="R93" s="133"/>
    </row>
    <row r="94" spans="18:18" ht="45" customHeight="1" x14ac:dyDescent="0.25">
      <c r="R94" s="133"/>
    </row>
    <row r="95" spans="18:18" ht="45" customHeight="1" x14ac:dyDescent="0.25">
      <c r="R95" s="133"/>
    </row>
    <row r="96" spans="18:18" ht="45" customHeight="1" x14ac:dyDescent="0.25">
      <c r="R96" s="133"/>
    </row>
    <row r="97" spans="18:18" ht="45" customHeight="1" x14ac:dyDescent="0.25">
      <c r="R97" s="133"/>
    </row>
    <row r="98" spans="18:18" ht="45" customHeight="1" x14ac:dyDescent="0.25">
      <c r="R98" s="133"/>
    </row>
    <row r="99" spans="18:18" ht="45" customHeight="1" x14ac:dyDescent="0.25">
      <c r="R99" s="133"/>
    </row>
    <row r="100" spans="18:18" ht="45" customHeight="1" x14ac:dyDescent="0.25">
      <c r="R100" s="133"/>
    </row>
    <row r="101" spans="18:18" ht="45" customHeight="1" x14ac:dyDescent="0.25">
      <c r="R101" s="133"/>
    </row>
    <row r="102" spans="18:18" ht="45" customHeight="1" x14ac:dyDescent="0.25">
      <c r="R102" s="133"/>
    </row>
    <row r="103" spans="18:18" ht="45" customHeight="1" x14ac:dyDescent="0.25">
      <c r="R103" s="133"/>
    </row>
    <row r="104" spans="18:18" ht="45" customHeight="1" x14ac:dyDescent="0.25">
      <c r="R104" s="133"/>
    </row>
    <row r="105" spans="18:18" ht="45" customHeight="1" x14ac:dyDescent="0.25">
      <c r="R105" s="133"/>
    </row>
    <row r="106" spans="18:18" ht="45" customHeight="1" x14ac:dyDescent="0.25">
      <c r="R106" s="133"/>
    </row>
    <row r="107" spans="18:18" ht="45" customHeight="1" x14ac:dyDescent="0.25">
      <c r="R107" s="133"/>
    </row>
    <row r="108" spans="18:18" ht="45" customHeight="1" x14ac:dyDescent="0.25">
      <c r="R108" s="133"/>
    </row>
    <row r="109" spans="18:18" ht="45" customHeight="1" x14ac:dyDescent="0.25">
      <c r="R109" s="133"/>
    </row>
    <row r="110" spans="18:18" ht="45" customHeight="1" x14ac:dyDescent="0.25">
      <c r="R110" s="133"/>
    </row>
    <row r="111" spans="18:18" ht="45" customHeight="1" x14ac:dyDescent="0.25">
      <c r="R111" s="133"/>
    </row>
    <row r="112" spans="18:18" ht="45" customHeight="1" x14ac:dyDescent="0.25">
      <c r="R112" s="133"/>
    </row>
    <row r="113" spans="18:18" ht="45" customHeight="1" x14ac:dyDescent="0.25">
      <c r="R113" s="133"/>
    </row>
    <row r="114" spans="18:18" ht="45" customHeight="1" x14ac:dyDescent="0.25">
      <c r="R114" s="133"/>
    </row>
    <row r="115" spans="18:18" ht="45" customHeight="1" x14ac:dyDescent="0.25">
      <c r="R115" s="133"/>
    </row>
    <row r="116" spans="18:18" ht="45" customHeight="1" x14ac:dyDescent="0.25">
      <c r="R116" s="133"/>
    </row>
    <row r="117" spans="18:18" ht="45" customHeight="1" x14ac:dyDescent="0.25">
      <c r="R117" s="133"/>
    </row>
    <row r="118" spans="18:18" ht="45" customHeight="1" x14ac:dyDescent="0.25">
      <c r="R118" s="133"/>
    </row>
    <row r="119" spans="18:18" ht="45" customHeight="1" x14ac:dyDescent="0.25">
      <c r="R119" s="133"/>
    </row>
    <row r="120" spans="18:18" ht="45" customHeight="1" x14ac:dyDescent="0.25">
      <c r="R120" s="133"/>
    </row>
    <row r="121" spans="18:18" ht="45" customHeight="1" x14ac:dyDescent="0.25">
      <c r="R121" s="133"/>
    </row>
    <row r="122" spans="18:18" ht="45" customHeight="1" x14ac:dyDescent="0.25">
      <c r="R122" s="133"/>
    </row>
    <row r="123" spans="18:18" ht="45" customHeight="1" x14ac:dyDescent="0.25">
      <c r="R123" s="133"/>
    </row>
    <row r="124" spans="18:18" ht="45" customHeight="1" x14ac:dyDescent="0.25">
      <c r="R124" s="133"/>
    </row>
    <row r="125" spans="18:18" ht="45" customHeight="1" x14ac:dyDescent="0.25">
      <c r="R125" s="133"/>
    </row>
    <row r="126" spans="18:18" ht="45" customHeight="1" x14ac:dyDescent="0.25">
      <c r="R126" s="133"/>
    </row>
    <row r="127" spans="18:18" ht="45" customHeight="1" x14ac:dyDescent="0.25">
      <c r="R127" s="133"/>
    </row>
    <row r="128" spans="18:18" ht="45" customHeight="1" x14ac:dyDescent="0.25">
      <c r="R128" s="133"/>
    </row>
    <row r="129" spans="18:18" ht="45" customHeight="1" x14ac:dyDescent="0.25">
      <c r="R129" s="133"/>
    </row>
    <row r="130" spans="18:18" ht="45" customHeight="1" x14ac:dyDescent="0.25">
      <c r="R130" s="133"/>
    </row>
    <row r="131" spans="18:18" ht="45" customHeight="1" x14ac:dyDescent="0.25">
      <c r="R131" s="133"/>
    </row>
    <row r="132" spans="18:18" ht="45" customHeight="1" x14ac:dyDescent="0.25">
      <c r="R132" s="133"/>
    </row>
    <row r="133" spans="18:18" ht="45" customHeight="1" x14ac:dyDescent="0.25">
      <c r="R133" s="133"/>
    </row>
    <row r="134" spans="18:18" ht="45" customHeight="1" x14ac:dyDescent="0.25">
      <c r="R134" s="133"/>
    </row>
    <row r="135" spans="18:18" ht="45" customHeight="1" x14ac:dyDescent="0.25">
      <c r="R135" s="133"/>
    </row>
    <row r="136" spans="18:18" ht="45" customHeight="1" x14ac:dyDescent="0.25">
      <c r="R136" s="133"/>
    </row>
    <row r="137" spans="18:18" ht="45" customHeight="1" x14ac:dyDescent="0.25">
      <c r="R137" s="133"/>
    </row>
    <row r="138" spans="18:18" ht="45" customHeight="1" x14ac:dyDescent="0.25">
      <c r="R138" s="133"/>
    </row>
    <row r="139" spans="18:18" ht="45" customHeight="1" x14ac:dyDescent="0.25">
      <c r="R139" s="133"/>
    </row>
    <row r="140" spans="18:18" ht="45" customHeight="1" x14ac:dyDescent="0.25">
      <c r="R140" s="133"/>
    </row>
    <row r="141" spans="18:18" ht="45" customHeight="1" x14ac:dyDescent="0.25">
      <c r="R141" s="133"/>
    </row>
    <row r="142" spans="18:18" ht="45" customHeight="1" x14ac:dyDescent="0.25">
      <c r="R142" s="133"/>
    </row>
    <row r="143" spans="18:18" ht="45" customHeight="1" x14ac:dyDescent="0.25">
      <c r="R143" s="133"/>
    </row>
    <row r="144" spans="18:18" ht="45" customHeight="1" x14ac:dyDescent="0.25">
      <c r="R144" s="133"/>
    </row>
    <row r="145" spans="18:18" ht="45" customHeight="1" x14ac:dyDescent="0.25">
      <c r="R145" s="133"/>
    </row>
    <row r="146" spans="18:18" ht="45" customHeight="1" x14ac:dyDescent="0.25">
      <c r="R146" s="133"/>
    </row>
    <row r="147" spans="18:18" ht="45" customHeight="1" x14ac:dyDescent="0.25">
      <c r="R147" s="133"/>
    </row>
    <row r="148" spans="18:18" ht="45" customHeight="1" x14ac:dyDescent="0.25">
      <c r="R148" s="133"/>
    </row>
    <row r="149" spans="18:18" ht="45" customHeight="1" x14ac:dyDescent="0.25">
      <c r="R149" s="133"/>
    </row>
    <row r="150" spans="18:18" ht="45" customHeight="1" x14ac:dyDescent="0.25">
      <c r="R150" s="133"/>
    </row>
    <row r="151" spans="18:18" ht="45" customHeight="1" x14ac:dyDescent="0.25">
      <c r="R151" s="133"/>
    </row>
    <row r="152" spans="18:18" ht="45" customHeight="1" x14ac:dyDescent="0.25">
      <c r="R152" s="133"/>
    </row>
    <row r="153" spans="18:18" ht="45" customHeight="1" x14ac:dyDescent="0.25">
      <c r="R153" s="133"/>
    </row>
    <row r="154" spans="18:18" ht="45" customHeight="1" x14ac:dyDescent="0.25">
      <c r="R154" s="133"/>
    </row>
    <row r="155" spans="18:18" ht="45" customHeight="1" x14ac:dyDescent="0.25">
      <c r="R155" s="133"/>
    </row>
    <row r="156" spans="18:18" ht="45" customHeight="1" x14ac:dyDescent="0.25">
      <c r="R156" s="133"/>
    </row>
    <row r="157" spans="18:18" ht="45" customHeight="1" x14ac:dyDescent="0.25">
      <c r="R157" s="133"/>
    </row>
    <row r="158" spans="18:18" ht="45" customHeight="1" x14ac:dyDescent="0.25">
      <c r="R158" s="133"/>
    </row>
    <row r="159" spans="18:18" ht="45" customHeight="1" x14ac:dyDescent="0.25">
      <c r="R159" s="133"/>
    </row>
    <row r="160" spans="18:18" ht="45" customHeight="1" x14ac:dyDescent="0.25">
      <c r="R160" s="133"/>
    </row>
    <row r="161" spans="18:18" ht="45" customHeight="1" x14ac:dyDescent="0.25">
      <c r="R161" s="133"/>
    </row>
    <row r="162" spans="18:18" ht="45" customHeight="1" x14ac:dyDescent="0.25">
      <c r="R162" s="133"/>
    </row>
    <row r="163" spans="18:18" ht="45" customHeight="1" x14ac:dyDescent="0.25">
      <c r="R163" s="133"/>
    </row>
    <row r="164" spans="18:18" ht="45" customHeight="1" x14ac:dyDescent="0.25">
      <c r="R164" s="133"/>
    </row>
    <row r="165" spans="18:18" ht="45" customHeight="1" x14ac:dyDescent="0.25">
      <c r="R165" s="133"/>
    </row>
    <row r="166" spans="18:18" ht="45" customHeight="1" x14ac:dyDescent="0.25">
      <c r="R166" s="133"/>
    </row>
    <row r="167" spans="18:18" ht="45" customHeight="1" x14ac:dyDescent="0.25">
      <c r="R167" s="133"/>
    </row>
    <row r="168" spans="18:18" ht="45" customHeight="1" x14ac:dyDescent="0.25">
      <c r="R168" s="133"/>
    </row>
    <row r="169" spans="18:18" ht="45" customHeight="1" x14ac:dyDescent="0.25">
      <c r="R169" s="133"/>
    </row>
    <row r="170" spans="18:18" ht="45" customHeight="1" x14ac:dyDescent="0.25">
      <c r="R170" s="133"/>
    </row>
    <row r="171" spans="18:18" ht="45" customHeight="1" x14ac:dyDescent="0.25">
      <c r="R171" s="133"/>
    </row>
    <row r="172" spans="18:18" ht="45" customHeight="1" x14ac:dyDescent="0.25">
      <c r="R172" s="133"/>
    </row>
    <row r="173" spans="18:18" ht="45" customHeight="1" x14ac:dyDescent="0.25">
      <c r="R173" s="133"/>
    </row>
    <row r="174" spans="18:18" ht="45" customHeight="1" x14ac:dyDescent="0.25">
      <c r="R174" s="133"/>
    </row>
    <row r="175" spans="18:18" ht="45" customHeight="1" x14ac:dyDescent="0.25">
      <c r="R175" s="133"/>
    </row>
    <row r="176" spans="18:18" ht="45" customHeight="1" x14ac:dyDescent="0.25">
      <c r="R176" s="133"/>
    </row>
    <row r="177" spans="18:18" ht="45" customHeight="1" x14ac:dyDescent="0.25">
      <c r="R177" s="133"/>
    </row>
    <row r="178" spans="18:18" ht="45" customHeight="1" x14ac:dyDescent="0.25">
      <c r="R178" s="133"/>
    </row>
    <row r="179" spans="18:18" ht="45" customHeight="1" x14ac:dyDescent="0.25">
      <c r="R179" s="133"/>
    </row>
    <row r="180" spans="18:18" ht="45" customHeight="1" x14ac:dyDescent="0.25">
      <c r="R180" s="133"/>
    </row>
    <row r="181" spans="18:18" ht="45" customHeight="1" x14ac:dyDescent="0.25">
      <c r="R181" s="133"/>
    </row>
    <row r="182" spans="18:18" ht="45" customHeight="1" x14ac:dyDescent="0.25">
      <c r="R182" s="133"/>
    </row>
    <row r="183" spans="18:18" ht="45" customHeight="1" x14ac:dyDescent="0.25">
      <c r="R183" s="133"/>
    </row>
    <row r="184" spans="18:18" ht="45" customHeight="1" x14ac:dyDescent="0.25">
      <c r="R184" s="133"/>
    </row>
    <row r="185" spans="18:18" ht="45" customHeight="1" x14ac:dyDescent="0.25">
      <c r="R185" s="133"/>
    </row>
    <row r="186" spans="18:18" ht="45" customHeight="1" x14ac:dyDescent="0.25">
      <c r="R186" s="133"/>
    </row>
    <row r="187" spans="18:18" ht="45" customHeight="1" x14ac:dyDescent="0.25">
      <c r="R187" s="133"/>
    </row>
    <row r="188" spans="18:18" ht="45" customHeight="1" x14ac:dyDescent="0.25">
      <c r="R188" s="133"/>
    </row>
    <row r="189" spans="18:18" ht="45" customHeight="1" x14ac:dyDescent="0.25">
      <c r="R189" s="133"/>
    </row>
    <row r="190" spans="18:18" ht="45" customHeight="1" x14ac:dyDescent="0.25">
      <c r="R190" s="133"/>
    </row>
    <row r="191" spans="18:18" ht="45" customHeight="1" x14ac:dyDescent="0.25">
      <c r="R191" s="133"/>
    </row>
    <row r="192" spans="18:18" ht="45" customHeight="1" x14ac:dyDescent="0.25">
      <c r="R192" s="133"/>
    </row>
    <row r="193" spans="18:18" ht="45" customHeight="1" x14ac:dyDescent="0.25">
      <c r="R193" s="133"/>
    </row>
    <row r="194" spans="18:18" ht="45" customHeight="1" x14ac:dyDescent="0.25">
      <c r="R194" s="133"/>
    </row>
    <row r="195" spans="18:18" ht="45" customHeight="1" x14ac:dyDescent="0.25">
      <c r="R195" s="133"/>
    </row>
    <row r="196" spans="18:18" ht="45" customHeight="1" x14ac:dyDescent="0.25">
      <c r="R196" s="133"/>
    </row>
    <row r="197" spans="18:18" ht="45" customHeight="1" x14ac:dyDescent="0.25">
      <c r="R197" s="133"/>
    </row>
    <row r="198" spans="18:18" ht="45" customHeight="1" x14ac:dyDescent="0.25">
      <c r="R198" s="133"/>
    </row>
    <row r="199" spans="18:18" ht="45" customHeight="1" x14ac:dyDescent="0.25">
      <c r="R199" s="133"/>
    </row>
    <row r="200" spans="18:18" ht="45" customHeight="1" x14ac:dyDescent="0.25">
      <c r="R200" s="133"/>
    </row>
    <row r="201" spans="18:18" ht="45" customHeight="1" x14ac:dyDescent="0.25">
      <c r="R201" s="133"/>
    </row>
    <row r="202" spans="18:18" ht="45" customHeight="1" x14ac:dyDescent="0.25">
      <c r="R202" s="133"/>
    </row>
    <row r="203" spans="18:18" ht="45" customHeight="1" x14ac:dyDescent="0.25">
      <c r="R203" s="133"/>
    </row>
    <row r="204" spans="18:18" ht="45" customHeight="1" x14ac:dyDescent="0.25">
      <c r="R204" s="133"/>
    </row>
    <row r="205" spans="18:18" ht="45" customHeight="1" x14ac:dyDescent="0.25">
      <c r="R205" s="133"/>
    </row>
    <row r="206" spans="18:18" ht="45" customHeight="1" x14ac:dyDescent="0.25">
      <c r="R206" s="133"/>
    </row>
    <row r="207" spans="18:18" ht="45" customHeight="1" x14ac:dyDescent="0.25">
      <c r="R207" s="133"/>
    </row>
    <row r="208" spans="18:18" ht="45" customHeight="1" x14ac:dyDescent="0.25">
      <c r="R208" s="133"/>
    </row>
    <row r="209" spans="18:18" ht="45" customHeight="1" x14ac:dyDescent="0.25">
      <c r="R209" s="133"/>
    </row>
    <row r="210" spans="18:18" ht="45" customHeight="1" x14ac:dyDescent="0.25">
      <c r="R210" s="133"/>
    </row>
    <row r="211" spans="18:18" ht="45" customHeight="1" x14ac:dyDescent="0.25">
      <c r="R211" s="133"/>
    </row>
    <row r="212" spans="18:18" ht="45" customHeight="1" x14ac:dyDescent="0.25">
      <c r="R212" s="133"/>
    </row>
    <row r="213" spans="18:18" ht="45" customHeight="1" x14ac:dyDescent="0.25">
      <c r="R213" s="133"/>
    </row>
    <row r="214" spans="18:18" ht="45" customHeight="1" x14ac:dyDescent="0.25">
      <c r="R214" s="133"/>
    </row>
    <row r="215" spans="18:18" ht="45" customHeight="1" x14ac:dyDescent="0.25">
      <c r="R215" s="133"/>
    </row>
    <row r="216" spans="18:18" ht="45" customHeight="1" x14ac:dyDescent="0.25">
      <c r="R216" s="133"/>
    </row>
    <row r="217" spans="18:18" ht="45" customHeight="1" x14ac:dyDescent="0.25">
      <c r="R217" s="133"/>
    </row>
    <row r="218" spans="18:18" ht="45" customHeight="1" x14ac:dyDescent="0.25">
      <c r="R218" s="133"/>
    </row>
    <row r="219" spans="18:18" ht="45" customHeight="1" x14ac:dyDescent="0.25">
      <c r="R219" s="133"/>
    </row>
    <row r="220" spans="18:18" ht="45" customHeight="1" x14ac:dyDescent="0.25">
      <c r="R220" s="133"/>
    </row>
    <row r="221" spans="18:18" ht="45" customHeight="1" x14ac:dyDescent="0.25">
      <c r="R221" s="133"/>
    </row>
    <row r="222" spans="18:18" ht="45" customHeight="1" x14ac:dyDescent="0.25">
      <c r="R222" s="133"/>
    </row>
    <row r="223" spans="18:18" ht="45" customHeight="1" x14ac:dyDescent="0.25">
      <c r="R223" s="133"/>
    </row>
    <row r="224" spans="18:18" ht="45" customHeight="1" x14ac:dyDescent="0.25">
      <c r="R224" s="133"/>
    </row>
    <row r="225" spans="18:18" ht="45" customHeight="1" x14ac:dyDescent="0.25">
      <c r="R225" s="133"/>
    </row>
    <row r="226" spans="18:18" ht="45" customHeight="1" x14ac:dyDescent="0.25">
      <c r="R226" s="133"/>
    </row>
    <row r="227" spans="18:18" ht="45" customHeight="1" x14ac:dyDescent="0.25">
      <c r="R227" s="133"/>
    </row>
    <row r="228" spans="18:18" ht="45" customHeight="1" x14ac:dyDescent="0.25">
      <c r="R228" s="133"/>
    </row>
    <row r="229" spans="18:18" ht="45" customHeight="1" x14ac:dyDescent="0.25">
      <c r="R229" s="133"/>
    </row>
    <row r="230" spans="18:18" ht="45" customHeight="1" x14ac:dyDescent="0.25">
      <c r="R230" s="133"/>
    </row>
    <row r="231" spans="18:18" ht="45" customHeight="1" x14ac:dyDescent="0.25">
      <c r="R231" s="133"/>
    </row>
    <row r="232" spans="18:18" ht="45" customHeight="1" x14ac:dyDescent="0.25">
      <c r="R232" s="133"/>
    </row>
    <row r="233" spans="18:18" ht="45" customHeight="1" x14ac:dyDescent="0.25">
      <c r="R233" s="133"/>
    </row>
    <row r="234" spans="18:18" ht="45" customHeight="1" x14ac:dyDescent="0.25">
      <c r="R234" s="133"/>
    </row>
    <row r="235" spans="18:18" ht="45" customHeight="1" x14ac:dyDescent="0.25">
      <c r="R235" s="133"/>
    </row>
    <row r="236" spans="18:18" ht="45" customHeight="1" x14ac:dyDescent="0.25">
      <c r="R236" s="133"/>
    </row>
    <row r="237" spans="18:18" ht="45" customHeight="1" x14ac:dyDescent="0.25">
      <c r="R237" s="133"/>
    </row>
    <row r="238" spans="18:18" ht="45" customHeight="1" x14ac:dyDescent="0.25">
      <c r="R238" s="133"/>
    </row>
    <row r="239" spans="18:18" ht="45" customHeight="1" x14ac:dyDescent="0.25">
      <c r="R239" s="133"/>
    </row>
    <row r="240" spans="18:18" ht="45" customHeight="1" x14ac:dyDescent="0.25">
      <c r="R240" s="133"/>
    </row>
    <row r="241" spans="18:18" ht="45" customHeight="1" x14ac:dyDescent="0.25">
      <c r="R241" s="133"/>
    </row>
    <row r="242" spans="18:18" ht="45" customHeight="1" x14ac:dyDescent="0.25">
      <c r="R242" s="133"/>
    </row>
    <row r="243" spans="18:18" ht="45" customHeight="1" x14ac:dyDescent="0.25">
      <c r="R243" s="133"/>
    </row>
    <row r="244" spans="18:18" ht="45" customHeight="1" x14ac:dyDescent="0.25">
      <c r="R244" s="133"/>
    </row>
    <row r="245" spans="18:18" ht="45" customHeight="1" x14ac:dyDescent="0.25">
      <c r="R245" s="133"/>
    </row>
    <row r="246" spans="18:18" ht="45" customHeight="1" x14ac:dyDescent="0.25">
      <c r="R246" s="133"/>
    </row>
    <row r="247" spans="18:18" ht="45" customHeight="1" x14ac:dyDescent="0.25">
      <c r="R247" s="133"/>
    </row>
    <row r="248" spans="18:18" ht="45" customHeight="1" x14ac:dyDescent="0.25">
      <c r="R248" s="133"/>
    </row>
    <row r="249" spans="18:18" ht="45" customHeight="1" x14ac:dyDescent="0.25">
      <c r="R249" s="133"/>
    </row>
    <row r="250" spans="18:18" ht="45" customHeight="1" x14ac:dyDescent="0.25">
      <c r="R250" s="133"/>
    </row>
    <row r="251" spans="18:18" ht="45" customHeight="1" x14ac:dyDescent="0.25">
      <c r="R251" s="133"/>
    </row>
    <row r="252" spans="18:18" ht="45" customHeight="1" x14ac:dyDescent="0.25">
      <c r="R252" s="133"/>
    </row>
    <row r="253" spans="18:18" ht="45" customHeight="1" x14ac:dyDescent="0.25">
      <c r="R253" s="133"/>
    </row>
    <row r="254" spans="18:18" ht="45" customHeight="1" x14ac:dyDescent="0.25">
      <c r="R254" s="133"/>
    </row>
    <row r="255" spans="18:18" ht="45" customHeight="1" x14ac:dyDescent="0.25">
      <c r="R255" s="133"/>
    </row>
    <row r="256" spans="18:18" ht="45" customHeight="1" x14ac:dyDescent="0.25">
      <c r="R256" s="133"/>
    </row>
    <row r="257" spans="18:18" ht="45" customHeight="1" x14ac:dyDescent="0.25">
      <c r="R257" s="133"/>
    </row>
    <row r="258" spans="18:18" ht="45" customHeight="1" x14ac:dyDescent="0.25">
      <c r="R258" s="133"/>
    </row>
    <row r="259" spans="18:18" ht="45" customHeight="1" x14ac:dyDescent="0.25">
      <c r="R259" s="133"/>
    </row>
    <row r="260" spans="18:18" ht="45" customHeight="1" x14ac:dyDescent="0.25">
      <c r="R260" s="133"/>
    </row>
    <row r="261" spans="18:18" ht="45" customHeight="1" x14ac:dyDescent="0.25">
      <c r="R261" s="133"/>
    </row>
    <row r="262" spans="18:18" ht="45" customHeight="1" x14ac:dyDescent="0.25">
      <c r="R262" s="133"/>
    </row>
    <row r="263" spans="18:18" ht="45" customHeight="1" x14ac:dyDescent="0.25">
      <c r="R263" s="133"/>
    </row>
    <row r="264" spans="18:18" ht="45" customHeight="1" x14ac:dyDescent="0.25">
      <c r="R264" s="133"/>
    </row>
    <row r="265" spans="18:18" ht="45" customHeight="1" x14ac:dyDescent="0.25">
      <c r="R265" s="133"/>
    </row>
    <row r="266" spans="18:18" ht="45" customHeight="1" x14ac:dyDescent="0.25">
      <c r="R266" s="133"/>
    </row>
    <row r="267" spans="18:18" ht="45" customHeight="1" x14ac:dyDescent="0.25">
      <c r="R267" s="133"/>
    </row>
    <row r="268" spans="18:18" ht="45" customHeight="1" x14ac:dyDescent="0.25">
      <c r="R268" s="133"/>
    </row>
    <row r="269" spans="18:18" ht="45" customHeight="1" x14ac:dyDescent="0.25">
      <c r="R269" s="133"/>
    </row>
    <row r="270" spans="18:18" ht="45" customHeight="1" x14ac:dyDescent="0.25">
      <c r="R270" s="133"/>
    </row>
    <row r="271" spans="18:18" ht="45" customHeight="1" x14ac:dyDescent="0.25">
      <c r="R271" s="133"/>
    </row>
    <row r="272" spans="18:18" ht="45" customHeight="1" x14ac:dyDescent="0.25">
      <c r="R272" s="133"/>
    </row>
    <row r="273" spans="18:18" ht="45" customHeight="1" x14ac:dyDescent="0.25">
      <c r="R273" s="133"/>
    </row>
    <row r="274" spans="18:18" ht="45" customHeight="1" x14ac:dyDescent="0.25">
      <c r="R274" s="133"/>
    </row>
    <row r="275" spans="18:18" ht="45" customHeight="1" x14ac:dyDescent="0.25">
      <c r="R275" s="133"/>
    </row>
    <row r="276" spans="18:18" ht="45" customHeight="1" x14ac:dyDescent="0.25">
      <c r="R276" s="133"/>
    </row>
    <row r="277" spans="18:18" ht="45" customHeight="1" x14ac:dyDescent="0.25">
      <c r="R277" s="133"/>
    </row>
    <row r="278" spans="18:18" ht="45" customHeight="1" x14ac:dyDescent="0.25">
      <c r="R278" s="133"/>
    </row>
    <row r="279" spans="18:18" ht="45" customHeight="1" x14ac:dyDescent="0.25">
      <c r="R279" s="133"/>
    </row>
    <row r="280" spans="18:18" ht="45" customHeight="1" x14ac:dyDescent="0.25">
      <c r="R280" s="133"/>
    </row>
    <row r="281" spans="18:18" ht="45" customHeight="1" x14ac:dyDescent="0.25">
      <c r="R281" s="133"/>
    </row>
    <row r="282" spans="18:18" ht="45" customHeight="1" x14ac:dyDescent="0.25">
      <c r="R282" s="133"/>
    </row>
    <row r="283" spans="18:18" ht="45" customHeight="1" x14ac:dyDescent="0.25">
      <c r="R283" s="133"/>
    </row>
    <row r="284" spans="18:18" ht="45" customHeight="1" x14ac:dyDescent="0.25">
      <c r="R284" s="133"/>
    </row>
    <row r="285" spans="18:18" ht="45" customHeight="1" x14ac:dyDescent="0.25">
      <c r="R285" s="133"/>
    </row>
    <row r="286" spans="18:18" ht="45" customHeight="1" x14ac:dyDescent="0.25">
      <c r="R286" s="133"/>
    </row>
    <row r="287" spans="18:18" ht="45" customHeight="1" x14ac:dyDescent="0.25">
      <c r="R287" s="133"/>
    </row>
    <row r="288" spans="18:18" ht="45" customHeight="1" x14ac:dyDescent="0.25">
      <c r="R288" s="133"/>
    </row>
    <row r="289" spans="18:18" ht="45" customHeight="1" x14ac:dyDescent="0.25">
      <c r="R289" s="133"/>
    </row>
    <row r="290" spans="18:18" ht="45" customHeight="1" x14ac:dyDescent="0.25">
      <c r="R290" s="133"/>
    </row>
    <row r="291" spans="18:18" ht="45" customHeight="1" x14ac:dyDescent="0.25">
      <c r="R291" s="133"/>
    </row>
    <row r="292" spans="18:18" ht="45" customHeight="1" x14ac:dyDescent="0.25">
      <c r="R292" s="133"/>
    </row>
    <row r="293" spans="18:18" ht="45" customHeight="1" x14ac:dyDescent="0.25">
      <c r="R293" s="133"/>
    </row>
    <row r="294" spans="18:18" ht="45" customHeight="1" x14ac:dyDescent="0.25">
      <c r="R294" s="133"/>
    </row>
    <row r="295" spans="18:18" ht="45" customHeight="1" x14ac:dyDescent="0.25">
      <c r="R295" s="133"/>
    </row>
    <row r="296" spans="18:18" ht="45" customHeight="1" x14ac:dyDescent="0.25">
      <c r="R296" s="133"/>
    </row>
    <row r="297" spans="18:18" ht="45" customHeight="1" x14ac:dyDescent="0.25">
      <c r="R297" s="133"/>
    </row>
    <row r="298" spans="18:18" ht="45" customHeight="1" x14ac:dyDescent="0.25">
      <c r="R298" s="133"/>
    </row>
    <row r="299" spans="18:18" ht="45" customHeight="1" x14ac:dyDescent="0.25">
      <c r="R299" s="133"/>
    </row>
    <row r="300" spans="18:18" ht="45" customHeight="1" x14ac:dyDescent="0.25">
      <c r="R300" s="133"/>
    </row>
    <row r="301" spans="18:18" ht="45" customHeight="1" x14ac:dyDescent="0.25">
      <c r="R301" s="133"/>
    </row>
    <row r="302" spans="18:18" ht="45" customHeight="1" x14ac:dyDescent="0.25">
      <c r="R302" s="133"/>
    </row>
    <row r="303" spans="18:18" ht="45" customHeight="1" x14ac:dyDescent="0.25">
      <c r="R303" s="133"/>
    </row>
    <row r="304" spans="18:18" ht="45" customHeight="1" x14ac:dyDescent="0.25">
      <c r="R304" s="133"/>
    </row>
    <row r="305" spans="18:18" ht="45" customHeight="1" x14ac:dyDescent="0.25">
      <c r="R305" s="133"/>
    </row>
    <row r="306" spans="18:18" ht="45" customHeight="1" x14ac:dyDescent="0.25">
      <c r="R306" s="133"/>
    </row>
    <row r="307" spans="18:18" ht="45" customHeight="1" x14ac:dyDescent="0.25">
      <c r="R307" s="133"/>
    </row>
    <row r="308" spans="18:18" ht="45" customHeight="1" x14ac:dyDescent="0.25">
      <c r="R308" s="133"/>
    </row>
    <row r="309" spans="18:18" ht="45" customHeight="1" x14ac:dyDescent="0.25">
      <c r="R309" s="133"/>
    </row>
    <row r="310" spans="18:18" ht="45" customHeight="1" x14ac:dyDescent="0.25">
      <c r="R310" s="133"/>
    </row>
    <row r="311" spans="18:18" ht="45" customHeight="1" x14ac:dyDescent="0.25">
      <c r="R311" s="133"/>
    </row>
    <row r="312" spans="18:18" ht="45" customHeight="1" x14ac:dyDescent="0.25">
      <c r="R312" s="133"/>
    </row>
    <row r="313" spans="18:18" ht="45" customHeight="1" x14ac:dyDescent="0.25">
      <c r="R313" s="133"/>
    </row>
    <row r="314" spans="18:18" ht="45" customHeight="1" x14ac:dyDescent="0.25">
      <c r="R314" s="133"/>
    </row>
    <row r="315" spans="18:18" ht="45" customHeight="1" x14ac:dyDescent="0.25">
      <c r="R315" s="133"/>
    </row>
    <row r="316" spans="18:18" ht="45" customHeight="1" x14ac:dyDescent="0.25">
      <c r="R316" s="133"/>
    </row>
    <row r="317" spans="18:18" ht="45" customHeight="1" x14ac:dyDescent="0.25">
      <c r="R317" s="133"/>
    </row>
    <row r="318" spans="18:18" ht="45" customHeight="1" x14ac:dyDescent="0.25">
      <c r="R318" s="133"/>
    </row>
    <row r="319" spans="18:18" ht="45" customHeight="1" x14ac:dyDescent="0.25">
      <c r="R319" s="133"/>
    </row>
    <row r="320" spans="18:18" ht="45" customHeight="1" x14ac:dyDescent="0.25">
      <c r="R320" s="133"/>
    </row>
    <row r="321" spans="18:18" ht="45" customHeight="1" x14ac:dyDescent="0.25">
      <c r="R321" s="133"/>
    </row>
    <row r="322" spans="18:18" ht="45" customHeight="1" x14ac:dyDescent="0.25">
      <c r="R322" s="133"/>
    </row>
    <row r="323" spans="18:18" ht="45" customHeight="1" x14ac:dyDescent="0.25">
      <c r="R323" s="133"/>
    </row>
    <row r="324" spans="18:18" ht="45" customHeight="1" x14ac:dyDescent="0.25">
      <c r="R324" s="133"/>
    </row>
    <row r="325" spans="18:18" ht="45" customHeight="1" x14ac:dyDescent="0.25">
      <c r="R325" s="133"/>
    </row>
    <row r="326" spans="18:18" ht="45" customHeight="1" x14ac:dyDescent="0.25">
      <c r="R326" s="133"/>
    </row>
    <row r="327" spans="18:18" ht="45" customHeight="1" x14ac:dyDescent="0.25">
      <c r="R327" s="133"/>
    </row>
    <row r="328" spans="18:18" ht="45" customHeight="1" x14ac:dyDescent="0.25">
      <c r="R328" s="133"/>
    </row>
    <row r="329" spans="18:18" ht="45" customHeight="1" x14ac:dyDescent="0.25">
      <c r="R329" s="133"/>
    </row>
    <row r="330" spans="18:18" ht="45" customHeight="1" x14ac:dyDescent="0.25">
      <c r="R330" s="133"/>
    </row>
    <row r="331" spans="18:18" ht="45" customHeight="1" x14ac:dyDescent="0.25">
      <c r="R331" s="133"/>
    </row>
    <row r="332" spans="18:18" ht="45" customHeight="1" x14ac:dyDescent="0.25">
      <c r="R332" s="133"/>
    </row>
    <row r="333" spans="18:18" ht="45" customHeight="1" x14ac:dyDescent="0.25">
      <c r="R333" s="133"/>
    </row>
    <row r="334" spans="18:18" ht="45" customHeight="1" x14ac:dyDescent="0.25">
      <c r="R334" s="133"/>
    </row>
    <row r="335" spans="18:18" ht="45" customHeight="1" x14ac:dyDescent="0.25">
      <c r="R335" s="133"/>
    </row>
    <row r="336" spans="18:18" ht="45" customHeight="1" x14ac:dyDescent="0.25">
      <c r="R336" s="133"/>
    </row>
    <row r="337" spans="18:18" ht="45" customHeight="1" x14ac:dyDescent="0.25">
      <c r="R337" s="133"/>
    </row>
    <row r="338" spans="18:18" ht="45" customHeight="1" x14ac:dyDescent="0.25">
      <c r="R338" s="133"/>
    </row>
    <row r="339" spans="18:18" ht="45" customHeight="1" x14ac:dyDescent="0.25">
      <c r="R339" s="133"/>
    </row>
    <row r="340" spans="18:18" ht="45" customHeight="1" x14ac:dyDescent="0.25">
      <c r="R340" s="133"/>
    </row>
    <row r="341" spans="18:18" ht="45" customHeight="1" x14ac:dyDescent="0.25">
      <c r="R341" s="133"/>
    </row>
    <row r="342" spans="18:18" ht="45" customHeight="1" x14ac:dyDescent="0.25">
      <c r="R342" s="133"/>
    </row>
    <row r="343" spans="18:18" ht="45" customHeight="1" x14ac:dyDescent="0.25">
      <c r="R343" s="133"/>
    </row>
    <row r="344" spans="18:18" ht="45" customHeight="1" x14ac:dyDescent="0.25">
      <c r="R344" s="133"/>
    </row>
    <row r="345" spans="18:18" ht="45" customHeight="1" x14ac:dyDescent="0.25">
      <c r="R345" s="133"/>
    </row>
    <row r="346" spans="18:18" ht="45" customHeight="1" x14ac:dyDescent="0.25">
      <c r="R346" s="133"/>
    </row>
    <row r="347" spans="18:18" ht="45" customHeight="1" x14ac:dyDescent="0.25">
      <c r="R347" s="133"/>
    </row>
    <row r="348" spans="18:18" ht="45" customHeight="1" x14ac:dyDescent="0.25">
      <c r="R348" s="133"/>
    </row>
    <row r="349" spans="18:18" ht="45" customHeight="1" x14ac:dyDescent="0.25">
      <c r="R349" s="133"/>
    </row>
    <row r="350" spans="18:18" ht="45" customHeight="1" x14ac:dyDescent="0.25">
      <c r="R350" s="133"/>
    </row>
    <row r="351" spans="18:18" ht="45" customHeight="1" x14ac:dyDescent="0.25">
      <c r="R351" s="133"/>
    </row>
    <row r="352" spans="18:18" ht="45" customHeight="1" x14ac:dyDescent="0.25">
      <c r="R352" s="133"/>
    </row>
    <row r="353" spans="18:18" ht="45" customHeight="1" x14ac:dyDescent="0.25">
      <c r="R353" s="133"/>
    </row>
    <row r="354" spans="18:18" ht="45" customHeight="1" x14ac:dyDescent="0.25">
      <c r="R354" s="133"/>
    </row>
    <row r="355" spans="18:18" ht="45" customHeight="1" x14ac:dyDescent="0.25">
      <c r="R355" s="133"/>
    </row>
    <row r="356" spans="18:18" ht="45" customHeight="1" x14ac:dyDescent="0.25">
      <c r="R356" s="133"/>
    </row>
    <row r="357" spans="18:18" ht="45" customHeight="1" x14ac:dyDescent="0.25">
      <c r="R357" s="133"/>
    </row>
    <row r="358" spans="18:18" ht="45" customHeight="1" x14ac:dyDescent="0.25">
      <c r="R358" s="133"/>
    </row>
    <row r="359" spans="18:18" ht="45" customHeight="1" x14ac:dyDescent="0.25">
      <c r="R359" s="133"/>
    </row>
    <row r="360" spans="18:18" ht="45" customHeight="1" x14ac:dyDescent="0.25">
      <c r="R360" s="133"/>
    </row>
    <row r="361" spans="18:18" ht="45" customHeight="1" x14ac:dyDescent="0.25">
      <c r="R361" s="133"/>
    </row>
    <row r="362" spans="18:18" ht="45" customHeight="1" x14ac:dyDescent="0.25">
      <c r="R362" s="133"/>
    </row>
    <row r="363" spans="18:18" ht="45" customHeight="1" x14ac:dyDescent="0.25">
      <c r="R363" s="133"/>
    </row>
    <row r="364" spans="18:18" ht="45" customHeight="1" x14ac:dyDescent="0.25">
      <c r="R364" s="133"/>
    </row>
    <row r="365" spans="18:18" ht="45" customHeight="1" x14ac:dyDescent="0.25">
      <c r="R365" s="133"/>
    </row>
    <row r="366" spans="18:18" ht="45" customHeight="1" x14ac:dyDescent="0.25">
      <c r="R366" s="133"/>
    </row>
    <row r="367" spans="18:18" ht="45" customHeight="1" x14ac:dyDescent="0.25">
      <c r="R367" s="133"/>
    </row>
    <row r="368" spans="18:18" ht="45" customHeight="1" x14ac:dyDescent="0.25">
      <c r="R368" s="133"/>
    </row>
    <row r="369" spans="18:18" ht="45" customHeight="1" x14ac:dyDescent="0.25">
      <c r="R369" s="133"/>
    </row>
    <row r="370" spans="18:18" ht="45" customHeight="1" x14ac:dyDescent="0.25">
      <c r="R370" s="133"/>
    </row>
  </sheetData>
  <sheetProtection formatCells="0" formatColumns="0" formatRows="0" insertColumns="0" insertRows="0" insertHyperlinks="0" sort="0" autoFilter="0" pivotTables="0"/>
  <autoFilter ref="A3:AH17" xr:uid="{00000000-0001-0000-0000-000000000000}"/>
  <mergeCells count="4">
    <mergeCell ref="T2:Z2"/>
    <mergeCell ref="F2:S2"/>
    <mergeCell ref="AA2:AC2"/>
    <mergeCell ref="C2:E2"/>
  </mergeCells>
  <conditionalFormatting sqref="A1:B2 A18:B1048576 A3:A17">
    <cfRule type="containsText" dxfId="241" priority="32" operator="containsText" text="TORNO">
      <formula>NOT(ISERROR(SEARCH("TORNO",A1)))</formula>
    </cfRule>
  </conditionalFormatting>
  <conditionalFormatting sqref="L1:L1048576">
    <cfRule type="containsText" dxfId="240" priority="1" operator="containsText" text="8">
      <formula>NOT(ISERROR(SEARCH("8",L1)))</formula>
    </cfRule>
    <cfRule type="containsText" dxfId="239" priority="2" operator="containsText" text="5">
      <formula>NOT(ISERROR(SEARCH("5",L1)))</formula>
    </cfRule>
  </conditionalFormatting>
  <conditionalFormatting sqref="R2:R1048576">
    <cfRule type="cellIs" dxfId="238" priority="31" operator="lessThanOrEqual">
      <formula>550</formula>
    </cfRule>
  </conditionalFormatting>
  <conditionalFormatting sqref="AA1:AA1048576">
    <cfRule type="containsText" dxfId="237" priority="33" operator="containsText" text="NF - PENDENTE">
      <formula>NOT(ISERROR(SEARCH("NF - PENDENTE",AA1)))</formula>
    </cfRule>
    <cfRule type="containsText" dxfId="236" priority="34" operator="containsText" text="NF - AGUARDANDO NF SUBSTITUTA">
      <formula>NOT(ISERROR(SEARCH("NF - AGUARDANDO NF SUBSTITUTA",AA1)))</formula>
    </cfRule>
    <cfRule type="containsText" dxfId="235" priority="35" operator="containsText" text="NF - AGUARDANDO APROVAÇÃO PARA LANÇAMENTO">
      <formula>NOT(ISERROR(SEARCH("NF - AGUARDANDO APROVAÇÃO PARA LANÇAMENTO",AA1)))</formula>
    </cfRule>
    <cfRule type="containsText" dxfId="234" priority="36" operator="containsText" text="RC - AGUARDANDO RETORNO DO SOLICITANTE">
      <formula>NOT(ISERROR(SEARCH("RC - AGUARDANDO RETORNO DO SOLICITANTE",AA1)))</formula>
    </cfRule>
    <cfRule type="containsText" dxfId="233" priority="37" operator="containsText" text="FINALIZADO 100%">
      <formula>NOT(ISERROR(SEARCH("FINALIZADO 100%",AA1)))</formula>
    </cfRule>
    <cfRule type="containsText" dxfId="232" priority="38" operator="containsText" text="7. NF - APROVADO, LANÇAR">
      <formula>NOT(ISERROR(SEARCH("7. NF - APROVADO, LANÇAR",AA1)))</formula>
    </cfRule>
    <cfRule type="containsText" dxfId="231" priority="39" operator="containsText" text="NF INCLUSA NA 198">
      <formula>NOT(ISERROR(SEARCH("NF INCLUSA NA 198",AA1)))</formula>
    </cfRule>
    <cfRule type="containsText" dxfId="230" priority="40" operator="containsText" text="4. RC - RC ABERTA, AGUARDANDO GERAR PEDIDO">
      <formula>NOT(ISERROR(SEARCH("4. RC - RC ABERTA, AGUARDANDO GERAR PEDIDO",AA1)))</formula>
    </cfRule>
    <cfRule type="containsText" dxfId="229" priority="41" operator="containsText" text="5. NF - PEDIDO GERADO, AGUARDANDO NF">
      <formula>NOT(ISERROR(SEARCH("5. NF - PEDIDO GERADO, AGUARDANDO NF",AA1)))</formula>
    </cfRule>
    <cfRule type="containsText" dxfId="228" priority="42" operator="containsText" text="RC - AGUARDANDO APROVAÇÃO CRISTIANO">
      <formula>NOT(ISERROR(SEARCH("RC - AGUARDANDO APROVAÇÃO CRISTIANO",AA1)))</formula>
    </cfRule>
  </conditionalFormatting>
  <pageMargins left="0.511811024" right="0.511811024" top="0.78740157499999996" bottom="0.78740157499999996" header="0.31496062000000002" footer="0.31496062000000002"/>
  <pageSetup paperSize="9" orientation="portrait" verticalDpi="0" r:id="rId1"/>
  <legacyDrawing r:id="rId2"/>
  <extLst>
    <ext xmlns:x14="http://schemas.microsoft.com/office/spreadsheetml/2009/9/main" uri="{CCE6A557-97BC-4b89-ADB6-D9C93CAAB3DF}">
      <x14:dataValidations xmlns:xm="http://schemas.microsoft.com/office/excel/2006/main" count="3">
        <x14:dataValidation type="list" allowBlank="1" showInputMessage="1" showErrorMessage="1" xr:uid="{00000000-0002-0000-0000-000001000000}">
          <x14:formula1>
            <xm:f>'LISTA SUSPENSA - NÃO ALTERAR '!$C$2:$C$27</xm:f>
          </x14:formula1>
          <xm:sqref>C4:C37</xm:sqref>
        </x14:dataValidation>
        <x14:dataValidation type="list" allowBlank="1" showInputMessage="1" showErrorMessage="1" xr:uid="{00000000-0002-0000-0000-000000000000}">
          <x14:formula1>
            <xm:f>'LISTA SUSPENSA - NÃO ALTERAR '!$E$2:$E$9</xm:f>
          </x14:formula1>
          <xm:sqref>I4:I37</xm:sqref>
        </x14:dataValidation>
        <x14:dataValidation type="list" allowBlank="1" showInputMessage="1" showErrorMessage="1" xr:uid="{00000000-0002-0000-0000-000002000000}">
          <x14:formula1>
            <xm:f>'LISTA SUSPENSA - NÃO ALTERAR '!$H$2:$H$15</xm:f>
          </x14:formula1>
          <xm:sqref>AA4:AA37</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27"/>
  <sheetViews>
    <sheetView showGridLines="0" workbookViewId="0">
      <selection activeCell="H10" sqref="H10"/>
    </sheetView>
  </sheetViews>
  <sheetFormatPr defaultRowHeight="15" x14ac:dyDescent="0.25"/>
  <cols>
    <col min="3" max="3" width="19.85546875" customWidth="1"/>
    <col min="5" max="5" width="14.85546875" customWidth="1"/>
    <col min="8" max="8" width="57.85546875" customWidth="1"/>
    <col min="9" max="9" width="37.7109375" customWidth="1"/>
  </cols>
  <sheetData>
    <row r="1" spans="1:8" ht="24" customHeight="1" x14ac:dyDescent="0.25">
      <c r="A1" s="1"/>
      <c r="B1" s="1"/>
      <c r="C1" s="2" t="s">
        <v>4</v>
      </c>
      <c r="E1" s="3" t="s">
        <v>136</v>
      </c>
      <c r="H1" s="4" t="s">
        <v>27</v>
      </c>
    </row>
    <row r="2" spans="1:8" ht="14.45" customHeight="1" x14ac:dyDescent="0.25">
      <c r="A2" s="1"/>
      <c r="B2" s="1"/>
      <c r="C2" s="1" t="s">
        <v>30</v>
      </c>
      <c r="E2" t="s">
        <v>68</v>
      </c>
      <c r="H2" s="5" t="s">
        <v>117</v>
      </c>
    </row>
    <row r="3" spans="1:8" ht="14.45" customHeight="1" x14ac:dyDescent="0.25">
      <c r="A3" s="1"/>
      <c r="B3" s="1"/>
      <c r="C3" s="1"/>
      <c r="E3" t="s">
        <v>39</v>
      </c>
      <c r="H3" s="5" t="s">
        <v>124</v>
      </c>
    </row>
    <row r="4" spans="1:8" ht="14.45" customHeight="1" x14ac:dyDescent="0.25">
      <c r="A4" s="1"/>
      <c r="B4" s="1"/>
      <c r="C4" s="1" t="s">
        <v>68</v>
      </c>
      <c r="E4" t="s">
        <v>54</v>
      </c>
      <c r="H4" s="5" t="s">
        <v>137</v>
      </c>
    </row>
    <row r="5" spans="1:8" x14ac:dyDescent="0.25">
      <c r="A5" s="1"/>
      <c r="B5" s="1"/>
      <c r="C5" s="1" t="s">
        <v>54</v>
      </c>
      <c r="E5" t="s">
        <v>59</v>
      </c>
      <c r="H5" s="5" t="s">
        <v>78</v>
      </c>
    </row>
    <row r="6" spans="1:8" x14ac:dyDescent="0.25">
      <c r="A6" s="1"/>
      <c r="B6" s="1"/>
      <c r="C6" s="1" t="s">
        <v>49</v>
      </c>
      <c r="E6" t="s">
        <v>43</v>
      </c>
      <c r="H6" s="6" t="s">
        <v>58</v>
      </c>
    </row>
    <row r="7" spans="1:8" ht="14.45" customHeight="1" x14ac:dyDescent="0.25">
      <c r="A7" s="1"/>
      <c r="B7" s="1"/>
      <c r="C7" s="1" t="s">
        <v>109</v>
      </c>
      <c r="E7" t="s">
        <v>34</v>
      </c>
      <c r="H7" s="6" t="s">
        <v>97</v>
      </c>
    </row>
    <row r="8" spans="1:8" ht="14.45" customHeight="1" x14ac:dyDescent="0.25">
      <c r="A8" s="1"/>
      <c r="B8" s="1"/>
      <c r="C8" s="1" t="s">
        <v>40</v>
      </c>
      <c r="E8" t="s">
        <v>81</v>
      </c>
      <c r="H8" s="6" t="s">
        <v>38</v>
      </c>
    </row>
    <row r="9" spans="1:8" ht="14.45" customHeight="1" x14ac:dyDescent="0.25">
      <c r="A9" s="1"/>
      <c r="B9" s="1"/>
      <c r="C9" s="1" t="s">
        <v>86</v>
      </c>
      <c r="E9" t="s">
        <v>84</v>
      </c>
      <c r="H9" s="6" t="s">
        <v>115</v>
      </c>
    </row>
    <row r="10" spans="1:8" ht="14.45" customHeight="1" x14ac:dyDescent="0.25">
      <c r="A10" s="1"/>
      <c r="B10" s="1"/>
      <c r="C10" s="1" t="s">
        <v>59</v>
      </c>
      <c r="H10" s="6" t="s">
        <v>66</v>
      </c>
    </row>
    <row r="11" spans="1:8" ht="14.45" customHeight="1" x14ac:dyDescent="0.25">
      <c r="A11" s="1"/>
      <c r="B11" s="1"/>
      <c r="C11" s="1" t="s">
        <v>60</v>
      </c>
      <c r="H11" s="6" t="s">
        <v>56</v>
      </c>
    </row>
    <row r="12" spans="1:8" ht="14.45" customHeight="1" x14ac:dyDescent="0.25">
      <c r="C12" s="1" t="s">
        <v>79</v>
      </c>
      <c r="H12" s="6" t="s">
        <v>138</v>
      </c>
    </row>
    <row r="13" spans="1:8" x14ac:dyDescent="0.25">
      <c r="C13" s="1" t="s">
        <v>72</v>
      </c>
      <c r="H13" s="5" t="s">
        <v>52</v>
      </c>
    </row>
    <row r="14" spans="1:8" x14ac:dyDescent="0.25">
      <c r="C14" s="1" t="s">
        <v>85</v>
      </c>
      <c r="H14" s="5" t="s">
        <v>47</v>
      </c>
    </row>
    <row r="15" spans="1:8" x14ac:dyDescent="0.25">
      <c r="C15" s="1" t="s">
        <v>63</v>
      </c>
      <c r="H15" s="5" t="s">
        <v>71</v>
      </c>
    </row>
    <row r="16" spans="1:8" x14ac:dyDescent="0.25">
      <c r="C16" s="1" t="s">
        <v>61</v>
      </c>
    </row>
    <row r="17" spans="3:3" x14ac:dyDescent="0.25">
      <c r="C17" s="1" t="s">
        <v>139</v>
      </c>
    </row>
    <row r="18" spans="3:3" x14ac:dyDescent="0.25">
      <c r="C18" s="1" t="s">
        <v>82</v>
      </c>
    </row>
    <row r="19" spans="3:3" x14ac:dyDescent="0.25">
      <c r="C19" s="1" t="s">
        <v>73</v>
      </c>
    </row>
    <row r="20" spans="3:3" x14ac:dyDescent="0.25">
      <c r="C20" s="1" t="s">
        <v>83</v>
      </c>
    </row>
    <row r="21" spans="3:3" x14ac:dyDescent="0.25">
      <c r="C21" s="1" t="s">
        <v>57</v>
      </c>
    </row>
    <row r="22" spans="3:3" x14ac:dyDescent="0.25">
      <c r="C22" s="1" t="s">
        <v>76</v>
      </c>
    </row>
    <row r="23" spans="3:3" x14ac:dyDescent="0.25">
      <c r="C23" s="1" t="s">
        <v>116</v>
      </c>
    </row>
    <row r="24" spans="3:3" x14ac:dyDescent="0.25">
      <c r="C24" s="1" t="s">
        <v>108</v>
      </c>
    </row>
    <row r="25" spans="3:3" x14ac:dyDescent="0.25">
      <c r="C25" s="1" t="s">
        <v>80</v>
      </c>
    </row>
    <row r="26" spans="3:3" x14ac:dyDescent="0.25">
      <c r="C26" s="1" t="s">
        <v>53</v>
      </c>
    </row>
    <row r="27" spans="3:3" x14ac:dyDescent="0.25">
      <c r="C27" s="1" t="s">
        <v>74</v>
      </c>
    </row>
  </sheetData>
  <autoFilter ref="E1:E9" xr:uid="{00000000-0009-0000-0000-000001000000}">
    <sortState xmlns:xlrd2="http://schemas.microsoft.com/office/spreadsheetml/2017/richdata2" ref="E2:E8">
      <sortCondition ref="E1:E8"/>
    </sortState>
  </autoFilter>
  <pageMargins left="0.511811024" right="0.511811024" top="0.78740157499999996" bottom="0.78740157499999996" header="0.31496062000000002" footer="0.3149606200000000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filterMode="1"/>
  <dimension ref="A1:P296"/>
  <sheetViews>
    <sheetView showGridLines="0" workbookViewId="0">
      <pane ySplit="1" topLeftCell="A262" activePane="bottomLeft" state="frozen"/>
      <selection pane="bottomLeft" activeCell="B277" sqref="B277"/>
    </sheetView>
  </sheetViews>
  <sheetFormatPr defaultRowHeight="15" x14ac:dyDescent="0.25"/>
  <cols>
    <col min="1" max="2" width="10.5703125" style="1" customWidth="1"/>
    <col min="3" max="3" width="64" style="61" customWidth="1"/>
    <col min="4" max="4" width="21.42578125" customWidth="1"/>
    <col min="5" max="5" width="11" style="1" customWidth="1"/>
    <col min="6" max="6" width="13.85546875" style="1" customWidth="1"/>
    <col min="7" max="7" width="11.28515625" style="1" customWidth="1"/>
    <col min="8" max="8" width="15.140625" style="1" customWidth="1"/>
    <col min="9" max="10" width="10.7109375" style="1" customWidth="1"/>
    <col min="11" max="11" width="20.42578125" style="1" customWidth="1"/>
    <col min="12" max="12" width="35.5703125" style="1" customWidth="1"/>
    <col min="13" max="13" width="9.140625" style="1"/>
    <col min="14" max="14" width="16.140625" style="1" customWidth="1"/>
    <col min="15" max="15" width="17.7109375" style="1" customWidth="1"/>
    <col min="16" max="16" width="27.28515625" customWidth="1"/>
  </cols>
  <sheetData>
    <row r="1" spans="1:16" ht="45" x14ac:dyDescent="0.25">
      <c r="A1" s="47" t="s">
        <v>15</v>
      </c>
      <c r="B1" s="47" t="s">
        <v>17</v>
      </c>
      <c r="C1" s="47" t="s">
        <v>6</v>
      </c>
      <c r="D1" s="47" t="s">
        <v>140</v>
      </c>
      <c r="E1" s="47" t="s">
        <v>22</v>
      </c>
      <c r="F1" s="47" t="s">
        <v>141</v>
      </c>
      <c r="G1" s="48" t="s">
        <v>142</v>
      </c>
      <c r="H1" s="49" t="s">
        <v>143</v>
      </c>
      <c r="I1" s="47" t="s">
        <v>144</v>
      </c>
      <c r="J1" s="47" t="s">
        <v>145</v>
      </c>
      <c r="K1" s="47" t="s">
        <v>146</v>
      </c>
      <c r="L1" s="47" t="s">
        <v>147</v>
      </c>
      <c r="M1" s="47" t="s">
        <v>148</v>
      </c>
      <c r="N1" s="47" t="s">
        <v>27</v>
      </c>
      <c r="O1" s="47" t="s">
        <v>149</v>
      </c>
      <c r="P1" s="47" t="s">
        <v>150</v>
      </c>
    </row>
    <row r="2" spans="1:16" ht="45" hidden="1" x14ac:dyDescent="0.25">
      <c r="A2" s="27">
        <v>3590944</v>
      </c>
      <c r="B2" s="27">
        <v>3738200</v>
      </c>
      <c r="C2" s="25" t="s">
        <v>151</v>
      </c>
      <c r="D2" s="27" t="s">
        <v>152</v>
      </c>
      <c r="E2" s="27" t="s">
        <v>45</v>
      </c>
      <c r="F2" s="27" t="s">
        <v>153</v>
      </c>
      <c r="G2" s="27" t="s">
        <v>46</v>
      </c>
      <c r="H2" s="70">
        <v>3928.66</v>
      </c>
      <c r="I2" s="50">
        <v>45274</v>
      </c>
      <c r="J2" s="50">
        <v>45286</v>
      </c>
      <c r="K2" s="27">
        <v>444542</v>
      </c>
      <c r="L2" s="39" t="s">
        <v>154</v>
      </c>
      <c r="M2" s="52">
        <v>153</v>
      </c>
      <c r="N2" s="68" t="s">
        <v>155</v>
      </c>
      <c r="O2" s="27" t="s">
        <v>32</v>
      </c>
    </row>
    <row r="3" spans="1:16" ht="45" hidden="1" x14ac:dyDescent="0.25">
      <c r="A3" s="27">
        <v>3590965</v>
      </c>
      <c r="B3" s="27">
        <v>3738201</v>
      </c>
      <c r="C3" s="25" t="s">
        <v>151</v>
      </c>
      <c r="D3" s="27" t="s">
        <v>152</v>
      </c>
      <c r="E3" s="27" t="s">
        <v>45</v>
      </c>
      <c r="F3" s="27" t="s">
        <v>153</v>
      </c>
      <c r="G3" s="27" t="s">
        <v>46</v>
      </c>
      <c r="H3" s="70">
        <v>3928.66</v>
      </c>
      <c r="I3" s="50">
        <v>45274</v>
      </c>
      <c r="J3" s="50">
        <v>45286</v>
      </c>
      <c r="K3" s="27">
        <v>444520</v>
      </c>
      <c r="L3" s="39" t="s">
        <v>154</v>
      </c>
      <c r="M3" s="52">
        <v>153</v>
      </c>
      <c r="N3" s="68" t="s">
        <v>155</v>
      </c>
      <c r="O3" s="27" t="s">
        <v>32</v>
      </c>
    </row>
    <row r="4" spans="1:16" ht="45" hidden="1" x14ac:dyDescent="0.25">
      <c r="A4" s="27">
        <v>3619858</v>
      </c>
      <c r="B4" s="27">
        <v>3766711</v>
      </c>
      <c r="C4" s="25" t="s">
        <v>151</v>
      </c>
      <c r="D4" s="27" t="s">
        <v>152</v>
      </c>
      <c r="E4" s="27" t="s">
        <v>45</v>
      </c>
      <c r="F4" s="27" t="s">
        <v>153</v>
      </c>
      <c r="G4" s="27" t="s">
        <v>46</v>
      </c>
      <c r="H4" s="70">
        <v>3928.66</v>
      </c>
      <c r="I4" s="50">
        <v>45309</v>
      </c>
      <c r="J4" s="50">
        <v>45315</v>
      </c>
      <c r="K4" s="27">
        <v>450446</v>
      </c>
      <c r="L4" s="39" t="s">
        <v>154</v>
      </c>
      <c r="M4" s="52">
        <v>153</v>
      </c>
      <c r="N4" s="68" t="s">
        <v>155</v>
      </c>
      <c r="O4" s="27" t="s">
        <v>156</v>
      </c>
    </row>
    <row r="5" spans="1:16" ht="45" hidden="1" x14ac:dyDescent="0.25">
      <c r="A5" s="27">
        <v>3619858</v>
      </c>
      <c r="B5" s="27">
        <v>3738201</v>
      </c>
      <c r="C5" s="25" t="s">
        <v>151</v>
      </c>
      <c r="D5" s="27" t="s">
        <v>152</v>
      </c>
      <c r="E5" s="27" t="s">
        <v>37</v>
      </c>
      <c r="F5" s="27" t="s">
        <v>153</v>
      </c>
      <c r="G5" s="27" t="s">
        <v>46</v>
      </c>
      <c r="H5" s="70">
        <v>3928.66</v>
      </c>
      <c r="I5" s="50">
        <v>45341</v>
      </c>
      <c r="J5" s="50">
        <v>45343</v>
      </c>
      <c r="K5" s="27">
        <v>456508</v>
      </c>
      <c r="L5" s="39" t="s">
        <v>154</v>
      </c>
      <c r="M5" s="52">
        <v>153</v>
      </c>
      <c r="N5" s="68" t="s">
        <v>155</v>
      </c>
      <c r="O5" s="27" t="s">
        <v>157</v>
      </c>
    </row>
    <row r="6" spans="1:16" ht="45" hidden="1" x14ac:dyDescent="0.25">
      <c r="A6" s="27">
        <v>3619858</v>
      </c>
      <c r="B6" s="27">
        <v>3738201</v>
      </c>
      <c r="C6" s="25" t="s">
        <v>151</v>
      </c>
      <c r="D6" s="27" t="s">
        <v>152</v>
      </c>
      <c r="E6" s="27" t="s">
        <v>37</v>
      </c>
      <c r="F6" s="27" t="s">
        <v>153</v>
      </c>
      <c r="G6" s="27" t="s">
        <v>46</v>
      </c>
      <c r="H6" s="70">
        <v>3928.66</v>
      </c>
      <c r="I6" s="50">
        <v>45369</v>
      </c>
      <c r="J6" s="50">
        <v>45370</v>
      </c>
      <c r="K6" s="27">
        <v>462968</v>
      </c>
      <c r="L6" s="39" t="s">
        <v>154</v>
      </c>
      <c r="M6" s="52">
        <v>153</v>
      </c>
      <c r="N6" s="68" t="s">
        <v>155</v>
      </c>
      <c r="O6" s="27" t="s">
        <v>157</v>
      </c>
    </row>
    <row r="7" spans="1:16" ht="45" hidden="1" x14ac:dyDescent="0.25">
      <c r="A7" s="27">
        <v>3619858</v>
      </c>
      <c r="B7" s="27">
        <v>3738201</v>
      </c>
      <c r="C7" s="25" t="s">
        <v>151</v>
      </c>
      <c r="D7" s="27" t="s">
        <v>152</v>
      </c>
      <c r="E7" s="27" t="s">
        <v>37</v>
      </c>
      <c r="F7" s="27" t="s">
        <v>153</v>
      </c>
      <c r="G7" s="27" t="s">
        <v>46</v>
      </c>
      <c r="H7" s="70">
        <v>3928.66</v>
      </c>
      <c r="I7" s="50">
        <v>45400</v>
      </c>
      <c r="J7" s="50">
        <v>45401</v>
      </c>
      <c r="K7" s="27">
        <v>469114</v>
      </c>
      <c r="L7" s="39" t="s">
        <v>154</v>
      </c>
      <c r="M7" s="52">
        <v>153</v>
      </c>
      <c r="N7" s="68" t="s">
        <v>155</v>
      </c>
      <c r="O7" s="27" t="s">
        <v>157</v>
      </c>
    </row>
    <row r="8" spans="1:16" ht="45" hidden="1" x14ac:dyDescent="0.25">
      <c r="A8" s="27">
        <v>3619858</v>
      </c>
      <c r="B8" s="27">
        <v>3766711</v>
      </c>
      <c r="C8" s="25" t="s">
        <v>151</v>
      </c>
      <c r="D8" s="27" t="s">
        <v>152</v>
      </c>
      <c r="E8" s="27" t="s">
        <v>37</v>
      </c>
      <c r="F8" s="27" t="s">
        <v>153</v>
      </c>
      <c r="G8" s="27" t="s">
        <v>46</v>
      </c>
      <c r="H8" s="70">
        <v>3928.66</v>
      </c>
      <c r="I8" s="50">
        <v>45433</v>
      </c>
      <c r="J8" s="50">
        <v>45433</v>
      </c>
      <c r="K8" s="27">
        <v>475875</v>
      </c>
      <c r="L8" s="39" t="s">
        <v>154</v>
      </c>
      <c r="M8" s="52">
        <v>153</v>
      </c>
      <c r="N8" s="68" t="s">
        <v>155</v>
      </c>
      <c r="O8" s="27" t="s">
        <v>157</v>
      </c>
    </row>
    <row r="9" spans="1:16" ht="45" hidden="1" x14ac:dyDescent="0.25">
      <c r="A9" s="27">
        <v>3619858</v>
      </c>
      <c r="B9" s="27">
        <v>3766711</v>
      </c>
      <c r="C9" s="25" t="s">
        <v>151</v>
      </c>
      <c r="D9" s="27" t="s">
        <v>152</v>
      </c>
      <c r="E9" s="27" t="s">
        <v>37</v>
      </c>
      <c r="F9" s="27" t="s">
        <v>153</v>
      </c>
      <c r="G9" s="27" t="s">
        <v>46</v>
      </c>
      <c r="H9" s="70">
        <v>3928.66</v>
      </c>
      <c r="I9" s="50">
        <v>45460</v>
      </c>
      <c r="J9" s="50">
        <v>45461</v>
      </c>
      <c r="K9" s="27">
        <v>482073</v>
      </c>
      <c r="L9" s="39" t="s">
        <v>154</v>
      </c>
      <c r="M9" s="52">
        <v>153</v>
      </c>
      <c r="N9" s="68" t="s">
        <v>155</v>
      </c>
      <c r="O9" s="27" t="s">
        <v>157</v>
      </c>
    </row>
    <row r="10" spans="1:16" ht="45" hidden="1" x14ac:dyDescent="0.25">
      <c r="A10" s="27">
        <v>3619858</v>
      </c>
      <c r="B10" s="27">
        <v>3766711</v>
      </c>
      <c r="C10" s="25" t="s">
        <v>151</v>
      </c>
      <c r="D10" s="27" t="s">
        <v>152</v>
      </c>
      <c r="E10" s="27" t="s">
        <v>37</v>
      </c>
      <c r="F10" s="27" t="s">
        <v>153</v>
      </c>
      <c r="G10" s="27" t="s">
        <v>46</v>
      </c>
      <c r="H10" s="72">
        <v>3928.66</v>
      </c>
      <c r="I10" s="50">
        <v>45483</v>
      </c>
      <c r="J10" s="50">
        <v>45484</v>
      </c>
      <c r="K10" s="27">
        <v>487246</v>
      </c>
      <c r="L10" s="39" t="s">
        <v>154</v>
      </c>
      <c r="M10" s="52">
        <v>153</v>
      </c>
      <c r="N10" s="68" t="s">
        <v>155</v>
      </c>
      <c r="O10" s="27" t="s">
        <v>157</v>
      </c>
    </row>
    <row r="11" spans="1:16" ht="45" hidden="1" x14ac:dyDescent="0.25">
      <c r="A11" s="27">
        <v>3619858</v>
      </c>
      <c r="B11" s="27">
        <v>3766711</v>
      </c>
      <c r="C11" s="25" t="s">
        <v>151</v>
      </c>
      <c r="D11" s="27" t="s">
        <v>152</v>
      </c>
      <c r="E11" s="27" t="s">
        <v>37</v>
      </c>
      <c r="F11" s="27" t="s">
        <v>153</v>
      </c>
      <c r="G11" s="27" t="s">
        <v>46</v>
      </c>
      <c r="H11" s="72">
        <v>3928.66</v>
      </c>
      <c r="I11" s="50">
        <v>45516</v>
      </c>
      <c r="J11" s="50">
        <v>45519</v>
      </c>
      <c r="K11" s="27">
        <v>494248</v>
      </c>
      <c r="L11" s="39" t="s">
        <v>154</v>
      </c>
      <c r="M11" s="52">
        <v>153</v>
      </c>
      <c r="N11" s="68" t="s">
        <v>155</v>
      </c>
      <c r="O11" s="27" t="s">
        <v>157</v>
      </c>
    </row>
    <row r="12" spans="1:16" ht="45" hidden="1" x14ac:dyDescent="0.25">
      <c r="A12" s="27">
        <v>3619858</v>
      </c>
      <c r="B12" s="27">
        <v>3766711</v>
      </c>
      <c r="C12" s="25" t="s">
        <v>151</v>
      </c>
      <c r="D12" s="27" t="s">
        <v>152</v>
      </c>
      <c r="E12" s="27" t="s">
        <v>37</v>
      </c>
      <c r="F12" s="27" t="s">
        <v>153</v>
      </c>
      <c r="G12" s="27" t="s">
        <v>46</v>
      </c>
      <c r="H12" s="67">
        <v>3928.66</v>
      </c>
      <c r="I12" s="50">
        <v>45545</v>
      </c>
      <c r="J12" s="50">
        <v>45546</v>
      </c>
      <c r="K12" s="27">
        <v>500234</v>
      </c>
      <c r="L12" s="39" t="s">
        <v>154</v>
      </c>
      <c r="M12" s="52">
        <v>153</v>
      </c>
      <c r="N12" s="71" t="s">
        <v>155</v>
      </c>
      <c r="O12" s="27" t="s">
        <v>157</v>
      </c>
    </row>
    <row r="13" spans="1:16" ht="45" hidden="1" x14ac:dyDescent="0.25">
      <c r="A13" s="27">
        <v>3619858</v>
      </c>
      <c r="B13" s="27">
        <v>3766711</v>
      </c>
      <c r="C13" s="25" t="s">
        <v>151</v>
      </c>
      <c r="D13" s="27" t="s">
        <v>152</v>
      </c>
      <c r="E13" s="27" t="s">
        <v>37</v>
      </c>
      <c r="F13" s="27" t="s">
        <v>153</v>
      </c>
      <c r="G13" s="27" t="s">
        <v>46</v>
      </c>
      <c r="H13" s="67">
        <v>4074.44</v>
      </c>
      <c r="I13" s="50">
        <v>45580</v>
      </c>
      <c r="J13" s="50">
        <v>45582</v>
      </c>
      <c r="K13" s="27">
        <v>508739</v>
      </c>
      <c r="L13" s="39" t="s">
        <v>154</v>
      </c>
      <c r="M13" s="52">
        <v>153</v>
      </c>
      <c r="N13" s="71" t="s">
        <v>155</v>
      </c>
      <c r="O13" s="52" t="s">
        <v>157</v>
      </c>
    </row>
    <row r="14" spans="1:16" ht="45" hidden="1" x14ac:dyDescent="0.25">
      <c r="A14" s="27">
        <v>3619858</v>
      </c>
      <c r="B14" s="27">
        <v>3766711</v>
      </c>
      <c r="C14" s="25" t="s">
        <v>151</v>
      </c>
      <c r="D14" s="27" t="s">
        <v>152</v>
      </c>
      <c r="E14" s="27" t="s">
        <v>37</v>
      </c>
      <c r="F14" s="27" t="s">
        <v>153</v>
      </c>
      <c r="G14" s="27" t="s">
        <v>46</v>
      </c>
      <c r="H14" s="67">
        <v>4074.44</v>
      </c>
      <c r="I14" s="50">
        <v>45607</v>
      </c>
      <c r="J14" s="50">
        <v>45608</v>
      </c>
      <c r="K14" s="27">
        <v>514210</v>
      </c>
      <c r="L14" s="39" t="s">
        <v>154</v>
      </c>
      <c r="M14" s="52">
        <v>153</v>
      </c>
      <c r="N14" s="68" t="s">
        <v>155</v>
      </c>
      <c r="O14" s="52" t="s">
        <v>157</v>
      </c>
    </row>
    <row r="15" spans="1:16" ht="45" hidden="1" x14ac:dyDescent="0.25">
      <c r="A15" s="27">
        <v>3619858</v>
      </c>
      <c r="B15" s="27">
        <v>3766711</v>
      </c>
      <c r="C15" s="25" t="s">
        <v>151</v>
      </c>
      <c r="D15" s="27" t="s">
        <v>152</v>
      </c>
      <c r="E15" s="27" t="s">
        <v>37</v>
      </c>
      <c r="F15" s="27" t="s">
        <v>153</v>
      </c>
      <c r="G15" s="27" t="s">
        <v>46</v>
      </c>
      <c r="H15" s="67">
        <v>4074.44</v>
      </c>
      <c r="I15" s="50">
        <v>45636</v>
      </c>
      <c r="J15" s="50">
        <v>45297</v>
      </c>
      <c r="K15" s="27">
        <v>521397</v>
      </c>
      <c r="L15" s="39" t="s">
        <v>154</v>
      </c>
      <c r="M15" s="52">
        <v>153</v>
      </c>
      <c r="N15" s="71" t="s">
        <v>155</v>
      </c>
      <c r="O15" s="52" t="s">
        <v>157</v>
      </c>
    </row>
    <row r="16" spans="1:16" ht="45" hidden="1" x14ac:dyDescent="0.25">
      <c r="A16" s="27">
        <v>3619858</v>
      </c>
      <c r="B16" s="27">
        <v>3766711</v>
      </c>
      <c r="C16" s="25" t="s">
        <v>151</v>
      </c>
      <c r="D16" s="27" t="s">
        <v>152</v>
      </c>
      <c r="E16" s="27" t="s">
        <v>37</v>
      </c>
      <c r="F16" s="27" t="s">
        <v>153</v>
      </c>
      <c r="G16" s="27" t="s">
        <v>46</v>
      </c>
      <c r="H16" s="67">
        <v>4074.44</v>
      </c>
      <c r="I16" s="50">
        <v>45667</v>
      </c>
      <c r="J16" s="50">
        <v>45668</v>
      </c>
      <c r="K16" s="27">
        <v>527919</v>
      </c>
      <c r="L16" s="39" t="s">
        <v>154</v>
      </c>
      <c r="M16" s="52">
        <v>153</v>
      </c>
      <c r="N16" s="71" t="s">
        <v>155</v>
      </c>
      <c r="O16" s="52" t="s">
        <v>157</v>
      </c>
    </row>
    <row r="17" spans="1:15" ht="45" hidden="1" x14ac:dyDescent="0.25">
      <c r="A17" s="27">
        <v>3619858</v>
      </c>
      <c r="B17" s="27">
        <v>3766711</v>
      </c>
      <c r="C17" s="25" t="s">
        <v>151</v>
      </c>
      <c r="D17" s="27" t="s">
        <v>152</v>
      </c>
      <c r="E17" s="27" t="s">
        <v>37</v>
      </c>
      <c r="F17" s="27" t="s">
        <v>153</v>
      </c>
      <c r="G17" s="27" t="s">
        <v>46</v>
      </c>
      <c r="H17" s="67">
        <v>4074.44</v>
      </c>
      <c r="I17" s="50">
        <v>45698</v>
      </c>
      <c r="J17" s="50">
        <v>45699</v>
      </c>
      <c r="K17" s="27">
        <v>534625</v>
      </c>
      <c r="L17" s="39" t="s">
        <v>154</v>
      </c>
      <c r="M17" s="52">
        <v>153</v>
      </c>
      <c r="N17" s="73" t="s">
        <v>155</v>
      </c>
      <c r="O17" s="55" t="s">
        <v>157</v>
      </c>
    </row>
    <row r="18" spans="1:15" ht="45" hidden="1" x14ac:dyDescent="0.25">
      <c r="A18" s="27">
        <v>3619858</v>
      </c>
      <c r="B18" s="27">
        <v>3766711</v>
      </c>
      <c r="C18" s="25" t="s">
        <v>151</v>
      </c>
      <c r="D18" s="27" t="s">
        <v>152</v>
      </c>
      <c r="E18" s="27" t="s">
        <v>37</v>
      </c>
      <c r="F18" s="27" t="s">
        <v>153</v>
      </c>
      <c r="G18" s="27" t="s">
        <v>46</v>
      </c>
      <c r="H18" s="67">
        <v>4074.44</v>
      </c>
      <c r="I18" s="50">
        <v>45726</v>
      </c>
      <c r="J18" s="50">
        <v>45727</v>
      </c>
      <c r="K18" s="27">
        <v>541743</v>
      </c>
      <c r="L18" s="39" t="s">
        <v>154</v>
      </c>
      <c r="M18" s="52">
        <v>153</v>
      </c>
      <c r="N18" s="73" t="s">
        <v>155</v>
      </c>
      <c r="O18" s="55" t="s">
        <v>157</v>
      </c>
    </row>
    <row r="19" spans="1:15" ht="45" hidden="1" x14ac:dyDescent="0.25">
      <c r="A19" s="27">
        <v>3619858</v>
      </c>
      <c r="B19" s="27">
        <v>3766711</v>
      </c>
      <c r="C19" s="25" t="s">
        <v>151</v>
      </c>
      <c r="D19" s="27" t="s">
        <v>152</v>
      </c>
      <c r="E19" s="27" t="s">
        <v>37</v>
      </c>
      <c r="F19" s="27" t="s">
        <v>153</v>
      </c>
      <c r="G19" s="27" t="s">
        <v>46</v>
      </c>
      <c r="H19" s="67">
        <v>4074.44</v>
      </c>
      <c r="I19" s="50">
        <v>45757</v>
      </c>
      <c r="J19" s="50">
        <v>45759</v>
      </c>
      <c r="K19" s="27">
        <v>549420</v>
      </c>
      <c r="L19" s="39" t="s">
        <v>154</v>
      </c>
      <c r="M19" s="52">
        <v>153</v>
      </c>
      <c r="N19" s="73" t="s">
        <v>155</v>
      </c>
      <c r="O19" s="55" t="s">
        <v>157</v>
      </c>
    </row>
    <row r="20" spans="1:15" ht="45" hidden="1" x14ac:dyDescent="0.25">
      <c r="A20" s="27">
        <v>3619858</v>
      </c>
      <c r="B20" s="27">
        <v>3766711</v>
      </c>
      <c r="C20" s="25" t="s">
        <v>151</v>
      </c>
      <c r="D20" s="27" t="s">
        <v>152</v>
      </c>
      <c r="E20" s="27" t="s">
        <v>37</v>
      </c>
      <c r="F20" s="27" t="s">
        <v>153</v>
      </c>
      <c r="G20" s="27" t="s">
        <v>46</v>
      </c>
      <c r="H20" s="67">
        <v>4074.44</v>
      </c>
      <c r="I20" s="50">
        <v>45789</v>
      </c>
      <c r="J20" s="50">
        <v>45790</v>
      </c>
      <c r="K20" s="57">
        <v>555823</v>
      </c>
      <c r="L20" s="39" t="s">
        <v>154</v>
      </c>
      <c r="M20" s="52">
        <v>153</v>
      </c>
      <c r="N20" s="73" t="s">
        <v>155</v>
      </c>
      <c r="O20" s="55" t="s">
        <v>157</v>
      </c>
    </row>
    <row r="21" spans="1:15" ht="45" hidden="1" x14ac:dyDescent="0.25">
      <c r="A21" s="27">
        <v>3619858</v>
      </c>
      <c r="B21" s="27">
        <v>3766711</v>
      </c>
      <c r="C21" s="25" t="s">
        <v>151</v>
      </c>
      <c r="D21" s="27" t="s">
        <v>152</v>
      </c>
      <c r="E21" s="27" t="s">
        <v>37</v>
      </c>
      <c r="F21" s="27" t="s">
        <v>153</v>
      </c>
      <c r="G21" s="27" t="s">
        <v>46</v>
      </c>
      <c r="H21" s="67">
        <v>4074.44</v>
      </c>
      <c r="I21" s="50">
        <v>45818</v>
      </c>
      <c r="J21" s="50">
        <v>45820</v>
      </c>
      <c r="K21" s="57">
        <v>563897</v>
      </c>
      <c r="L21" s="39" t="s">
        <v>154</v>
      </c>
      <c r="M21" s="52">
        <v>153</v>
      </c>
      <c r="N21" s="73" t="s">
        <v>155</v>
      </c>
      <c r="O21" s="27" t="s">
        <v>156</v>
      </c>
    </row>
    <row r="22" spans="1:15" ht="45" hidden="1" x14ac:dyDescent="0.25">
      <c r="A22" s="27">
        <v>3619858</v>
      </c>
      <c r="B22" s="27">
        <v>3766711</v>
      </c>
      <c r="C22" s="25" t="s">
        <v>151</v>
      </c>
      <c r="D22" s="27" t="s">
        <v>152</v>
      </c>
      <c r="E22" s="27" t="s">
        <v>37</v>
      </c>
      <c r="F22" s="27" t="s">
        <v>153</v>
      </c>
      <c r="G22" s="27" t="s">
        <v>46</v>
      </c>
      <c r="H22" s="67">
        <v>4074.44</v>
      </c>
      <c r="I22" s="50">
        <v>45848</v>
      </c>
      <c r="J22" s="50">
        <v>45849</v>
      </c>
      <c r="K22" s="57">
        <v>571072</v>
      </c>
      <c r="L22" s="39" t="s">
        <v>154</v>
      </c>
      <c r="M22" s="52">
        <v>153</v>
      </c>
      <c r="N22" s="73" t="s">
        <v>155</v>
      </c>
      <c r="O22" s="55" t="s">
        <v>157</v>
      </c>
    </row>
    <row r="23" spans="1:15" ht="45" hidden="1" x14ac:dyDescent="0.25">
      <c r="A23" s="27">
        <v>3619858</v>
      </c>
      <c r="B23" s="27">
        <v>3766711</v>
      </c>
      <c r="C23" s="25" t="s">
        <v>151</v>
      </c>
      <c r="D23" s="27" t="s">
        <v>152</v>
      </c>
      <c r="E23" s="27" t="s">
        <v>37</v>
      </c>
      <c r="F23" s="27" t="s">
        <v>153</v>
      </c>
      <c r="G23" s="27" t="s">
        <v>46</v>
      </c>
      <c r="H23" s="67">
        <v>4074.44</v>
      </c>
      <c r="I23" s="50">
        <v>45880</v>
      </c>
      <c r="J23" s="50">
        <v>45881</v>
      </c>
      <c r="K23" s="57">
        <v>577883</v>
      </c>
      <c r="L23" s="39" t="s">
        <v>154</v>
      </c>
      <c r="M23" s="52">
        <v>153</v>
      </c>
      <c r="N23" s="73" t="s">
        <v>155</v>
      </c>
      <c r="O23" s="55" t="s">
        <v>157</v>
      </c>
    </row>
    <row r="24" spans="1:15" ht="45" hidden="1" x14ac:dyDescent="0.25">
      <c r="A24" s="27">
        <v>3619858</v>
      </c>
      <c r="B24" s="27">
        <v>3766711</v>
      </c>
      <c r="C24" s="25" t="s">
        <v>151</v>
      </c>
      <c r="D24" s="27" t="s">
        <v>152</v>
      </c>
      <c r="E24" s="27" t="s">
        <v>37</v>
      </c>
      <c r="F24" s="27" t="s">
        <v>153</v>
      </c>
      <c r="G24" s="27" t="s">
        <v>46</v>
      </c>
      <c r="H24" s="67">
        <v>4074.44</v>
      </c>
      <c r="I24" s="50">
        <v>45910</v>
      </c>
      <c r="J24" s="50">
        <v>45911</v>
      </c>
      <c r="K24" s="57">
        <v>586291</v>
      </c>
      <c r="L24" s="39" t="s">
        <v>154</v>
      </c>
      <c r="M24" s="52">
        <v>153</v>
      </c>
      <c r="N24" s="73" t="s">
        <v>155</v>
      </c>
      <c r="O24" s="55" t="s">
        <v>157</v>
      </c>
    </row>
    <row r="25" spans="1:15" ht="45" hidden="1" x14ac:dyDescent="0.25">
      <c r="A25" s="27">
        <v>3619858</v>
      </c>
      <c r="B25" s="27">
        <v>3766711</v>
      </c>
      <c r="C25" s="25" t="s">
        <v>151</v>
      </c>
      <c r="D25" s="27" t="s">
        <v>152</v>
      </c>
      <c r="E25" s="27" t="s">
        <v>37</v>
      </c>
      <c r="F25" s="27" t="s">
        <v>153</v>
      </c>
      <c r="G25" s="27" t="s">
        <v>46</v>
      </c>
      <c r="H25" s="67">
        <v>4208.75</v>
      </c>
      <c r="I25" s="50">
        <v>45945</v>
      </c>
      <c r="J25" s="50">
        <v>45947</v>
      </c>
      <c r="K25" s="57">
        <v>594916</v>
      </c>
      <c r="L25" s="39" t="s">
        <v>154</v>
      </c>
      <c r="M25" s="52">
        <v>153</v>
      </c>
      <c r="N25" s="73" t="s">
        <v>158</v>
      </c>
      <c r="O25" s="55" t="s">
        <v>157</v>
      </c>
    </row>
    <row r="26" spans="1:15" ht="30" hidden="1" x14ac:dyDescent="0.25">
      <c r="A26" s="30">
        <v>3627916</v>
      </c>
      <c r="B26" s="30">
        <v>3773474</v>
      </c>
      <c r="C26" s="25" t="s">
        <v>159</v>
      </c>
      <c r="D26" s="27" t="s">
        <v>160</v>
      </c>
      <c r="E26" s="27" t="s">
        <v>37</v>
      </c>
      <c r="F26" s="27" t="s">
        <v>161</v>
      </c>
      <c r="G26" s="27" t="s">
        <v>46</v>
      </c>
      <c r="H26" s="70">
        <v>1483.71</v>
      </c>
      <c r="I26" s="50">
        <v>45531</v>
      </c>
      <c r="J26" s="50">
        <v>45532</v>
      </c>
      <c r="K26" s="27">
        <v>86976541</v>
      </c>
      <c r="L26" s="39">
        <v>2488</v>
      </c>
      <c r="M26" s="52">
        <v>153</v>
      </c>
      <c r="N26" s="68" t="s">
        <v>155</v>
      </c>
      <c r="O26" s="27" t="s">
        <v>156</v>
      </c>
    </row>
    <row r="27" spans="1:15" ht="30" hidden="1" x14ac:dyDescent="0.25">
      <c r="A27" s="27">
        <v>3631801</v>
      </c>
      <c r="B27" s="27">
        <v>3776543</v>
      </c>
      <c r="C27" s="25" t="s">
        <v>162</v>
      </c>
      <c r="D27" s="27" t="s">
        <v>160</v>
      </c>
      <c r="E27" s="27" t="s">
        <v>37</v>
      </c>
      <c r="F27" s="27" t="s">
        <v>161</v>
      </c>
      <c r="G27" s="27" t="s">
        <v>46</v>
      </c>
      <c r="H27" s="70">
        <v>485.26</v>
      </c>
      <c r="I27" s="50">
        <v>45536</v>
      </c>
      <c r="J27" s="50">
        <v>45561</v>
      </c>
      <c r="K27" s="27">
        <v>6017</v>
      </c>
      <c r="L27" s="39">
        <v>2488</v>
      </c>
      <c r="M27" s="52">
        <v>242</v>
      </c>
      <c r="N27" s="68" t="s">
        <v>155</v>
      </c>
      <c r="O27" s="27" t="s">
        <v>156</v>
      </c>
    </row>
    <row r="28" spans="1:15" ht="30" hidden="1" x14ac:dyDescent="0.25">
      <c r="A28" s="30">
        <v>3627916</v>
      </c>
      <c r="B28" s="30">
        <v>3773474</v>
      </c>
      <c r="C28" s="25" t="s">
        <v>159</v>
      </c>
      <c r="D28" s="27" t="s">
        <v>160</v>
      </c>
      <c r="E28" s="27" t="s">
        <v>37</v>
      </c>
      <c r="F28" s="27" t="s">
        <v>161</v>
      </c>
      <c r="G28" s="27" t="s">
        <v>46</v>
      </c>
      <c r="H28" s="70">
        <v>1483.71</v>
      </c>
      <c r="I28" s="50">
        <v>45562</v>
      </c>
      <c r="J28" s="50">
        <v>45563</v>
      </c>
      <c r="K28" s="27">
        <v>87032521</v>
      </c>
      <c r="L28" s="39">
        <v>2488</v>
      </c>
      <c r="M28" s="52">
        <v>153</v>
      </c>
      <c r="N28" s="68" t="s">
        <v>155</v>
      </c>
      <c r="O28" s="27" t="s">
        <v>156</v>
      </c>
    </row>
    <row r="29" spans="1:15" ht="30" hidden="1" x14ac:dyDescent="0.25">
      <c r="A29" s="27">
        <v>3631801</v>
      </c>
      <c r="B29" s="27">
        <v>3776543</v>
      </c>
      <c r="C29" s="25" t="s">
        <v>162</v>
      </c>
      <c r="D29" s="27" t="s">
        <v>160</v>
      </c>
      <c r="E29" s="27" t="s">
        <v>37</v>
      </c>
      <c r="F29" s="27" t="s">
        <v>161</v>
      </c>
      <c r="G29" s="27" t="s">
        <v>46</v>
      </c>
      <c r="H29" s="70">
        <v>485.26</v>
      </c>
      <c r="I29" s="50">
        <v>45566</v>
      </c>
      <c r="J29" s="50">
        <v>45576</v>
      </c>
      <c r="K29" s="27">
        <v>6056</v>
      </c>
      <c r="L29" s="39">
        <v>2488</v>
      </c>
      <c r="M29" s="52">
        <v>242</v>
      </c>
      <c r="N29" s="68" t="s">
        <v>155</v>
      </c>
      <c r="O29" s="27" t="s">
        <v>156</v>
      </c>
    </row>
    <row r="30" spans="1:15" ht="30" hidden="1" x14ac:dyDescent="0.25">
      <c r="A30" s="30">
        <v>3627916</v>
      </c>
      <c r="B30" s="30">
        <v>3773474</v>
      </c>
      <c r="C30" s="25" t="s">
        <v>159</v>
      </c>
      <c r="D30" s="27" t="s">
        <v>160</v>
      </c>
      <c r="E30" s="27" t="s">
        <v>37</v>
      </c>
      <c r="F30" s="27" t="s">
        <v>161</v>
      </c>
      <c r="G30" s="27" t="s">
        <v>46</v>
      </c>
      <c r="H30" s="70">
        <v>1483.71</v>
      </c>
      <c r="I30" s="50">
        <v>45592</v>
      </c>
      <c r="J30" s="50">
        <v>45593</v>
      </c>
      <c r="K30" s="27">
        <v>87081242</v>
      </c>
      <c r="L30" s="39">
        <v>2488</v>
      </c>
      <c r="M30" s="52">
        <v>153</v>
      </c>
      <c r="N30" s="68" t="s">
        <v>155</v>
      </c>
      <c r="O30" s="27" t="s">
        <v>156</v>
      </c>
    </row>
    <row r="31" spans="1:15" ht="30" hidden="1" x14ac:dyDescent="0.25">
      <c r="A31" s="27">
        <v>3631801</v>
      </c>
      <c r="B31" s="27">
        <v>3776543</v>
      </c>
      <c r="C31" s="25" t="s">
        <v>162</v>
      </c>
      <c r="D31" s="27" t="s">
        <v>160</v>
      </c>
      <c r="E31" s="27" t="s">
        <v>37</v>
      </c>
      <c r="F31" s="27" t="s">
        <v>161</v>
      </c>
      <c r="G31" s="27" t="s">
        <v>46</v>
      </c>
      <c r="H31" s="70">
        <v>485.26</v>
      </c>
      <c r="I31" s="50">
        <v>45597</v>
      </c>
      <c r="J31" s="50">
        <v>45600</v>
      </c>
      <c r="K31" s="27">
        <v>6083</v>
      </c>
      <c r="L31" s="39">
        <v>2488</v>
      </c>
      <c r="M31" s="52">
        <v>242</v>
      </c>
      <c r="N31" s="68" t="s">
        <v>155</v>
      </c>
      <c r="O31" s="27" t="s">
        <v>156</v>
      </c>
    </row>
    <row r="32" spans="1:15" ht="30" hidden="1" x14ac:dyDescent="0.25">
      <c r="A32" s="30">
        <v>3627916</v>
      </c>
      <c r="B32" s="30">
        <v>3773474</v>
      </c>
      <c r="C32" s="25" t="s">
        <v>159</v>
      </c>
      <c r="D32" s="27" t="s">
        <v>160</v>
      </c>
      <c r="E32" s="27" t="s">
        <v>37</v>
      </c>
      <c r="F32" s="27" t="s">
        <v>161</v>
      </c>
      <c r="G32" s="27" t="s">
        <v>46</v>
      </c>
      <c r="H32" s="70">
        <v>1483.71</v>
      </c>
      <c r="I32" s="50">
        <v>45623</v>
      </c>
      <c r="J32" s="50">
        <v>45624</v>
      </c>
      <c r="K32" s="27">
        <v>87133815</v>
      </c>
      <c r="L32" s="39">
        <v>2488</v>
      </c>
      <c r="M32" s="52">
        <v>153</v>
      </c>
      <c r="N32" s="68" t="s">
        <v>155</v>
      </c>
      <c r="O32" s="27" t="s">
        <v>156</v>
      </c>
    </row>
    <row r="33" spans="1:15" ht="30" hidden="1" x14ac:dyDescent="0.25">
      <c r="A33" s="27">
        <v>3631801</v>
      </c>
      <c r="B33" s="27">
        <v>3776543</v>
      </c>
      <c r="C33" s="25" t="s">
        <v>162</v>
      </c>
      <c r="D33" s="27" t="s">
        <v>160</v>
      </c>
      <c r="E33" s="27" t="s">
        <v>45</v>
      </c>
      <c r="F33" s="27" t="s">
        <v>161</v>
      </c>
      <c r="G33" s="27" t="s">
        <v>46</v>
      </c>
      <c r="H33" s="70">
        <v>485.26</v>
      </c>
      <c r="I33" s="50">
        <v>45627</v>
      </c>
      <c r="J33" s="50">
        <v>45630</v>
      </c>
      <c r="K33" s="27">
        <v>6119</v>
      </c>
      <c r="L33" s="39">
        <v>2488</v>
      </c>
      <c r="M33" s="52">
        <v>242</v>
      </c>
      <c r="N33" s="73" t="s">
        <v>155</v>
      </c>
      <c r="O33" s="27" t="s">
        <v>156</v>
      </c>
    </row>
    <row r="34" spans="1:15" ht="30" hidden="1" x14ac:dyDescent="0.25">
      <c r="A34" s="30">
        <v>3627916</v>
      </c>
      <c r="B34" s="30">
        <v>3773474</v>
      </c>
      <c r="C34" s="25" t="s">
        <v>159</v>
      </c>
      <c r="D34" s="27" t="s">
        <v>160</v>
      </c>
      <c r="E34" s="27" t="s">
        <v>45</v>
      </c>
      <c r="F34" s="27" t="s">
        <v>161</v>
      </c>
      <c r="G34" s="27" t="s">
        <v>46</v>
      </c>
      <c r="H34" s="70">
        <v>1483.71</v>
      </c>
      <c r="I34" s="50">
        <v>45653</v>
      </c>
      <c r="J34" s="50">
        <v>45654</v>
      </c>
      <c r="K34" s="27">
        <v>87184486</v>
      </c>
      <c r="L34" s="39">
        <v>2488</v>
      </c>
      <c r="M34" s="52">
        <v>153</v>
      </c>
      <c r="N34" s="73" t="s">
        <v>155</v>
      </c>
      <c r="O34" s="27" t="s">
        <v>163</v>
      </c>
    </row>
    <row r="35" spans="1:15" ht="30" hidden="1" x14ac:dyDescent="0.25">
      <c r="A35" s="27">
        <v>3631801</v>
      </c>
      <c r="B35" s="27">
        <v>3776543</v>
      </c>
      <c r="C35" s="25" t="s">
        <v>162</v>
      </c>
      <c r="D35" s="27" t="s">
        <v>160</v>
      </c>
      <c r="E35" s="27" t="s">
        <v>45</v>
      </c>
      <c r="F35" s="27" t="s">
        <v>161</v>
      </c>
      <c r="G35" s="27" t="s">
        <v>46</v>
      </c>
      <c r="H35" s="70">
        <v>485.26</v>
      </c>
      <c r="I35" s="50">
        <v>45658</v>
      </c>
      <c r="J35" s="50">
        <v>45659</v>
      </c>
      <c r="K35" s="27">
        <v>6140</v>
      </c>
      <c r="L35" s="39">
        <v>2488</v>
      </c>
      <c r="M35" s="52">
        <v>242</v>
      </c>
      <c r="N35" s="73" t="s">
        <v>155</v>
      </c>
      <c r="O35" s="27" t="s">
        <v>163</v>
      </c>
    </row>
    <row r="36" spans="1:15" ht="30" hidden="1" x14ac:dyDescent="0.25">
      <c r="A36" s="30">
        <v>3627916</v>
      </c>
      <c r="B36" s="30">
        <v>3773474</v>
      </c>
      <c r="C36" s="25" t="s">
        <v>159</v>
      </c>
      <c r="D36" s="27" t="s">
        <v>160</v>
      </c>
      <c r="E36" s="27" t="s">
        <v>45</v>
      </c>
      <c r="F36" s="27" t="s">
        <v>161</v>
      </c>
      <c r="G36" s="27" t="s">
        <v>46</v>
      </c>
      <c r="H36" s="67">
        <v>1483.71</v>
      </c>
      <c r="I36" s="50">
        <v>45684</v>
      </c>
      <c r="J36" s="50">
        <v>45685</v>
      </c>
      <c r="K36" s="27">
        <v>87229572</v>
      </c>
      <c r="L36" s="39">
        <v>2488</v>
      </c>
      <c r="M36" s="52">
        <v>153</v>
      </c>
      <c r="N36" s="73" t="s">
        <v>155</v>
      </c>
      <c r="O36" s="27" t="s">
        <v>156</v>
      </c>
    </row>
    <row r="37" spans="1:15" ht="30" hidden="1" x14ac:dyDescent="0.25">
      <c r="A37" s="27">
        <v>3631801</v>
      </c>
      <c r="B37" s="27">
        <v>3776543</v>
      </c>
      <c r="C37" s="25" t="s">
        <v>164</v>
      </c>
      <c r="D37" s="27" t="s">
        <v>160</v>
      </c>
      <c r="E37" s="27" t="s">
        <v>37</v>
      </c>
      <c r="F37" s="27" t="s">
        <v>161</v>
      </c>
      <c r="G37" s="27" t="s">
        <v>46</v>
      </c>
      <c r="H37" s="70">
        <v>485.26</v>
      </c>
      <c r="I37" s="50">
        <v>45689</v>
      </c>
      <c r="J37" s="50">
        <v>45692</v>
      </c>
      <c r="K37" s="27">
        <v>6171</v>
      </c>
      <c r="L37" s="39">
        <v>2488</v>
      </c>
      <c r="M37" s="52">
        <v>242</v>
      </c>
      <c r="N37" s="73" t="s">
        <v>155</v>
      </c>
      <c r="O37" s="27" t="s">
        <v>156</v>
      </c>
    </row>
    <row r="38" spans="1:15" ht="30" hidden="1" x14ac:dyDescent="0.25">
      <c r="A38" s="30">
        <v>3627916</v>
      </c>
      <c r="B38" s="30">
        <v>3773474</v>
      </c>
      <c r="C38" s="25" t="s">
        <v>159</v>
      </c>
      <c r="D38" s="27" t="s">
        <v>160</v>
      </c>
      <c r="E38" s="27" t="s">
        <v>37</v>
      </c>
      <c r="F38" s="27" t="s">
        <v>161</v>
      </c>
      <c r="G38" s="27" t="s">
        <v>46</v>
      </c>
      <c r="H38" s="67">
        <v>1483.71</v>
      </c>
      <c r="I38" s="50">
        <v>45715</v>
      </c>
      <c r="J38" s="50">
        <v>45716</v>
      </c>
      <c r="K38" s="27">
        <v>87282190</v>
      </c>
      <c r="L38" s="39">
        <v>2488</v>
      </c>
      <c r="M38" s="52">
        <v>153</v>
      </c>
      <c r="N38" s="73" t="s">
        <v>155</v>
      </c>
      <c r="O38" s="27" t="s">
        <v>156</v>
      </c>
    </row>
    <row r="39" spans="1:15" ht="30" hidden="1" x14ac:dyDescent="0.25">
      <c r="A39" s="27">
        <v>3631801</v>
      </c>
      <c r="B39" s="27">
        <v>3776543</v>
      </c>
      <c r="C39" s="25" t="s">
        <v>164</v>
      </c>
      <c r="D39" s="27" t="s">
        <v>160</v>
      </c>
      <c r="E39" s="27" t="s">
        <v>37</v>
      </c>
      <c r="F39" s="27" t="s">
        <v>161</v>
      </c>
      <c r="G39" s="27" t="s">
        <v>46</v>
      </c>
      <c r="H39" s="70">
        <v>485.26</v>
      </c>
      <c r="I39" s="50">
        <v>45717</v>
      </c>
      <c r="J39" s="50">
        <v>45723</v>
      </c>
      <c r="K39" s="27">
        <v>6204</v>
      </c>
      <c r="L39" s="39">
        <v>2488</v>
      </c>
      <c r="M39" s="52">
        <v>242</v>
      </c>
      <c r="N39" s="74" t="s">
        <v>155</v>
      </c>
      <c r="O39" s="27" t="s">
        <v>156</v>
      </c>
    </row>
    <row r="40" spans="1:15" ht="30" hidden="1" x14ac:dyDescent="0.25">
      <c r="A40" s="30">
        <v>3627916</v>
      </c>
      <c r="B40" s="30">
        <v>3773474</v>
      </c>
      <c r="C40" s="25" t="s">
        <v>159</v>
      </c>
      <c r="D40" s="27" t="s">
        <v>160</v>
      </c>
      <c r="E40" s="27" t="s">
        <v>37</v>
      </c>
      <c r="F40" s="27" t="s">
        <v>161</v>
      </c>
      <c r="G40" s="27" t="s">
        <v>46</v>
      </c>
      <c r="H40" s="67">
        <v>1595.88</v>
      </c>
      <c r="I40" s="50">
        <v>45743</v>
      </c>
      <c r="J40" s="50">
        <v>45744</v>
      </c>
      <c r="K40" s="27">
        <v>87330192</v>
      </c>
      <c r="L40" s="39">
        <v>2488</v>
      </c>
      <c r="M40" s="52">
        <v>153</v>
      </c>
      <c r="N40" s="75" t="s">
        <v>155</v>
      </c>
      <c r="O40" s="27" t="s">
        <v>156</v>
      </c>
    </row>
    <row r="41" spans="1:15" ht="30" hidden="1" x14ac:dyDescent="0.25">
      <c r="A41" s="27">
        <v>3631801</v>
      </c>
      <c r="B41" s="27">
        <v>3776543</v>
      </c>
      <c r="C41" s="25" t="s">
        <v>164</v>
      </c>
      <c r="D41" s="27" t="s">
        <v>160</v>
      </c>
      <c r="E41" s="27" t="s">
        <v>45</v>
      </c>
      <c r="F41" s="27" t="s">
        <v>161</v>
      </c>
      <c r="G41" s="27" t="s">
        <v>46</v>
      </c>
      <c r="H41" s="67">
        <v>521.95000000000005</v>
      </c>
      <c r="I41" s="50">
        <v>45748</v>
      </c>
      <c r="J41" s="50">
        <v>45749</v>
      </c>
      <c r="K41" s="27">
        <v>6242</v>
      </c>
      <c r="L41" s="39">
        <v>2488</v>
      </c>
      <c r="M41" s="52">
        <v>242</v>
      </c>
      <c r="N41" s="68" t="s">
        <v>155</v>
      </c>
      <c r="O41" s="27" t="s">
        <v>156</v>
      </c>
    </row>
    <row r="42" spans="1:15" ht="30" hidden="1" x14ac:dyDescent="0.25">
      <c r="A42" s="30">
        <v>3627916</v>
      </c>
      <c r="B42" s="30">
        <v>3773474</v>
      </c>
      <c r="C42" s="25" t="s">
        <v>159</v>
      </c>
      <c r="D42" s="27" t="s">
        <v>160</v>
      </c>
      <c r="E42" s="27" t="s">
        <v>37</v>
      </c>
      <c r="F42" s="27" t="s">
        <v>161</v>
      </c>
      <c r="G42" s="27" t="s">
        <v>46</v>
      </c>
      <c r="H42" s="67">
        <v>1595.88</v>
      </c>
      <c r="I42" s="50">
        <v>45774</v>
      </c>
      <c r="J42" s="50">
        <v>45775</v>
      </c>
      <c r="K42" s="57">
        <v>87377081</v>
      </c>
      <c r="L42" s="39">
        <v>2488</v>
      </c>
      <c r="M42" s="52">
        <v>153</v>
      </c>
      <c r="N42" s="75" t="s">
        <v>155</v>
      </c>
      <c r="O42" s="27" t="s">
        <v>156</v>
      </c>
    </row>
    <row r="43" spans="1:15" ht="30" hidden="1" x14ac:dyDescent="0.25">
      <c r="A43" s="27">
        <v>3631801</v>
      </c>
      <c r="B43" s="27">
        <v>3776543</v>
      </c>
      <c r="C43" s="25" t="s">
        <v>164</v>
      </c>
      <c r="D43" s="27" t="s">
        <v>160</v>
      </c>
      <c r="E43" s="27" t="s">
        <v>37</v>
      </c>
      <c r="F43" s="27" t="s">
        <v>161</v>
      </c>
      <c r="G43" s="27" t="s">
        <v>46</v>
      </c>
      <c r="H43" s="67">
        <v>521.95000000000005</v>
      </c>
      <c r="I43" s="50">
        <v>45778</v>
      </c>
      <c r="J43" s="50">
        <v>45783</v>
      </c>
      <c r="K43" s="57">
        <v>6278</v>
      </c>
      <c r="L43" s="39">
        <v>2488</v>
      </c>
      <c r="M43" s="52">
        <v>242</v>
      </c>
      <c r="N43" s="68" t="s">
        <v>155</v>
      </c>
      <c r="O43" s="27" t="s">
        <v>156</v>
      </c>
    </row>
    <row r="44" spans="1:15" ht="30" hidden="1" x14ac:dyDescent="0.25">
      <c r="A44" s="30">
        <v>3627916</v>
      </c>
      <c r="B44" s="30">
        <v>3773474</v>
      </c>
      <c r="C44" s="25" t="s">
        <v>159</v>
      </c>
      <c r="D44" s="27" t="s">
        <v>160</v>
      </c>
      <c r="E44" s="27" t="s">
        <v>37</v>
      </c>
      <c r="F44" s="27" t="s">
        <v>161</v>
      </c>
      <c r="G44" s="27" t="s">
        <v>46</v>
      </c>
      <c r="H44" s="67">
        <v>1595.88</v>
      </c>
      <c r="I44" s="50">
        <v>45804</v>
      </c>
      <c r="J44" s="50">
        <v>45805</v>
      </c>
      <c r="K44" s="57">
        <v>87428900</v>
      </c>
      <c r="L44" s="39">
        <v>2488</v>
      </c>
      <c r="M44" s="52">
        <v>153</v>
      </c>
      <c r="N44" s="75" t="s">
        <v>155</v>
      </c>
      <c r="O44" s="27" t="s">
        <v>156</v>
      </c>
    </row>
    <row r="45" spans="1:15" ht="30" hidden="1" x14ac:dyDescent="0.25">
      <c r="A45" s="27">
        <v>3631801</v>
      </c>
      <c r="B45" s="27">
        <v>3776543</v>
      </c>
      <c r="C45" s="25" t="s">
        <v>164</v>
      </c>
      <c r="D45" s="27" t="s">
        <v>160</v>
      </c>
      <c r="E45" s="27" t="s">
        <v>37</v>
      </c>
      <c r="F45" s="27" t="s">
        <v>161</v>
      </c>
      <c r="G45" s="27" t="s">
        <v>46</v>
      </c>
      <c r="H45" s="67">
        <v>521.95000000000005</v>
      </c>
      <c r="I45" s="50">
        <v>45809</v>
      </c>
      <c r="J45" s="50">
        <v>45810</v>
      </c>
      <c r="K45" s="57">
        <v>6803</v>
      </c>
      <c r="L45" s="39">
        <v>2488</v>
      </c>
      <c r="M45" s="52">
        <v>242</v>
      </c>
      <c r="N45" s="75" t="s">
        <v>155</v>
      </c>
      <c r="O45" s="27" t="s">
        <v>156</v>
      </c>
    </row>
    <row r="46" spans="1:15" ht="30" hidden="1" x14ac:dyDescent="0.25">
      <c r="A46" s="30">
        <v>3627916</v>
      </c>
      <c r="B46" s="30">
        <v>3773474</v>
      </c>
      <c r="C46" s="25" t="s">
        <v>159</v>
      </c>
      <c r="D46" s="27" t="s">
        <v>160</v>
      </c>
      <c r="E46" s="27" t="s">
        <v>37</v>
      </c>
      <c r="F46" s="27" t="s">
        <v>161</v>
      </c>
      <c r="G46" s="27" t="s">
        <v>46</v>
      </c>
      <c r="H46" s="67">
        <v>1595.88</v>
      </c>
      <c r="I46" s="50">
        <v>45835</v>
      </c>
      <c r="J46" s="50">
        <v>45836</v>
      </c>
      <c r="K46" s="57">
        <v>87482132</v>
      </c>
      <c r="L46" s="39">
        <v>2488</v>
      </c>
      <c r="M46" s="52">
        <v>153</v>
      </c>
      <c r="N46" s="75" t="s">
        <v>155</v>
      </c>
      <c r="O46" s="27" t="s">
        <v>156</v>
      </c>
    </row>
    <row r="47" spans="1:15" ht="30" hidden="1" x14ac:dyDescent="0.25">
      <c r="A47" s="27">
        <v>3631801</v>
      </c>
      <c r="B47" s="27">
        <v>3776543</v>
      </c>
      <c r="C47" s="25" t="s">
        <v>164</v>
      </c>
      <c r="D47" s="27" t="s">
        <v>160</v>
      </c>
      <c r="E47" s="27" t="s">
        <v>37</v>
      </c>
      <c r="F47" s="27" t="s">
        <v>161</v>
      </c>
      <c r="G47" s="27" t="s">
        <v>46</v>
      </c>
      <c r="H47" s="67">
        <v>521.95000000000005</v>
      </c>
      <c r="I47" s="50">
        <v>45839</v>
      </c>
      <c r="J47" s="50">
        <v>45841</v>
      </c>
      <c r="K47" s="57">
        <v>6345</v>
      </c>
      <c r="L47" s="39">
        <v>2488</v>
      </c>
      <c r="M47" s="52">
        <v>242</v>
      </c>
      <c r="N47" s="68" t="s">
        <v>155</v>
      </c>
      <c r="O47" s="27" t="s">
        <v>156</v>
      </c>
    </row>
    <row r="48" spans="1:15" ht="30" hidden="1" x14ac:dyDescent="0.25">
      <c r="A48" s="30">
        <v>3627916</v>
      </c>
      <c r="B48" s="30">
        <v>3773474</v>
      </c>
      <c r="C48" s="25" t="s">
        <v>159</v>
      </c>
      <c r="D48" s="27" t="s">
        <v>160</v>
      </c>
      <c r="E48" s="27" t="s">
        <v>37</v>
      </c>
      <c r="F48" s="27" t="s">
        <v>161</v>
      </c>
      <c r="G48" s="27" t="s">
        <v>46</v>
      </c>
      <c r="H48" s="67">
        <v>1595.88</v>
      </c>
      <c r="I48" s="50">
        <v>45865</v>
      </c>
      <c r="J48" s="50">
        <v>45866</v>
      </c>
      <c r="K48" s="57">
        <v>87532428</v>
      </c>
      <c r="L48" s="39">
        <v>2488</v>
      </c>
      <c r="M48" s="52">
        <v>153</v>
      </c>
      <c r="N48" s="68" t="s">
        <v>155</v>
      </c>
      <c r="O48" s="27" t="s">
        <v>156</v>
      </c>
    </row>
    <row r="49" spans="1:15" ht="30" hidden="1" x14ac:dyDescent="0.25">
      <c r="A49" s="27">
        <v>3631801</v>
      </c>
      <c r="B49" s="27">
        <v>3776543</v>
      </c>
      <c r="C49" s="25" t="s">
        <v>164</v>
      </c>
      <c r="D49" s="27" t="s">
        <v>160</v>
      </c>
      <c r="E49" s="27" t="s">
        <v>37</v>
      </c>
      <c r="F49" s="27" t="s">
        <v>161</v>
      </c>
      <c r="G49" s="27" t="s">
        <v>46</v>
      </c>
      <c r="H49" s="67">
        <v>521.95000000000005</v>
      </c>
      <c r="I49" s="50">
        <v>45870</v>
      </c>
      <c r="J49" s="50">
        <v>45873</v>
      </c>
      <c r="K49" s="57">
        <v>6382</v>
      </c>
      <c r="L49" s="39">
        <v>2488</v>
      </c>
      <c r="M49" s="52">
        <v>242</v>
      </c>
      <c r="N49" s="68" t="s">
        <v>155</v>
      </c>
      <c r="O49" s="27" t="s">
        <v>156</v>
      </c>
    </row>
    <row r="50" spans="1:15" ht="30" hidden="1" x14ac:dyDescent="0.25">
      <c r="A50" s="30">
        <v>3627916</v>
      </c>
      <c r="B50" s="30">
        <v>3773474</v>
      </c>
      <c r="C50" s="25" t="s">
        <v>159</v>
      </c>
      <c r="D50" s="27" t="s">
        <v>160</v>
      </c>
      <c r="E50" s="27" t="s">
        <v>37</v>
      </c>
      <c r="F50" s="27" t="s">
        <v>161</v>
      </c>
      <c r="G50" s="27" t="s">
        <v>46</v>
      </c>
      <c r="H50" s="67">
        <v>1595.88</v>
      </c>
      <c r="I50" s="50">
        <v>45896</v>
      </c>
      <c r="J50" s="50">
        <v>45897</v>
      </c>
      <c r="K50" s="57">
        <v>87585582</v>
      </c>
      <c r="L50" s="39">
        <v>2488</v>
      </c>
      <c r="M50" s="52">
        <v>153</v>
      </c>
      <c r="N50" s="68" t="s">
        <v>155</v>
      </c>
      <c r="O50" s="27" t="s">
        <v>156</v>
      </c>
    </row>
    <row r="51" spans="1:15" ht="30" hidden="1" x14ac:dyDescent="0.25">
      <c r="A51" s="27">
        <v>3631801</v>
      </c>
      <c r="B51" s="27">
        <v>3776543</v>
      </c>
      <c r="C51" s="25" t="s">
        <v>164</v>
      </c>
      <c r="D51" s="27" t="s">
        <v>160</v>
      </c>
      <c r="E51" s="27" t="s">
        <v>37</v>
      </c>
      <c r="F51" s="27" t="s">
        <v>161</v>
      </c>
      <c r="G51" s="27" t="s">
        <v>46</v>
      </c>
      <c r="H51" s="67">
        <v>521.95000000000005</v>
      </c>
      <c r="I51" s="50">
        <v>45902</v>
      </c>
      <c r="J51" s="50">
        <v>45902</v>
      </c>
      <c r="K51" s="57">
        <v>6403</v>
      </c>
      <c r="L51" s="39">
        <v>2488</v>
      </c>
      <c r="M51" s="52">
        <v>242</v>
      </c>
      <c r="N51" s="73" t="s">
        <v>155</v>
      </c>
      <c r="O51" s="55" t="s">
        <v>157</v>
      </c>
    </row>
    <row r="52" spans="1:15" ht="30" hidden="1" x14ac:dyDescent="0.25">
      <c r="A52" s="30">
        <v>3627916</v>
      </c>
      <c r="B52" s="30">
        <v>3773474</v>
      </c>
      <c r="C52" s="25" t="s">
        <v>159</v>
      </c>
      <c r="D52" s="27" t="s">
        <v>160</v>
      </c>
      <c r="E52" s="27" t="s">
        <v>37</v>
      </c>
      <c r="F52" s="27" t="s">
        <v>161</v>
      </c>
      <c r="G52" s="27" t="s">
        <v>46</v>
      </c>
      <c r="H52" s="67">
        <v>1595.88</v>
      </c>
      <c r="I52" s="50">
        <v>45927</v>
      </c>
      <c r="J52" s="50">
        <v>45929</v>
      </c>
      <c r="K52" s="57">
        <v>87637785</v>
      </c>
      <c r="L52" s="39">
        <v>2488</v>
      </c>
      <c r="M52" s="52">
        <v>153</v>
      </c>
      <c r="N52" s="68" t="s">
        <v>155</v>
      </c>
      <c r="O52" s="27" t="s">
        <v>156</v>
      </c>
    </row>
    <row r="53" spans="1:15" ht="30" hidden="1" x14ac:dyDescent="0.25">
      <c r="A53" s="27">
        <v>3631801</v>
      </c>
      <c r="B53" s="27">
        <v>3776543</v>
      </c>
      <c r="C53" s="25" t="s">
        <v>164</v>
      </c>
      <c r="D53" s="27" t="s">
        <v>160</v>
      </c>
      <c r="E53" s="27" t="s">
        <v>37</v>
      </c>
      <c r="F53" s="27" t="s">
        <v>161</v>
      </c>
      <c r="G53" s="27" t="s">
        <v>46</v>
      </c>
      <c r="H53" s="67">
        <v>521.95000000000005</v>
      </c>
      <c r="I53" s="50">
        <v>45931</v>
      </c>
      <c r="J53" s="50">
        <v>45933</v>
      </c>
      <c r="K53" s="57">
        <v>6444</v>
      </c>
      <c r="L53" s="39">
        <v>2488</v>
      </c>
      <c r="M53" s="52">
        <v>242</v>
      </c>
      <c r="N53" s="73" t="s">
        <v>155</v>
      </c>
      <c r="O53" s="27" t="s">
        <v>156</v>
      </c>
    </row>
    <row r="54" spans="1:15" ht="30" hidden="1" x14ac:dyDescent="0.25">
      <c r="A54" s="30">
        <v>3627916</v>
      </c>
      <c r="B54" s="30">
        <v>3773474</v>
      </c>
      <c r="C54" s="25" t="s">
        <v>159</v>
      </c>
      <c r="D54" s="27" t="s">
        <v>160</v>
      </c>
      <c r="E54" s="27" t="s">
        <v>37</v>
      </c>
      <c r="F54" s="27" t="s">
        <v>161</v>
      </c>
      <c r="G54" s="27" t="s">
        <v>46</v>
      </c>
      <c r="H54" s="67">
        <v>1595.88</v>
      </c>
      <c r="I54" s="50">
        <v>45957</v>
      </c>
      <c r="J54" s="50">
        <v>45958</v>
      </c>
      <c r="K54" s="57">
        <v>87688187</v>
      </c>
      <c r="L54" s="39">
        <v>2488</v>
      </c>
      <c r="M54" s="52">
        <v>153</v>
      </c>
      <c r="N54" s="68" t="s">
        <v>155</v>
      </c>
      <c r="O54" s="27" t="s">
        <v>156</v>
      </c>
    </row>
    <row r="55" spans="1:15" ht="80.25" hidden="1" customHeight="1" x14ac:dyDescent="0.25">
      <c r="A55" s="27">
        <v>3796459</v>
      </c>
      <c r="B55" s="27">
        <v>3934135</v>
      </c>
      <c r="C55" s="25" t="s">
        <v>165</v>
      </c>
      <c r="D55" s="27" t="s">
        <v>166</v>
      </c>
      <c r="E55" s="27" t="s">
        <v>37</v>
      </c>
      <c r="F55" s="27" t="s">
        <v>167</v>
      </c>
      <c r="G55" s="27" t="s">
        <v>46</v>
      </c>
      <c r="H55" s="67">
        <v>400</v>
      </c>
      <c r="I55" s="50">
        <v>45475</v>
      </c>
      <c r="J55" s="50">
        <v>45506</v>
      </c>
      <c r="K55" s="27">
        <v>47</v>
      </c>
      <c r="L55" s="39" t="s">
        <v>168</v>
      </c>
      <c r="M55" s="52">
        <v>81</v>
      </c>
      <c r="N55" s="68" t="s">
        <v>155</v>
      </c>
      <c r="O55" s="27" t="s">
        <v>156</v>
      </c>
    </row>
    <row r="56" spans="1:15" ht="80.25" hidden="1" customHeight="1" x14ac:dyDescent="0.25">
      <c r="A56" s="27">
        <v>3796459</v>
      </c>
      <c r="B56" s="27">
        <v>3934135</v>
      </c>
      <c r="C56" s="25" t="s">
        <v>165</v>
      </c>
      <c r="D56" s="27" t="s">
        <v>166</v>
      </c>
      <c r="E56" s="27" t="s">
        <v>37</v>
      </c>
      <c r="F56" s="27" t="s">
        <v>167</v>
      </c>
      <c r="G56" s="62" t="s">
        <v>46</v>
      </c>
      <c r="H56" s="67">
        <v>400</v>
      </c>
      <c r="I56" s="50">
        <v>45513</v>
      </c>
      <c r="J56" s="50">
        <v>45516</v>
      </c>
      <c r="K56" s="27">
        <v>269</v>
      </c>
      <c r="L56" s="39" t="s">
        <v>168</v>
      </c>
      <c r="M56" s="52">
        <v>81</v>
      </c>
      <c r="N56" s="68" t="s">
        <v>155</v>
      </c>
      <c r="O56" s="27" t="s">
        <v>156</v>
      </c>
    </row>
    <row r="57" spans="1:15" ht="30" hidden="1" x14ac:dyDescent="0.25">
      <c r="A57" s="27">
        <v>3796459</v>
      </c>
      <c r="B57" s="27">
        <v>3934135</v>
      </c>
      <c r="C57" s="25" t="s">
        <v>165</v>
      </c>
      <c r="D57" s="27" t="s">
        <v>166</v>
      </c>
      <c r="E57" s="27" t="s">
        <v>37</v>
      </c>
      <c r="F57" s="27" t="s">
        <v>167</v>
      </c>
      <c r="G57" s="62" t="s">
        <v>46</v>
      </c>
      <c r="H57" s="67">
        <v>400</v>
      </c>
      <c r="I57" s="50">
        <v>45541</v>
      </c>
      <c r="J57" s="50">
        <v>45548</v>
      </c>
      <c r="K57" s="27">
        <v>146</v>
      </c>
      <c r="L57" s="39">
        <v>2054</v>
      </c>
      <c r="M57" s="52" t="s">
        <v>169</v>
      </c>
      <c r="N57" s="74" t="s">
        <v>155</v>
      </c>
      <c r="O57" s="27" t="s">
        <v>156</v>
      </c>
    </row>
    <row r="58" spans="1:15" ht="30" hidden="1" x14ac:dyDescent="0.25">
      <c r="A58" s="27">
        <v>3796459</v>
      </c>
      <c r="B58" s="27">
        <v>3934135</v>
      </c>
      <c r="C58" s="25" t="s">
        <v>165</v>
      </c>
      <c r="D58" s="27" t="s">
        <v>166</v>
      </c>
      <c r="E58" s="27" t="s">
        <v>37</v>
      </c>
      <c r="F58" s="27" t="s">
        <v>167</v>
      </c>
      <c r="G58" s="62" t="s">
        <v>46</v>
      </c>
      <c r="H58" s="67">
        <v>400</v>
      </c>
      <c r="I58" s="50">
        <v>45583</v>
      </c>
      <c r="J58" s="50">
        <v>45583</v>
      </c>
      <c r="K58" s="58" t="s">
        <v>170</v>
      </c>
      <c r="L58" s="39">
        <v>2054</v>
      </c>
      <c r="M58" s="52" t="s">
        <v>169</v>
      </c>
      <c r="N58" s="73" t="s">
        <v>155</v>
      </c>
      <c r="O58" s="27" t="s">
        <v>156</v>
      </c>
    </row>
    <row r="59" spans="1:15" ht="30" hidden="1" x14ac:dyDescent="0.25">
      <c r="A59" s="27">
        <v>3796459</v>
      </c>
      <c r="B59" s="27">
        <v>3934135</v>
      </c>
      <c r="C59" s="25" t="s">
        <v>165</v>
      </c>
      <c r="D59" s="27" t="s">
        <v>166</v>
      </c>
      <c r="E59" s="27" t="s">
        <v>45</v>
      </c>
      <c r="F59" s="27" t="s">
        <v>167</v>
      </c>
      <c r="G59" s="62" t="s">
        <v>46</v>
      </c>
      <c r="H59" s="67">
        <v>400</v>
      </c>
      <c r="I59" s="50">
        <v>45604</v>
      </c>
      <c r="J59" s="50">
        <v>45608</v>
      </c>
      <c r="K59" s="27">
        <v>218</v>
      </c>
      <c r="L59" s="39">
        <v>2054</v>
      </c>
      <c r="M59" s="52" t="s">
        <v>169</v>
      </c>
      <c r="N59" s="73" t="s">
        <v>155</v>
      </c>
      <c r="O59" s="27" t="s">
        <v>156</v>
      </c>
    </row>
    <row r="60" spans="1:15" ht="30" hidden="1" x14ac:dyDescent="0.25">
      <c r="A60" s="27">
        <v>3796459</v>
      </c>
      <c r="B60" s="27">
        <v>3934135</v>
      </c>
      <c r="C60" s="25" t="s">
        <v>165</v>
      </c>
      <c r="D60" s="27" t="s">
        <v>166</v>
      </c>
      <c r="E60" s="27" t="s">
        <v>37</v>
      </c>
      <c r="F60" s="27" t="s">
        <v>167</v>
      </c>
      <c r="G60" s="62" t="s">
        <v>46</v>
      </c>
      <c r="H60" s="67">
        <v>400</v>
      </c>
      <c r="I60" s="50">
        <v>45632</v>
      </c>
      <c r="J60" s="50">
        <v>45635</v>
      </c>
      <c r="K60" s="27">
        <v>175</v>
      </c>
      <c r="L60" s="39">
        <v>2054</v>
      </c>
      <c r="M60" s="52" t="s">
        <v>169</v>
      </c>
      <c r="N60" s="73" t="s">
        <v>155</v>
      </c>
      <c r="O60" s="27" t="s">
        <v>156</v>
      </c>
    </row>
    <row r="61" spans="1:15" ht="30" hidden="1" x14ac:dyDescent="0.25">
      <c r="A61" s="27">
        <v>3796459</v>
      </c>
      <c r="B61" s="27">
        <v>3934135</v>
      </c>
      <c r="C61" s="25" t="s">
        <v>165</v>
      </c>
      <c r="D61" s="27" t="s">
        <v>166</v>
      </c>
      <c r="E61" s="27" t="s">
        <v>37</v>
      </c>
      <c r="F61" s="27" t="s">
        <v>167</v>
      </c>
      <c r="G61" s="27" t="s">
        <v>46</v>
      </c>
      <c r="H61" s="67">
        <v>400</v>
      </c>
      <c r="I61" s="50">
        <v>45664</v>
      </c>
      <c r="J61" s="50">
        <v>45667</v>
      </c>
      <c r="K61" s="27">
        <v>136</v>
      </c>
      <c r="L61" s="39">
        <v>2054</v>
      </c>
      <c r="M61" s="52">
        <v>71</v>
      </c>
      <c r="N61" s="68" t="s">
        <v>155</v>
      </c>
      <c r="O61" s="27" t="s">
        <v>156</v>
      </c>
    </row>
    <row r="62" spans="1:15" ht="30" hidden="1" x14ac:dyDescent="0.25">
      <c r="A62" s="27">
        <v>3796459</v>
      </c>
      <c r="B62" s="27">
        <v>3934135</v>
      </c>
      <c r="C62" s="25" t="s">
        <v>165</v>
      </c>
      <c r="D62" s="27" t="s">
        <v>166</v>
      </c>
      <c r="E62" s="27" t="s">
        <v>37</v>
      </c>
      <c r="F62" s="27" t="s">
        <v>167</v>
      </c>
      <c r="G62" s="27" t="s">
        <v>46</v>
      </c>
      <c r="H62" s="67">
        <v>400</v>
      </c>
      <c r="I62" s="50">
        <v>45700</v>
      </c>
      <c r="J62" s="50">
        <v>45700</v>
      </c>
      <c r="K62" s="27">
        <v>294</v>
      </c>
      <c r="L62" s="39">
        <v>2054</v>
      </c>
      <c r="M62" s="52">
        <v>71</v>
      </c>
      <c r="N62" s="73" t="s">
        <v>155</v>
      </c>
      <c r="O62" s="27" t="s">
        <v>156</v>
      </c>
    </row>
    <row r="63" spans="1:15" ht="30" hidden="1" x14ac:dyDescent="0.25">
      <c r="A63" s="27">
        <v>3796459</v>
      </c>
      <c r="B63" s="27">
        <v>3934135</v>
      </c>
      <c r="C63" s="25" t="s">
        <v>165</v>
      </c>
      <c r="D63" s="27" t="s">
        <v>166</v>
      </c>
      <c r="E63" s="27" t="s">
        <v>37</v>
      </c>
      <c r="F63" s="27" t="s">
        <v>167</v>
      </c>
      <c r="G63" s="27" t="s">
        <v>46</v>
      </c>
      <c r="H63" s="67">
        <v>400</v>
      </c>
      <c r="I63" s="50">
        <v>45729</v>
      </c>
      <c r="J63" s="50">
        <v>45729</v>
      </c>
      <c r="K63" s="27">
        <v>232</v>
      </c>
      <c r="L63" s="39">
        <v>2054</v>
      </c>
      <c r="M63" s="52">
        <v>71</v>
      </c>
      <c r="N63" s="68" t="s">
        <v>155</v>
      </c>
      <c r="O63" s="27" t="s">
        <v>156</v>
      </c>
    </row>
    <row r="64" spans="1:15" ht="30" hidden="1" x14ac:dyDescent="0.25">
      <c r="A64" s="27">
        <v>3796459</v>
      </c>
      <c r="B64" s="27">
        <v>3934135</v>
      </c>
      <c r="C64" s="25" t="s">
        <v>165</v>
      </c>
      <c r="D64" s="27" t="s">
        <v>166</v>
      </c>
      <c r="E64" s="27" t="s">
        <v>37</v>
      </c>
      <c r="F64" s="27" t="s">
        <v>167</v>
      </c>
      <c r="G64" s="27" t="s">
        <v>46</v>
      </c>
      <c r="H64" s="67">
        <v>400</v>
      </c>
      <c r="I64" s="50">
        <v>45758</v>
      </c>
      <c r="J64" s="50">
        <v>45762</v>
      </c>
      <c r="K64" s="27">
        <v>299</v>
      </c>
      <c r="L64" s="39">
        <v>2054</v>
      </c>
      <c r="M64" s="52">
        <v>71</v>
      </c>
      <c r="N64" s="73" t="s">
        <v>155</v>
      </c>
      <c r="O64" s="27" t="s">
        <v>156</v>
      </c>
    </row>
    <row r="65" spans="1:15" ht="30" hidden="1" x14ac:dyDescent="0.25">
      <c r="A65" s="27">
        <v>3796459</v>
      </c>
      <c r="B65" s="27">
        <v>3934135</v>
      </c>
      <c r="C65" s="25" t="s">
        <v>165</v>
      </c>
      <c r="D65" s="27" t="s">
        <v>166</v>
      </c>
      <c r="E65" s="27" t="s">
        <v>37</v>
      </c>
      <c r="F65" s="27" t="s">
        <v>167</v>
      </c>
      <c r="G65" s="27" t="s">
        <v>46</v>
      </c>
      <c r="H65" s="67">
        <v>395</v>
      </c>
      <c r="I65" s="50">
        <v>45790</v>
      </c>
      <c r="J65" s="50">
        <v>45790</v>
      </c>
      <c r="K65" s="57">
        <v>307</v>
      </c>
      <c r="L65" s="39">
        <v>2054</v>
      </c>
      <c r="M65" s="52">
        <v>71</v>
      </c>
      <c r="N65" s="68" t="s">
        <v>155</v>
      </c>
      <c r="O65" s="27" t="s">
        <v>157</v>
      </c>
    </row>
    <row r="66" spans="1:15" ht="30" hidden="1" x14ac:dyDescent="0.25">
      <c r="A66" s="27">
        <v>3796459</v>
      </c>
      <c r="B66" s="27">
        <v>3934135</v>
      </c>
      <c r="C66" s="25" t="s">
        <v>165</v>
      </c>
      <c r="D66" s="27" t="s">
        <v>166</v>
      </c>
      <c r="E66" s="27" t="s">
        <v>37</v>
      </c>
      <c r="F66" s="27" t="s">
        <v>167</v>
      </c>
      <c r="G66" s="27" t="s">
        <v>46</v>
      </c>
      <c r="H66" s="67">
        <v>400</v>
      </c>
      <c r="I66" s="50">
        <v>45819</v>
      </c>
      <c r="J66" s="50">
        <v>45820</v>
      </c>
      <c r="K66" s="57">
        <v>194</v>
      </c>
      <c r="L66" s="39">
        <v>2054</v>
      </c>
      <c r="M66" s="52">
        <v>71</v>
      </c>
      <c r="N66" s="73" t="s">
        <v>155</v>
      </c>
      <c r="O66" s="27" t="s">
        <v>156</v>
      </c>
    </row>
    <row r="67" spans="1:15" ht="30" hidden="1" x14ac:dyDescent="0.25">
      <c r="A67" s="27">
        <v>3796459</v>
      </c>
      <c r="B67" s="27">
        <v>3934135</v>
      </c>
      <c r="C67" s="25" t="s">
        <v>165</v>
      </c>
      <c r="D67" s="27" t="s">
        <v>166</v>
      </c>
      <c r="E67" s="27" t="s">
        <v>37</v>
      </c>
      <c r="F67" s="27" t="s">
        <v>167</v>
      </c>
      <c r="G67" s="27" t="s">
        <v>46</v>
      </c>
      <c r="H67" s="67">
        <v>400</v>
      </c>
      <c r="I67" s="50">
        <v>45849</v>
      </c>
      <c r="J67" s="50">
        <v>45854</v>
      </c>
      <c r="K67" s="57">
        <v>261</v>
      </c>
      <c r="L67" s="39">
        <v>2054</v>
      </c>
      <c r="M67" s="52">
        <v>71</v>
      </c>
      <c r="N67" s="68" t="s">
        <v>155</v>
      </c>
      <c r="O67" s="27" t="s">
        <v>156</v>
      </c>
    </row>
    <row r="68" spans="1:15" ht="30" hidden="1" x14ac:dyDescent="0.25">
      <c r="A68" s="27">
        <v>3796459</v>
      </c>
      <c r="B68" s="27">
        <v>3934135</v>
      </c>
      <c r="C68" s="25" t="s">
        <v>165</v>
      </c>
      <c r="D68" s="27" t="s">
        <v>166</v>
      </c>
      <c r="E68" s="27" t="s">
        <v>45</v>
      </c>
      <c r="F68" s="27" t="s">
        <v>167</v>
      </c>
      <c r="G68" s="27" t="s">
        <v>46</v>
      </c>
      <c r="H68" s="67">
        <v>400</v>
      </c>
      <c r="I68" s="50">
        <v>45876</v>
      </c>
      <c r="J68" s="50">
        <v>45877</v>
      </c>
      <c r="K68" s="57">
        <v>135</v>
      </c>
      <c r="L68" s="39">
        <v>2054</v>
      </c>
      <c r="M68" s="52">
        <v>71</v>
      </c>
      <c r="N68" s="75" t="s">
        <v>155</v>
      </c>
      <c r="O68" s="27" t="s">
        <v>156</v>
      </c>
    </row>
    <row r="69" spans="1:15" ht="30" hidden="1" x14ac:dyDescent="0.25">
      <c r="A69" s="27">
        <v>3796459</v>
      </c>
      <c r="B69" s="27">
        <v>3934135</v>
      </c>
      <c r="C69" s="25" t="s">
        <v>165</v>
      </c>
      <c r="D69" s="27" t="s">
        <v>166</v>
      </c>
      <c r="E69" s="27" t="s">
        <v>37</v>
      </c>
      <c r="F69" s="27" t="s">
        <v>167</v>
      </c>
      <c r="G69" s="27" t="s">
        <v>46</v>
      </c>
      <c r="H69" s="67">
        <v>400</v>
      </c>
      <c r="I69" s="50">
        <v>45910</v>
      </c>
      <c r="J69" s="50">
        <v>45910</v>
      </c>
      <c r="K69" s="57">
        <v>213</v>
      </c>
      <c r="L69" s="39">
        <v>2054</v>
      </c>
      <c r="M69" s="52">
        <v>71</v>
      </c>
      <c r="N69" s="73" t="s">
        <v>155</v>
      </c>
      <c r="O69" s="27" t="s">
        <v>163</v>
      </c>
    </row>
    <row r="70" spans="1:15" ht="30" hidden="1" x14ac:dyDescent="0.25">
      <c r="A70" s="27">
        <v>3796459</v>
      </c>
      <c r="B70" s="27">
        <v>3934135</v>
      </c>
      <c r="C70" s="25" t="s">
        <v>165</v>
      </c>
      <c r="D70" s="27" t="s">
        <v>166</v>
      </c>
      <c r="E70" s="27" t="s">
        <v>37</v>
      </c>
      <c r="F70" s="27" t="s">
        <v>167</v>
      </c>
      <c r="G70" s="27" t="s">
        <v>46</v>
      </c>
      <c r="H70" s="67">
        <v>400</v>
      </c>
      <c r="I70" s="50">
        <v>45938</v>
      </c>
      <c r="J70" s="50">
        <v>45939</v>
      </c>
      <c r="K70" s="57">
        <v>204</v>
      </c>
      <c r="L70" s="39">
        <v>2054</v>
      </c>
      <c r="M70" s="52">
        <v>71</v>
      </c>
      <c r="N70" s="73" t="s">
        <v>155</v>
      </c>
      <c r="O70" s="27" t="s">
        <v>156</v>
      </c>
    </row>
    <row r="71" spans="1:15" ht="108.75" hidden="1" customHeight="1" x14ac:dyDescent="0.25">
      <c r="A71" s="27" t="s">
        <v>171</v>
      </c>
      <c r="B71" s="27">
        <v>3934796</v>
      </c>
      <c r="C71" s="25" t="s">
        <v>172</v>
      </c>
      <c r="D71" s="27" t="s">
        <v>173</v>
      </c>
      <c r="E71" s="27" t="s">
        <v>37</v>
      </c>
      <c r="F71" s="27" t="s">
        <v>174</v>
      </c>
      <c r="G71" s="27" t="s">
        <v>46</v>
      </c>
      <c r="H71" s="76">
        <v>6391.44</v>
      </c>
      <c r="I71" s="50">
        <v>45475</v>
      </c>
      <c r="J71" s="50">
        <v>45489</v>
      </c>
      <c r="K71" s="27">
        <v>1001</v>
      </c>
      <c r="L71" s="39" t="s">
        <v>175</v>
      </c>
      <c r="M71" s="52">
        <v>262</v>
      </c>
      <c r="N71" s="68" t="s">
        <v>155</v>
      </c>
      <c r="O71" s="27" t="s">
        <v>156</v>
      </c>
    </row>
    <row r="72" spans="1:15" ht="108.75" hidden="1" customHeight="1" x14ac:dyDescent="0.25">
      <c r="A72" s="27">
        <v>3796471</v>
      </c>
      <c r="B72" s="27">
        <v>3934127</v>
      </c>
      <c r="C72" s="25" t="s">
        <v>172</v>
      </c>
      <c r="D72" s="27" t="s">
        <v>173</v>
      </c>
      <c r="E72" s="27" t="s">
        <v>37</v>
      </c>
      <c r="F72" s="27" t="s">
        <v>174</v>
      </c>
      <c r="G72" s="62" t="s">
        <v>46</v>
      </c>
      <c r="H72" s="67">
        <v>5810.4</v>
      </c>
      <c r="I72" s="50">
        <v>45513</v>
      </c>
      <c r="J72" s="50">
        <v>45516</v>
      </c>
      <c r="K72" s="27">
        <v>1002</v>
      </c>
      <c r="L72" s="39" t="s">
        <v>176</v>
      </c>
      <c r="M72" s="52">
        <v>262</v>
      </c>
      <c r="N72" s="68" t="s">
        <v>155</v>
      </c>
      <c r="O72" s="27" t="s">
        <v>156</v>
      </c>
    </row>
    <row r="73" spans="1:15" ht="75" hidden="1" x14ac:dyDescent="0.25">
      <c r="A73" s="27">
        <v>3796471</v>
      </c>
      <c r="B73" s="27">
        <v>3934127</v>
      </c>
      <c r="C73" s="25" t="s">
        <v>172</v>
      </c>
      <c r="D73" s="27" t="s">
        <v>173</v>
      </c>
      <c r="E73" s="27" t="s">
        <v>37</v>
      </c>
      <c r="F73" s="27" t="s">
        <v>174</v>
      </c>
      <c r="G73" s="62" t="s">
        <v>46</v>
      </c>
      <c r="H73" s="67">
        <v>5810.4</v>
      </c>
      <c r="I73" s="50">
        <v>45541</v>
      </c>
      <c r="J73" s="50">
        <v>45548</v>
      </c>
      <c r="K73" s="27">
        <v>1003</v>
      </c>
      <c r="L73" s="39" t="s">
        <v>177</v>
      </c>
      <c r="M73" s="52" t="s">
        <v>178</v>
      </c>
      <c r="N73" s="74" t="s">
        <v>155</v>
      </c>
      <c r="O73" s="27" t="s">
        <v>156</v>
      </c>
    </row>
    <row r="74" spans="1:15" ht="75" hidden="1" x14ac:dyDescent="0.25">
      <c r="A74" s="27">
        <v>3796471</v>
      </c>
      <c r="B74" s="27">
        <v>3934127</v>
      </c>
      <c r="C74" s="25" t="s">
        <v>172</v>
      </c>
      <c r="D74" s="27" t="s">
        <v>173</v>
      </c>
      <c r="E74" s="27" t="s">
        <v>37</v>
      </c>
      <c r="F74" s="27" t="s">
        <v>174</v>
      </c>
      <c r="G74" s="62" t="s">
        <v>46</v>
      </c>
      <c r="H74" s="67">
        <v>5810.4</v>
      </c>
      <c r="I74" s="50">
        <v>45583</v>
      </c>
      <c r="J74" s="50">
        <v>45583</v>
      </c>
      <c r="K74" s="58" t="s">
        <v>179</v>
      </c>
      <c r="L74" s="39" t="s">
        <v>177</v>
      </c>
      <c r="M74" s="52" t="s">
        <v>178</v>
      </c>
      <c r="N74" s="73" t="s">
        <v>155</v>
      </c>
      <c r="O74" s="27" t="s">
        <v>156</v>
      </c>
    </row>
    <row r="75" spans="1:15" ht="75" hidden="1" x14ac:dyDescent="0.25">
      <c r="A75" s="27">
        <v>3796471</v>
      </c>
      <c r="B75" s="27">
        <v>3934127</v>
      </c>
      <c r="C75" s="25" t="s">
        <v>172</v>
      </c>
      <c r="D75" s="27" t="s">
        <v>173</v>
      </c>
      <c r="E75" s="27" t="s">
        <v>45</v>
      </c>
      <c r="F75" s="27" t="s">
        <v>174</v>
      </c>
      <c r="G75" s="62" t="s">
        <v>46</v>
      </c>
      <c r="H75" s="67">
        <v>5810.4</v>
      </c>
      <c r="I75" s="50">
        <v>45604</v>
      </c>
      <c r="J75" s="50">
        <v>45608</v>
      </c>
      <c r="K75" s="27">
        <v>1005</v>
      </c>
      <c r="L75" s="39" t="s">
        <v>177</v>
      </c>
      <c r="M75" s="52" t="s">
        <v>178</v>
      </c>
      <c r="N75" s="73" t="s">
        <v>155</v>
      </c>
      <c r="O75" s="27" t="s">
        <v>156</v>
      </c>
    </row>
    <row r="76" spans="1:15" ht="75" hidden="1" x14ac:dyDescent="0.25">
      <c r="A76" s="27">
        <v>3796471</v>
      </c>
      <c r="B76" s="27">
        <v>3934127</v>
      </c>
      <c r="C76" s="25" t="s">
        <v>172</v>
      </c>
      <c r="D76" s="27" t="s">
        <v>173</v>
      </c>
      <c r="E76" s="27" t="s">
        <v>37</v>
      </c>
      <c r="F76" s="27" t="s">
        <v>174</v>
      </c>
      <c r="G76" s="62" t="s">
        <v>46</v>
      </c>
      <c r="H76" s="67">
        <v>5810.4</v>
      </c>
      <c r="I76" s="50">
        <v>45632</v>
      </c>
      <c r="J76" s="50">
        <v>45635</v>
      </c>
      <c r="K76" s="27">
        <v>1006</v>
      </c>
      <c r="L76" s="39" t="s">
        <v>177</v>
      </c>
      <c r="M76" s="52" t="s">
        <v>178</v>
      </c>
      <c r="N76" s="73" t="s">
        <v>155</v>
      </c>
      <c r="O76" s="27" t="s">
        <v>156</v>
      </c>
    </row>
    <row r="77" spans="1:15" ht="75" hidden="1" x14ac:dyDescent="0.25">
      <c r="A77" s="27">
        <v>3796471</v>
      </c>
      <c r="B77" s="27">
        <v>3934127</v>
      </c>
      <c r="C77" s="25" t="s">
        <v>172</v>
      </c>
      <c r="D77" s="27" t="s">
        <v>173</v>
      </c>
      <c r="E77" s="27" t="s">
        <v>37</v>
      </c>
      <c r="F77" s="27" t="s">
        <v>174</v>
      </c>
      <c r="G77" s="27" t="s">
        <v>46</v>
      </c>
      <c r="H77" s="67">
        <v>5810.4</v>
      </c>
      <c r="I77" s="50">
        <v>45664</v>
      </c>
      <c r="J77" s="50">
        <v>45667</v>
      </c>
      <c r="K77" s="27">
        <v>1007</v>
      </c>
      <c r="L77" s="39" t="s">
        <v>177</v>
      </c>
      <c r="M77" s="52">
        <v>262</v>
      </c>
      <c r="N77" s="68" t="s">
        <v>155</v>
      </c>
      <c r="O77" s="27" t="s">
        <v>156</v>
      </c>
    </row>
    <row r="78" spans="1:15" ht="75" hidden="1" x14ac:dyDescent="0.25">
      <c r="A78" s="27">
        <v>3796471</v>
      </c>
      <c r="B78" s="27">
        <v>3934127</v>
      </c>
      <c r="C78" s="25" t="s">
        <v>172</v>
      </c>
      <c r="D78" s="27" t="s">
        <v>173</v>
      </c>
      <c r="E78" s="27" t="s">
        <v>37</v>
      </c>
      <c r="F78" s="27" t="s">
        <v>174</v>
      </c>
      <c r="G78" s="27" t="s">
        <v>46</v>
      </c>
      <c r="H78" s="67">
        <v>6087.3</v>
      </c>
      <c r="I78" s="50">
        <v>45700</v>
      </c>
      <c r="J78" s="50">
        <v>45708</v>
      </c>
      <c r="K78" s="57">
        <v>1008</v>
      </c>
      <c r="L78" s="39" t="s">
        <v>180</v>
      </c>
      <c r="M78" s="52">
        <v>262</v>
      </c>
      <c r="N78" s="73" t="s">
        <v>155</v>
      </c>
      <c r="O78" s="27" t="s">
        <v>156</v>
      </c>
    </row>
    <row r="79" spans="1:15" ht="75" hidden="1" x14ac:dyDescent="0.25">
      <c r="A79" s="27">
        <v>3796471</v>
      </c>
      <c r="B79" s="27">
        <v>3934127</v>
      </c>
      <c r="C79" s="25" t="s">
        <v>172</v>
      </c>
      <c r="D79" s="27" t="s">
        <v>173</v>
      </c>
      <c r="E79" s="27" t="s">
        <v>37</v>
      </c>
      <c r="F79" s="27" t="s">
        <v>174</v>
      </c>
      <c r="G79" s="27" t="s">
        <v>46</v>
      </c>
      <c r="H79" s="67">
        <v>6087.3</v>
      </c>
      <c r="I79" s="50">
        <v>45729</v>
      </c>
      <c r="J79" s="50">
        <v>45729</v>
      </c>
      <c r="K79" s="27">
        <v>1009</v>
      </c>
      <c r="L79" s="39" t="s">
        <v>180</v>
      </c>
      <c r="M79" s="147" t="s">
        <v>181</v>
      </c>
      <c r="N79" s="68" t="s">
        <v>155</v>
      </c>
      <c r="O79" s="27" t="s">
        <v>156</v>
      </c>
    </row>
    <row r="80" spans="1:15" ht="75" hidden="1" x14ac:dyDescent="0.25">
      <c r="A80" s="27">
        <v>3796471</v>
      </c>
      <c r="B80" s="27">
        <v>3934127</v>
      </c>
      <c r="C80" s="25" t="s">
        <v>172</v>
      </c>
      <c r="D80" s="27" t="s">
        <v>173</v>
      </c>
      <c r="E80" s="27" t="s">
        <v>37</v>
      </c>
      <c r="F80" s="27" t="s">
        <v>174</v>
      </c>
      <c r="G80" s="27" t="s">
        <v>46</v>
      </c>
      <c r="H80" s="67">
        <v>6087.3</v>
      </c>
      <c r="I80" s="50">
        <v>45758</v>
      </c>
      <c r="J80" s="50">
        <v>45762</v>
      </c>
      <c r="K80" s="27">
        <v>1010</v>
      </c>
      <c r="L80" s="39" t="s">
        <v>180</v>
      </c>
      <c r="M80" s="147" t="s">
        <v>182</v>
      </c>
      <c r="N80" s="73" t="s">
        <v>155</v>
      </c>
      <c r="O80" s="27" t="s">
        <v>156</v>
      </c>
    </row>
    <row r="81" spans="1:15" ht="75" hidden="1" x14ac:dyDescent="0.25">
      <c r="A81" s="27">
        <v>3796471</v>
      </c>
      <c r="B81" s="27">
        <v>3934127</v>
      </c>
      <c r="C81" s="25" t="s">
        <v>172</v>
      </c>
      <c r="D81" s="27" t="s">
        <v>173</v>
      </c>
      <c r="E81" s="27" t="s">
        <v>37</v>
      </c>
      <c r="F81" s="27" t="s">
        <v>174</v>
      </c>
      <c r="G81" s="27" t="s">
        <v>46</v>
      </c>
      <c r="H81" s="67">
        <v>6087.3</v>
      </c>
      <c r="I81" s="50">
        <v>45790</v>
      </c>
      <c r="J81" s="50">
        <v>45790</v>
      </c>
      <c r="K81" s="57">
        <v>1011</v>
      </c>
      <c r="L81" s="39" t="s">
        <v>180</v>
      </c>
      <c r="M81" s="147" t="s">
        <v>183</v>
      </c>
      <c r="N81" s="68" t="s">
        <v>155</v>
      </c>
      <c r="O81" s="27" t="s">
        <v>157</v>
      </c>
    </row>
    <row r="82" spans="1:15" ht="75" hidden="1" x14ac:dyDescent="0.25">
      <c r="A82" s="27">
        <v>3796471</v>
      </c>
      <c r="B82" s="27">
        <v>3934127</v>
      </c>
      <c r="C82" s="25" t="s">
        <v>172</v>
      </c>
      <c r="D82" s="27" t="s">
        <v>173</v>
      </c>
      <c r="E82" s="27" t="s">
        <v>37</v>
      </c>
      <c r="F82" s="27" t="s">
        <v>174</v>
      </c>
      <c r="G82" s="27" t="s">
        <v>46</v>
      </c>
      <c r="H82" s="67">
        <v>6087.3</v>
      </c>
      <c r="I82" s="50">
        <v>45820</v>
      </c>
      <c r="J82" s="50">
        <v>45820</v>
      </c>
      <c r="K82" s="57">
        <v>1012</v>
      </c>
      <c r="L82" s="39" t="s">
        <v>180</v>
      </c>
      <c r="M82" s="147" t="s">
        <v>183</v>
      </c>
      <c r="N82" s="73" t="s">
        <v>155</v>
      </c>
      <c r="O82" s="27" t="s">
        <v>156</v>
      </c>
    </row>
    <row r="83" spans="1:15" ht="75" hidden="1" x14ac:dyDescent="0.25">
      <c r="A83" s="27">
        <v>3796471</v>
      </c>
      <c r="B83" s="27">
        <v>3934127</v>
      </c>
      <c r="C83" s="25" t="s">
        <v>172</v>
      </c>
      <c r="D83" s="27" t="s">
        <v>173</v>
      </c>
      <c r="E83" s="27" t="s">
        <v>37</v>
      </c>
      <c r="F83" s="27" t="s">
        <v>174</v>
      </c>
      <c r="G83" s="27" t="s">
        <v>46</v>
      </c>
      <c r="H83" s="67">
        <v>6134.66</v>
      </c>
      <c r="I83" s="50">
        <v>45849</v>
      </c>
      <c r="J83" s="50">
        <v>45863</v>
      </c>
      <c r="K83" s="57">
        <v>1013</v>
      </c>
      <c r="L83" s="39" t="s">
        <v>180</v>
      </c>
      <c r="M83" s="147" t="s">
        <v>183</v>
      </c>
      <c r="N83" s="68" t="s">
        <v>155</v>
      </c>
      <c r="O83" s="27" t="s">
        <v>156</v>
      </c>
    </row>
    <row r="84" spans="1:15" ht="75" hidden="1" x14ac:dyDescent="0.25">
      <c r="A84" s="27">
        <v>3796471</v>
      </c>
      <c r="B84" s="27">
        <v>3934127</v>
      </c>
      <c r="C84" s="25" t="s">
        <v>172</v>
      </c>
      <c r="D84" s="27" t="s">
        <v>173</v>
      </c>
      <c r="E84" s="50" t="s">
        <v>45</v>
      </c>
      <c r="F84" s="27" t="s">
        <v>174</v>
      </c>
      <c r="G84" s="27" t="s">
        <v>46</v>
      </c>
      <c r="H84" s="67">
        <v>6087.3</v>
      </c>
      <c r="I84" s="50">
        <v>45876</v>
      </c>
      <c r="J84" s="50">
        <v>45877</v>
      </c>
      <c r="K84" s="57">
        <v>1014</v>
      </c>
      <c r="L84" s="39" t="s">
        <v>180</v>
      </c>
      <c r="M84" s="147" t="s">
        <v>183</v>
      </c>
      <c r="N84" s="75" t="s">
        <v>155</v>
      </c>
      <c r="O84" s="27" t="s">
        <v>156</v>
      </c>
    </row>
    <row r="85" spans="1:15" ht="75" hidden="1" x14ac:dyDescent="0.25">
      <c r="A85" s="27">
        <v>3796471</v>
      </c>
      <c r="B85" s="27">
        <v>3934127</v>
      </c>
      <c r="C85" s="25" t="s">
        <v>172</v>
      </c>
      <c r="D85" s="27" t="s">
        <v>173</v>
      </c>
      <c r="E85" s="50" t="s">
        <v>45</v>
      </c>
      <c r="F85" s="27" t="s">
        <v>174</v>
      </c>
      <c r="G85" s="27" t="s">
        <v>46</v>
      </c>
      <c r="H85" s="67">
        <v>6087.3</v>
      </c>
      <c r="I85" s="50">
        <v>45910</v>
      </c>
      <c r="J85" s="50">
        <v>45910</v>
      </c>
      <c r="K85" s="57">
        <v>9881001015</v>
      </c>
      <c r="L85" s="39" t="s">
        <v>180</v>
      </c>
      <c r="M85" s="147" t="s">
        <v>183</v>
      </c>
      <c r="N85" s="73" t="s">
        <v>155</v>
      </c>
      <c r="O85" s="27" t="s">
        <v>163</v>
      </c>
    </row>
    <row r="86" spans="1:15" ht="75" hidden="1" x14ac:dyDescent="0.25">
      <c r="A86" s="27">
        <v>3796471</v>
      </c>
      <c r="B86" s="27">
        <v>3934127</v>
      </c>
      <c r="C86" s="25" t="s">
        <v>172</v>
      </c>
      <c r="D86" s="27" t="s">
        <v>173</v>
      </c>
      <c r="E86" s="27" t="s">
        <v>37</v>
      </c>
      <c r="F86" s="27" t="s">
        <v>174</v>
      </c>
      <c r="G86" s="27" t="s">
        <v>46</v>
      </c>
      <c r="H86" s="67">
        <v>6087.3</v>
      </c>
      <c r="I86" s="50">
        <v>45938</v>
      </c>
      <c r="J86" s="50">
        <v>45939</v>
      </c>
      <c r="K86" s="57">
        <v>881001016</v>
      </c>
      <c r="L86" s="39" t="s">
        <v>180</v>
      </c>
      <c r="M86" s="147" t="s">
        <v>183</v>
      </c>
      <c r="N86" s="73" t="s">
        <v>155</v>
      </c>
      <c r="O86" s="27" t="s">
        <v>156</v>
      </c>
    </row>
    <row r="87" spans="1:15" hidden="1" x14ac:dyDescent="0.25">
      <c r="A87" s="27" t="s">
        <v>32</v>
      </c>
      <c r="B87" s="27" t="s">
        <v>32</v>
      </c>
      <c r="C87" s="25" t="s">
        <v>184</v>
      </c>
      <c r="D87" s="27"/>
      <c r="E87" s="27" t="s">
        <v>45</v>
      </c>
      <c r="F87" s="27" t="s">
        <v>185</v>
      </c>
      <c r="G87" s="27" t="s">
        <v>46</v>
      </c>
      <c r="H87" s="67">
        <v>1261.03</v>
      </c>
      <c r="I87" s="50">
        <v>45370</v>
      </c>
      <c r="J87" s="50"/>
      <c r="K87" s="27">
        <v>12925</v>
      </c>
      <c r="L87" s="39">
        <v>1295</v>
      </c>
      <c r="M87" s="52">
        <v>30</v>
      </c>
      <c r="N87" s="68" t="s">
        <v>155</v>
      </c>
      <c r="O87" s="27" t="s">
        <v>186</v>
      </c>
    </row>
    <row r="88" spans="1:15" hidden="1" x14ac:dyDescent="0.25">
      <c r="A88" s="27" t="s">
        <v>32</v>
      </c>
      <c r="B88" s="27" t="s">
        <v>32</v>
      </c>
      <c r="C88" s="25" t="s">
        <v>184</v>
      </c>
      <c r="D88" s="27"/>
      <c r="E88" s="27" t="s">
        <v>45</v>
      </c>
      <c r="F88" s="27" t="s">
        <v>185</v>
      </c>
      <c r="G88" s="27" t="s">
        <v>46</v>
      </c>
      <c r="H88" s="67">
        <v>1261.03</v>
      </c>
      <c r="I88" s="50">
        <v>45490</v>
      </c>
      <c r="J88" s="50">
        <v>45492</v>
      </c>
      <c r="K88" s="27">
        <v>13267</v>
      </c>
      <c r="L88" s="39">
        <v>1295</v>
      </c>
      <c r="M88" s="52">
        <v>30</v>
      </c>
      <c r="N88" s="68" t="s">
        <v>155</v>
      </c>
      <c r="O88" s="27" t="s">
        <v>156</v>
      </c>
    </row>
    <row r="89" spans="1:15" hidden="1" x14ac:dyDescent="0.25">
      <c r="A89" s="27" t="s">
        <v>32</v>
      </c>
      <c r="B89" s="27" t="s">
        <v>32</v>
      </c>
      <c r="C89" s="25" t="s">
        <v>184</v>
      </c>
      <c r="D89" s="27"/>
      <c r="E89" s="27" t="s">
        <v>45</v>
      </c>
      <c r="F89" s="27" t="s">
        <v>185</v>
      </c>
      <c r="G89" s="27" t="s">
        <v>46</v>
      </c>
      <c r="H89" s="67">
        <v>1261.03</v>
      </c>
      <c r="I89" s="50">
        <v>45520</v>
      </c>
      <c r="J89" s="50">
        <v>45552</v>
      </c>
      <c r="K89" s="27">
        <v>13356</v>
      </c>
      <c r="L89" s="39">
        <v>1295</v>
      </c>
      <c r="M89" s="52">
        <v>30</v>
      </c>
      <c r="N89" s="68" t="s">
        <v>155</v>
      </c>
      <c r="O89" s="27" t="s">
        <v>186</v>
      </c>
    </row>
    <row r="90" spans="1:15" hidden="1" x14ac:dyDescent="0.25">
      <c r="A90" s="27" t="s">
        <v>32</v>
      </c>
      <c r="B90" s="27" t="s">
        <v>32</v>
      </c>
      <c r="C90" s="25" t="s">
        <v>184</v>
      </c>
      <c r="D90" s="27"/>
      <c r="E90" s="27" t="s">
        <v>37</v>
      </c>
      <c r="F90" s="27" t="s">
        <v>185</v>
      </c>
      <c r="G90" s="27" t="s">
        <v>46</v>
      </c>
      <c r="H90" s="67">
        <v>1261.03</v>
      </c>
      <c r="I90" s="50">
        <v>45552</v>
      </c>
      <c r="J90" s="50">
        <v>45554</v>
      </c>
      <c r="K90" s="27">
        <v>13469</v>
      </c>
      <c r="L90" s="39">
        <v>1295</v>
      </c>
      <c r="M90" s="52">
        <v>30</v>
      </c>
      <c r="N90" s="68" t="s">
        <v>155</v>
      </c>
      <c r="O90" s="27" t="s">
        <v>156</v>
      </c>
    </row>
    <row r="91" spans="1:15" hidden="1" x14ac:dyDescent="0.25">
      <c r="A91" s="27" t="s">
        <v>32</v>
      </c>
      <c r="B91" s="27" t="s">
        <v>32</v>
      </c>
      <c r="C91" s="25" t="s">
        <v>184</v>
      </c>
      <c r="D91" s="27"/>
      <c r="E91" s="27" t="s">
        <v>37</v>
      </c>
      <c r="F91" s="27" t="s">
        <v>185</v>
      </c>
      <c r="G91" s="27" t="s">
        <v>46</v>
      </c>
      <c r="H91" s="67">
        <v>1261.03</v>
      </c>
      <c r="I91" s="50">
        <v>45583</v>
      </c>
      <c r="J91" s="50">
        <v>45586</v>
      </c>
      <c r="K91" s="27">
        <v>13582</v>
      </c>
      <c r="L91" s="39">
        <v>1295</v>
      </c>
      <c r="M91" s="52">
        <v>30</v>
      </c>
      <c r="N91" s="68" t="s">
        <v>155</v>
      </c>
      <c r="O91" s="27" t="s">
        <v>156</v>
      </c>
    </row>
    <row r="92" spans="1:15" hidden="1" x14ac:dyDescent="0.25">
      <c r="A92" s="27" t="s">
        <v>32</v>
      </c>
      <c r="B92" s="27" t="s">
        <v>32</v>
      </c>
      <c r="C92" s="25" t="s">
        <v>184</v>
      </c>
      <c r="D92" s="27"/>
      <c r="E92" s="27" t="s">
        <v>37</v>
      </c>
      <c r="F92" s="27" t="s">
        <v>185</v>
      </c>
      <c r="G92" s="27" t="s">
        <v>46</v>
      </c>
      <c r="H92" s="67">
        <v>1261.03</v>
      </c>
      <c r="I92" s="50">
        <v>45614</v>
      </c>
      <c r="J92" s="50">
        <v>45624</v>
      </c>
      <c r="K92" s="27">
        <v>13627</v>
      </c>
      <c r="L92" s="39">
        <v>1295</v>
      </c>
      <c r="M92" s="52">
        <v>30</v>
      </c>
      <c r="N92" s="68" t="s">
        <v>155</v>
      </c>
      <c r="O92" s="27" t="s">
        <v>156</v>
      </c>
    </row>
    <row r="93" spans="1:15" hidden="1" x14ac:dyDescent="0.25">
      <c r="A93" s="27" t="s">
        <v>32</v>
      </c>
      <c r="B93" s="27" t="s">
        <v>32</v>
      </c>
      <c r="C93" s="25" t="s">
        <v>184</v>
      </c>
      <c r="D93" s="27"/>
      <c r="E93" s="27" t="s">
        <v>45</v>
      </c>
      <c r="F93" s="27" t="s">
        <v>185</v>
      </c>
      <c r="G93" s="27" t="s">
        <v>46</v>
      </c>
      <c r="H93" s="67">
        <v>1261.03</v>
      </c>
      <c r="I93" s="50">
        <v>45636</v>
      </c>
      <c r="J93" s="50">
        <v>45638</v>
      </c>
      <c r="K93" s="27">
        <v>13698</v>
      </c>
      <c r="L93" s="39">
        <v>1295</v>
      </c>
      <c r="M93" s="52">
        <v>30</v>
      </c>
      <c r="N93" s="73" t="s">
        <v>155</v>
      </c>
      <c r="O93" s="27" t="s">
        <v>156</v>
      </c>
    </row>
    <row r="94" spans="1:15" hidden="1" x14ac:dyDescent="0.25">
      <c r="A94" s="27" t="s">
        <v>32</v>
      </c>
      <c r="B94" s="27" t="s">
        <v>32</v>
      </c>
      <c r="C94" s="25" t="s">
        <v>184</v>
      </c>
      <c r="D94" s="27"/>
      <c r="E94" s="27" t="s">
        <v>45</v>
      </c>
      <c r="F94" s="27" t="s">
        <v>185</v>
      </c>
      <c r="G94" s="27" t="s">
        <v>46</v>
      </c>
      <c r="H94" s="67">
        <v>1321.15</v>
      </c>
      <c r="I94" s="50">
        <v>45673</v>
      </c>
      <c r="J94" s="50">
        <v>45674</v>
      </c>
      <c r="K94" s="27">
        <v>13781</v>
      </c>
      <c r="L94" s="39">
        <v>1295</v>
      </c>
      <c r="M94" s="52">
        <v>30</v>
      </c>
      <c r="N94" s="75" t="s">
        <v>155</v>
      </c>
      <c r="O94" s="27" t="s">
        <v>156</v>
      </c>
    </row>
    <row r="95" spans="1:15" hidden="1" x14ac:dyDescent="0.25">
      <c r="A95" s="27" t="s">
        <v>32</v>
      </c>
      <c r="B95" s="27" t="s">
        <v>32</v>
      </c>
      <c r="C95" s="25" t="s">
        <v>184</v>
      </c>
      <c r="D95" s="27"/>
      <c r="E95" s="27" t="s">
        <v>37</v>
      </c>
      <c r="F95" s="27" t="s">
        <v>185</v>
      </c>
      <c r="G95" s="27" t="s">
        <v>46</v>
      </c>
      <c r="H95" s="67">
        <v>1321.15</v>
      </c>
      <c r="I95" s="50">
        <v>45706</v>
      </c>
      <c r="J95" s="50">
        <v>45713</v>
      </c>
      <c r="K95" s="27">
        <v>13870</v>
      </c>
      <c r="L95" s="39">
        <v>1295</v>
      </c>
      <c r="M95" s="52">
        <v>30</v>
      </c>
      <c r="N95" s="75" t="s">
        <v>155</v>
      </c>
      <c r="O95" s="27" t="s">
        <v>156</v>
      </c>
    </row>
    <row r="96" spans="1:15" hidden="1" x14ac:dyDescent="0.25">
      <c r="A96" s="27" t="s">
        <v>32</v>
      </c>
      <c r="B96" s="27" t="s">
        <v>32</v>
      </c>
      <c r="C96" s="25" t="s">
        <v>184</v>
      </c>
      <c r="D96" s="27"/>
      <c r="E96" s="27" t="s">
        <v>37</v>
      </c>
      <c r="F96" s="27" t="s">
        <v>185</v>
      </c>
      <c r="G96" s="27" t="s">
        <v>46</v>
      </c>
      <c r="H96" s="67">
        <v>1321.15</v>
      </c>
      <c r="I96" s="50">
        <v>45734</v>
      </c>
      <c r="J96" s="50">
        <v>45740</v>
      </c>
      <c r="K96" s="27">
        <v>13981</v>
      </c>
      <c r="L96" s="39">
        <v>1295</v>
      </c>
      <c r="M96" s="52">
        <v>30</v>
      </c>
      <c r="N96" s="68" t="s">
        <v>155</v>
      </c>
      <c r="O96" s="27" t="s">
        <v>156</v>
      </c>
    </row>
    <row r="97" spans="1:15" hidden="1" x14ac:dyDescent="0.25">
      <c r="A97" s="27" t="s">
        <v>32</v>
      </c>
      <c r="B97" s="27" t="s">
        <v>32</v>
      </c>
      <c r="C97" s="25" t="s">
        <v>184</v>
      </c>
      <c r="D97" s="27"/>
      <c r="E97" s="27" t="s">
        <v>37</v>
      </c>
      <c r="F97" s="27" t="s">
        <v>185</v>
      </c>
      <c r="G97" s="27" t="s">
        <v>46</v>
      </c>
      <c r="H97" s="67">
        <v>1321.15</v>
      </c>
      <c r="I97" s="50">
        <v>45764</v>
      </c>
      <c r="J97" s="50">
        <v>45769</v>
      </c>
      <c r="K97" s="57">
        <v>14054</v>
      </c>
      <c r="L97" s="39">
        <v>1295</v>
      </c>
      <c r="M97" s="52">
        <v>30</v>
      </c>
      <c r="N97" s="73" t="s">
        <v>155</v>
      </c>
      <c r="O97" s="27" t="s">
        <v>156</v>
      </c>
    </row>
    <row r="98" spans="1:15" hidden="1" x14ac:dyDescent="0.25">
      <c r="A98" s="27" t="s">
        <v>32</v>
      </c>
      <c r="B98" s="27" t="s">
        <v>32</v>
      </c>
      <c r="C98" s="25" t="s">
        <v>184</v>
      </c>
      <c r="D98" s="27"/>
      <c r="E98" s="27" t="s">
        <v>37</v>
      </c>
      <c r="F98" s="27" t="s">
        <v>185</v>
      </c>
      <c r="G98" s="27" t="s">
        <v>46</v>
      </c>
      <c r="H98" s="69">
        <v>1321.15</v>
      </c>
      <c r="I98" s="50">
        <v>45793</v>
      </c>
      <c r="J98" s="50">
        <v>45797</v>
      </c>
      <c r="K98" s="57">
        <v>14141</v>
      </c>
      <c r="L98" s="39">
        <v>1295</v>
      </c>
      <c r="M98" s="52">
        <v>30</v>
      </c>
      <c r="N98" s="75" t="s">
        <v>155</v>
      </c>
      <c r="O98" s="27" t="s">
        <v>157</v>
      </c>
    </row>
    <row r="99" spans="1:15" hidden="1" x14ac:dyDescent="0.25">
      <c r="A99" s="27" t="s">
        <v>32</v>
      </c>
      <c r="B99" s="27" t="s">
        <v>32</v>
      </c>
      <c r="C99" s="25" t="s">
        <v>184</v>
      </c>
      <c r="D99" s="27"/>
      <c r="E99" s="27" t="s">
        <v>37</v>
      </c>
      <c r="F99" s="27" t="s">
        <v>185</v>
      </c>
      <c r="G99" s="27" t="s">
        <v>46</v>
      </c>
      <c r="H99" s="67">
        <v>1321.15</v>
      </c>
      <c r="I99" s="50">
        <v>45824</v>
      </c>
      <c r="J99" s="50">
        <v>45827</v>
      </c>
      <c r="K99" s="57">
        <v>14200</v>
      </c>
      <c r="L99" s="39">
        <v>1295</v>
      </c>
      <c r="M99" s="52">
        <v>30</v>
      </c>
      <c r="N99" s="73" t="s">
        <v>155</v>
      </c>
      <c r="O99" s="27" t="s">
        <v>156</v>
      </c>
    </row>
    <row r="100" spans="1:15" hidden="1" x14ac:dyDescent="0.25">
      <c r="A100" s="27" t="s">
        <v>32</v>
      </c>
      <c r="B100" s="27" t="s">
        <v>32</v>
      </c>
      <c r="C100" s="25" t="s">
        <v>184</v>
      </c>
      <c r="D100" s="27"/>
      <c r="E100" s="27" t="s">
        <v>37</v>
      </c>
      <c r="F100" s="27" t="s">
        <v>185</v>
      </c>
      <c r="G100" s="27" t="s">
        <v>46</v>
      </c>
      <c r="H100" s="67">
        <v>1321.15</v>
      </c>
      <c r="I100" s="50">
        <v>45854</v>
      </c>
      <c r="J100" s="50">
        <v>45856</v>
      </c>
      <c r="K100" s="57">
        <v>14288</v>
      </c>
      <c r="L100" s="39">
        <v>1295</v>
      </c>
      <c r="M100" s="52">
        <v>30</v>
      </c>
      <c r="N100" s="68" t="s">
        <v>155</v>
      </c>
      <c r="O100" s="27" t="s">
        <v>156</v>
      </c>
    </row>
    <row r="101" spans="1:15" hidden="1" x14ac:dyDescent="0.25">
      <c r="A101" s="27" t="s">
        <v>32</v>
      </c>
      <c r="B101" s="27" t="s">
        <v>32</v>
      </c>
      <c r="C101" s="25" t="s">
        <v>184</v>
      </c>
      <c r="D101" s="27"/>
      <c r="E101" s="27" t="s">
        <v>37</v>
      </c>
      <c r="F101" s="27" t="s">
        <v>185</v>
      </c>
      <c r="G101" s="27" t="s">
        <v>46</v>
      </c>
      <c r="H101" s="67">
        <v>1321.15</v>
      </c>
      <c r="I101" s="50">
        <v>45887</v>
      </c>
      <c r="J101" s="50">
        <v>45891</v>
      </c>
      <c r="K101" s="57">
        <v>14371</v>
      </c>
      <c r="L101" s="39">
        <v>1295</v>
      </c>
      <c r="M101" s="52">
        <v>30</v>
      </c>
      <c r="N101" s="68" t="s">
        <v>155</v>
      </c>
      <c r="O101" s="27" t="s">
        <v>156</v>
      </c>
    </row>
    <row r="102" spans="1:15" hidden="1" x14ac:dyDescent="0.25">
      <c r="A102" s="27" t="s">
        <v>32</v>
      </c>
      <c r="B102" s="27" t="s">
        <v>32</v>
      </c>
      <c r="C102" s="25" t="s">
        <v>184</v>
      </c>
      <c r="D102" s="27"/>
      <c r="E102" s="27" t="s">
        <v>37</v>
      </c>
      <c r="F102" s="27" t="s">
        <v>185</v>
      </c>
      <c r="G102" s="27" t="s">
        <v>46</v>
      </c>
      <c r="H102" s="67">
        <v>1321.15</v>
      </c>
      <c r="I102" s="50">
        <v>45919</v>
      </c>
      <c r="J102" s="50">
        <v>45924</v>
      </c>
      <c r="K102" s="57">
        <v>14473</v>
      </c>
      <c r="L102" s="39">
        <v>1295</v>
      </c>
      <c r="M102" s="52">
        <v>30</v>
      </c>
      <c r="N102" s="68" t="s">
        <v>155</v>
      </c>
      <c r="O102" s="27" t="s">
        <v>156</v>
      </c>
    </row>
    <row r="103" spans="1:15" hidden="1" x14ac:dyDescent="0.25">
      <c r="A103" s="27" t="s">
        <v>32</v>
      </c>
      <c r="B103" s="27" t="s">
        <v>32</v>
      </c>
      <c r="C103" s="25" t="s">
        <v>184</v>
      </c>
      <c r="D103" s="27"/>
      <c r="E103" s="27" t="s">
        <v>37</v>
      </c>
      <c r="F103" s="27" t="s">
        <v>185</v>
      </c>
      <c r="G103" s="27" t="s">
        <v>46</v>
      </c>
      <c r="H103" s="67">
        <v>1321.15</v>
      </c>
      <c r="I103" s="50">
        <v>45946</v>
      </c>
      <c r="J103" s="50">
        <v>45947</v>
      </c>
      <c r="K103" s="57">
        <v>14596</v>
      </c>
      <c r="L103" s="39">
        <v>1295</v>
      </c>
      <c r="M103" s="52">
        <v>30</v>
      </c>
      <c r="N103" s="73" t="s">
        <v>155</v>
      </c>
      <c r="O103" s="64" t="s">
        <v>156</v>
      </c>
    </row>
    <row r="104" spans="1:15" ht="90" hidden="1" x14ac:dyDescent="0.25">
      <c r="A104" s="27">
        <v>3977321</v>
      </c>
      <c r="B104" s="27">
        <v>4106352</v>
      </c>
      <c r="C104" s="25" t="s">
        <v>187</v>
      </c>
      <c r="D104" s="27" t="s">
        <v>188</v>
      </c>
      <c r="E104" s="27" t="s">
        <v>37</v>
      </c>
      <c r="F104" s="27" t="s">
        <v>189</v>
      </c>
      <c r="G104" s="27" t="s">
        <v>46</v>
      </c>
      <c r="H104" s="67">
        <v>7500</v>
      </c>
      <c r="I104" s="50">
        <v>45671</v>
      </c>
      <c r="J104" s="50">
        <v>45672</v>
      </c>
      <c r="K104" s="27">
        <v>10490</v>
      </c>
      <c r="L104" s="39">
        <v>1210</v>
      </c>
      <c r="M104" s="52">
        <v>242</v>
      </c>
      <c r="N104" s="73" t="s">
        <v>155</v>
      </c>
      <c r="O104" s="27" t="s">
        <v>156</v>
      </c>
    </row>
    <row r="105" spans="1:15" ht="90" hidden="1" x14ac:dyDescent="0.25">
      <c r="A105" s="27">
        <v>3977321</v>
      </c>
      <c r="B105" s="27">
        <v>4106352</v>
      </c>
      <c r="C105" s="25" t="s">
        <v>187</v>
      </c>
      <c r="D105" s="27" t="s">
        <v>188</v>
      </c>
      <c r="E105" s="27" t="s">
        <v>37</v>
      </c>
      <c r="F105" s="27" t="s">
        <v>189</v>
      </c>
      <c r="G105" s="27" t="s">
        <v>46</v>
      </c>
      <c r="H105" s="67">
        <v>7500</v>
      </c>
      <c r="I105" s="50">
        <v>45706</v>
      </c>
      <c r="J105" s="50">
        <v>45708</v>
      </c>
      <c r="K105" s="27">
        <v>10651</v>
      </c>
      <c r="L105" s="39">
        <v>1210</v>
      </c>
      <c r="M105" s="52">
        <v>242</v>
      </c>
      <c r="N105" s="73" t="s">
        <v>155</v>
      </c>
      <c r="O105" s="27" t="s">
        <v>156</v>
      </c>
    </row>
    <row r="106" spans="1:15" ht="90" hidden="1" x14ac:dyDescent="0.25">
      <c r="A106" s="27">
        <v>3977321</v>
      </c>
      <c r="B106" s="27">
        <v>4106352</v>
      </c>
      <c r="C106" s="25" t="s">
        <v>187</v>
      </c>
      <c r="D106" s="27" t="s">
        <v>188</v>
      </c>
      <c r="E106" s="27" t="s">
        <v>37</v>
      </c>
      <c r="F106" s="27" t="s">
        <v>189</v>
      </c>
      <c r="G106" s="27" t="s">
        <v>46</v>
      </c>
      <c r="H106" s="67">
        <v>7500</v>
      </c>
      <c r="I106" s="50">
        <v>45734</v>
      </c>
      <c r="J106" s="50">
        <v>45734</v>
      </c>
      <c r="K106" s="27">
        <v>10808</v>
      </c>
      <c r="L106" s="39">
        <v>1210</v>
      </c>
      <c r="M106" s="52">
        <v>242</v>
      </c>
      <c r="N106" s="73" t="s">
        <v>155</v>
      </c>
      <c r="O106" s="27" t="s">
        <v>156</v>
      </c>
    </row>
    <row r="107" spans="1:15" ht="90" hidden="1" x14ac:dyDescent="0.25">
      <c r="A107" s="27">
        <v>3977321</v>
      </c>
      <c r="B107" s="27">
        <v>4106352</v>
      </c>
      <c r="C107" s="25" t="s">
        <v>187</v>
      </c>
      <c r="D107" s="27" t="s">
        <v>188</v>
      </c>
      <c r="E107" s="27" t="s">
        <v>37</v>
      </c>
      <c r="F107" s="27" t="s">
        <v>189</v>
      </c>
      <c r="G107" s="27" t="s">
        <v>46</v>
      </c>
      <c r="H107" s="67">
        <v>7500</v>
      </c>
      <c r="I107" s="50">
        <v>45755</v>
      </c>
      <c r="J107" s="50">
        <v>45759</v>
      </c>
      <c r="K107" s="27">
        <v>10922</v>
      </c>
      <c r="L107" s="39">
        <v>1210</v>
      </c>
      <c r="M107" s="52">
        <v>242</v>
      </c>
      <c r="N107" s="68" t="s">
        <v>155</v>
      </c>
      <c r="O107" s="27" t="s">
        <v>156</v>
      </c>
    </row>
    <row r="108" spans="1:15" ht="90" hidden="1" x14ac:dyDescent="0.25">
      <c r="A108" s="27">
        <v>3977321</v>
      </c>
      <c r="B108" s="27">
        <v>4106352</v>
      </c>
      <c r="C108" s="25" t="s">
        <v>187</v>
      </c>
      <c r="D108" s="27" t="s">
        <v>188</v>
      </c>
      <c r="E108" s="27" t="s">
        <v>37</v>
      </c>
      <c r="F108" s="27" t="s">
        <v>189</v>
      </c>
      <c r="G108" s="27" t="s">
        <v>46</v>
      </c>
      <c r="H108" s="67">
        <v>7500</v>
      </c>
      <c r="I108" s="50">
        <v>45790</v>
      </c>
      <c r="J108" s="50">
        <v>45791</v>
      </c>
      <c r="K108" s="57">
        <v>11102</v>
      </c>
      <c r="L108" s="39">
        <v>1210</v>
      </c>
      <c r="M108" s="52">
        <v>242</v>
      </c>
      <c r="N108" s="71" t="s">
        <v>155</v>
      </c>
      <c r="O108" s="27" t="s">
        <v>157</v>
      </c>
    </row>
    <row r="109" spans="1:15" ht="90" hidden="1" x14ac:dyDescent="0.25">
      <c r="A109" s="14">
        <v>3977321</v>
      </c>
      <c r="B109" s="14">
        <v>4106352</v>
      </c>
      <c r="C109" s="25" t="s">
        <v>187</v>
      </c>
      <c r="D109" s="27" t="s">
        <v>188</v>
      </c>
      <c r="E109" s="27" t="s">
        <v>37</v>
      </c>
      <c r="F109" s="27" t="s">
        <v>189</v>
      </c>
      <c r="G109" s="27" t="s">
        <v>46</v>
      </c>
      <c r="H109" s="67">
        <v>7500</v>
      </c>
      <c r="I109" s="50">
        <v>45811</v>
      </c>
      <c r="J109" s="50">
        <v>45813</v>
      </c>
      <c r="K109" s="57">
        <v>11198</v>
      </c>
      <c r="L109" s="39">
        <v>1210</v>
      </c>
      <c r="M109" s="52">
        <v>242</v>
      </c>
      <c r="N109" s="73" t="s">
        <v>155</v>
      </c>
      <c r="O109" s="27" t="s">
        <v>156</v>
      </c>
    </row>
    <row r="110" spans="1:15" ht="90" hidden="1" x14ac:dyDescent="0.25">
      <c r="A110" s="14">
        <v>3977321</v>
      </c>
      <c r="B110" s="14">
        <v>4106352</v>
      </c>
      <c r="C110" s="25" t="s">
        <v>187</v>
      </c>
      <c r="D110" s="27" t="s">
        <v>188</v>
      </c>
      <c r="E110" s="27" t="s">
        <v>45</v>
      </c>
      <c r="F110" s="27" t="s">
        <v>189</v>
      </c>
      <c r="G110" s="27" t="s">
        <v>46</v>
      </c>
      <c r="H110" s="67">
        <v>7500</v>
      </c>
      <c r="I110" s="50">
        <v>45846</v>
      </c>
      <c r="J110" s="50">
        <v>45847</v>
      </c>
      <c r="K110" s="57">
        <v>11352</v>
      </c>
      <c r="L110" s="39">
        <v>1210</v>
      </c>
      <c r="M110" s="52">
        <v>242</v>
      </c>
      <c r="N110" s="75" t="s">
        <v>155</v>
      </c>
      <c r="O110" s="27" t="s">
        <v>156</v>
      </c>
    </row>
    <row r="111" spans="1:15" ht="90" hidden="1" x14ac:dyDescent="0.25">
      <c r="A111" s="27">
        <v>3977321</v>
      </c>
      <c r="B111" s="27">
        <v>4106352</v>
      </c>
      <c r="C111" s="25" t="s">
        <v>187</v>
      </c>
      <c r="D111" s="27" t="s">
        <v>188</v>
      </c>
      <c r="E111" s="27" t="s">
        <v>37</v>
      </c>
      <c r="F111" s="27" t="s">
        <v>189</v>
      </c>
      <c r="G111" s="27" t="s">
        <v>46</v>
      </c>
      <c r="H111" s="67">
        <v>7500</v>
      </c>
      <c r="I111" s="50">
        <v>45881</v>
      </c>
      <c r="J111" s="50">
        <v>45882</v>
      </c>
      <c r="K111" s="57">
        <v>11520</v>
      </c>
      <c r="L111" s="39">
        <v>1210</v>
      </c>
      <c r="M111" s="52">
        <v>242</v>
      </c>
      <c r="N111" s="75" t="s">
        <v>155</v>
      </c>
      <c r="O111" s="27" t="s">
        <v>156</v>
      </c>
    </row>
    <row r="112" spans="1:15" ht="90" hidden="1" x14ac:dyDescent="0.25">
      <c r="A112" s="27">
        <v>3977321</v>
      </c>
      <c r="B112" s="27">
        <v>4106352</v>
      </c>
      <c r="C112" s="25" t="s">
        <v>187</v>
      </c>
      <c r="D112" s="27" t="s">
        <v>188</v>
      </c>
      <c r="E112" s="27" t="s">
        <v>37</v>
      </c>
      <c r="F112" s="27" t="s">
        <v>189</v>
      </c>
      <c r="G112" s="27" t="s">
        <v>46</v>
      </c>
      <c r="H112" s="67">
        <v>7500</v>
      </c>
      <c r="I112" s="50">
        <v>45903</v>
      </c>
      <c r="J112" s="50">
        <v>45903</v>
      </c>
      <c r="K112" s="57">
        <v>11638</v>
      </c>
      <c r="L112" s="39">
        <v>1210</v>
      </c>
      <c r="M112" s="52">
        <v>242</v>
      </c>
      <c r="N112" s="75" t="s">
        <v>155</v>
      </c>
      <c r="O112" s="27" t="s">
        <v>163</v>
      </c>
    </row>
    <row r="113" spans="1:15" ht="90" hidden="1" x14ac:dyDescent="0.25">
      <c r="A113" s="27">
        <v>3977321</v>
      </c>
      <c r="B113" s="27">
        <v>4106352</v>
      </c>
      <c r="C113" s="25" t="s">
        <v>187</v>
      </c>
      <c r="D113" s="27" t="s">
        <v>188</v>
      </c>
      <c r="E113" s="27" t="s">
        <v>37</v>
      </c>
      <c r="F113" s="27" t="s">
        <v>189</v>
      </c>
      <c r="G113" s="27" t="s">
        <v>46</v>
      </c>
      <c r="H113" s="67">
        <v>7500</v>
      </c>
      <c r="I113" s="50">
        <v>45938</v>
      </c>
      <c r="J113" s="50">
        <v>45938</v>
      </c>
      <c r="K113" s="57">
        <v>11805</v>
      </c>
      <c r="L113" s="39">
        <v>1210</v>
      </c>
      <c r="M113" s="52">
        <v>242</v>
      </c>
      <c r="N113" s="73" t="s">
        <v>155</v>
      </c>
      <c r="O113" s="27" t="s">
        <v>156</v>
      </c>
    </row>
    <row r="114" spans="1:15" ht="45" hidden="1" x14ac:dyDescent="0.25">
      <c r="A114" s="27" t="s">
        <v>190</v>
      </c>
      <c r="B114" s="27">
        <v>3717366</v>
      </c>
      <c r="C114" s="25"/>
      <c r="D114" s="27"/>
      <c r="E114" s="27"/>
      <c r="F114" s="27" t="s">
        <v>191</v>
      </c>
      <c r="G114" s="27"/>
      <c r="H114" s="67">
        <v>2800</v>
      </c>
      <c r="I114" s="50">
        <v>45287</v>
      </c>
      <c r="J114" s="50">
        <v>45287</v>
      </c>
      <c r="K114" s="27">
        <v>1156</v>
      </c>
      <c r="L114" s="39">
        <v>2208</v>
      </c>
      <c r="M114" s="27">
        <v>242</v>
      </c>
      <c r="N114" s="68" t="s">
        <v>155</v>
      </c>
      <c r="O114" s="27" t="s">
        <v>32</v>
      </c>
    </row>
    <row r="115" spans="1:15" ht="75" hidden="1" x14ac:dyDescent="0.25">
      <c r="A115" s="27">
        <v>3632413</v>
      </c>
      <c r="B115" s="27">
        <v>3787373</v>
      </c>
      <c r="C115" s="60" t="s">
        <v>192</v>
      </c>
      <c r="D115" s="27"/>
      <c r="E115" s="27" t="s">
        <v>37</v>
      </c>
      <c r="F115" s="27" t="s">
        <v>191</v>
      </c>
      <c r="G115" s="27" t="s">
        <v>55</v>
      </c>
      <c r="H115" s="67">
        <v>2800</v>
      </c>
      <c r="I115" s="50">
        <v>45379</v>
      </c>
      <c r="J115" s="27"/>
      <c r="K115" s="27">
        <v>1220</v>
      </c>
      <c r="L115" s="39">
        <v>2208</v>
      </c>
      <c r="M115" s="27">
        <v>242</v>
      </c>
      <c r="N115" s="89" t="s">
        <v>193</v>
      </c>
      <c r="O115" s="27" t="s">
        <v>156</v>
      </c>
    </row>
    <row r="116" spans="1:15" ht="75" hidden="1" x14ac:dyDescent="0.25">
      <c r="A116" s="27">
        <v>3632413</v>
      </c>
      <c r="B116" s="27">
        <v>3787373</v>
      </c>
      <c r="C116" s="60" t="s">
        <v>192</v>
      </c>
      <c r="D116" s="27"/>
      <c r="E116" s="27" t="s">
        <v>37</v>
      </c>
      <c r="F116" s="27" t="s">
        <v>191</v>
      </c>
      <c r="G116" s="27" t="s">
        <v>55</v>
      </c>
      <c r="H116" s="67">
        <v>2800</v>
      </c>
      <c r="I116" s="50">
        <v>45383</v>
      </c>
      <c r="J116" s="50">
        <v>45384</v>
      </c>
      <c r="K116" s="27">
        <v>1221</v>
      </c>
      <c r="L116" s="39">
        <v>2208</v>
      </c>
      <c r="M116" s="27">
        <v>242</v>
      </c>
      <c r="N116" s="68" t="s">
        <v>155</v>
      </c>
      <c r="O116" s="27" t="s">
        <v>156</v>
      </c>
    </row>
    <row r="117" spans="1:15" ht="75" hidden="1" x14ac:dyDescent="0.25">
      <c r="A117" s="27">
        <v>3632413</v>
      </c>
      <c r="B117" s="27">
        <v>3787373</v>
      </c>
      <c r="C117" s="60" t="s">
        <v>192</v>
      </c>
      <c r="D117" s="27"/>
      <c r="E117" s="27" t="s">
        <v>45</v>
      </c>
      <c r="F117" s="27" t="s">
        <v>191</v>
      </c>
      <c r="G117" s="27" t="s">
        <v>55</v>
      </c>
      <c r="H117" s="67">
        <v>2800</v>
      </c>
      <c r="I117" s="50">
        <v>45407</v>
      </c>
      <c r="J117" s="50">
        <v>45408</v>
      </c>
      <c r="K117" s="27">
        <v>1248</v>
      </c>
      <c r="L117" s="39">
        <v>2208</v>
      </c>
      <c r="M117" s="52">
        <v>242</v>
      </c>
      <c r="N117" s="68" t="s">
        <v>155</v>
      </c>
      <c r="O117" s="27" t="s">
        <v>156</v>
      </c>
    </row>
    <row r="118" spans="1:15" ht="75" hidden="1" x14ac:dyDescent="0.25">
      <c r="A118" s="27">
        <v>3632413</v>
      </c>
      <c r="B118" s="27">
        <v>3787373</v>
      </c>
      <c r="C118" s="60" t="s">
        <v>192</v>
      </c>
      <c r="D118" s="27"/>
      <c r="E118" s="27" t="s">
        <v>37</v>
      </c>
      <c r="F118" s="27" t="s">
        <v>191</v>
      </c>
      <c r="G118" s="27" t="s">
        <v>55</v>
      </c>
      <c r="H118" s="67">
        <v>2800</v>
      </c>
      <c r="I118" s="50">
        <v>45434</v>
      </c>
      <c r="J118" s="50">
        <v>45436</v>
      </c>
      <c r="K118" s="27">
        <v>1281</v>
      </c>
      <c r="L118" s="39">
        <v>2208</v>
      </c>
      <c r="M118" s="52">
        <v>242</v>
      </c>
      <c r="N118" s="68" t="s">
        <v>155</v>
      </c>
      <c r="O118" s="27" t="s">
        <v>156</v>
      </c>
    </row>
    <row r="119" spans="1:15" ht="75" hidden="1" x14ac:dyDescent="0.25">
      <c r="A119" s="27">
        <v>3632413</v>
      </c>
      <c r="B119" s="27">
        <v>3787373</v>
      </c>
      <c r="C119" s="25" t="s">
        <v>194</v>
      </c>
      <c r="D119" s="27"/>
      <c r="E119" s="27" t="s">
        <v>37</v>
      </c>
      <c r="F119" s="27" t="s">
        <v>191</v>
      </c>
      <c r="G119" s="27" t="s">
        <v>55</v>
      </c>
      <c r="H119" s="67">
        <v>2800</v>
      </c>
      <c r="I119" s="50">
        <v>45468</v>
      </c>
      <c r="J119" s="50">
        <v>45470</v>
      </c>
      <c r="K119" s="27">
        <v>1310</v>
      </c>
      <c r="L119" s="39">
        <v>2208</v>
      </c>
      <c r="M119" s="52">
        <v>242</v>
      </c>
      <c r="N119" s="68" t="s">
        <v>155</v>
      </c>
      <c r="O119" s="27" t="s">
        <v>156</v>
      </c>
    </row>
    <row r="120" spans="1:15" ht="90" hidden="1" x14ac:dyDescent="0.25">
      <c r="A120" s="27">
        <v>3632413</v>
      </c>
      <c r="B120" s="1">
        <v>3787373</v>
      </c>
      <c r="C120" s="25" t="s">
        <v>195</v>
      </c>
      <c r="D120" s="27"/>
      <c r="E120" s="27"/>
      <c r="F120" s="27" t="s">
        <v>191</v>
      </c>
      <c r="G120" s="27"/>
      <c r="H120" s="67">
        <v>2800</v>
      </c>
      <c r="I120" s="50">
        <v>45503</v>
      </c>
      <c r="J120" s="27"/>
      <c r="K120" s="27">
        <v>1335</v>
      </c>
      <c r="L120" s="39"/>
      <c r="M120" s="27"/>
      <c r="N120" s="89" t="s">
        <v>196</v>
      </c>
      <c r="O120" s="27" t="s">
        <v>156</v>
      </c>
    </row>
    <row r="121" spans="1:15" ht="75" hidden="1" x14ac:dyDescent="0.25">
      <c r="A121" s="30">
        <v>3632413</v>
      </c>
      <c r="B121" s="27">
        <v>3787373</v>
      </c>
      <c r="C121" s="60" t="s">
        <v>192</v>
      </c>
      <c r="D121" s="30"/>
      <c r="E121" s="30" t="s">
        <v>45</v>
      </c>
      <c r="F121" s="27" t="s">
        <v>191</v>
      </c>
      <c r="G121" s="27" t="s">
        <v>55</v>
      </c>
      <c r="H121" s="67">
        <v>2800</v>
      </c>
      <c r="I121" s="50">
        <v>45509</v>
      </c>
      <c r="J121" s="50">
        <v>45510</v>
      </c>
      <c r="K121" s="27">
        <v>1336</v>
      </c>
      <c r="L121" s="39">
        <v>2208</v>
      </c>
      <c r="M121" s="52">
        <v>242</v>
      </c>
      <c r="N121" s="68" t="s">
        <v>155</v>
      </c>
      <c r="O121" s="27" t="s">
        <v>156</v>
      </c>
    </row>
    <row r="122" spans="1:15" ht="75" hidden="1" x14ac:dyDescent="0.25">
      <c r="A122" s="27">
        <v>3632413</v>
      </c>
      <c r="B122" s="27">
        <v>3787373</v>
      </c>
      <c r="C122" s="25" t="s">
        <v>194</v>
      </c>
      <c r="D122" s="65"/>
      <c r="E122" s="27" t="s">
        <v>37</v>
      </c>
      <c r="F122" s="27" t="s">
        <v>191</v>
      </c>
      <c r="G122" s="27" t="s">
        <v>55</v>
      </c>
      <c r="H122" s="67">
        <v>2800</v>
      </c>
      <c r="I122" s="50">
        <v>45541</v>
      </c>
      <c r="J122" s="50">
        <v>45552</v>
      </c>
      <c r="K122" s="27">
        <v>1370</v>
      </c>
      <c r="L122" s="39">
        <v>2208</v>
      </c>
      <c r="M122" s="52">
        <v>242</v>
      </c>
      <c r="N122" s="74" t="s">
        <v>155</v>
      </c>
      <c r="O122" s="27" t="s">
        <v>156</v>
      </c>
    </row>
    <row r="123" spans="1:15" ht="90" hidden="1" x14ac:dyDescent="0.25">
      <c r="A123" s="27">
        <v>3632413</v>
      </c>
      <c r="B123" s="27">
        <v>3787373</v>
      </c>
      <c r="C123" s="25" t="s">
        <v>195</v>
      </c>
      <c r="D123" s="27"/>
      <c r="E123" s="27" t="s">
        <v>37</v>
      </c>
      <c r="F123" s="14" t="s">
        <v>191</v>
      </c>
      <c r="G123" s="63" t="s">
        <v>55</v>
      </c>
      <c r="H123" s="67">
        <v>2800</v>
      </c>
      <c r="I123" s="80">
        <v>45558</v>
      </c>
      <c r="J123" s="50">
        <v>45561</v>
      </c>
      <c r="K123" s="59">
        <v>1382</v>
      </c>
      <c r="L123" s="39">
        <v>2208</v>
      </c>
      <c r="M123" s="52">
        <v>242</v>
      </c>
      <c r="N123" s="68" t="s">
        <v>155</v>
      </c>
      <c r="O123" s="27" t="s">
        <v>163</v>
      </c>
    </row>
    <row r="124" spans="1:15" ht="90" hidden="1" x14ac:dyDescent="0.25">
      <c r="A124" s="27">
        <v>3632413</v>
      </c>
      <c r="B124" s="27">
        <v>3787373</v>
      </c>
      <c r="C124" s="25" t="s">
        <v>195</v>
      </c>
      <c r="D124" s="27"/>
      <c r="E124" s="27" t="s">
        <v>37</v>
      </c>
      <c r="F124" s="27" t="s">
        <v>191</v>
      </c>
      <c r="G124" s="27" t="s">
        <v>55</v>
      </c>
      <c r="H124" s="67">
        <v>2800</v>
      </c>
      <c r="I124" s="50">
        <v>45594</v>
      </c>
      <c r="J124" s="27"/>
      <c r="K124" s="27">
        <v>1407</v>
      </c>
      <c r="L124" s="39"/>
      <c r="M124" s="27"/>
      <c r="N124" s="89" t="s">
        <v>197</v>
      </c>
      <c r="O124" s="27" t="s">
        <v>156</v>
      </c>
    </row>
    <row r="125" spans="1:15" ht="75" hidden="1" x14ac:dyDescent="0.25">
      <c r="A125" s="27">
        <v>3632413</v>
      </c>
      <c r="B125" s="27">
        <v>3787373</v>
      </c>
      <c r="C125" s="25" t="s">
        <v>194</v>
      </c>
      <c r="D125" s="27"/>
      <c r="E125" s="27" t="s">
        <v>37</v>
      </c>
      <c r="F125" s="27" t="s">
        <v>191</v>
      </c>
      <c r="G125" s="27" t="s">
        <v>55</v>
      </c>
      <c r="H125" s="67">
        <v>2800</v>
      </c>
      <c r="I125" s="50">
        <v>45599</v>
      </c>
      <c r="J125" s="50">
        <v>45602</v>
      </c>
      <c r="K125" s="27">
        <v>1413</v>
      </c>
      <c r="L125" s="39">
        <v>2208</v>
      </c>
      <c r="M125" s="52">
        <v>242</v>
      </c>
      <c r="N125" s="73" t="s">
        <v>155</v>
      </c>
      <c r="O125" s="27" t="s">
        <v>156</v>
      </c>
    </row>
    <row r="126" spans="1:15" ht="75" hidden="1" x14ac:dyDescent="0.25">
      <c r="A126" s="27">
        <v>3632413</v>
      </c>
      <c r="B126" s="27">
        <v>3787373</v>
      </c>
      <c r="C126" s="25" t="s">
        <v>194</v>
      </c>
      <c r="D126" s="27"/>
      <c r="E126" s="27" t="s">
        <v>45</v>
      </c>
      <c r="F126" s="27" t="s">
        <v>191</v>
      </c>
      <c r="G126" s="27" t="s">
        <v>55</v>
      </c>
      <c r="H126" s="67">
        <v>2800</v>
      </c>
      <c r="I126" s="50">
        <v>45630</v>
      </c>
      <c r="J126" s="50">
        <v>45631</v>
      </c>
      <c r="K126" s="27">
        <v>1460</v>
      </c>
      <c r="L126" s="39">
        <v>2208</v>
      </c>
      <c r="M126" s="52">
        <v>242</v>
      </c>
      <c r="N126" s="73" t="s">
        <v>155</v>
      </c>
      <c r="O126" s="27" t="s">
        <v>156</v>
      </c>
    </row>
    <row r="127" spans="1:15" ht="90" hidden="1" x14ac:dyDescent="0.25">
      <c r="A127" s="27">
        <v>3632413</v>
      </c>
      <c r="B127" s="27">
        <v>3787373</v>
      </c>
      <c r="C127" s="25" t="s">
        <v>195</v>
      </c>
      <c r="D127" s="27"/>
      <c r="E127" s="27" t="s">
        <v>37</v>
      </c>
      <c r="F127" s="27" t="s">
        <v>191</v>
      </c>
      <c r="G127" s="27" t="s">
        <v>55</v>
      </c>
      <c r="H127" s="67">
        <v>2800</v>
      </c>
      <c r="I127" s="50">
        <v>45660</v>
      </c>
      <c r="J127" s="50">
        <v>45660</v>
      </c>
      <c r="K127" s="27">
        <v>1486</v>
      </c>
      <c r="L127" s="39">
        <v>2208</v>
      </c>
      <c r="M127" s="52">
        <v>242</v>
      </c>
      <c r="N127" s="71" t="s">
        <v>155</v>
      </c>
      <c r="O127" s="27" t="s">
        <v>198</v>
      </c>
    </row>
    <row r="128" spans="1:15" ht="409.5" hidden="1" x14ac:dyDescent="0.25">
      <c r="A128" s="27">
        <v>4002793</v>
      </c>
      <c r="B128" s="27">
        <v>4129082</v>
      </c>
      <c r="C128" s="25" t="s">
        <v>199</v>
      </c>
      <c r="D128" s="27" t="s">
        <v>200</v>
      </c>
      <c r="E128" s="27" t="s">
        <v>45</v>
      </c>
      <c r="F128" s="27" t="s">
        <v>191</v>
      </c>
      <c r="G128" s="27" t="s">
        <v>55</v>
      </c>
      <c r="H128" s="67">
        <v>2750</v>
      </c>
      <c r="I128" s="50">
        <v>45735</v>
      </c>
      <c r="J128" s="50">
        <v>45736</v>
      </c>
      <c r="K128" s="58" t="s">
        <v>201</v>
      </c>
      <c r="L128" s="39" t="s">
        <v>202</v>
      </c>
      <c r="M128" s="52">
        <v>242</v>
      </c>
      <c r="N128" s="73" t="s">
        <v>155</v>
      </c>
      <c r="O128" s="27" t="s">
        <v>156</v>
      </c>
    </row>
    <row r="129" spans="1:15" ht="90" hidden="1" x14ac:dyDescent="0.25">
      <c r="A129" s="27" t="s">
        <v>32</v>
      </c>
      <c r="B129" s="27"/>
      <c r="C129" s="25"/>
      <c r="D129" s="27"/>
      <c r="E129" s="27"/>
      <c r="F129" s="27" t="s">
        <v>191</v>
      </c>
      <c r="G129" s="27"/>
      <c r="H129" s="77"/>
      <c r="I129" s="50"/>
      <c r="J129" s="27"/>
      <c r="K129" s="27">
        <v>1569</v>
      </c>
      <c r="L129" s="39"/>
      <c r="M129" s="27"/>
      <c r="N129" s="89" t="s">
        <v>203</v>
      </c>
      <c r="O129" s="27" t="s">
        <v>156</v>
      </c>
    </row>
    <row r="130" spans="1:15" ht="409.5" hidden="1" x14ac:dyDescent="0.25">
      <c r="A130" s="27">
        <v>4002793</v>
      </c>
      <c r="B130" s="27">
        <v>4129082</v>
      </c>
      <c r="C130" s="25" t="s">
        <v>199</v>
      </c>
      <c r="D130" s="27" t="s">
        <v>200</v>
      </c>
      <c r="E130" s="27" t="s">
        <v>37</v>
      </c>
      <c r="F130" s="27" t="s">
        <v>191</v>
      </c>
      <c r="G130" s="27" t="s">
        <v>55</v>
      </c>
      <c r="H130" s="67">
        <v>2750</v>
      </c>
      <c r="I130" s="50">
        <v>45748</v>
      </c>
      <c r="J130" s="50">
        <v>45749</v>
      </c>
      <c r="K130" s="27">
        <v>1571</v>
      </c>
      <c r="L130" s="39" t="s">
        <v>202</v>
      </c>
      <c r="M130" s="52">
        <v>242</v>
      </c>
      <c r="N130" s="68" t="s">
        <v>155</v>
      </c>
      <c r="O130" s="27" t="s">
        <v>156</v>
      </c>
    </row>
    <row r="131" spans="1:15" ht="300" hidden="1" x14ac:dyDescent="0.25">
      <c r="A131" s="27">
        <v>4002793</v>
      </c>
      <c r="B131" s="27">
        <v>4129082</v>
      </c>
      <c r="C131" s="25" t="s">
        <v>199</v>
      </c>
      <c r="D131" s="27" t="s">
        <v>200</v>
      </c>
      <c r="E131" s="27" t="s">
        <v>37</v>
      </c>
      <c r="F131" s="27" t="s">
        <v>191</v>
      </c>
      <c r="G131" s="27" t="s">
        <v>55</v>
      </c>
      <c r="H131" s="67">
        <v>2750</v>
      </c>
      <c r="I131" s="50">
        <v>45778</v>
      </c>
      <c r="J131" s="50">
        <v>45785</v>
      </c>
      <c r="K131" s="57">
        <v>1601</v>
      </c>
      <c r="L131" s="39" t="s">
        <v>204</v>
      </c>
      <c r="M131" s="52">
        <v>242</v>
      </c>
      <c r="N131" s="68" t="s">
        <v>155</v>
      </c>
      <c r="O131" s="27" t="s">
        <v>156</v>
      </c>
    </row>
    <row r="132" spans="1:15" ht="300" hidden="1" x14ac:dyDescent="0.25">
      <c r="A132" s="27">
        <v>4002793</v>
      </c>
      <c r="B132" s="27">
        <v>4129082</v>
      </c>
      <c r="C132" s="25" t="s">
        <v>199</v>
      </c>
      <c r="D132" s="27" t="s">
        <v>200</v>
      </c>
      <c r="E132" s="27" t="s">
        <v>37</v>
      </c>
      <c r="F132" s="27" t="s">
        <v>191</v>
      </c>
      <c r="G132" s="27" t="s">
        <v>55</v>
      </c>
      <c r="H132" s="67">
        <v>2750</v>
      </c>
      <c r="I132" s="50">
        <v>45812</v>
      </c>
      <c r="J132" s="50">
        <v>45817</v>
      </c>
      <c r="K132" s="57">
        <v>1628</v>
      </c>
      <c r="L132" s="39" t="s">
        <v>204</v>
      </c>
      <c r="M132" s="52">
        <v>242</v>
      </c>
      <c r="N132" s="73" t="s">
        <v>155</v>
      </c>
      <c r="O132" s="27" t="s">
        <v>156</v>
      </c>
    </row>
    <row r="133" spans="1:15" ht="300" hidden="1" x14ac:dyDescent="0.25">
      <c r="A133" s="27">
        <v>4002793</v>
      </c>
      <c r="B133" s="27">
        <v>4129082</v>
      </c>
      <c r="C133" s="25" t="s">
        <v>205</v>
      </c>
      <c r="D133" s="27" t="s">
        <v>200</v>
      </c>
      <c r="E133" s="27" t="s">
        <v>37</v>
      </c>
      <c r="F133" s="27" t="s">
        <v>191</v>
      </c>
      <c r="G133" s="27" t="s">
        <v>55</v>
      </c>
      <c r="H133" s="67">
        <v>2750</v>
      </c>
      <c r="I133" s="50">
        <v>45843</v>
      </c>
      <c r="J133" s="50">
        <v>45845</v>
      </c>
      <c r="K133" s="57">
        <v>1673</v>
      </c>
      <c r="L133" s="39" t="s">
        <v>206</v>
      </c>
      <c r="M133" s="52">
        <v>242</v>
      </c>
      <c r="N133" s="68" t="s">
        <v>155</v>
      </c>
      <c r="O133" s="27" t="s">
        <v>156</v>
      </c>
    </row>
    <row r="134" spans="1:15" ht="300" hidden="1" x14ac:dyDescent="0.25">
      <c r="A134" s="27">
        <v>4002793</v>
      </c>
      <c r="B134" s="27">
        <v>4129082</v>
      </c>
      <c r="C134" s="25" t="s">
        <v>207</v>
      </c>
      <c r="D134" s="27" t="s">
        <v>200</v>
      </c>
      <c r="E134" s="27" t="s">
        <v>37</v>
      </c>
      <c r="F134" s="27" t="s">
        <v>191</v>
      </c>
      <c r="G134" s="27" t="s">
        <v>55</v>
      </c>
      <c r="H134" s="67">
        <v>2750</v>
      </c>
      <c r="I134" s="50">
        <v>45871</v>
      </c>
      <c r="J134" s="50">
        <v>45873</v>
      </c>
      <c r="K134" s="57">
        <v>1693</v>
      </c>
      <c r="L134" s="39" t="s">
        <v>206</v>
      </c>
      <c r="M134" s="52">
        <v>242</v>
      </c>
      <c r="N134" s="68" t="s">
        <v>155</v>
      </c>
      <c r="O134" s="27" t="s">
        <v>156</v>
      </c>
    </row>
    <row r="135" spans="1:15" ht="300" hidden="1" x14ac:dyDescent="0.25">
      <c r="A135" s="14">
        <v>4002793</v>
      </c>
      <c r="B135" s="14">
        <v>4129082</v>
      </c>
      <c r="C135" s="25" t="s">
        <v>207</v>
      </c>
      <c r="D135" s="27">
        <v>15839</v>
      </c>
      <c r="E135" s="27" t="s">
        <v>37</v>
      </c>
      <c r="F135" s="27" t="s">
        <v>191</v>
      </c>
      <c r="G135" s="27" t="s">
        <v>55</v>
      </c>
      <c r="H135" s="78">
        <v>2750</v>
      </c>
      <c r="I135" s="50">
        <v>45903</v>
      </c>
      <c r="J135" s="50">
        <v>45905</v>
      </c>
      <c r="K135" s="57">
        <v>1724</v>
      </c>
      <c r="L135" s="39" t="s">
        <v>206</v>
      </c>
      <c r="M135" s="52">
        <v>242</v>
      </c>
      <c r="N135" s="68" t="s">
        <v>155</v>
      </c>
      <c r="O135" s="27" t="s">
        <v>163</v>
      </c>
    </row>
    <row r="136" spans="1:15" ht="165" hidden="1" x14ac:dyDescent="0.25">
      <c r="A136" s="14">
        <v>4002793</v>
      </c>
      <c r="B136" s="14">
        <v>4129082</v>
      </c>
      <c r="C136" s="25" t="s">
        <v>207</v>
      </c>
      <c r="D136" s="27">
        <v>15839</v>
      </c>
      <c r="E136" s="27" t="s">
        <v>37</v>
      </c>
      <c r="F136" s="27" t="s">
        <v>191</v>
      </c>
      <c r="G136" s="27" t="s">
        <v>55</v>
      </c>
      <c r="H136" s="67">
        <v>2750</v>
      </c>
      <c r="I136" s="50">
        <v>45932</v>
      </c>
      <c r="J136" s="50">
        <v>45933</v>
      </c>
      <c r="K136" s="57">
        <v>1747</v>
      </c>
      <c r="L136" s="39" t="s">
        <v>208</v>
      </c>
      <c r="M136" s="52">
        <v>242</v>
      </c>
      <c r="N136" s="73" t="s">
        <v>155</v>
      </c>
      <c r="O136" s="27" t="s">
        <v>156</v>
      </c>
    </row>
    <row r="137" spans="1:15" ht="30" hidden="1" x14ac:dyDescent="0.25">
      <c r="A137" s="27">
        <v>4004885</v>
      </c>
      <c r="B137" s="27">
        <v>4131474</v>
      </c>
      <c r="C137" s="25" t="s">
        <v>209</v>
      </c>
      <c r="D137" s="27" t="s">
        <v>210</v>
      </c>
      <c r="E137" s="27" t="s">
        <v>37</v>
      </c>
      <c r="F137" s="27" t="s">
        <v>62</v>
      </c>
      <c r="G137" s="27" t="s">
        <v>46</v>
      </c>
      <c r="H137" s="67">
        <v>29471.02</v>
      </c>
      <c r="I137" s="50">
        <v>45679</v>
      </c>
      <c r="J137" s="50">
        <v>45688</v>
      </c>
      <c r="K137" s="148" t="s">
        <v>211</v>
      </c>
      <c r="L137" s="39" t="s">
        <v>212</v>
      </c>
      <c r="M137" s="52">
        <v>242</v>
      </c>
      <c r="N137" s="79" t="s">
        <v>155</v>
      </c>
      <c r="O137" s="27" t="s">
        <v>156</v>
      </c>
    </row>
    <row r="138" spans="1:15" ht="30" hidden="1" x14ac:dyDescent="0.25">
      <c r="A138" s="27">
        <v>4004885</v>
      </c>
      <c r="B138" s="27">
        <v>4131474</v>
      </c>
      <c r="C138" s="25" t="s">
        <v>213</v>
      </c>
      <c r="D138" s="27" t="s">
        <v>210</v>
      </c>
      <c r="E138" s="27" t="s">
        <v>37</v>
      </c>
      <c r="F138" s="27" t="s">
        <v>62</v>
      </c>
      <c r="G138" s="27" t="s">
        <v>46</v>
      </c>
      <c r="H138" s="67">
        <v>29471.02</v>
      </c>
      <c r="I138" s="50">
        <v>45699</v>
      </c>
      <c r="J138" s="50">
        <v>45700</v>
      </c>
      <c r="K138" s="27">
        <v>4323</v>
      </c>
      <c r="L138" s="39" t="s">
        <v>212</v>
      </c>
      <c r="M138" s="52">
        <v>242</v>
      </c>
      <c r="N138" s="73" t="s">
        <v>155</v>
      </c>
      <c r="O138" s="27" t="s">
        <v>156</v>
      </c>
    </row>
    <row r="139" spans="1:15" ht="30" hidden="1" x14ac:dyDescent="0.25">
      <c r="A139" s="27">
        <v>4004885</v>
      </c>
      <c r="B139" s="27">
        <v>4131474</v>
      </c>
      <c r="C139" s="25" t="s">
        <v>214</v>
      </c>
      <c r="D139" s="27" t="s">
        <v>210</v>
      </c>
      <c r="E139" s="27" t="s">
        <v>37</v>
      </c>
      <c r="F139" s="27" t="s">
        <v>62</v>
      </c>
      <c r="G139" s="27" t="s">
        <v>46</v>
      </c>
      <c r="H139" s="67">
        <v>29471.02</v>
      </c>
      <c r="I139" s="50">
        <v>45726</v>
      </c>
      <c r="J139" s="50">
        <v>45733</v>
      </c>
      <c r="K139" s="27">
        <v>4417</v>
      </c>
      <c r="L139" s="39" t="s">
        <v>212</v>
      </c>
      <c r="M139" s="52">
        <v>242</v>
      </c>
      <c r="N139" s="73" t="s">
        <v>155</v>
      </c>
      <c r="O139" s="27" t="s">
        <v>156</v>
      </c>
    </row>
    <row r="140" spans="1:15" ht="30" hidden="1" x14ac:dyDescent="0.25">
      <c r="A140" s="27">
        <v>4004885</v>
      </c>
      <c r="B140" s="27">
        <v>4131474</v>
      </c>
      <c r="C140" s="25" t="s">
        <v>215</v>
      </c>
      <c r="D140" s="27" t="s">
        <v>210</v>
      </c>
      <c r="E140" s="27" t="s">
        <v>37</v>
      </c>
      <c r="F140" s="27" t="s">
        <v>62</v>
      </c>
      <c r="G140" s="27" t="s">
        <v>46</v>
      </c>
      <c r="H140" s="67">
        <v>29471.02</v>
      </c>
      <c r="I140" s="50">
        <v>45757</v>
      </c>
      <c r="J140" s="50">
        <v>45764</v>
      </c>
      <c r="K140" s="27">
        <v>4558</v>
      </c>
      <c r="L140" s="39" t="s">
        <v>212</v>
      </c>
      <c r="M140" s="52">
        <v>242</v>
      </c>
      <c r="N140" s="73" t="s">
        <v>155</v>
      </c>
      <c r="O140" s="27" t="s">
        <v>156</v>
      </c>
    </row>
    <row r="141" spans="1:15" ht="30" hidden="1" x14ac:dyDescent="0.25">
      <c r="A141" s="27">
        <v>4004885</v>
      </c>
      <c r="B141" s="27">
        <v>4131474</v>
      </c>
      <c r="C141" s="25" t="s">
        <v>216</v>
      </c>
      <c r="D141" s="27" t="s">
        <v>210</v>
      </c>
      <c r="E141" s="27" t="s">
        <v>37</v>
      </c>
      <c r="F141" s="27" t="s">
        <v>62</v>
      </c>
      <c r="G141" s="27" t="s">
        <v>46</v>
      </c>
      <c r="H141" s="67">
        <v>29471.02</v>
      </c>
      <c r="I141" s="50">
        <v>45786</v>
      </c>
      <c r="J141" s="50">
        <v>45790</v>
      </c>
      <c r="K141" s="57">
        <v>4678</v>
      </c>
      <c r="L141" s="39" t="s">
        <v>212</v>
      </c>
      <c r="M141" s="52">
        <v>242</v>
      </c>
      <c r="N141" s="73" t="s">
        <v>155</v>
      </c>
      <c r="O141" s="55" t="s">
        <v>157</v>
      </c>
    </row>
    <row r="142" spans="1:15" ht="30" hidden="1" x14ac:dyDescent="0.25">
      <c r="A142" s="27">
        <v>4004885</v>
      </c>
      <c r="B142" s="27">
        <v>4131474</v>
      </c>
      <c r="C142" s="25" t="s">
        <v>217</v>
      </c>
      <c r="D142" s="27" t="s">
        <v>210</v>
      </c>
      <c r="E142" s="27" t="s">
        <v>37</v>
      </c>
      <c r="F142" s="27" t="s">
        <v>62</v>
      </c>
      <c r="G142" s="27" t="s">
        <v>46</v>
      </c>
      <c r="H142" s="67">
        <v>29471.02</v>
      </c>
      <c r="I142" s="50">
        <v>45820</v>
      </c>
      <c r="J142" s="50">
        <v>45831</v>
      </c>
      <c r="K142" s="57">
        <v>4712</v>
      </c>
      <c r="L142" s="39" t="s">
        <v>212</v>
      </c>
      <c r="M142" s="52">
        <v>242</v>
      </c>
      <c r="N142" s="73" t="s">
        <v>155</v>
      </c>
      <c r="O142" s="27" t="s">
        <v>156</v>
      </c>
    </row>
    <row r="143" spans="1:15" ht="30" hidden="1" x14ac:dyDescent="0.25">
      <c r="A143" s="27">
        <v>4004885</v>
      </c>
      <c r="B143" s="27">
        <v>4131474</v>
      </c>
      <c r="C143" s="25" t="s">
        <v>218</v>
      </c>
      <c r="D143" s="27" t="s">
        <v>210</v>
      </c>
      <c r="E143" s="27" t="s">
        <v>37</v>
      </c>
      <c r="F143" s="27" t="s">
        <v>62</v>
      </c>
      <c r="G143" s="27" t="s">
        <v>46</v>
      </c>
      <c r="H143" s="67">
        <v>29471.02</v>
      </c>
      <c r="I143" s="50">
        <v>45841</v>
      </c>
      <c r="J143" s="50">
        <v>45845</v>
      </c>
      <c r="K143" s="57">
        <v>4885</v>
      </c>
      <c r="L143" s="39" t="s">
        <v>212</v>
      </c>
      <c r="M143" s="52">
        <v>242</v>
      </c>
      <c r="N143" s="75" t="s">
        <v>155</v>
      </c>
      <c r="O143" s="27" t="s">
        <v>156</v>
      </c>
    </row>
    <row r="144" spans="1:15" ht="30" hidden="1" x14ac:dyDescent="0.25">
      <c r="A144" s="27">
        <v>4004885</v>
      </c>
      <c r="B144" s="27">
        <v>4131474</v>
      </c>
      <c r="C144" s="25" t="s">
        <v>219</v>
      </c>
      <c r="D144" s="27" t="s">
        <v>210</v>
      </c>
      <c r="E144" s="27" t="s">
        <v>37</v>
      </c>
      <c r="F144" s="27" t="s">
        <v>62</v>
      </c>
      <c r="G144" s="27" t="s">
        <v>46</v>
      </c>
      <c r="H144" s="67">
        <v>29471.02</v>
      </c>
      <c r="I144" s="50">
        <v>45876</v>
      </c>
      <c r="J144" s="50">
        <v>45877</v>
      </c>
      <c r="K144" s="57">
        <v>5006</v>
      </c>
      <c r="L144" s="39" t="s">
        <v>212</v>
      </c>
      <c r="M144" s="52">
        <v>242</v>
      </c>
      <c r="N144" s="75" t="s">
        <v>155</v>
      </c>
      <c r="O144" s="27" t="s">
        <v>156</v>
      </c>
    </row>
    <row r="145" spans="1:15" ht="30" hidden="1" x14ac:dyDescent="0.25">
      <c r="A145" s="30">
        <v>4004885</v>
      </c>
      <c r="B145" s="30">
        <v>4131474</v>
      </c>
      <c r="C145" s="60" t="s">
        <v>220</v>
      </c>
      <c r="D145" s="27" t="s">
        <v>210</v>
      </c>
      <c r="E145" s="27" t="s">
        <v>37</v>
      </c>
      <c r="F145" s="27" t="s">
        <v>62</v>
      </c>
      <c r="G145" s="27" t="s">
        <v>46</v>
      </c>
      <c r="H145" s="67">
        <v>29471.02</v>
      </c>
      <c r="I145" s="50">
        <v>45905</v>
      </c>
      <c r="J145" s="50">
        <v>45912</v>
      </c>
      <c r="K145" s="57">
        <v>5161</v>
      </c>
      <c r="L145" s="39" t="s">
        <v>212</v>
      </c>
      <c r="M145" s="52">
        <v>242</v>
      </c>
      <c r="N145" s="75" t="s">
        <v>155</v>
      </c>
      <c r="O145" s="27" t="s">
        <v>163</v>
      </c>
    </row>
    <row r="146" spans="1:15" ht="30" hidden="1" x14ac:dyDescent="0.25">
      <c r="A146" s="27">
        <v>4004885</v>
      </c>
      <c r="B146" s="27">
        <v>4131474</v>
      </c>
      <c r="C146" s="25" t="s">
        <v>221</v>
      </c>
      <c r="D146" s="27" t="s">
        <v>210</v>
      </c>
      <c r="E146" s="27" t="s">
        <v>37</v>
      </c>
      <c r="F146" s="27" t="s">
        <v>62</v>
      </c>
      <c r="G146" s="27" t="s">
        <v>46</v>
      </c>
      <c r="H146" s="67">
        <v>29471.02</v>
      </c>
      <c r="I146" s="50">
        <v>45938</v>
      </c>
      <c r="J146" s="50">
        <v>45940</v>
      </c>
      <c r="K146" s="57">
        <v>5294</v>
      </c>
      <c r="L146" s="39" t="s">
        <v>222</v>
      </c>
      <c r="M146" s="52">
        <v>242</v>
      </c>
      <c r="N146" s="73" t="s">
        <v>155</v>
      </c>
      <c r="O146" s="27" t="s">
        <v>156</v>
      </c>
    </row>
    <row r="147" spans="1:15" ht="30" hidden="1" x14ac:dyDescent="0.25">
      <c r="A147" s="27">
        <v>3623588</v>
      </c>
      <c r="B147" s="27">
        <v>3769114</v>
      </c>
      <c r="C147" s="25"/>
      <c r="D147" s="27" t="s">
        <v>223</v>
      </c>
      <c r="E147" s="27" t="s">
        <v>45</v>
      </c>
      <c r="F147" s="27" t="s">
        <v>62</v>
      </c>
      <c r="G147" s="27" t="s">
        <v>46</v>
      </c>
      <c r="H147" s="70">
        <v>24021.14</v>
      </c>
      <c r="I147" s="50">
        <v>45309</v>
      </c>
      <c r="J147" s="50">
        <v>45317</v>
      </c>
      <c r="K147" s="27">
        <v>2855</v>
      </c>
      <c r="L147" s="39">
        <v>2488</v>
      </c>
      <c r="M147" s="52">
        <v>37</v>
      </c>
      <c r="N147" s="68" t="s">
        <v>155</v>
      </c>
      <c r="O147" s="27" t="s">
        <v>156</v>
      </c>
    </row>
    <row r="148" spans="1:15" ht="30" hidden="1" x14ac:dyDescent="0.25">
      <c r="A148" s="27">
        <v>3623588</v>
      </c>
      <c r="B148" s="27">
        <v>3769114</v>
      </c>
      <c r="C148" s="25"/>
      <c r="D148" s="27" t="s">
        <v>223</v>
      </c>
      <c r="E148" s="27" t="s">
        <v>37</v>
      </c>
      <c r="F148" s="27" t="s">
        <v>62</v>
      </c>
      <c r="G148" s="27" t="s">
        <v>46</v>
      </c>
      <c r="H148" s="70">
        <v>23951.16</v>
      </c>
      <c r="I148" s="50">
        <v>45331</v>
      </c>
      <c r="J148" s="50">
        <v>45335</v>
      </c>
      <c r="K148" s="27">
        <v>2913</v>
      </c>
      <c r="L148" s="39">
        <v>2488</v>
      </c>
      <c r="M148" s="52">
        <v>37</v>
      </c>
      <c r="N148" s="68" t="s">
        <v>155</v>
      </c>
      <c r="O148" s="27" t="s">
        <v>157</v>
      </c>
    </row>
    <row r="149" spans="1:15" ht="30" hidden="1" x14ac:dyDescent="0.25">
      <c r="A149" s="27">
        <v>3623588</v>
      </c>
      <c r="B149" s="27">
        <v>3769114</v>
      </c>
      <c r="C149" s="25"/>
      <c r="D149" s="27" t="s">
        <v>223</v>
      </c>
      <c r="E149" s="27" t="s">
        <v>37</v>
      </c>
      <c r="F149" s="27" t="s">
        <v>62</v>
      </c>
      <c r="G149" s="27" t="s">
        <v>46</v>
      </c>
      <c r="H149" s="70">
        <v>12070.68</v>
      </c>
      <c r="I149" s="50">
        <v>45358</v>
      </c>
      <c r="J149" s="50"/>
      <c r="K149" s="27">
        <v>3003</v>
      </c>
      <c r="L149" s="39">
        <v>2488</v>
      </c>
      <c r="M149" s="52">
        <v>37</v>
      </c>
      <c r="N149" s="68" t="s">
        <v>155</v>
      </c>
      <c r="O149" s="27" t="s">
        <v>224</v>
      </c>
    </row>
    <row r="150" spans="1:15" ht="30" hidden="1" x14ac:dyDescent="0.25">
      <c r="A150" s="27">
        <v>3623588</v>
      </c>
      <c r="B150" s="27">
        <v>3769114</v>
      </c>
      <c r="C150" s="25"/>
      <c r="D150" s="27" t="s">
        <v>223</v>
      </c>
      <c r="E150" s="27" t="s">
        <v>37</v>
      </c>
      <c r="F150" s="27" t="s">
        <v>62</v>
      </c>
      <c r="G150" s="27" t="s">
        <v>46</v>
      </c>
      <c r="H150" s="70">
        <v>24991.5</v>
      </c>
      <c r="I150" s="50">
        <v>45401</v>
      </c>
      <c r="J150" s="50">
        <v>45407</v>
      </c>
      <c r="K150" s="27">
        <v>3192</v>
      </c>
      <c r="L150" s="39">
        <v>2488</v>
      </c>
      <c r="M150" s="52">
        <v>37</v>
      </c>
      <c r="N150" s="68" t="s">
        <v>155</v>
      </c>
      <c r="O150" s="27" t="s">
        <v>156</v>
      </c>
    </row>
    <row r="151" spans="1:15" ht="30" hidden="1" x14ac:dyDescent="0.25">
      <c r="A151" s="27">
        <v>3623588</v>
      </c>
      <c r="B151" s="27">
        <v>3769114</v>
      </c>
      <c r="C151" s="25"/>
      <c r="D151" s="27" t="s">
        <v>223</v>
      </c>
      <c r="E151" s="27" t="s">
        <v>37</v>
      </c>
      <c r="F151" s="27" t="s">
        <v>62</v>
      </c>
      <c r="G151" s="27" t="s">
        <v>46</v>
      </c>
      <c r="H151" s="70">
        <v>12495.75</v>
      </c>
      <c r="I151" s="50">
        <v>45420</v>
      </c>
      <c r="J151" s="50"/>
      <c r="K151" s="27">
        <v>3224</v>
      </c>
      <c r="L151" s="39">
        <v>2488</v>
      </c>
      <c r="M151" s="52">
        <v>37</v>
      </c>
      <c r="N151" s="68" t="s">
        <v>155</v>
      </c>
      <c r="O151" s="27" t="s">
        <v>157</v>
      </c>
    </row>
    <row r="152" spans="1:15" ht="30" hidden="1" x14ac:dyDescent="0.25">
      <c r="A152" s="27">
        <v>3623588</v>
      </c>
      <c r="B152" s="27">
        <v>3769114</v>
      </c>
      <c r="C152" s="25"/>
      <c r="D152" s="27" t="s">
        <v>223</v>
      </c>
      <c r="E152" s="27" t="s">
        <v>45</v>
      </c>
      <c r="F152" s="27" t="s">
        <v>62</v>
      </c>
      <c r="G152" s="27" t="s">
        <v>46</v>
      </c>
      <c r="H152" s="70">
        <v>12495.75</v>
      </c>
      <c r="I152" s="50">
        <v>45450</v>
      </c>
      <c r="J152" s="50">
        <v>45453</v>
      </c>
      <c r="K152" s="27">
        <v>3385</v>
      </c>
      <c r="L152" s="39">
        <v>2488</v>
      </c>
      <c r="M152" s="52">
        <v>37</v>
      </c>
      <c r="N152" s="68" t="s">
        <v>155</v>
      </c>
      <c r="O152" s="27" t="s">
        <v>156</v>
      </c>
    </row>
    <row r="153" spans="1:15" ht="30" hidden="1" x14ac:dyDescent="0.25">
      <c r="A153" s="27">
        <v>3623588</v>
      </c>
      <c r="B153" s="27">
        <v>3769114</v>
      </c>
      <c r="C153" s="25"/>
      <c r="D153" s="27" t="s">
        <v>223</v>
      </c>
      <c r="E153" s="27" t="s">
        <v>37</v>
      </c>
      <c r="F153" s="27" t="s">
        <v>62</v>
      </c>
      <c r="G153" s="27" t="s">
        <v>46</v>
      </c>
      <c r="H153" s="70">
        <v>13300.79</v>
      </c>
      <c r="I153" s="50">
        <v>45481</v>
      </c>
      <c r="J153" s="50">
        <v>45486</v>
      </c>
      <c r="K153" s="27">
        <v>3498</v>
      </c>
      <c r="L153" s="39">
        <v>2488</v>
      </c>
      <c r="M153" s="52">
        <v>37</v>
      </c>
      <c r="N153" s="68" t="s">
        <v>155</v>
      </c>
      <c r="O153" s="27" t="s">
        <v>156</v>
      </c>
    </row>
    <row r="154" spans="1:15" ht="30" hidden="1" x14ac:dyDescent="0.25">
      <c r="A154" s="27">
        <v>3623588</v>
      </c>
      <c r="B154" s="27">
        <v>3769114</v>
      </c>
      <c r="C154" s="25"/>
      <c r="D154" s="27" t="s">
        <v>223</v>
      </c>
      <c r="E154" s="27" t="s">
        <v>37</v>
      </c>
      <c r="F154" s="27" t="s">
        <v>62</v>
      </c>
      <c r="G154" s="62" t="s">
        <v>46</v>
      </c>
      <c r="H154" s="67">
        <v>13751.42</v>
      </c>
      <c r="I154" s="50">
        <v>45513</v>
      </c>
      <c r="J154" s="50">
        <v>45516</v>
      </c>
      <c r="K154" s="27">
        <v>3652</v>
      </c>
      <c r="L154" s="39">
        <v>2488</v>
      </c>
      <c r="M154" s="52">
        <v>37</v>
      </c>
      <c r="N154" s="68" t="s">
        <v>155</v>
      </c>
      <c r="O154" s="27" t="s">
        <v>156</v>
      </c>
    </row>
    <row r="155" spans="1:15" ht="30" hidden="1" x14ac:dyDescent="0.25">
      <c r="A155" s="27">
        <v>3623588</v>
      </c>
      <c r="B155" s="27">
        <v>3769114</v>
      </c>
      <c r="C155" s="25"/>
      <c r="D155" s="27" t="s">
        <v>223</v>
      </c>
      <c r="E155" s="27" t="s">
        <v>37</v>
      </c>
      <c r="F155" s="27" t="s">
        <v>62</v>
      </c>
      <c r="G155" s="27" t="s">
        <v>46</v>
      </c>
      <c r="H155" s="67">
        <v>13774.08</v>
      </c>
      <c r="I155" s="50">
        <v>45552</v>
      </c>
      <c r="J155" s="50">
        <v>45516</v>
      </c>
      <c r="K155" s="27">
        <v>3801</v>
      </c>
      <c r="L155" s="39">
        <v>2488</v>
      </c>
      <c r="M155" s="52">
        <v>37</v>
      </c>
      <c r="N155" s="68" t="s">
        <v>155</v>
      </c>
      <c r="O155" s="27" t="s">
        <v>156</v>
      </c>
    </row>
    <row r="156" spans="1:15" hidden="1" x14ac:dyDescent="0.25">
      <c r="A156" s="27">
        <v>4083066</v>
      </c>
      <c r="B156" s="27">
        <v>4206828</v>
      </c>
      <c r="C156" s="25" t="s">
        <v>225</v>
      </c>
      <c r="D156" s="27" t="s">
        <v>226</v>
      </c>
      <c r="E156" s="27" t="s">
        <v>45</v>
      </c>
      <c r="F156" s="27" t="s">
        <v>64</v>
      </c>
      <c r="G156" s="27" t="s">
        <v>46</v>
      </c>
      <c r="H156" s="67">
        <v>27196.67</v>
      </c>
      <c r="I156" s="50">
        <v>45800</v>
      </c>
      <c r="J156" s="50">
        <v>45800</v>
      </c>
      <c r="K156" s="1">
        <v>23214</v>
      </c>
      <c r="L156" s="39">
        <v>1210</v>
      </c>
      <c r="M156" s="52">
        <v>242</v>
      </c>
      <c r="N156" s="73" t="s">
        <v>155</v>
      </c>
      <c r="O156" s="27" t="s">
        <v>163</v>
      </c>
    </row>
    <row r="157" spans="1:15" hidden="1" x14ac:dyDescent="0.25">
      <c r="A157" s="27">
        <v>4083066</v>
      </c>
      <c r="B157" s="27">
        <v>4206828</v>
      </c>
      <c r="C157" s="25" t="s">
        <v>227</v>
      </c>
      <c r="D157" s="27" t="s">
        <v>226</v>
      </c>
      <c r="E157" s="27" t="s">
        <v>37</v>
      </c>
      <c r="F157" s="27" t="s">
        <v>64</v>
      </c>
      <c r="G157" s="27" t="s">
        <v>46</v>
      </c>
      <c r="H157" s="67">
        <v>27196.67</v>
      </c>
      <c r="I157" s="50">
        <v>45814</v>
      </c>
      <c r="J157" s="50">
        <v>45817</v>
      </c>
      <c r="K157" s="57">
        <v>23325</v>
      </c>
      <c r="L157" s="39">
        <v>1210</v>
      </c>
      <c r="M157" s="52">
        <v>242</v>
      </c>
      <c r="N157" s="73" t="s">
        <v>155</v>
      </c>
      <c r="O157" s="27" t="s">
        <v>156</v>
      </c>
    </row>
    <row r="158" spans="1:15" hidden="1" x14ac:dyDescent="0.25">
      <c r="A158" s="27">
        <v>4083066</v>
      </c>
      <c r="B158" s="27">
        <v>4206828</v>
      </c>
      <c r="C158" s="25" t="s">
        <v>228</v>
      </c>
      <c r="D158" s="27" t="s">
        <v>226</v>
      </c>
      <c r="E158" s="27" t="s">
        <v>37</v>
      </c>
      <c r="F158" s="27" t="s">
        <v>64</v>
      </c>
      <c r="G158" s="27" t="s">
        <v>46</v>
      </c>
      <c r="H158" s="67">
        <v>27196.67</v>
      </c>
      <c r="I158" s="50">
        <v>45855</v>
      </c>
      <c r="J158" s="50">
        <v>45856</v>
      </c>
      <c r="K158" s="57">
        <v>23648</v>
      </c>
      <c r="L158" s="39">
        <v>1210</v>
      </c>
      <c r="M158" s="52">
        <v>242</v>
      </c>
      <c r="N158" s="68" t="s">
        <v>155</v>
      </c>
      <c r="O158" s="27" t="s">
        <v>156</v>
      </c>
    </row>
    <row r="159" spans="1:15" hidden="1" x14ac:dyDescent="0.25">
      <c r="A159" s="27">
        <v>4083066</v>
      </c>
      <c r="B159" s="27">
        <v>4206828</v>
      </c>
      <c r="C159" s="25" t="s">
        <v>229</v>
      </c>
      <c r="D159" s="27" t="s">
        <v>226</v>
      </c>
      <c r="E159" s="27" t="s">
        <v>37</v>
      </c>
      <c r="F159" s="27" t="s">
        <v>64</v>
      </c>
      <c r="G159" s="27" t="s">
        <v>46</v>
      </c>
      <c r="H159" s="67">
        <v>27196.67</v>
      </c>
      <c r="I159" s="50">
        <v>45882</v>
      </c>
      <c r="J159" s="50">
        <v>45884</v>
      </c>
      <c r="K159" s="57">
        <v>23802</v>
      </c>
      <c r="L159" s="39">
        <v>1210</v>
      </c>
      <c r="M159" s="52">
        <v>242</v>
      </c>
      <c r="N159" s="75" t="s">
        <v>155</v>
      </c>
      <c r="O159" s="27" t="s">
        <v>156</v>
      </c>
    </row>
    <row r="160" spans="1:15" hidden="1" x14ac:dyDescent="0.25">
      <c r="A160" s="27">
        <v>4083066</v>
      </c>
      <c r="B160" s="27">
        <v>4206828</v>
      </c>
      <c r="C160" s="25" t="s">
        <v>230</v>
      </c>
      <c r="D160" s="27" t="s">
        <v>226</v>
      </c>
      <c r="E160" s="27" t="s">
        <v>37</v>
      </c>
      <c r="F160" s="27" t="s">
        <v>64</v>
      </c>
      <c r="G160" s="27" t="s">
        <v>46</v>
      </c>
      <c r="H160" s="67">
        <v>27196.67</v>
      </c>
      <c r="I160" s="50">
        <v>45911</v>
      </c>
      <c r="J160" s="50">
        <v>45918</v>
      </c>
      <c r="K160" s="57">
        <v>24070</v>
      </c>
      <c r="L160" s="39">
        <v>1210</v>
      </c>
      <c r="M160" s="52">
        <v>242</v>
      </c>
      <c r="N160" s="73" t="s">
        <v>155</v>
      </c>
      <c r="O160" s="27" t="s">
        <v>231</v>
      </c>
    </row>
    <row r="161" spans="1:15" hidden="1" x14ac:dyDescent="0.25">
      <c r="A161" s="27">
        <v>4083066</v>
      </c>
      <c r="B161" s="27">
        <v>4206828</v>
      </c>
      <c r="C161" s="25" t="s">
        <v>232</v>
      </c>
      <c r="D161" s="27" t="s">
        <v>226</v>
      </c>
      <c r="E161" s="27" t="s">
        <v>37</v>
      </c>
      <c r="F161" s="27" t="s">
        <v>64</v>
      </c>
      <c r="G161" s="27" t="s">
        <v>46</v>
      </c>
      <c r="H161" s="67">
        <v>27196.67</v>
      </c>
      <c r="I161" s="50">
        <v>45932</v>
      </c>
      <c r="J161" s="50">
        <v>45933</v>
      </c>
      <c r="K161" s="57">
        <v>24177</v>
      </c>
      <c r="L161" s="39">
        <v>1210</v>
      </c>
      <c r="M161" s="52">
        <v>242</v>
      </c>
      <c r="N161" s="73" t="s">
        <v>155</v>
      </c>
      <c r="O161" s="27" t="s">
        <v>156</v>
      </c>
    </row>
    <row r="162" spans="1:15" hidden="1" x14ac:dyDescent="0.25">
      <c r="A162" s="28">
        <v>3623537</v>
      </c>
      <c r="B162" s="27">
        <v>3769130</v>
      </c>
      <c r="C162" s="27"/>
      <c r="D162" s="28"/>
      <c r="E162" s="27" t="s">
        <v>37</v>
      </c>
      <c r="F162" s="27" t="s">
        <v>96</v>
      </c>
      <c r="G162" s="27" t="s">
        <v>46</v>
      </c>
      <c r="H162" s="82">
        <v>8342.9</v>
      </c>
      <c r="I162" s="50">
        <v>45307</v>
      </c>
      <c r="J162" s="50">
        <v>45317</v>
      </c>
      <c r="K162" s="27">
        <v>113569</v>
      </c>
      <c r="L162" s="39"/>
      <c r="M162" s="52">
        <v>153</v>
      </c>
      <c r="N162" s="27" t="s">
        <v>155</v>
      </c>
      <c r="O162" s="27" t="s">
        <v>156</v>
      </c>
    </row>
    <row r="163" spans="1:15" hidden="1" x14ac:dyDescent="0.25">
      <c r="A163" s="28">
        <v>3623537</v>
      </c>
      <c r="B163" s="27">
        <v>3769130</v>
      </c>
      <c r="C163" s="27"/>
      <c r="D163" s="81"/>
      <c r="E163" s="27" t="s">
        <v>37</v>
      </c>
      <c r="F163" s="27" t="s">
        <v>96</v>
      </c>
      <c r="G163" s="27" t="s">
        <v>46</v>
      </c>
      <c r="H163" s="43">
        <v>73810.649999999994</v>
      </c>
      <c r="I163" s="50">
        <v>45331</v>
      </c>
      <c r="J163" s="50">
        <v>45346</v>
      </c>
      <c r="K163" s="1">
        <v>115268</v>
      </c>
      <c r="L163" s="39"/>
      <c r="M163" s="52">
        <v>153</v>
      </c>
      <c r="N163" s="27" t="s">
        <v>155</v>
      </c>
      <c r="O163" s="27" t="s">
        <v>157</v>
      </c>
    </row>
    <row r="164" spans="1:15" hidden="1" x14ac:dyDescent="0.25">
      <c r="A164" s="28">
        <v>3623537</v>
      </c>
      <c r="B164" s="27">
        <v>3769130</v>
      </c>
      <c r="C164" s="27"/>
      <c r="D164" s="28"/>
      <c r="E164" s="27" t="s">
        <v>37</v>
      </c>
      <c r="F164" s="27" t="s">
        <v>96</v>
      </c>
      <c r="G164" s="27" t="s">
        <v>46</v>
      </c>
      <c r="H164" s="82">
        <v>61521</v>
      </c>
      <c r="I164" s="50">
        <v>45331</v>
      </c>
      <c r="J164" s="50">
        <v>45346</v>
      </c>
      <c r="K164" s="27">
        <v>115263</v>
      </c>
      <c r="L164" s="39"/>
      <c r="M164" s="52">
        <v>153</v>
      </c>
      <c r="N164" s="27" t="s">
        <v>155</v>
      </c>
      <c r="O164" s="27" t="s">
        <v>157</v>
      </c>
    </row>
    <row r="165" spans="1:15" hidden="1" x14ac:dyDescent="0.25">
      <c r="A165" s="28">
        <v>3623537</v>
      </c>
      <c r="B165" s="27">
        <v>3769130</v>
      </c>
      <c r="C165" s="27"/>
      <c r="D165" s="28"/>
      <c r="E165" s="27" t="s">
        <v>37</v>
      </c>
      <c r="F165" s="27" t="s">
        <v>96</v>
      </c>
      <c r="G165" s="27" t="s">
        <v>46</v>
      </c>
      <c r="H165" s="82">
        <v>79044.87</v>
      </c>
      <c r="I165" s="50">
        <v>45307</v>
      </c>
      <c r="J165" s="50">
        <v>45393</v>
      </c>
      <c r="K165" s="27">
        <v>113568</v>
      </c>
      <c r="L165" s="39"/>
      <c r="M165" s="52">
        <v>153</v>
      </c>
      <c r="N165" s="27" t="s">
        <v>155</v>
      </c>
      <c r="O165" s="27" t="s">
        <v>157</v>
      </c>
    </row>
    <row r="166" spans="1:15" hidden="1" x14ac:dyDescent="0.25">
      <c r="A166" s="28">
        <v>3623537</v>
      </c>
      <c r="B166" s="27">
        <v>3769130</v>
      </c>
      <c r="C166" s="27"/>
      <c r="D166" s="28"/>
      <c r="E166" s="27" t="s">
        <v>37</v>
      </c>
      <c r="F166" s="27" t="s">
        <v>96</v>
      </c>
      <c r="G166" s="27" t="s">
        <v>46</v>
      </c>
      <c r="H166" s="82">
        <v>73848.17</v>
      </c>
      <c r="I166" s="50">
        <v>45363</v>
      </c>
      <c r="J166" s="50">
        <v>45378</v>
      </c>
      <c r="K166" s="27">
        <v>117864</v>
      </c>
      <c r="L166" s="39"/>
      <c r="M166" s="52">
        <v>153</v>
      </c>
      <c r="N166" s="27" t="s">
        <v>155</v>
      </c>
      <c r="O166" s="27" t="s">
        <v>157</v>
      </c>
    </row>
    <row r="167" spans="1:15" hidden="1" x14ac:dyDescent="0.25">
      <c r="A167" s="28">
        <v>3623537</v>
      </c>
      <c r="B167" s="27">
        <v>3769130</v>
      </c>
      <c r="C167" s="27"/>
      <c r="D167" s="28"/>
      <c r="E167" s="27" t="s">
        <v>37</v>
      </c>
      <c r="F167" s="27" t="s">
        <v>96</v>
      </c>
      <c r="G167" s="27" t="s">
        <v>46</v>
      </c>
      <c r="H167" s="82">
        <v>64310.080000000002</v>
      </c>
      <c r="I167" s="50">
        <v>45377</v>
      </c>
      <c r="J167" s="50">
        <v>45378</v>
      </c>
      <c r="K167" s="27">
        <v>118987</v>
      </c>
      <c r="L167" s="39"/>
      <c r="M167" s="52">
        <v>153</v>
      </c>
      <c r="N167" s="27" t="s">
        <v>155</v>
      </c>
      <c r="O167" s="27" t="s">
        <v>157</v>
      </c>
    </row>
    <row r="168" spans="1:15" hidden="1" x14ac:dyDescent="0.25">
      <c r="A168" s="28">
        <v>3623537</v>
      </c>
      <c r="B168" s="27">
        <v>3769130</v>
      </c>
      <c r="C168" s="27"/>
      <c r="D168" s="28"/>
      <c r="E168" s="27" t="s">
        <v>37</v>
      </c>
      <c r="F168" s="27" t="s">
        <v>96</v>
      </c>
      <c r="G168" s="27" t="s">
        <v>46</v>
      </c>
      <c r="H168" s="82">
        <v>61178.14</v>
      </c>
      <c r="I168" s="50">
        <v>45384</v>
      </c>
      <c r="J168" s="50">
        <v>45387</v>
      </c>
      <c r="K168" s="27">
        <v>119537</v>
      </c>
      <c r="L168" s="39"/>
      <c r="M168" s="52">
        <v>153</v>
      </c>
      <c r="N168" s="27" t="s">
        <v>155</v>
      </c>
      <c r="O168" s="27" t="s">
        <v>157</v>
      </c>
    </row>
    <row r="169" spans="1:15" hidden="1" x14ac:dyDescent="0.25">
      <c r="A169" s="28">
        <v>3623537</v>
      </c>
      <c r="B169" s="27">
        <v>3769130</v>
      </c>
      <c r="C169" s="27"/>
      <c r="D169" s="28"/>
      <c r="E169" s="27" t="s">
        <v>37</v>
      </c>
      <c r="F169" s="27" t="s">
        <v>96</v>
      </c>
      <c r="G169" s="27" t="s">
        <v>46</v>
      </c>
      <c r="H169" s="82">
        <v>79082.39</v>
      </c>
      <c r="I169" s="50">
        <v>45384</v>
      </c>
      <c r="J169" s="50">
        <v>45387</v>
      </c>
      <c r="K169" s="27">
        <v>119538</v>
      </c>
      <c r="L169" s="39"/>
      <c r="M169" s="52">
        <v>153</v>
      </c>
      <c r="N169" s="27" t="s">
        <v>155</v>
      </c>
      <c r="O169" s="27" t="s">
        <v>157</v>
      </c>
    </row>
    <row r="170" spans="1:15" hidden="1" x14ac:dyDescent="0.25">
      <c r="A170" s="28">
        <v>3623537</v>
      </c>
      <c r="B170" s="27">
        <v>3849787</v>
      </c>
      <c r="C170" s="27"/>
      <c r="D170" s="28"/>
      <c r="E170" s="27" t="s">
        <v>37</v>
      </c>
      <c r="F170" s="27" t="s">
        <v>96</v>
      </c>
      <c r="G170" s="27" t="s">
        <v>46</v>
      </c>
      <c r="H170" s="82">
        <v>61941</v>
      </c>
      <c r="I170" s="50">
        <v>45393</v>
      </c>
      <c r="J170" s="50">
        <v>45403</v>
      </c>
      <c r="K170" s="27">
        <v>110395</v>
      </c>
      <c r="L170" s="39"/>
      <c r="M170" s="52">
        <v>153</v>
      </c>
      <c r="N170" s="27" t="s">
        <v>155</v>
      </c>
      <c r="O170" s="27" t="s">
        <v>157</v>
      </c>
    </row>
    <row r="171" spans="1:15" hidden="1" x14ac:dyDescent="0.25">
      <c r="A171" s="28">
        <v>3623537</v>
      </c>
      <c r="B171" s="27">
        <v>3848291</v>
      </c>
      <c r="C171" s="27"/>
      <c r="D171" s="28"/>
      <c r="E171" s="27" t="s">
        <v>37</v>
      </c>
      <c r="F171" s="27" t="s">
        <v>96</v>
      </c>
      <c r="G171" s="27" t="s">
        <v>46</v>
      </c>
      <c r="H171" s="82">
        <v>3532.81</v>
      </c>
      <c r="I171" s="50">
        <v>45393</v>
      </c>
      <c r="J171" s="50">
        <v>45394</v>
      </c>
      <c r="K171" s="27">
        <v>111566</v>
      </c>
      <c r="L171" s="39"/>
      <c r="M171" s="52">
        <v>153</v>
      </c>
      <c r="N171" s="27" t="s">
        <v>155</v>
      </c>
      <c r="O171" s="27" t="s">
        <v>157</v>
      </c>
    </row>
    <row r="172" spans="1:15" hidden="1" x14ac:dyDescent="0.25">
      <c r="A172" s="28">
        <v>3623537</v>
      </c>
      <c r="B172" s="27">
        <v>3849788</v>
      </c>
      <c r="C172" s="27"/>
      <c r="D172" s="28"/>
      <c r="E172" s="27" t="s">
        <v>37</v>
      </c>
      <c r="F172" s="27" t="s">
        <v>96</v>
      </c>
      <c r="G172" s="27" t="s">
        <v>46</v>
      </c>
      <c r="H172" s="82">
        <v>80698.03</v>
      </c>
      <c r="I172" s="50">
        <v>45393</v>
      </c>
      <c r="J172" s="50">
        <v>45394</v>
      </c>
      <c r="K172" s="27">
        <v>110397</v>
      </c>
      <c r="L172" s="39"/>
      <c r="M172" s="52">
        <v>153</v>
      </c>
      <c r="N172" s="27" t="s">
        <v>155</v>
      </c>
      <c r="O172" s="27" t="s">
        <v>157</v>
      </c>
    </row>
    <row r="173" spans="1:15" hidden="1" x14ac:dyDescent="0.25">
      <c r="A173" s="28">
        <v>3623537</v>
      </c>
      <c r="B173" s="27"/>
      <c r="C173" s="27"/>
      <c r="D173" s="28"/>
      <c r="E173" s="27" t="s">
        <v>37</v>
      </c>
      <c r="F173" s="27" t="s">
        <v>96</v>
      </c>
      <c r="G173" s="27" t="s">
        <v>46</v>
      </c>
      <c r="H173" s="82">
        <v>6440.14</v>
      </c>
      <c r="I173" s="50">
        <v>45351</v>
      </c>
      <c r="J173" s="50">
        <v>45400</v>
      </c>
      <c r="K173" s="27">
        <v>116960</v>
      </c>
      <c r="L173" s="39"/>
      <c r="M173" s="52">
        <v>153</v>
      </c>
      <c r="N173" s="27" t="s">
        <v>155</v>
      </c>
      <c r="O173" s="27" t="s">
        <v>157</v>
      </c>
    </row>
    <row r="174" spans="1:15" hidden="1" x14ac:dyDescent="0.25">
      <c r="A174" s="28">
        <v>3623537</v>
      </c>
      <c r="B174" s="27"/>
      <c r="C174" s="27"/>
      <c r="D174" s="28"/>
      <c r="E174" s="27" t="s">
        <v>37</v>
      </c>
      <c r="F174" s="27" t="s">
        <v>96</v>
      </c>
      <c r="G174" s="27" t="s">
        <v>46</v>
      </c>
      <c r="H174" s="82">
        <v>61521</v>
      </c>
      <c r="I174" s="50">
        <v>45307</v>
      </c>
      <c r="J174" s="50">
        <v>45400</v>
      </c>
      <c r="K174" s="27">
        <v>113567</v>
      </c>
      <c r="L174" s="39"/>
      <c r="M174" s="52">
        <v>153</v>
      </c>
      <c r="N174" s="27" t="s">
        <v>155</v>
      </c>
      <c r="O174" s="27" t="s">
        <v>157</v>
      </c>
    </row>
    <row r="175" spans="1:15" hidden="1" x14ac:dyDescent="0.25">
      <c r="A175" s="28">
        <v>3623537</v>
      </c>
      <c r="B175" s="27">
        <v>3769130</v>
      </c>
      <c r="C175" s="27"/>
      <c r="D175" s="28"/>
      <c r="E175" s="27" t="s">
        <v>37</v>
      </c>
      <c r="F175" s="27" t="s">
        <v>96</v>
      </c>
      <c r="G175" s="27" t="s">
        <v>46</v>
      </c>
      <c r="H175" s="82">
        <v>61178.14</v>
      </c>
      <c r="I175" s="50">
        <v>45418</v>
      </c>
      <c r="J175" s="50">
        <v>45426</v>
      </c>
      <c r="K175" s="27">
        <v>121903</v>
      </c>
      <c r="L175" s="39"/>
      <c r="M175" s="52">
        <v>153</v>
      </c>
      <c r="N175" s="27" t="s">
        <v>155</v>
      </c>
      <c r="O175" s="27" t="s">
        <v>157</v>
      </c>
    </row>
    <row r="176" spans="1:15" hidden="1" x14ac:dyDescent="0.25">
      <c r="A176" s="28">
        <v>3623537</v>
      </c>
      <c r="B176" s="27">
        <v>3769130</v>
      </c>
      <c r="C176" s="27"/>
      <c r="D176" s="28"/>
      <c r="E176" s="27" t="s">
        <v>37</v>
      </c>
      <c r="F176" s="27" t="s">
        <v>96</v>
      </c>
      <c r="G176" s="27" t="s">
        <v>46</v>
      </c>
      <c r="H176" s="82">
        <v>79082.39</v>
      </c>
      <c r="I176" s="50">
        <v>45418</v>
      </c>
      <c r="J176" s="50">
        <v>45426</v>
      </c>
      <c r="K176" s="27">
        <v>121904</v>
      </c>
      <c r="L176" s="39"/>
      <c r="M176" s="52">
        <v>153</v>
      </c>
      <c r="N176" s="27" t="s">
        <v>155</v>
      </c>
      <c r="O176" s="27" t="s">
        <v>157</v>
      </c>
    </row>
    <row r="177" spans="1:15" hidden="1" x14ac:dyDescent="0.25">
      <c r="A177" s="28">
        <v>3740150</v>
      </c>
      <c r="B177" s="27">
        <v>3878006</v>
      </c>
      <c r="C177" s="27"/>
      <c r="D177" s="28"/>
      <c r="E177" s="27" t="s">
        <v>37</v>
      </c>
      <c r="F177" s="27" t="s">
        <v>96</v>
      </c>
      <c r="G177" s="27" t="s">
        <v>46</v>
      </c>
      <c r="H177" s="82">
        <v>4748.54</v>
      </c>
      <c r="I177" s="50">
        <v>45426</v>
      </c>
      <c r="J177" s="50">
        <v>45429</v>
      </c>
      <c r="K177" s="27">
        <v>4541</v>
      </c>
      <c r="L177" s="39">
        <v>2348</v>
      </c>
      <c r="M177" s="52">
        <v>242</v>
      </c>
      <c r="N177" s="27" t="s">
        <v>155</v>
      </c>
      <c r="O177" s="27" t="s">
        <v>157</v>
      </c>
    </row>
    <row r="178" spans="1:15" ht="60" hidden="1" x14ac:dyDescent="0.25">
      <c r="A178" s="28">
        <v>3623537</v>
      </c>
      <c r="B178" s="27">
        <v>3769130</v>
      </c>
      <c r="C178" s="27"/>
      <c r="D178" s="28"/>
      <c r="E178" s="27" t="s">
        <v>37</v>
      </c>
      <c r="F178" s="27" t="s">
        <v>96</v>
      </c>
      <c r="G178" s="27" t="s">
        <v>46</v>
      </c>
      <c r="H178" s="82">
        <v>61242.94</v>
      </c>
      <c r="I178" s="50">
        <v>45448</v>
      </c>
      <c r="J178" s="50"/>
      <c r="K178" s="27">
        <v>124306</v>
      </c>
      <c r="L178" s="39" t="s">
        <v>154</v>
      </c>
      <c r="M178" s="52">
        <v>153</v>
      </c>
      <c r="N178" s="92" t="s">
        <v>233</v>
      </c>
      <c r="O178" s="27" t="s">
        <v>157</v>
      </c>
    </row>
    <row r="179" spans="1:15" ht="60" hidden="1" x14ac:dyDescent="0.25">
      <c r="A179" s="28">
        <v>3623537</v>
      </c>
      <c r="B179" s="27">
        <v>3769130</v>
      </c>
      <c r="C179" s="27"/>
      <c r="D179" s="28"/>
      <c r="E179" s="27" t="s">
        <v>37</v>
      </c>
      <c r="F179" s="27" t="s">
        <v>96</v>
      </c>
      <c r="G179" s="27" t="s">
        <v>46</v>
      </c>
      <c r="H179" s="82">
        <v>79114.789999999994</v>
      </c>
      <c r="I179" s="50">
        <v>45448</v>
      </c>
      <c r="J179" s="50"/>
      <c r="K179" s="27">
        <v>124307</v>
      </c>
      <c r="L179" s="39" t="s">
        <v>154</v>
      </c>
      <c r="M179" s="52">
        <v>153</v>
      </c>
      <c r="N179" s="92" t="s">
        <v>233</v>
      </c>
      <c r="O179" s="27" t="s">
        <v>157</v>
      </c>
    </row>
    <row r="180" spans="1:15" hidden="1" x14ac:dyDescent="0.25">
      <c r="A180" s="28">
        <v>3623537</v>
      </c>
      <c r="B180" s="27">
        <v>3769130</v>
      </c>
      <c r="C180" s="27"/>
      <c r="D180" s="28"/>
      <c r="E180" s="27" t="s">
        <v>37</v>
      </c>
      <c r="F180" s="27" t="s">
        <v>96</v>
      </c>
      <c r="G180" s="27" t="s">
        <v>46</v>
      </c>
      <c r="H180" s="82">
        <v>61178.14</v>
      </c>
      <c r="I180" s="50">
        <v>45450</v>
      </c>
      <c r="J180" s="51">
        <v>45456</v>
      </c>
      <c r="K180" s="83">
        <v>124404</v>
      </c>
      <c r="L180" s="39" t="s">
        <v>154</v>
      </c>
      <c r="M180" s="52">
        <v>153</v>
      </c>
      <c r="N180" s="27" t="s">
        <v>155</v>
      </c>
      <c r="O180" s="27" t="s">
        <v>157</v>
      </c>
    </row>
    <row r="181" spans="1:15" hidden="1" x14ac:dyDescent="0.25">
      <c r="A181" s="28">
        <v>3623537</v>
      </c>
      <c r="B181" s="27">
        <v>3769130</v>
      </c>
      <c r="C181" s="27"/>
      <c r="D181" s="28"/>
      <c r="E181" s="27" t="s">
        <v>37</v>
      </c>
      <c r="F181" s="27" t="s">
        <v>96</v>
      </c>
      <c r="G181" s="27" t="s">
        <v>46</v>
      </c>
      <c r="H181" s="82">
        <v>76362.13</v>
      </c>
      <c r="I181" s="50">
        <v>45450</v>
      </c>
      <c r="J181" s="51">
        <v>45456</v>
      </c>
      <c r="K181" s="83">
        <v>124405</v>
      </c>
      <c r="L181" s="39" t="s">
        <v>154</v>
      </c>
      <c r="M181" s="52">
        <v>153</v>
      </c>
      <c r="N181" s="27" t="s">
        <v>155</v>
      </c>
      <c r="O181" s="27" t="s">
        <v>157</v>
      </c>
    </row>
    <row r="182" spans="1:15" hidden="1" x14ac:dyDescent="0.25">
      <c r="A182" s="27">
        <v>3623537</v>
      </c>
      <c r="B182" s="27">
        <v>3769130</v>
      </c>
      <c r="C182" s="53"/>
      <c r="D182" s="53"/>
      <c r="E182" s="27" t="s">
        <v>37</v>
      </c>
      <c r="F182" s="27" t="s">
        <v>96</v>
      </c>
      <c r="G182" s="27" t="s">
        <v>46</v>
      </c>
      <c r="H182" s="84">
        <v>61178.14</v>
      </c>
      <c r="I182" s="50">
        <v>45492</v>
      </c>
      <c r="J182" s="51">
        <v>45496</v>
      </c>
      <c r="K182" s="83">
        <v>127180</v>
      </c>
      <c r="L182" s="39" t="s">
        <v>154</v>
      </c>
      <c r="M182" s="52">
        <v>153</v>
      </c>
      <c r="N182" s="27" t="s">
        <v>155</v>
      </c>
      <c r="O182" s="27" t="s">
        <v>157</v>
      </c>
    </row>
    <row r="183" spans="1:15" hidden="1" x14ac:dyDescent="0.25">
      <c r="A183" s="27">
        <v>3623537</v>
      </c>
      <c r="B183" s="27">
        <v>3769130</v>
      </c>
      <c r="C183" s="53"/>
      <c r="D183" s="53"/>
      <c r="E183" s="27" t="s">
        <v>37</v>
      </c>
      <c r="F183" s="27" t="s">
        <v>96</v>
      </c>
      <c r="G183" s="27" t="s">
        <v>46</v>
      </c>
      <c r="H183" s="84">
        <v>78643.03</v>
      </c>
      <c r="I183" s="50">
        <v>45492</v>
      </c>
      <c r="J183" s="51">
        <v>45496</v>
      </c>
      <c r="K183" s="83">
        <v>127181</v>
      </c>
      <c r="L183" s="39" t="s">
        <v>154</v>
      </c>
      <c r="M183" s="52">
        <v>153</v>
      </c>
      <c r="N183" s="27" t="s">
        <v>155</v>
      </c>
      <c r="O183" s="27" t="s">
        <v>157</v>
      </c>
    </row>
    <row r="184" spans="1:15" ht="135" hidden="1" x14ac:dyDescent="0.25">
      <c r="A184" s="27">
        <v>3821521</v>
      </c>
      <c r="B184" s="27">
        <v>3954226</v>
      </c>
      <c r="C184" s="53" t="s">
        <v>234</v>
      </c>
      <c r="D184" s="53"/>
      <c r="E184" s="27" t="s">
        <v>37</v>
      </c>
      <c r="F184" s="27" t="s">
        <v>96</v>
      </c>
      <c r="G184" s="27" t="s">
        <v>46</v>
      </c>
      <c r="H184" s="84">
        <v>105.64</v>
      </c>
      <c r="I184" s="50">
        <v>45495</v>
      </c>
      <c r="J184" s="50">
        <v>45503</v>
      </c>
      <c r="K184" s="27">
        <v>4743</v>
      </c>
      <c r="L184" s="39">
        <v>2089</v>
      </c>
      <c r="M184" s="52">
        <v>242</v>
      </c>
      <c r="N184" s="27" t="s">
        <v>155</v>
      </c>
      <c r="O184" s="27" t="s">
        <v>156</v>
      </c>
    </row>
    <row r="185" spans="1:15" ht="90" hidden="1" x14ac:dyDescent="0.25">
      <c r="A185" s="27">
        <v>3831951</v>
      </c>
      <c r="B185" s="27">
        <v>3963985</v>
      </c>
      <c r="C185" s="53" t="s">
        <v>235</v>
      </c>
      <c r="D185" s="53"/>
      <c r="E185" s="27" t="s">
        <v>37</v>
      </c>
      <c r="F185" s="27" t="s">
        <v>96</v>
      </c>
      <c r="G185" s="27" t="s">
        <v>46</v>
      </c>
      <c r="H185" s="56">
        <v>616</v>
      </c>
      <c r="I185" s="50">
        <v>45509</v>
      </c>
      <c r="J185" s="50">
        <v>45512</v>
      </c>
      <c r="K185" s="27">
        <v>4823</v>
      </c>
      <c r="L185" s="39">
        <v>2089</v>
      </c>
      <c r="M185" s="52">
        <v>242</v>
      </c>
      <c r="N185" s="27" t="s">
        <v>155</v>
      </c>
      <c r="O185" s="27" t="s">
        <v>156</v>
      </c>
    </row>
    <row r="186" spans="1:15" hidden="1" x14ac:dyDescent="0.25">
      <c r="A186" s="27">
        <v>3623537</v>
      </c>
      <c r="B186" s="27">
        <v>3769130</v>
      </c>
      <c r="C186" s="53"/>
      <c r="D186" s="53"/>
      <c r="E186" s="27" t="s">
        <v>37</v>
      </c>
      <c r="F186" s="27" t="s">
        <v>96</v>
      </c>
      <c r="G186" s="27" t="s">
        <v>46</v>
      </c>
      <c r="H186" s="84">
        <v>439.36</v>
      </c>
      <c r="I186" s="50">
        <v>45518</v>
      </c>
      <c r="J186" s="50">
        <v>45524</v>
      </c>
      <c r="K186" s="27">
        <v>129354</v>
      </c>
      <c r="L186" s="39" t="s">
        <v>154</v>
      </c>
      <c r="M186" s="52">
        <v>153</v>
      </c>
      <c r="N186" s="27" t="s">
        <v>155</v>
      </c>
      <c r="O186" s="27" t="s">
        <v>157</v>
      </c>
    </row>
    <row r="187" spans="1:15" hidden="1" x14ac:dyDescent="0.25">
      <c r="A187" s="27">
        <v>3623537</v>
      </c>
      <c r="B187" s="27">
        <v>3769130</v>
      </c>
      <c r="C187" s="53"/>
      <c r="D187" s="53"/>
      <c r="E187" s="27" t="s">
        <v>37</v>
      </c>
      <c r="F187" s="27" t="s">
        <v>96</v>
      </c>
      <c r="G187" s="27" t="s">
        <v>46</v>
      </c>
      <c r="H187" s="84">
        <v>78643.03</v>
      </c>
      <c r="I187" s="50">
        <v>45511</v>
      </c>
      <c r="J187" s="50">
        <v>45524</v>
      </c>
      <c r="K187" s="27">
        <v>128574</v>
      </c>
      <c r="L187" s="39" t="s">
        <v>154</v>
      </c>
      <c r="M187" s="52">
        <v>153</v>
      </c>
      <c r="N187" s="27" t="s">
        <v>155</v>
      </c>
      <c r="O187" s="27" t="s">
        <v>157</v>
      </c>
    </row>
    <row r="188" spans="1:15" hidden="1" x14ac:dyDescent="0.25">
      <c r="A188" s="27">
        <v>3623537</v>
      </c>
      <c r="B188" s="27">
        <v>3769130</v>
      </c>
      <c r="C188" s="53"/>
      <c r="D188" s="53"/>
      <c r="E188" s="27" t="s">
        <v>37</v>
      </c>
      <c r="F188" s="27" t="s">
        <v>96</v>
      </c>
      <c r="G188" s="27" t="s">
        <v>46</v>
      </c>
      <c r="H188" s="84">
        <v>61617.5</v>
      </c>
      <c r="I188" s="50">
        <v>45517</v>
      </c>
      <c r="J188" s="50">
        <v>45524</v>
      </c>
      <c r="K188" s="27">
        <v>129130</v>
      </c>
      <c r="L188" s="39" t="s">
        <v>154</v>
      </c>
      <c r="M188" s="52">
        <v>153</v>
      </c>
      <c r="N188" s="27" t="s">
        <v>155</v>
      </c>
      <c r="O188" s="27" t="s">
        <v>157</v>
      </c>
    </row>
    <row r="189" spans="1:15" hidden="1" x14ac:dyDescent="0.25">
      <c r="A189" s="27">
        <v>3623537</v>
      </c>
      <c r="B189" s="27">
        <v>3769130</v>
      </c>
      <c r="C189" s="53"/>
      <c r="D189" s="53"/>
      <c r="E189" s="27" t="s">
        <v>37</v>
      </c>
      <c r="F189" s="27" t="s">
        <v>96</v>
      </c>
      <c r="G189" s="27" t="s">
        <v>46</v>
      </c>
      <c r="H189" s="84">
        <v>61617.5</v>
      </c>
      <c r="I189" s="50">
        <v>45541</v>
      </c>
      <c r="J189" s="50">
        <v>45546</v>
      </c>
      <c r="K189" s="27">
        <v>130929</v>
      </c>
      <c r="L189" s="39" t="s">
        <v>154</v>
      </c>
      <c r="M189" s="52">
        <v>153</v>
      </c>
      <c r="N189" s="52" t="s">
        <v>155</v>
      </c>
      <c r="O189" s="27" t="s">
        <v>157</v>
      </c>
    </row>
    <row r="190" spans="1:15" hidden="1" x14ac:dyDescent="0.25">
      <c r="A190" s="30">
        <v>3623537</v>
      </c>
      <c r="B190" s="30">
        <v>3769130</v>
      </c>
      <c r="C190" s="85"/>
      <c r="D190" s="85"/>
      <c r="E190" s="27" t="s">
        <v>37</v>
      </c>
      <c r="F190" s="27" t="s">
        <v>96</v>
      </c>
      <c r="G190" s="27" t="s">
        <v>46</v>
      </c>
      <c r="H190" s="86">
        <v>78643.03</v>
      </c>
      <c r="I190" s="93">
        <v>45541</v>
      </c>
      <c r="J190" s="93">
        <v>45546</v>
      </c>
      <c r="K190" s="30">
        <v>130927</v>
      </c>
      <c r="L190" s="88" t="s">
        <v>154</v>
      </c>
      <c r="M190" s="52">
        <v>153</v>
      </c>
      <c r="N190" s="94" t="s">
        <v>155</v>
      </c>
      <c r="O190" s="30" t="s">
        <v>157</v>
      </c>
    </row>
    <row r="191" spans="1:15" hidden="1" x14ac:dyDescent="0.25">
      <c r="A191" s="27">
        <v>3623537</v>
      </c>
      <c r="B191" s="27">
        <v>3769130</v>
      </c>
      <c r="C191" s="53"/>
      <c r="D191" s="53"/>
      <c r="E191" s="27" t="s">
        <v>37</v>
      </c>
      <c r="F191" s="27" t="s">
        <v>96</v>
      </c>
      <c r="G191" s="27" t="s">
        <v>46</v>
      </c>
      <c r="H191" s="84">
        <v>61617.5</v>
      </c>
      <c r="I191" s="50">
        <v>45573</v>
      </c>
      <c r="J191" s="50">
        <v>45582</v>
      </c>
      <c r="K191" s="27">
        <v>133513</v>
      </c>
      <c r="L191" s="39" t="s">
        <v>154</v>
      </c>
      <c r="M191" s="52">
        <v>153</v>
      </c>
      <c r="N191" s="27" t="s">
        <v>155</v>
      </c>
      <c r="O191" s="27" t="s">
        <v>157</v>
      </c>
    </row>
    <row r="192" spans="1:15" hidden="1" x14ac:dyDescent="0.25">
      <c r="A192" s="30">
        <v>3623537</v>
      </c>
      <c r="B192" s="30">
        <v>3769130</v>
      </c>
      <c r="C192" s="85"/>
      <c r="D192" s="85"/>
      <c r="E192" s="27" t="s">
        <v>37</v>
      </c>
      <c r="F192" s="27" t="s">
        <v>96</v>
      </c>
      <c r="G192" s="27" t="s">
        <v>46</v>
      </c>
      <c r="H192" s="86">
        <v>78643.03</v>
      </c>
      <c r="I192" s="50">
        <v>45573</v>
      </c>
      <c r="J192" s="50">
        <v>45582</v>
      </c>
      <c r="K192" s="27">
        <v>133514</v>
      </c>
      <c r="L192" s="39" t="s">
        <v>154</v>
      </c>
      <c r="M192" s="52">
        <v>153</v>
      </c>
      <c r="N192" s="27" t="s">
        <v>155</v>
      </c>
      <c r="O192" s="27" t="s">
        <v>157</v>
      </c>
    </row>
    <row r="193" spans="1:15" hidden="1" x14ac:dyDescent="0.25">
      <c r="A193" s="27">
        <v>3623537</v>
      </c>
      <c r="B193" s="27">
        <v>3769130</v>
      </c>
      <c r="C193" s="53" t="s">
        <v>236</v>
      </c>
      <c r="D193" s="53"/>
      <c r="E193" s="27" t="s">
        <v>37</v>
      </c>
      <c r="F193" s="27" t="s">
        <v>96</v>
      </c>
      <c r="G193" s="27" t="s">
        <v>46</v>
      </c>
      <c r="H193" s="84">
        <v>9318.27</v>
      </c>
      <c r="I193" s="50">
        <v>45615</v>
      </c>
      <c r="J193" s="50">
        <v>45623</v>
      </c>
      <c r="K193" s="27">
        <v>136706</v>
      </c>
      <c r="L193" s="39" t="s">
        <v>154</v>
      </c>
      <c r="M193" s="52">
        <v>153</v>
      </c>
      <c r="N193" s="52" t="s">
        <v>155</v>
      </c>
      <c r="O193" s="52" t="s">
        <v>157</v>
      </c>
    </row>
    <row r="194" spans="1:15" hidden="1" x14ac:dyDescent="0.25">
      <c r="A194" s="27">
        <v>3623537</v>
      </c>
      <c r="B194" s="27">
        <v>3769130</v>
      </c>
      <c r="C194" s="53" t="s">
        <v>236</v>
      </c>
      <c r="D194" s="53"/>
      <c r="E194" s="27" t="s">
        <v>37</v>
      </c>
      <c r="F194" s="27" t="s">
        <v>96</v>
      </c>
      <c r="G194" s="27" t="s">
        <v>46</v>
      </c>
      <c r="H194" s="90">
        <v>15921.9</v>
      </c>
      <c r="I194" s="50">
        <v>45615</v>
      </c>
      <c r="J194" s="50">
        <v>45623</v>
      </c>
      <c r="K194" s="27">
        <v>136707</v>
      </c>
      <c r="L194" s="39" t="s">
        <v>154</v>
      </c>
      <c r="M194" s="52">
        <v>153</v>
      </c>
      <c r="N194" s="52" t="s">
        <v>155</v>
      </c>
      <c r="O194" s="52" t="s">
        <v>157</v>
      </c>
    </row>
    <row r="195" spans="1:15" hidden="1" x14ac:dyDescent="0.25">
      <c r="A195" s="27">
        <v>3623537</v>
      </c>
      <c r="B195" s="27">
        <v>3769130</v>
      </c>
      <c r="C195" s="53" t="s">
        <v>236</v>
      </c>
      <c r="D195" s="53"/>
      <c r="E195" s="27" t="s">
        <v>37</v>
      </c>
      <c r="F195" s="27" t="s">
        <v>96</v>
      </c>
      <c r="G195" s="27" t="s">
        <v>46</v>
      </c>
      <c r="H195" s="90">
        <v>113553.33</v>
      </c>
      <c r="I195" s="50">
        <v>45622</v>
      </c>
      <c r="J195" s="50">
        <v>45623</v>
      </c>
      <c r="K195" s="27">
        <v>137510</v>
      </c>
      <c r="L195" s="39" t="s">
        <v>154</v>
      </c>
      <c r="M195" s="52">
        <v>153</v>
      </c>
      <c r="N195" s="52" t="s">
        <v>155</v>
      </c>
      <c r="O195" s="52" t="s">
        <v>157</v>
      </c>
    </row>
    <row r="196" spans="1:15" hidden="1" x14ac:dyDescent="0.25">
      <c r="A196" s="27">
        <v>3623537</v>
      </c>
      <c r="B196" s="27">
        <v>3769130</v>
      </c>
      <c r="C196" s="53" t="s">
        <v>236</v>
      </c>
      <c r="D196" s="53"/>
      <c r="E196" s="27" t="s">
        <v>37</v>
      </c>
      <c r="F196" s="27" t="s">
        <v>96</v>
      </c>
      <c r="G196" s="27" t="s">
        <v>46</v>
      </c>
      <c r="H196" s="90">
        <v>16679.78</v>
      </c>
      <c r="I196" s="50">
        <v>45656</v>
      </c>
      <c r="J196" s="50">
        <v>45671</v>
      </c>
      <c r="K196" s="27">
        <v>140338</v>
      </c>
      <c r="L196" s="39" t="s">
        <v>154</v>
      </c>
      <c r="M196" s="52">
        <v>153</v>
      </c>
      <c r="N196" s="52" t="s">
        <v>155</v>
      </c>
      <c r="O196" s="52" t="s">
        <v>157</v>
      </c>
    </row>
    <row r="197" spans="1:15" hidden="1" x14ac:dyDescent="0.25">
      <c r="A197" s="27">
        <v>3623537</v>
      </c>
      <c r="B197" s="27">
        <v>3769130</v>
      </c>
      <c r="C197" s="53" t="s">
        <v>236</v>
      </c>
      <c r="D197" s="53"/>
      <c r="E197" s="27" t="s">
        <v>37</v>
      </c>
      <c r="F197" s="27" t="s">
        <v>96</v>
      </c>
      <c r="G197" s="27" t="s">
        <v>46</v>
      </c>
      <c r="H197" s="90">
        <v>9761.81</v>
      </c>
      <c r="I197" s="50">
        <v>45656</v>
      </c>
      <c r="J197" s="50">
        <v>45671</v>
      </c>
      <c r="K197" s="27">
        <v>140341</v>
      </c>
      <c r="L197" s="39" t="s">
        <v>154</v>
      </c>
      <c r="M197" s="52">
        <v>153</v>
      </c>
      <c r="N197" s="54" t="s">
        <v>155</v>
      </c>
      <c r="O197" s="27" t="s">
        <v>156</v>
      </c>
    </row>
    <row r="198" spans="1:15" hidden="1" x14ac:dyDescent="0.25">
      <c r="A198" s="27">
        <v>3623537</v>
      </c>
      <c r="B198" s="27">
        <v>3769130</v>
      </c>
      <c r="C198" s="53" t="s">
        <v>236</v>
      </c>
      <c r="D198" s="53"/>
      <c r="E198" s="27" t="s">
        <v>37</v>
      </c>
      <c r="F198" s="27" t="s">
        <v>96</v>
      </c>
      <c r="G198" s="27" t="s">
        <v>46</v>
      </c>
      <c r="H198" s="90">
        <v>120495.29</v>
      </c>
      <c r="I198" s="50">
        <v>45656</v>
      </c>
      <c r="J198" s="50">
        <v>45671</v>
      </c>
      <c r="K198" s="27">
        <v>140343</v>
      </c>
      <c r="L198" s="39" t="s">
        <v>154</v>
      </c>
      <c r="M198" s="52">
        <v>153</v>
      </c>
      <c r="N198" s="54" t="s">
        <v>155</v>
      </c>
      <c r="O198" s="27" t="s">
        <v>156</v>
      </c>
    </row>
    <row r="199" spans="1:15" hidden="1" x14ac:dyDescent="0.25">
      <c r="A199" s="27">
        <v>3623537</v>
      </c>
      <c r="B199" s="27">
        <v>3769130</v>
      </c>
      <c r="C199" s="53" t="s">
        <v>236</v>
      </c>
      <c r="D199" s="53"/>
      <c r="E199" s="27" t="s">
        <v>37</v>
      </c>
      <c r="F199" s="27" t="s">
        <v>96</v>
      </c>
      <c r="G199" s="27" t="s">
        <v>46</v>
      </c>
      <c r="H199" s="90">
        <v>9761.81</v>
      </c>
      <c r="I199" s="50">
        <v>45663</v>
      </c>
      <c r="J199" s="50" t="s">
        <v>32</v>
      </c>
      <c r="K199" s="27">
        <v>140671</v>
      </c>
      <c r="L199" s="39" t="s">
        <v>154</v>
      </c>
      <c r="M199" s="52">
        <v>153</v>
      </c>
      <c r="N199" s="92" t="s">
        <v>237</v>
      </c>
      <c r="O199" s="27" t="s">
        <v>157</v>
      </c>
    </row>
    <row r="200" spans="1:15" hidden="1" x14ac:dyDescent="0.25">
      <c r="A200" s="27">
        <v>3623537</v>
      </c>
      <c r="B200" s="27">
        <v>3769130</v>
      </c>
      <c r="C200" s="53" t="s">
        <v>236</v>
      </c>
      <c r="D200" s="53"/>
      <c r="E200" s="27" t="s">
        <v>37</v>
      </c>
      <c r="F200" s="27" t="s">
        <v>96</v>
      </c>
      <c r="G200" s="27" t="s">
        <v>46</v>
      </c>
      <c r="H200" s="90">
        <v>16679.78</v>
      </c>
      <c r="I200" s="50">
        <v>45663</v>
      </c>
      <c r="J200" s="50">
        <v>45672</v>
      </c>
      <c r="K200" s="27">
        <v>140672</v>
      </c>
      <c r="L200" s="39" t="s">
        <v>154</v>
      </c>
      <c r="M200" s="52">
        <v>153</v>
      </c>
      <c r="N200" s="54" t="s">
        <v>155</v>
      </c>
      <c r="O200" s="27" t="s">
        <v>156</v>
      </c>
    </row>
    <row r="201" spans="1:15" hidden="1" x14ac:dyDescent="0.25">
      <c r="A201" s="27">
        <v>3623537</v>
      </c>
      <c r="B201" s="27">
        <v>3769130</v>
      </c>
      <c r="C201" s="53" t="s">
        <v>236</v>
      </c>
      <c r="D201" s="53"/>
      <c r="E201" s="27" t="s">
        <v>37</v>
      </c>
      <c r="F201" s="27" t="s">
        <v>96</v>
      </c>
      <c r="G201" s="27" t="s">
        <v>46</v>
      </c>
      <c r="H201" s="90">
        <v>120495.29</v>
      </c>
      <c r="I201" s="50">
        <v>45671</v>
      </c>
      <c r="J201" s="50">
        <v>45672</v>
      </c>
      <c r="K201" s="27">
        <v>141453</v>
      </c>
      <c r="L201" s="39" t="s">
        <v>154</v>
      </c>
      <c r="M201" s="52">
        <v>153</v>
      </c>
      <c r="N201" s="52" t="s">
        <v>155</v>
      </c>
      <c r="O201" s="52" t="s">
        <v>157</v>
      </c>
    </row>
    <row r="202" spans="1:15" hidden="1" x14ac:dyDescent="0.25">
      <c r="A202" s="27">
        <v>3623537</v>
      </c>
      <c r="B202" s="27">
        <v>3769130</v>
      </c>
      <c r="C202" s="53" t="s">
        <v>236</v>
      </c>
      <c r="D202" s="53"/>
      <c r="E202" s="27" t="s">
        <v>37</v>
      </c>
      <c r="F202" s="27" t="s">
        <v>96</v>
      </c>
      <c r="G202" s="27" t="s">
        <v>46</v>
      </c>
      <c r="H202" s="90">
        <v>9761.82</v>
      </c>
      <c r="I202" s="50">
        <v>45673</v>
      </c>
      <c r="J202" s="50">
        <v>45673</v>
      </c>
      <c r="K202" s="27">
        <v>141733</v>
      </c>
      <c r="L202" s="39" t="s">
        <v>154</v>
      </c>
      <c r="M202" s="52">
        <v>153</v>
      </c>
      <c r="N202" s="52" t="s">
        <v>155</v>
      </c>
      <c r="O202" s="52" t="s">
        <v>157</v>
      </c>
    </row>
    <row r="203" spans="1:15" hidden="1" x14ac:dyDescent="0.25">
      <c r="A203" s="27">
        <v>3623537</v>
      </c>
      <c r="B203" s="27">
        <v>3769130</v>
      </c>
      <c r="C203" s="53" t="s">
        <v>236</v>
      </c>
      <c r="D203" s="53"/>
      <c r="E203" s="27" t="s">
        <v>37</v>
      </c>
      <c r="F203" s="27" t="s">
        <v>96</v>
      </c>
      <c r="G203" s="27" t="s">
        <v>46</v>
      </c>
      <c r="H203" s="90">
        <v>114706.31</v>
      </c>
      <c r="I203" s="50">
        <v>45621</v>
      </c>
      <c r="J203" s="27"/>
      <c r="K203" s="27">
        <v>137299</v>
      </c>
      <c r="L203" s="39" t="s">
        <v>154</v>
      </c>
      <c r="M203" s="52">
        <v>153</v>
      </c>
      <c r="N203" s="92" t="s">
        <v>237</v>
      </c>
      <c r="O203" s="27" t="s">
        <v>157</v>
      </c>
    </row>
    <row r="204" spans="1:15" hidden="1" x14ac:dyDescent="0.25">
      <c r="A204" s="27">
        <v>3623537</v>
      </c>
      <c r="B204" s="27">
        <v>3769130</v>
      </c>
      <c r="C204" s="53" t="s">
        <v>236</v>
      </c>
      <c r="D204" s="53"/>
      <c r="E204" s="27" t="s">
        <v>37</v>
      </c>
      <c r="F204" s="27" t="s">
        <v>96</v>
      </c>
      <c r="G204" s="27" t="s">
        <v>46</v>
      </c>
      <c r="H204" s="90">
        <v>16679.78</v>
      </c>
      <c r="I204" s="50">
        <v>45694</v>
      </c>
      <c r="J204" s="50">
        <v>45698</v>
      </c>
      <c r="K204" s="27">
        <v>143200</v>
      </c>
      <c r="L204" s="39" t="s">
        <v>238</v>
      </c>
      <c r="M204" s="52">
        <v>153</v>
      </c>
      <c r="N204" s="55" t="s">
        <v>155</v>
      </c>
      <c r="O204" s="55" t="s">
        <v>157</v>
      </c>
    </row>
    <row r="205" spans="1:15" hidden="1" x14ac:dyDescent="0.25">
      <c r="A205" s="27">
        <v>3623537</v>
      </c>
      <c r="B205" s="27">
        <v>3769130</v>
      </c>
      <c r="C205" s="53" t="s">
        <v>236</v>
      </c>
      <c r="D205" s="53"/>
      <c r="E205" s="27" t="s">
        <v>37</v>
      </c>
      <c r="F205" s="27" t="s">
        <v>96</v>
      </c>
      <c r="G205" s="27" t="s">
        <v>46</v>
      </c>
      <c r="H205" s="90">
        <v>9761.82</v>
      </c>
      <c r="I205" s="50">
        <v>45694</v>
      </c>
      <c r="J205" s="50">
        <v>45698</v>
      </c>
      <c r="K205" s="27">
        <v>143201</v>
      </c>
      <c r="L205" s="39" t="s">
        <v>238</v>
      </c>
      <c r="M205" s="52">
        <v>153</v>
      </c>
      <c r="N205" s="55" t="s">
        <v>155</v>
      </c>
      <c r="O205" s="55" t="s">
        <v>157</v>
      </c>
    </row>
    <row r="206" spans="1:15" hidden="1" x14ac:dyDescent="0.25">
      <c r="A206" s="27">
        <v>3623537</v>
      </c>
      <c r="B206" s="27">
        <v>3769130</v>
      </c>
      <c r="C206" s="53" t="s">
        <v>236</v>
      </c>
      <c r="D206" s="53"/>
      <c r="E206" s="27" t="s">
        <v>37</v>
      </c>
      <c r="F206" s="27" t="s">
        <v>96</v>
      </c>
      <c r="G206" s="27" t="s">
        <v>46</v>
      </c>
      <c r="H206" s="90">
        <v>120495.29</v>
      </c>
      <c r="I206" s="50">
        <v>45699</v>
      </c>
      <c r="J206" s="50">
        <v>45700</v>
      </c>
      <c r="K206" s="27">
        <v>143566</v>
      </c>
      <c r="L206" s="39" t="s">
        <v>154</v>
      </c>
      <c r="M206" s="52">
        <v>153</v>
      </c>
      <c r="N206" s="55" t="s">
        <v>155</v>
      </c>
      <c r="O206" s="55" t="s">
        <v>157</v>
      </c>
    </row>
    <row r="207" spans="1:15" hidden="1" x14ac:dyDescent="0.25">
      <c r="A207" s="27">
        <v>3623537</v>
      </c>
      <c r="B207" s="27">
        <v>3769130</v>
      </c>
      <c r="C207" s="53" t="s">
        <v>236</v>
      </c>
      <c r="D207" s="53"/>
      <c r="E207" s="27" t="s">
        <v>37</v>
      </c>
      <c r="F207" s="27" t="s">
        <v>96</v>
      </c>
      <c r="G207" s="27" t="s">
        <v>46</v>
      </c>
      <c r="H207" s="90">
        <v>9761.82</v>
      </c>
      <c r="I207" s="50">
        <v>45722</v>
      </c>
      <c r="J207" s="50">
        <v>45723</v>
      </c>
      <c r="K207" s="27">
        <v>145447</v>
      </c>
      <c r="L207" s="39" t="s">
        <v>154</v>
      </c>
      <c r="M207" s="52">
        <v>153</v>
      </c>
      <c r="N207" s="55" t="s">
        <v>155</v>
      </c>
      <c r="O207" s="55" t="s">
        <v>157</v>
      </c>
    </row>
    <row r="208" spans="1:15" hidden="1" x14ac:dyDescent="0.25">
      <c r="A208" s="27">
        <v>3623537</v>
      </c>
      <c r="B208" s="27">
        <v>3769130</v>
      </c>
      <c r="C208" s="53" t="s">
        <v>236</v>
      </c>
      <c r="D208" s="53"/>
      <c r="E208" s="27" t="s">
        <v>37</v>
      </c>
      <c r="F208" s="27" t="s">
        <v>96</v>
      </c>
      <c r="G208" s="27" t="s">
        <v>46</v>
      </c>
      <c r="H208" s="90">
        <v>16679.78</v>
      </c>
      <c r="I208" s="50">
        <v>45722</v>
      </c>
      <c r="J208" s="50">
        <v>45723</v>
      </c>
      <c r="K208" s="27">
        <v>145446</v>
      </c>
      <c r="L208" s="39" t="s">
        <v>154</v>
      </c>
      <c r="M208" s="52">
        <v>153</v>
      </c>
      <c r="N208" s="55" t="s">
        <v>155</v>
      </c>
      <c r="O208" s="55" t="s">
        <v>157</v>
      </c>
    </row>
    <row r="209" spans="1:15" hidden="1" x14ac:dyDescent="0.25">
      <c r="A209" s="27">
        <v>3623537</v>
      </c>
      <c r="B209" s="27">
        <v>3769130</v>
      </c>
      <c r="C209" s="53" t="s">
        <v>236</v>
      </c>
      <c r="D209" s="53"/>
      <c r="E209" s="27" t="s">
        <v>37</v>
      </c>
      <c r="F209" s="27" t="s">
        <v>96</v>
      </c>
      <c r="G209" s="27" t="s">
        <v>46</v>
      </c>
      <c r="H209" s="90">
        <v>120495.29</v>
      </c>
      <c r="I209" s="50">
        <v>45729</v>
      </c>
      <c r="J209" s="50">
        <v>45730</v>
      </c>
      <c r="K209" s="27">
        <v>145997</v>
      </c>
      <c r="L209" s="39" t="s">
        <v>154</v>
      </c>
      <c r="M209" s="52">
        <v>153</v>
      </c>
      <c r="N209" s="55" t="s">
        <v>155</v>
      </c>
      <c r="O209" s="55" t="s">
        <v>157</v>
      </c>
    </row>
    <row r="210" spans="1:15" hidden="1" x14ac:dyDescent="0.25">
      <c r="A210" s="27">
        <v>3623537</v>
      </c>
      <c r="B210" s="27">
        <v>3769130</v>
      </c>
      <c r="C210" s="53" t="s">
        <v>236</v>
      </c>
      <c r="D210" s="53"/>
      <c r="E210" s="27" t="s">
        <v>37</v>
      </c>
      <c r="F210" s="27" t="s">
        <v>96</v>
      </c>
      <c r="G210" s="27" t="s">
        <v>46</v>
      </c>
      <c r="H210" s="90">
        <v>64550.48</v>
      </c>
      <c r="I210" s="50">
        <v>45763</v>
      </c>
      <c r="J210" s="50">
        <v>45775</v>
      </c>
      <c r="K210" s="57">
        <v>149309</v>
      </c>
      <c r="L210" s="39" t="s">
        <v>154</v>
      </c>
      <c r="M210" s="52">
        <v>153</v>
      </c>
      <c r="N210" s="55" t="s">
        <v>155</v>
      </c>
      <c r="O210" s="55" t="s">
        <v>157</v>
      </c>
    </row>
    <row r="211" spans="1:15" hidden="1" x14ac:dyDescent="0.25">
      <c r="A211" s="27">
        <v>3623537</v>
      </c>
      <c r="B211" s="27">
        <v>3769130</v>
      </c>
      <c r="C211" s="53" t="s">
        <v>236</v>
      </c>
      <c r="D211" s="53"/>
      <c r="E211" s="27" t="s">
        <v>37</v>
      </c>
      <c r="F211" s="27" t="s">
        <v>96</v>
      </c>
      <c r="G211" s="27" t="s">
        <v>46</v>
      </c>
      <c r="H211" s="90">
        <v>82386.41</v>
      </c>
      <c r="I211" s="50">
        <v>45763</v>
      </c>
      <c r="J211" s="50">
        <v>45775</v>
      </c>
      <c r="K211" s="57">
        <v>149310</v>
      </c>
      <c r="L211" s="39" t="s">
        <v>154</v>
      </c>
      <c r="M211" s="52">
        <v>153</v>
      </c>
      <c r="N211" s="55" t="s">
        <v>155</v>
      </c>
      <c r="O211" s="55" t="s">
        <v>157</v>
      </c>
    </row>
    <row r="212" spans="1:15" ht="45" hidden="1" x14ac:dyDescent="0.25">
      <c r="A212" s="27">
        <v>3623537</v>
      </c>
      <c r="B212" s="27">
        <v>3769130</v>
      </c>
      <c r="C212" s="68" t="s">
        <v>236</v>
      </c>
      <c r="D212" s="53"/>
      <c r="E212" s="27" t="s">
        <v>37</v>
      </c>
      <c r="F212" s="27" t="s">
        <v>96</v>
      </c>
      <c r="G212" s="27" t="s">
        <v>46</v>
      </c>
      <c r="H212" s="91" t="s">
        <v>239</v>
      </c>
      <c r="I212" s="50">
        <v>45805</v>
      </c>
      <c r="J212" s="50">
        <v>45805</v>
      </c>
      <c r="K212" s="57">
        <v>152658</v>
      </c>
      <c r="L212" s="39" t="s">
        <v>154</v>
      </c>
      <c r="M212" s="52">
        <v>153</v>
      </c>
      <c r="N212" s="92" t="s">
        <v>240</v>
      </c>
      <c r="O212" s="55" t="s">
        <v>157</v>
      </c>
    </row>
    <row r="213" spans="1:15" ht="45" hidden="1" x14ac:dyDescent="0.25">
      <c r="A213" s="27">
        <v>3623537</v>
      </c>
      <c r="B213" s="27">
        <v>3769130</v>
      </c>
      <c r="C213" s="68" t="s">
        <v>236</v>
      </c>
      <c r="D213" s="53"/>
      <c r="E213" s="27" t="s">
        <v>37</v>
      </c>
      <c r="F213" s="27" t="s">
        <v>96</v>
      </c>
      <c r="G213" s="27" t="s">
        <v>46</v>
      </c>
      <c r="H213" s="91" t="s">
        <v>239</v>
      </c>
      <c r="I213" s="50">
        <v>45805</v>
      </c>
      <c r="J213" s="50">
        <v>45805</v>
      </c>
      <c r="K213" s="57">
        <v>152659</v>
      </c>
      <c r="L213" s="39" t="s">
        <v>154</v>
      </c>
      <c r="M213" s="52">
        <v>153</v>
      </c>
      <c r="N213" s="92" t="s">
        <v>240</v>
      </c>
      <c r="O213" s="55" t="s">
        <v>157</v>
      </c>
    </row>
    <row r="214" spans="1:15" hidden="1" x14ac:dyDescent="0.25">
      <c r="A214" s="27">
        <v>3623537</v>
      </c>
      <c r="B214" s="27">
        <v>3769130</v>
      </c>
      <c r="C214" s="68" t="s">
        <v>236</v>
      </c>
      <c r="D214" s="53"/>
      <c r="E214" s="27" t="s">
        <v>37</v>
      </c>
      <c r="F214" s="27" t="s">
        <v>96</v>
      </c>
      <c r="G214" s="27" t="s">
        <v>46</v>
      </c>
      <c r="H214" s="91">
        <v>64550.48</v>
      </c>
      <c r="I214" s="50">
        <v>45805</v>
      </c>
      <c r="J214" s="50">
        <v>45806</v>
      </c>
      <c r="K214" s="57">
        <v>152687</v>
      </c>
      <c r="L214" s="39" t="s">
        <v>154</v>
      </c>
      <c r="M214" s="52">
        <v>153</v>
      </c>
      <c r="N214" s="55" t="s">
        <v>155</v>
      </c>
      <c r="O214" s="27" t="s">
        <v>156</v>
      </c>
    </row>
    <row r="215" spans="1:15" hidden="1" x14ac:dyDescent="0.25">
      <c r="A215" s="27">
        <v>3623537</v>
      </c>
      <c r="B215" s="27">
        <v>3769130</v>
      </c>
      <c r="C215" s="68" t="s">
        <v>236</v>
      </c>
      <c r="D215" s="53"/>
      <c r="E215" s="27" t="s">
        <v>37</v>
      </c>
      <c r="F215" s="27" t="s">
        <v>96</v>
      </c>
      <c r="G215" s="27" t="s">
        <v>46</v>
      </c>
      <c r="H215" s="91">
        <v>79762.39</v>
      </c>
      <c r="I215" s="50">
        <v>45805</v>
      </c>
      <c r="J215" s="50">
        <v>45806</v>
      </c>
      <c r="K215" s="57">
        <v>152689</v>
      </c>
      <c r="L215" s="39" t="s">
        <v>154</v>
      </c>
      <c r="M215" s="52">
        <v>153</v>
      </c>
      <c r="N215" s="55" t="s">
        <v>155</v>
      </c>
      <c r="O215" s="27" t="s">
        <v>156</v>
      </c>
    </row>
    <row r="216" spans="1:15" ht="45" hidden="1" x14ac:dyDescent="0.25">
      <c r="A216" s="27">
        <v>3623537</v>
      </c>
      <c r="B216" s="27">
        <v>3769130</v>
      </c>
      <c r="C216" s="68" t="s">
        <v>236</v>
      </c>
      <c r="D216" s="53"/>
      <c r="E216" s="27" t="s">
        <v>37</v>
      </c>
      <c r="F216" s="27" t="s">
        <v>96</v>
      </c>
      <c r="G216" s="27" t="s">
        <v>46</v>
      </c>
      <c r="H216" s="91" t="s">
        <v>239</v>
      </c>
      <c r="I216" s="50">
        <v>45821</v>
      </c>
      <c r="J216" s="27"/>
      <c r="K216" s="57">
        <v>154152</v>
      </c>
      <c r="L216" s="39" t="s">
        <v>154</v>
      </c>
      <c r="M216" s="52">
        <v>153</v>
      </c>
      <c r="N216" s="92" t="s">
        <v>240</v>
      </c>
      <c r="O216" s="27" t="s">
        <v>156</v>
      </c>
    </row>
    <row r="217" spans="1:15" ht="45" hidden="1" x14ac:dyDescent="0.25">
      <c r="A217" s="27">
        <v>3623537</v>
      </c>
      <c r="B217" s="27">
        <v>3769130</v>
      </c>
      <c r="C217" s="68" t="s">
        <v>236</v>
      </c>
      <c r="D217" s="53"/>
      <c r="E217" s="27" t="s">
        <v>37</v>
      </c>
      <c r="F217" s="27" t="s">
        <v>96</v>
      </c>
      <c r="G217" s="27" t="s">
        <v>46</v>
      </c>
      <c r="H217" s="91" t="s">
        <v>239</v>
      </c>
      <c r="I217" s="50">
        <v>45821</v>
      </c>
      <c r="J217" s="27"/>
      <c r="K217" s="57">
        <v>154153</v>
      </c>
      <c r="L217" s="39" t="s">
        <v>154</v>
      </c>
      <c r="M217" s="52">
        <v>153</v>
      </c>
      <c r="N217" s="92" t="s">
        <v>240</v>
      </c>
      <c r="O217" s="27" t="s">
        <v>156</v>
      </c>
    </row>
    <row r="218" spans="1:15" hidden="1" x14ac:dyDescent="0.25">
      <c r="A218" s="27">
        <v>3623537</v>
      </c>
      <c r="B218" s="27">
        <v>3769130</v>
      </c>
      <c r="C218" s="68" t="s">
        <v>236</v>
      </c>
      <c r="D218" s="53"/>
      <c r="E218" s="27" t="s">
        <v>37</v>
      </c>
      <c r="F218" s="27" t="s">
        <v>96</v>
      </c>
      <c r="G218" s="27" t="s">
        <v>46</v>
      </c>
      <c r="H218" s="91">
        <v>85203.19</v>
      </c>
      <c r="I218" s="50">
        <v>45833</v>
      </c>
      <c r="J218" s="50">
        <v>45834</v>
      </c>
      <c r="K218" s="57">
        <v>155024</v>
      </c>
      <c r="L218" s="39" t="s">
        <v>154</v>
      </c>
      <c r="M218" s="52">
        <v>153</v>
      </c>
      <c r="N218" s="55" t="s">
        <v>155</v>
      </c>
      <c r="O218" s="55" t="s">
        <v>157</v>
      </c>
    </row>
    <row r="219" spans="1:15" hidden="1" x14ac:dyDescent="0.25">
      <c r="A219" s="27">
        <v>3623537</v>
      </c>
      <c r="B219" s="27">
        <v>3769130</v>
      </c>
      <c r="C219" s="68" t="s">
        <v>236</v>
      </c>
      <c r="D219" s="53"/>
      <c r="E219" s="27" t="s">
        <v>37</v>
      </c>
      <c r="F219" s="27" t="s">
        <v>96</v>
      </c>
      <c r="G219" s="27" t="s">
        <v>46</v>
      </c>
      <c r="H219" s="91">
        <v>64413.42</v>
      </c>
      <c r="I219" s="50">
        <v>45833</v>
      </c>
      <c r="J219" s="50">
        <v>45834</v>
      </c>
      <c r="K219" s="57">
        <v>155037</v>
      </c>
      <c r="L219" s="39" t="s">
        <v>154</v>
      </c>
      <c r="M219" s="52">
        <v>153</v>
      </c>
      <c r="N219" s="55" t="s">
        <v>155</v>
      </c>
      <c r="O219" s="55" t="s">
        <v>157</v>
      </c>
    </row>
    <row r="220" spans="1:15" hidden="1" x14ac:dyDescent="0.25">
      <c r="A220" s="27">
        <v>3623537</v>
      </c>
      <c r="B220" s="27">
        <v>3769130</v>
      </c>
      <c r="C220" s="66" t="s">
        <v>236</v>
      </c>
      <c r="D220" s="53"/>
      <c r="E220" s="27" t="s">
        <v>37</v>
      </c>
      <c r="F220" s="27" t="s">
        <v>96</v>
      </c>
      <c r="G220" s="27" t="s">
        <v>46</v>
      </c>
      <c r="H220" s="91">
        <v>66580.179999999993</v>
      </c>
      <c r="I220" s="50">
        <v>45852</v>
      </c>
      <c r="J220" s="27"/>
      <c r="K220" s="57">
        <v>156511</v>
      </c>
      <c r="L220" s="39" t="s">
        <v>154</v>
      </c>
      <c r="M220" s="52">
        <v>153</v>
      </c>
      <c r="N220" s="92" t="s">
        <v>241</v>
      </c>
      <c r="O220" s="27" t="s">
        <v>157</v>
      </c>
    </row>
    <row r="221" spans="1:15" hidden="1" x14ac:dyDescent="0.25">
      <c r="A221" s="27">
        <v>3623537</v>
      </c>
      <c r="B221" s="27">
        <v>3769130</v>
      </c>
      <c r="C221" s="66" t="s">
        <v>236</v>
      </c>
      <c r="D221" s="53"/>
      <c r="E221" s="27" t="s">
        <v>37</v>
      </c>
      <c r="F221" s="27" t="s">
        <v>96</v>
      </c>
      <c r="G221" s="27" t="s">
        <v>46</v>
      </c>
      <c r="H221" s="91">
        <v>85663.46</v>
      </c>
      <c r="I221" s="50">
        <v>45852</v>
      </c>
      <c r="J221" s="27"/>
      <c r="K221" s="57">
        <v>156513</v>
      </c>
      <c r="L221" s="39" t="s">
        <v>154</v>
      </c>
      <c r="M221" s="52">
        <v>153</v>
      </c>
      <c r="N221" s="92" t="s">
        <v>241</v>
      </c>
      <c r="O221" s="27" t="s">
        <v>157</v>
      </c>
    </row>
    <row r="222" spans="1:15" hidden="1" x14ac:dyDescent="0.25">
      <c r="A222" s="27">
        <v>3623537</v>
      </c>
      <c r="B222" s="27">
        <v>3769130</v>
      </c>
      <c r="C222" s="66" t="s">
        <v>236</v>
      </c>
      <c r="D222" s="53"/>
      <c r="E222" s="27" t="s">
        <v>37</v>
      </c>
      <c r="F222" s="27" t="s">
        <v>96</v>
      </c>
      <c r="G222" s="27" t="s">
        <v>46</v>
      </c>
      <c r="H222" s="87">
        <v>325.68</v>
      </c>
      <c r="I222" s="50">
        <v>45853</v>
      </c>
      <c r="J222" s="50">
        <v>45856</v>
      </c>
      <c r="K222" s="57">
        <v>156527</v>
      </c>
      <c r="L222" s="39" t="s">
        <v>242</v>
      </c>
      <c r="M222" s="52">
        <v>153</v>
      </c>
      <c r="N222" s="55" t="s">
        <v>155</v>
      </c>
      <c r="O222" s="55" t="s">
        <v>157</v>
      </c>
    </row>
    <row r="223" spans="1:15" hidden="1" x14ac:dyDescent="0.25">
      <c r="A223" s="27">
        <v>3623537</v>
      </c>
      <c r="B223" s="27">
        <v>3769130</v>
      </c>
      <c r="C223" s="66" t="s">
        <v>236</v>
      </c>
      <c r="D223" s="53"/>
      <c r="E223" s="27" t="s">
        <v>37</v>
      </c>
      <c r="F223" s="27" t="s">
        <v>96</v>
      </c>
      <c r="G223" s="27" t="s">
        <v>46</v>
      </c>
      <c r="H223" s="87">
        <v>64739.1</v>
      </c>
      <c r="I223" s="50">
        <v>45855</v>
      </c>
      <c r="J223" s="50">
        <v>45856</v>
      </c>
      <c r="K223" s="57">
        <v>157037</v>
      </c>
      <c r="L223" s="39" t="s">
        <v>154</v>
      </c>
      <c r="M223" s="52">
        <v>153</v>
      </c>
      <c r="N223" s="55" t="s">
        <v>155</v>
      </c>
      <c r="O223" s="55" t="s">
        <v>157</v>
      </c>
    </row>
    <row r="224" spans="1:15" hidden="1" x14ac:dyDescent="0.25">
      <c r="A224" s="27">
        <v>3623537</v>
      </c>
      <c r="B224" s="27">
        <v>3769130</v>
      </c>
      <c r="C224" s="66" t="s">
        <v>236</v>
      </c>
      <c r="D224" s="53"/>
      <c r="E224" s="27" t="s">
        <v>37</v>
      </c>
      <c r="F224" s="27" t="s">
        <v>96</v>
      </c>
      <c r="G224" s="27" t="s">
        <v>46</v>
      </c>
      <c r="H224" s="87">
        <v>85203.19</v>
      </c>
      <c r="I224" s="50">
        <v>45856</v>
      </c>
      <c r="J224" s="50">
        <v>45856</v>
      </c>
      <c r="K224" s="57">
        <v>157158</v>
      </c>
      <c r="L224" s="39" t="s">
        <v>154</v>
      </c>
      <c r="M224" s="52">
        <v>153</v>
      </c>
      <c r="N224" s="55" t="s">
        <v>155</v>
      </c>
      <c r="O224" s="55" t="s">
        <v>157</v>
      </c>
    </row>
    <row r="225" spans="1:15" hidden="1" x14ac:dyDescent="0.25">
      <c r="A225" s="27">
        <v>3623537</v>
      </c>
      <c r="B225" s="27">
        <v>3769130</v>
      </c>
      <c r="C225" s="66" t="s">
        <v>236</v>
      </c>
      <c r="D225" s="53"/>
      <c r="E225" s="27" t="s">
        <v>37</v>
      </c>
      <c r="F225" s="27" t="s">
        <v>96</v>
      </c>
      <c r="G225" s="27" t="s">
        <v>46</v>
      </c>
      <c r="H225" s="87">
        <v>64739.1</v>
      </c>
      <c r="I225" s="50">
        <v>45881</v>
      </c>
      <c r="J225" s="50">
        <v>45882</v>
      </c>
      <c r="K225" s="57">
        <v>158983</v>
      </c>
      <c r="L225" s="39" t="s">
        <v>154</v>
      </c>
      <c r="M225" s="52">
        <v>153</v>
      </c>
      <c r="N225" s="55" t="s">
        <v>155</v>
      </c>
      <c r="O225" s="55" t="s">
        <v>157</v>
      </c>
    </row>
    <row r="226" spans="1:15" hidden="1" x14ac:dyDescent="0.25">
      <c r="A226" s="27">
        <v>3623537</v>
      </c>
      <c r="B226" s="27">
        <v>3769130</v>
      </c>
      <c r="C226" s="66" t="s">
        <v>236</v>
      </c>
      <c r="D226" s="53"/>
      <c r="E226" s="27" t="s">
        <v>37</v>
      </c>
      <c r="F226" s="27" t="s">
        <v>96</v>
      </c>
      <c r="G226" s="27" t="s">
        <v>46</v>
      </c>
      <c r="H226" s="87">
        <v>85203.19</v>
      </c>
      <c r="I226" s="50">
        <v>45881</v>
      </c>
      <c r="J226" s="50">
        <v>45882</v>
      </c>
      <c r="K226" s="57">
        <v>158987</v>
      </c>
      <c r="L226" s="39" t="s">
        <v>154</v>
      </c>
      <c r="M226" s="52">
        <v>153</v>
      </c>
      <c r="N226" s="55" t="s">
        <v>155</v>
      </c>
      <c r="O226" s="55" t="s">
        <v>157</v>
      </c>
    </row>
    <row r="227" spans="1:15" hidden="1" x14ac:dyDescent="0.25">
      <c r="A227" s="27">
        <v>3623537</v>
      </c>
      <c r="B227" s="27">
        <v>3769130</v>
      </c>
      <c r="C227" s="66" t="s">
        <v>236</v>
      </c>
      <c r="D227" s="53"/>
      <c r="E227" s="27" t="s">
        <v>37</v>
      </c>
      <c r="F227" s="27" t="s">
        <v>96</v>
      </c>
      <c r="G227" s="27" t="s">
        <v>46</v>
      </c>
      <c r="H227" s="87">
        <v>64115.55</v>
      </c>
      <c r="I227" s="50">
        <v>45915</v>
      </c>
      <c r="J227" s="50">
        <v>45917</v>
      </c>
      <c r="K227" s="57">
        <v>161682</v>
      </c>
      <c r="L227" s="39" t="s">
        <v>154</v>
      </c>
      <c r="M227" s="52">
        <v>153</v>
      </c>
      <c r="N227" s="55" t="s">
        <v>155</v>
      </c>
      <c r="O227" s="55" t="s">
        <v>157</v>
      </c>
    </row>
    <row r="228" spans="1:15" hidden="1" x14ac:dyDescent="0.25">
      <c r="A228" s="27">
        <v>3623537</v>
      </c>
      <c r="B228" s="27">
        <v>3769130</v>
      </c>
      <c r="C228" s="66" t="s">
        <v>236</v>
      </c>
      <c r="D228" s="53"/>
      <c r="E228" s="27" t="s">
        <v>37</v>
      </c>
      <c r="F228" s="27" t="s">
        <v>96</v>
      </c>
      <c r="G228" s="27" t="s">
        <v>46</v>
      </c>
      <c r="H228" s="87">
        <v>90143.42</v>
      </c>
      <c r="I228" s="50">
        <v>45917</v>
      </c>
      <c r="J228" s="50">
        <v>45917</v>
      </c>
      <c r="K228" s="57">
        <v>162081</v>
      </c>
      <c r="L228" s="39" t="s">
        <v>154</v>
      </c>
      <c r="M228" s="52">
        <v>153</v>
      </c>
      <c r="N228" s="55" t="s">
        <v>155</v>
      </c>
      <c r="O228" s="55" t="s">
        <v>157</v>
      </c>
    </row>
    <row r="229" spans="1:15" hidden="1" x14ac:dyDescent="0.25">
      <c r="A229" s="27">
        <v>3623537</v>
      </c>
      <c r="B229" s="27">
        <v>3769130</v>
      </c>
      <c r="C229" s="66" t="s">
        <v>236</v>
      </c>
      <c r="D229" s="53"/>
      <c r="E229" s="27" t="s">
        <v>37</v>
      </c>
      <c r="F229" s="27" t="s">
        <v>96</v>
      </c>
      <c r="G229" s="27" t="s">
        <v>46</v>
      </c>
      <c r="H229" s="87">
        <v>90599.22</v>
      </c>
      <c r="I229" s="50">
        <v>45941</v>
      </c>
      <c r="J229" s="50">
        <v>45947</v>
      </c>
      <c r="K229" s="57">
        <v>164180</v>
      </c>
      <c r="L229" s="39" t="s">
        <v>154</v>
      </c>
      <c r="M229" s="52">
        <v>153</v>
      </c>
      <c r="N229" s="55" t="s">
        <v>158</v>
      </c>
      <c r="O229" s="55" t="s">
        <v>157</v>
      </c>
    </row>
    <row r="230" spans="1:15" hidden="1" x14ac:dyDescent="0.25">
      <c r="A230" s="30">
        <v>3623537</v>
      </c>
      <c r="B230" s="30">
        <v>3769130</v>
      </c>
      <c r="C230" s="95" t="s">
        <v>236</v>
      </c>
      <c r="D230" s="85"/>
      <c r="E230" s="30" t="s">
        <v>37</v>
      </c>
      <c r="F230" s="30" t="s">
        <v>96</v>
      </c>
      <c r="G230" s="30" t="s">
        <v>46</v>
      </c>
      <c r="H230" s="96">
        <v>64739.1</v>
      </c>
      <c r="I230" s="93">
        <v>45941</v>
      </c>
      <c r="J230" s="93">
        <v>45947</v>
      </c>
      <c r="K230" s="97">
        <v>164183</v>
      </c>
      <c r="L230" s="88" t="s">
        <v>154</v>
      </c>
      <c r="M230" s="94">
        <v>153</v>
      </c>
      <c r="N230" s="98" t="s">
        <v>155</v>
      </c>
      <c r="O230" s="98" t="s">
        <v>157</v>
      </c>
    </row>
    <row r="231" spans="1:15" ht="30" hidden="1" x14ac:dyDescent="0.25">
      <c r="A231" s="27">
        <v>3631801</v>
      </c>
      <c r="B231" s="27">
        <v>3776543</v>
      </c>
      <c r="C231" s="25" t="s">
        <v>164</v>
      </c>
      <c r="D231" s="27" t="s">
        <v>160</v>
      </c>
      <c r="E231" s="27" t="s">
        <v>37</v>
      </c>
      <c r="F231" s="27" t="s">
        <v>161</v>
      </c>
      <c r="G231" s="27" t="s">
        <v>46</v>
      </c>
      <c r="H231" s="67">
        <v>521.95000000000005</v>
      </c>
      <c r="I231" s="50">
        <v>45962</v>
      </c>
      <c r="J231" s="50">
        <v>45964</v>
      </c>
      <c r="K231" s="57">
        <v>6500</v>
      </c>
      <c r="L231" s="39">
        <v>2488</v>
      </c>
      <c r="M231" s="27">
        <v>242</v>
      </c>
      <c r="N231" s="68" t="s">
        <v>155</v>
      </c>
      <c r="O231" s="27" t="s">
        <v>243</v>
      </c>
    </row>
    <row r="232" spans="1:15" x14ac:dyDescent="0.25">
      <c r="A232" s="27">
        <v>4039904</v>
      </c>
      <c r="B232" s="27">
        <v>4165989</v>
      </c>
      <c r="C232" s="66" t="s">
        <v>244</v>
      </c>
      <c r="D232" s="53">
        <v>120411</v>
      </c>
      <c r="E232" s="27" t="s">
        <v>37</v>
      </c>
      <c r="F232" s="27" t="s">
        <v>67</v>
      </c>
      <c r="G232" s="27" t="s">
        <v>46</v>
      </c>
      <c r="H232" s="91">
        <v>840</v>
      </c>
      <c r="I232" s="50">
        <v>45964</v>
      </c>
      <c r="J232" s="50">
        <v>45965</v>
      </c>
      <c r="K232" s="57">
        <v>2051</v>
      </c>
      <c r="L232" s="39">
        <v>1228</v>
      </c>
      <c r="M232" s="27">
        <v>242</v>
      </c>
      <c r="N232" s="99" t="s">
        <v>155</v>
      </c>
      <c r="O232" s="27" t="s">
        <v>157</v>
      </c>
    </row>
    <row r="233" spans="1:15" ht="30" x14ac:dyDescent="0.25">
      <c r="A233" s="27">
        <v>4039778</v>
      </c>
      <c r="B233" s="27">
        <v>4165984</v>
      </c>
      <c r="C233" s="66" t="s">
        <v>245</v>
      </c>
      <c r="D233" s="53">
        <v>120411</v>
      </c>
      <c r="E233" s="27" t="s">
        <v>37</v>
      </c>
      <c r="F233" s="27" t="s">
        <v>67</v>
      </c>
      <c r="G233" s="27" t="s">
        <v>46</v>
      </c>
      <c r="H233" s="91">
        <v>3600</v>
      </c>
      <c r="I233" s="50">
        <v>45964</v>
      </c>
      <c r="J233" s="50">
        <v>45965</v>
      </c>
      <c r="K233" s="57">
        <v>2050</v>
      </c>
      <c r="L233" s="39" t="s">
        <v>246</v>
      </c>
      <c r="M233" s="27">
        <v>242</v>
      </c>
      <c r="N233" s="99" t="s">
        <v>155</v>
      </c>
      <c r="O233" s="27" t="s">
        <v>157</v>
      </c>
    </row>
    <row r="234" spans="1:15" ht="165" hidden="1" x14ac:dyDescent="0.25">
      <c r="A234" s="14">
        <v>4002793</v>
      </c>
      <c r="B234" s="14">
        <v>4129082</v>
      </c>
      <c r="C234" s="25" t="s">
        <v>207</v>
      </c>
      <c r="D234" s="27">
        <v>15839</v>
      </c>
      <c r="E234" s="27" t="s">
        <v>37</v>
      </c>
      <c r="F234" s="27" t="s">
        <v>191</v>
      </c>
      <c r="G234" s="27" t="s">
        <v>55</v>
      </c>
      <c r="H234" s="67">
        <v>2750</v>
      </c>
      <c r="I234" s="50">
        <v>45965</v>
      </c>
      <c r="J234" s="50">
        <v>45967</v>
      </c>
      <c r="K234" s="57">
        <v>1781</v>
      </c>
      <c r="L234" s="39" t="s">
        <v>208</v>
      </c>
      <c r="M234" s="27">
        <v>242</v>
      </c>
      <c r="N234" s="73" t="s">
        <v>155</v>
      </c>
      <c r="O234" s="27" t="s">
        <v>243</v>
      </c>
    </row>
    <row r="235" spans="1:15" hidden="1" x14ac:dyDescent="0.25">
      <c r="A235" s="27">
        <v>4083066</v>
      </c>
      <c r="B235" s="27">
        <v>4206828</v>
      </c>
      <c r="C235" s="25" t="s">
        <v>247</v>
      </c>
      <c r="D235" s="27" t="s">
        <v>226</v>
      </c>
      <c r="E235" s="27" t="s">
        <v>37</v>
      </c>
      <c r="F235" s="27" t="s">
        <v>64</v>
      </c>
      <c r="G235" s="27" t="s">
        <v>46</v>
      </c>
      <c r="H235" s="67">
        <v>27196.67</v>
      </c>
      <c r="I235" s="50">
        <v>45965</v>
      </c>
      <c r="J235" s="50">
        <v>45967</v>
      </c>
      <c r="K235" s="57">
        <v>24439</v>
      </c>
      <c r="L235" s="39">
        <v>1210</v>
      </c>
      <c r="M235" s="52">
        <v>242</v>
      </c>
      <c r="N235" s="73" t="s">
        <v>155</v>
      </c>
      <c r="O235" s="27" t="s">
        <v>163</v>
      </c>
    </row>
    <row r="236" spans="1:15" hidden="1" x14ac:dyDescent="0.25">
      <c r="A236" s="27">
        <v>3623537</v>
      </c>
      <c r="B236" s="27">
        <v>3769130</v>
      </c>
      <c r="C236" s="66" t="s">
        <v>236</v>
      </c>
      <c r="D236" s="53"/>
      <c r="E236" s="27" t="s">
        <v>37</v>
      </c>
      <c r="F236" s="27" t="s">
        <v>96</v>
      </c>
      <c r="G236" s="27" t="s">
        <v>46</v>
      </c>
      <c r="H236" s="91">
        <v>90599.22</v>
      </c>
      <c r="I236" s="50">
        <v>45969</v>
      </c>
      <c r="J236" s="50">
        <v>45971</v>
      </c>
      <c r="K236" s="57">
        <v>166376</v>
      </c>
      <c r="L236" s="39" t="s">
        <v>154</v>
      </c>
      <c r="M236" s="52">
        <v>153</v>
      </c>
      <c r="N236" s="99" t="s">
        <v>155</v>
      </c>
      <c r="O236" s="27" t="s">
        <v>157</v>
      </c>
    </row>
    <row r="237" spans="1:15" hidden="1" x14ac:dyDescent="0.25">
      <c r="A237" s="27">
        <v>3623537</v>
      </c>
      <c r="B237" s="27">
        <v>3769130</v>
      </c>
      <c r="C237" s="66" t="s">
        <v>236</v>
      </c>
      <c r="D237" s="53"/>
      <c r="E237" s="27" t="s">
        <v>37</v>
      </c>
      <c r="F237" s="27" t="s">
        <v>96</v>
      </c>
      <c r="G237" s="27" t="s">
        <v>46</v>
      </c>
      <c r="H237" s="91">
        <v>64739.1</v>
      </c>
      <c r="I237" s="50">
        <v>45969</v>
      </c>
      <c r="J237" s="50">
        <v>45971</v>
      </c>
      <c r="K237" s="57">
        <v>166374</v>
      </c>
      <c r="L237" s="39" t="s">
        <v>154</v>
      </c>
      <c r="M237" s="52">
        <v>153</v>
      </c>
      <c r="N237" s="99" t="s">
        <v>155</v>
      </c>
      <c r="O237" s="27" t="s">
        <v>157</v>
      </c>
    </row>
    <row r="238" spans="1:15" ht="45" hidden="1" x14ac:dyDescent="0.25">
      <c r="A238" s="27">
        <v>3619858</v>
      </c>
      <c r="B238" s="27">
        <v>3766711</v>
      </c>
      <c r="C238" s="66" t="s">
        <v>151</v>
      </c>
      <c r="D238" s="53" t="s">
        <v>152</v>
      </c>
      <c r="E238" s="27" t="s">
        <v>37</v>
      </c>
      <c r="F238" s="27" t="s">
        <v>153</v>
      </c>
      <c r="G238" s="27" t="s">
        <v>46</v>
      </c>
      <c r="H238" s="91">
        <v>4208.75</v>
      </c>
      <c r="I238" s="50">
        <v>45971</v>
      </c>
      <c r="J238" s="50">
        <v>45972</v>
      </c>
      <c r="K238" s="57">
        <v>600333</v>
      </c>
      <c r="L238" s="39" t="s">
        <v>154</v>
      </c>
      <c r="M238" s="27">
        <v>153</v>
      </c>
      <c r="N238" s="99" t="s">
        <v>155</v>
      </c>
      <c r="O238" s="27" t="s">
        <v>157</v>
      </c>
    </row>
    <row r="239" spans="1:15" ht="90" hidden="1" x14ac:dyDescent="0.25">
      <c r="A239" s="27">
        <v>3977321</v>
      </c>
      <c r="B239" s="27">
        <v>4106352</v>
      </c>
      <c r="C239" s="25" t="s">
        <v>187</v>
      </c>
      <c r="D239" s="27" t="s">
        <v>188</v>
      </c>
      <c r="E239" s="27" t="s">
        <v>37</v>
      </c>
      <c r="F239" s="27" t="s">
        <v>189</v>
      </c>
      <c r="G239" s="27" t="s">
        <v>46</v>
      </c>
      <c r="H239" s="67">
        <v>7500</v>
      </c>
      <c r="I239" s="50">
        <v>45972</v>
      </c>
      <c r="J239" s="100">
        <v>45974</v>
      </c>
      <c r="K239" s="57">
        <v>11988</v>
      </c>
      <c r="L239" s="39">
        <v>1210</v>
      </c>
      <c r="M239" s="52">
        <v>242</v>
      </c>
      <c r="N239" s="99" t="s">
        <v>155</v>
      </c>
      <c r="O239" s="27" t="s">
        <v>110</v>
      </c>
    </row>
    <row r="240" spans="1:15" ht="75" hidden="1" x14ac:dyDescent="0.25">
      <c r="A240" s="27">
        <v>3796471</v>
      </c>
      <c r="B240" s="27">
        <v>3934127</v>
      </c>
      <c r="C240" s="25" t="s">
        <v>172</v>
      </c>
      <c r="D240" s="27" t="s">
        <v>173</v>
      </c>
      <c r="E240" s="27" t="s">
        <v>37</v>
      </c>
      <c r="F240" s="27" t="s">
        <v>174</v>
      </c>
      <c r="G240" s="27" t="s">
        <v>46</v>
      </c>
      <c r="H240" s="67">
        <v>6250.23</v>
      </c>
      <c r="I240" s="50">
        <v>45985</v>
      </c>
      <c r="J240" s="50">
        <v>45986</v>
      </c>
      <c r="K240" s="58" t="s">
        <v>248</v>
      </c>
      <c r="L240" s="39" t="s">
        <v>249</v>
      </c>
      <c r="M240" s="52" t="s">
        <v>178</v>
      </c>
      <c r="N240" s="99" t="s">
        <v>155</v>
      </c>
      <c r="O240" s="27" t="s">
        <v>250</v>
      </c>
    </row>
    <row r="241" spans="1:15" ht="30" hidden="1" x14ac:dyDescent="0.25">
      <c r="A241" s="27">
        <v>3796459</v>
      </c>
      <c r="B241" s="27">
        <v>3934135</v>
      </c>
      <c r="C241" s="25" t="s">
        <v>165</v>
      </c>
      <c r="D241" s="27" t="s">
        <v>166</v>
      </c>
      <c r="E241" s="27" t="s">
        <v>37</v>
      </c>
      <c r="F241" s="27" t="s">
        <v>167</v>
      </c>
      <c r="G241" s="27" t="s">
        <v>46</v>
      </c>
      <c r="H241" s="67">
        <v>415</v>
      </c>
      <c r="I241" s="50">
        <v>45985</v>
      </c>
      <c r="J241" s="50">
        <v>45986</v>
      </c>
      <c r="K241" s="58" t="s">
        <v>251</v>
      </c>
      <c r="L241" s="39">
        <v>2054</v>
      </c>
      <c r="M241" s="27">
        <v>71</v>
      </c>
      <c r="N241" s="99" t="s">
        <v>155</v>
      </c>
      <c r="O241" s="27" t="s">
        <v>250</v>
      </c>
    </row>
    <row r="242" spans="1:15" ht="30" hidden="1" x14ac:dyDescent="0.25">
      <c r="A242" s="27">
        <v>4004885</v>
      </c>
      <c r="B242" s="27">
        <v>4131474</v>
      </c>
      <c r="C242" s="25" t="s">
        <v>252</v>
      </c>
      <c r="D242" s="27" t="s">
        <v>210</v>
      </c>
      <c r="E242" s="27" t="s">
        <v>37</v>
      </c>
      <c r="F242" s="27" t="s">
        <v>62</v>
      </c>
      <c r="G242" s="27" t="s">
        <v>46</v>
      </c>
      <c r="H242" s="67">
        <v>29471.02</v>
      </c>
      <c r="I242" s="50">
        <v>45974</v>
      </c>
      <c r="J242" s="50">
        <v>45979</v>
      </c>
      <c r="K242" s="57">
        <v>5388</v>
      </c>
      <c r="L242" s="39" t="s">
        <v>222</v>
      </c>
      <c r="M242" s="52">
        <v>242</v>
      </c>
      <c r="N242" s="73" t="s">
        <v>155</v>
      </c>
      <c r="O242" s="27" t="s">
        <v>156</v>
      </c>
    </row>
    <row r="243" spans="1:15" hidden="1" x14ac:dyDescent="0.25">
      <c r="A243" s="27" t="s">
        <v>32</v>
      </c>
      <c r="B243" s="27" t="s">
        <v>32</v>
      </c>
      <c r="C243" s="25" t="s">
        <v>184</v>
      </c>
      <c r="D243" s="53"/>
      <c r="E243" s="27" t="s">
        <v>37</v>
      </c>
      <c r="F243" s="27" t="s">
        <v>185</v>
      </c>
      <c r="G243" s="27" t="s">
        <v>46</v>
      </c>
      <c r="H243" s="67">
        <v>1321.15</v>
      </c>
      <c r="I243" s="50">
        <v>45978</v>
      </c>
      <c r="J243" s="50">
        <v>45979</v>
      </c>
      <c r="K243" s="57">
        <v>14685</v>
      </c>
      <c r="L243" s="39">
        <v>1295</v>
      </c>
      <c r="M243" s="52">
        <v>30</v>
      </c>
      <c r="N243" s="73" t="s">
        <v>155</v>
      </c>
      <c r="O243" s="64" t="s">
        <v>156</v>
      </c>
    </row>
    <row r="244" spans="1:15" ht="30" x14ac:dyDescent="0.25">
      <c r="A244" s="27">
        <v>4039778</v>
      </c>
      <c r="B244" s="29">
        <v>4165984</v>
      </c>
      <c r="C244" s="95" t="s">
        <v>253</v>
      </c>
      <c r="D244" s="85">
        <v>120411</v>
      </c>
      <c r="E244" s="27" t="s">
        <v>45</v>
      </c>
      <c r="F244" s="27" t="s">
        <v>67</v>
      </c>
      <c r="G244" s="27" t="s">
        <v>46</v>
      </c>
      <c r="H244" s="91">
        <v>1600</v>
      </c>
      <c r="I244" s="50">
        <v>45980</v>
      </c>
      <c r="J244" s="50">
        <v>45981</v>
      </c>
      <c r="K244" s="57">
        <v>2063</v>
      </c>
      <c r="L244" s="39">
        <v>1244</v>
      </c>
      <c r="M244" s="27">
        <v>242</v>
      </c>
      <c r="N244" s="99" t="s">
        <v>155</v>
      </c>
      <c r="O244" s="27" t="s">
        <v>157</v>
      </c>
    </row>
    <row r="245" spans="1:15" ht="60" x14ac:dyDescent="0.25">
      <c r="A245" s="136">
        <v>4039778</v>
      </c>
      <c r="B245" s="14">
        <v>4165984</v>
      </c>
      <c r="C245" s="53" t="s">
        <v>254</v>
      </c>
      <c r="D245" s="53">
        <v>120411</v>
      </c>
      <c r="E245" s="65" t="s">
        <v>45</v>
      </c>
      <c r="F245" s="27" t="s">
        <v>67</v>
      </c>
      <c r="G245" s="27" t="s">
        <v>46</v>
      </c>
      <c r="H245" s="91">
        <v>2400</v>
      </c>
      <c r="I245" s="50">
        <v>45980</v>
      </c>
      <c r="J245" s="50">
        <v>45981</v>
      </c>
      <c r="K245" s="57">
        <v>2064</v>
      </c>
      <c r="L245" s="39" t="s">
        <v>255</v>
      </c>
      <c r="M245" s="27">
        <v>242</v>
      </c>
      <c r="N245" s="99" t="s">
        <v>155</v>
      </c>
      <c r="O245" s="27" t="s">
        <v>163</v>
      </c>
    </row>
    <row r="246" spans="1:15" ht="30" hidden="1" x14ac:dyDescent="0.25">
      <c r="A246" s="27">
        <v>4168151</v>
      </c>
      <c r="B246" s="137">
        <v>4324442</v>
      </c>
      <c r="C246" s="138" t="s">
        <v>256</v>
      </c>
      <c r="D246" s="139">
        <v>16445</v>
      </c>
      <c r="E246" s="27" t="s">
        <v>37</v>
      </c>
      <c r="F246" s="27" t="s">
        <v>257</v>
      </c>
      <c r="G246" s="27" t="s">
        <v>65</v>
      </c>
      <c r="H246" s="91">
        <v>5754.17</v>
      </c>
      <c r="I246" s="50">
        <v>45985</v>
      </c>
      <c r="J246" s="100">
        <v>45986</v>
      </c>
      <c r="K246" s="57">
        <v>6388</v>
      </c>
      <c r="L246" s="39">
        <v>2488</v>
      </c>
      <c r="M246" s="27">
        <v>9</v>
      </c>
      <c r="N246" s="99" t="s">
        <v>155</v>
      </c>
      <c r="O246" s="27" t="s">
        <v>163</v>
      </c>
    </row>
    <row r="247" spans="1:15" ht="30" hidden="1" x14ac:dyDescent="0.25">
      <c r="A247" s="27">
        <v>4168151</v>
      </c>
      <c r="B247" s="33">
        <v>4324442</v>
      </c>
      <c r="C247" s="66" t="s">
        <v>258</v>
      </c>
      <c r="D247" s="14">
        <v>16445</v>
      </c>
      <c r="E247" s="27" t="s">
        <v>37</v>
      </c>
      <c r="F247" s="27" t="s">
        <v>257</v>
      </c>
      <c r="G247" s="27" t="s">
        <v>65</v>
      </c>
      <c r="H247" s="91">
        <v>5018.75</v>
      </c>
      <c r="I247" s="50">
        <v>45985</v>
      </c>
      <c r="J247" s="100">
        <v>45986</v>
      </c>
      <c r="K247" s="57">
        <v>6389</v>
      </c>
      <c r="L247" s="39">
        <v>2224</v>
      </c>
      <c r="M247" s="27">
        <v>9</v>
      </c>
      <c r="N247" s="99" t="s">
        <v>155</v>
      </c>
      <c r="O247" s="27" t="s">
        <v>163</v>
      </c>
    </row>
    <row r="248" spans="1:15" ht="30" hidden="1" x14ac:dyDescent="0.25">
      <c r="A248" s="30">
        <v>3627916</v>
      </c>
      <c r="B248" s="30">
        <v>3773474</v>
      </c>
      <c r="C248" s="25" t="s">
        <v>159</v>
      </c>
      <c r="D248" s="27" t="s">
        <v>160</v>
      </c>
      <c r="E248" s="27" t="s">
        <v>37</v>
      </c>
      <c r="F248" s="27" t="s">
        <v>161</v>
      </c>
      <c r="G248" s="27" t="s">
        <v>46</v>
      </c>
      <c r="H248" s="67">
        <v>1595.88</v>
      </c>
      <c r="I248" s="50">
        <v>45988</v>
      </c>
      <c r="J248" s="50">
        <v>45989</v>
      </c>
      <c r="K248" s="57">
        <v>87741833</v>
      </c>
      <c r="L248" s="39">
        <v>2488</v>
      </c>
      <c r="M248" s="52">
        <v>153</v>
      </c>
      <c r="N248" s="68" t="s">
        <v>155</v>
      </c>
      <c r="O248" s="27" t="s">
        <v>156</v>
      </c>
    </row>
    <row r="249" spans="1:15" ht="90" hidden="1" x14ac:dyDescent="0.25">
      <c r="A249" s="27">
        <v>4285976</v>
      </c>
      <c r="B249" s="27">
        <v>4412650</v>
      </c>
      <c r="C249" s="66" t="s">
        <v>187</v>
      </c>
      <c r="D249" s="53" t="s">
        <v>259</v>
      </c>
      <c r="E249" s="27" t="s">
        <v>37</v>
      </c>
      <c r="F249" s="27" t="s">
        <v>260</v>
      </c>
      <c r="G249" s="27" t="s">
        <v>55</v>
      </c>
      <c r="H249" s="67">
        <v>8730</v>
      </c>
      <c r="I249" s="50">
        <v>45993</v>
      </c>
      <c r="J249" s="50">
        <v>45994</v>
      </c>
      <c r="K249" s="57" t="s">
        <v>261</v>
      </c>
      <c r="L249" s="39">
        <v>1210</v>
      </c>
      <c r="M249" s="52">
        <v>242</v>
      </c>
      <c r="N249" s="68" t="s">
        <v>155</v>
      </c>
      <c r="O249" s="27" t="s">
        <v>156</v>
      </c>
    </row>
    <row r="250" spans="1:15" ht="30" hidden="1" x14ac:dyDescent="0.25">
      <c r="A250" s="27">
        <v>4004885</v>
      </c>
      <c r="B250" s="27">
        <v>4131474</v>
      </c>
      <c r="C250" s="25" t="s">
        <v>262</v>
      </c>
      <c r="D250" s="27" t="s">
        <v>210</v>
      </c>
      <c r="E250" s="27" t="s">
        <v>37</v>
      </c>
      <c r="F250" s="27" t="s">
        <v>62</v>
      </c>
      <c r="G250" s="27" t="s">
        <v>46</v>
      </c>
      <c r="H250" s="67">
        <v>29471.02</v>
      </c>
      <c r="I250" s="50">
        <v>45994</v>
      </c>
      <c r="J250" s="50">
        <v>45995</v>
      </c>
      <c r="K250" s="57">
        <v>5494</v>
      </c>
      <c r="L250" s="39" t="s">
        <v>222</v>
      </c>
      <c r="M250" s="52">
        <v>242</v>
      </c>
      <c r="N250" s="73" t="s">
        <v>155</v>
      </c>
      <c r="O250" s="27" t="s">
        <v>156</v>
      </c>
    </row>
    <row r="251" spans="1:15" ht="150" hidden="1" x14ac:dyDescent="0.25">
      <c r="A251" s="14">
        <v>4002793</v>
      </c>
      <c r="B251" s="14">
        <v>4129082</v>
      </c>
      <c r="C251" s="25" t="s">
        <v>207</v>
      </c>
      <c r="D251" s="27">
        <v>15839</v>
      </c>
      <c r="E251" s="27" t="s">
        <v>37</v>
      </c>
      <c r="F251" s="27" t="s">
        <v>191</v>
      </c>
      <c r="G251" s="27" t="s">
        <v>55</v>
      </c>
      <c r="H251" s="67">
        <v>2750</v>
      </c>
      <c r="I251" s="50">
        <v>45994</v>
      </c>
      <c r="J251" s="50">
        <v>45996</v>
      </c>
      <c r="K251" s="57">
        <v>1829</v>
      </c>
      <c r="L251" s="39" t="s">
        <v>263</v>
      </c>
      <c r="M251" s="52">
        <v>242</v>
      </c>
      <c r="N251" s="73" t="s">
        <v>155</v>
      </c>
      <c r="O251" s="27" t="s">
        <v>156</v>
      </c>
    </row>
    <row r="252" spans="1:15" hidden="1" x14ac:dyDescent="0.25">
      <c r="A252" s="27">
        <v>3623537</v>
      </c>
      <c r="B252" s="27">
        <v>3769130</v>
      </c>
      <c r="C252" s="66" t="s">
        <v>236</v>
      </c>
      <c r="D252" s="53"/>
      <c r="E252" s="27" t="s">
        <v>37</v>
      </c>
      <c r="F252" s="27" t="s">
        <v>96</v>
      </c>
      <c r="G252" s="27" t="s">
        <v>46</v>
      </c>
      <c r="H252" s="91">
        <v>64739.1</v>
      </c>
      <c r="I252" s="50">
        <v>46000</v>
      </c>
      <c r="J252" s="50">
        <v>46001</v>
      </c>
      <c r="K252" s="57">
        <v>169466</v>
      </c>
      <c r="L252" s="39" t="s">
        <v>154</v>
      </c>
      <c r="M252" s="52">
        <v>153</v>
      </c>
      <c r="N252" s="99" t="s">
        <v>155</v>
      </c>
      <c r="O252" s="27" t="s">
        <v>163</v>
      </c>
    </row>
    <row r="253" spans="1:15" hidden="1" x14ac:dyDescent="0.25">
      <c r="A253" s="27">
        <v>3623537</v>
      </c>
      <c r="B253" s="30">
        <v>3769130</v>
      </c>
      <c r="C253" s="95" t="s">
        <v>236</v>
      </c>
      <c r="D253" s="85"/>
      <c r="E253" s="27" t="s">
        <v>37</v>
      </c>
      <c r="F253" s="27" t="s">
        <v>96</v>
      </c>
      <c r="G253" s="27" t="s">
        <v>46</v>
      </c>
      <c r="H253" s="91">
        <v>90599.22</v>
      </c>
      <c r="I253" s="50">
        <v>46000</v>
      </c>
      <c r="J253" s="50">
        <v>46001</v>
      </c>
      <c r="K253" s="57">
        <v>169467</v>
      </c>
      <c r="L253" s="39" t="s">
        <v>154</v>
      </c>
      <c r="M253" s="52">
        <v>153</v>
      </c>
      <c r="N253" s="99" t="s">
        <v>155</v>
      </c>
      <c r="O253" s="27" t="s">
        <v>163</v>
      </c>
    </row>
    <row r="254" spans="1:15" x14ac:dyDescent="0.25">
      <c r="A254" s="136">
        <v>4039904</v>
      </c>
      <c r="B254" s="27">
        <v>4165989</v>
      </c>
      <c r="C254" s="135" t="s">
        <v>264</v>
      </c>
      <c r="D254" s="53">
        <v>120411</v>
      </c>
      <c r="E254" s="65" t="s">
        <v>37</v>
      </c>
      <c r="F254" s="27" t="s">
        <v>67</v>
      </c>
      <c r="G254" s="27" t="s">
        <v>46</v>
      </c>
      <c r="H254" s="91">
        <v>1260</v>
      </c>
      <c r="I254" s="50">
        <v>46000</v>
      </c>
      <c r="J254" s="50">
        <v>46000</v>
      </c>
      <c r="K254" s="57">
        <v>2072</v>
      </c>
      <c r="L254" s="39">
        <v>1210</v>
      </c>
      <c r="M254" s="27">
        <v>242</v>
      </c>
      <c r="N254" s="99" t="s">
        <v>155</v>
      </c>
      <c r="O254" s="27" t="s">
        <v>163</v>
      </c>
    </row>
    <row r="255" spans="1:15" ht="360" x14ac:dyDescent="0.25">
      <c r="A255" s="136">
        <v>4039778</v>
      </c>
      <c r="B255" s="14">
        <v>4165984</v>
      </c>
      <c r="C255" s="66" t="s">
        <v>265</v>
      </c>
      <c r="D255" s="53">
        <v>120411</v>
      </c>
      <c r="E255" s="65" t="s">
        <v>45</v>
      </c>
      <c r="F255" s="27" t="s">
        <v>67</v>
      </c>
      <c r="G255" s="27" t="s">
        <v>46</v>
      </c>
      <c r="H255" s="91">
        <v>6200</v>
      </c>
      <c r="I255" s="50">
        <v>46000</v>
      </c>
      <c r="J255" s="50">
        <v>46000</v>
      </c>
      <c r="K255" s="57">
        <v>2071</v>
      </c>
      <c r="L255" s="39" t="s">
        <v>266</v>
      </c>
      <c r="M255" s="27">
        <v>242</v>
      </c>
      <c r="N255" s="99" t="s">
        <v>155</v>
      </c>
      <c r="O255" s="27" t="s">
        <v>163</v>
      </c>
    </row>
    <row r="256" spans="1:15" hidden="1" x14ac:dyDescent="0.25">
      <c r="A256" s="27">
        <v>4083066</v>
      </c>
      <c r="B256" s="27">
        <v>4206828</v>
      </c>
      <c r="C256" s="25" t="s">
        <v>267</v>
      </c>
      <c r="D256" s="27" t="s">
        <v>226</v>
      </c>
      <c r="E256" s="27" t="s">
        <v>37</v>
      </c>
      <c r="F256" s="27" t="s">
        <v>64</v>
      </c>
      <c r="G256" s="27" t="s">
        <v>46</v>
      </c>
      <c r="H256" s="67">
        <v>27196.67</v>
      </c>
      <c r="I256" s="50">
        <v>46000</v>
      </c>
      <c r="J256" s="50">
        <v>46000</v>
      </c>
      <c r="K256" s="57">
        <v>24758</v>
      </c>
      <c r="L256" s="39">
        <v>1210</v>
      </c>
      <c r="M256" s="52">
        <v>242</v>
      </c>
      <c r="N256" s="73" t="s">
        <v>155</v>
      </c>
      <c r="O256" s="27" t="s">
        <v>156</v>
      </c>
    </row>
    <row r="257" spans="1:15" ht="45" hidden="1" x14ac:dyDescent="0.25">
      <c r="A257" s="27">
        <v>3619858</v>
      </c>
      <c r="B257" s="27">
        <v>3766711</v>
      </c>
      <c r="C257" s="66" t="s">
        <v>151</v>
      </c>
      <c r="D257" s="53" t="s">
        <v>152</v>
      </c>
      <c r="E257" s="27" t="s">
        <v>37</v>
      </c>
      <c r="F257" s="27" t="s">
        <v>153</v>
      </c>
      <c r="G257" s="27" t="s">
        <v>46</v>
      </c>
      <c r="H257" s="91">
        <v>3897.91</v>
      </c>
      <c r="I257" s="50">
        <v>46002</v>
      </c>
      <c r="J257" s="50">
        <v>46003</v>
      </c>
      <c r="K257" s="57">
        <v>609732</v>
      </c>
      <c r="L257" s="39" t="s">
        <v>154</v>
      </c>
      <c r="M257" s="27">
        <v>153</v>
      </c>
      <c r="N257" s="99" t="s">
        <v>155</v>
      </c>
      <c r="O257" s="27" t="s">
        <v>163</v>
      </c>
    </row>
    <row r="258" spans="1:15" ht="30" hidden="1" x14ac:dyDescent="0.25">
      <c r="A258" s="27">
        <v>3631801</v>
      </c>
      <c r="B258" s="27">
        <v>3776543</v>
      </c>
      <c r="C258" s="25" t="s">
        <v>164</v>
      </c>
      <c r="D258" s="27" t="s">
        <v>160</v>
      </c>
      <c r="E258" s="27" t="s">
        <v>37</v>
      </c>
      <c r="F258" s="27" t="s">
        <v>161</v>
      </c>
      <c r="G258" s="27" t="s">
        <v>46</v>
      </c>
      <c r="H258" s="67">
        <v>521.95000000000005</v>
      </c>
      <c r="I258" s="50">
        <v>45992</v>
      </c>
      <c r="J258" s="50">
        <v>46003</v>
      </c>
      <c r="K258" s="57">
        <v>6543</v>
      </c>
      <c r="L258" s="39">
        <v>2488</v>
      </c>
      <c r="M258" s="52">
        <v>242</v>
      </c>
      <c r="N258" s="73" t="s">
        <v>155</v>
      </c>
      <c r="O258" s="27" t="s">
        <v>156</v>
      </c>
    </row>
    <row r="259" spans="1:15" ht="75" hidden="1" x14ac:dyDescent="0.25">
      <c r="A259" s="27">
        <v>3796471</v>
      </c>
      <c r="B259" s="27">
        <v>3934127</v>
      </c>
      <c r="C259" s="25" t="s">
        <v>172</v>
      </c>
      <c r="D259" s="27" t="s">
        <v>173</v>
      </c>
      <c r="E259" s="27" t="s">
        <v>37</v>
      </c>
      <c r="F259" s="27" t="s">
        <v>174</v>
      </c>
      <c r="G259" s="27" t="s">
        <v>46</v>
      </c>
      <c r="H259" s="67">
        <v>6250.23</v>
      </c>
      <c r="I259" s="50">
        <v>46006</v>
      </c>
      <c r="J259" s="50">
        <v>46006</v>
      </c>
      <c r="K259" s="57">
        <v>74838</v>
      </c>
      <c r="L259" s="39" t="s">
        <v>249</v>
      </c>
      <c r="M259" s="52" t="s">
        <v>178</v>
      </c>
      <c r="N259" s="99" t="s">
        <v>155</v>
      </c>
      <c r="O259" s="27" t="s">
        <v>156</v>
      </c>
    </row>
    <row r="260" spans="1:15" ht="30" hidden="1" x14ac:dyDescent="0.25">
      <c r="A260" s="27">
        <v>3796459</v>
      </c>
      <c r="B260" s="27">
        <v>3934135</v>
      </c>
      <c r="C260" s="25" t="s">
        <v>165</v>
      </c>
      <c r="D260" s="27" t="s">
        <v>166</v>
      </c>
      <c r="E260" s="27" t="s">
        <v>37</v>
      </c>
      <c r="F260" s="27" t="s">
        <v>167</v>
      </c>
      <c r="G260" s="27" t="s">
        <v>46</v>
      </c>
      <c r="H260" s="67">
        <v>415</v>
      </c>
      <c r="I260" s="50">
        <v>46006</v>
      </c>
      <c r="J260" s="50">
        <v>46006</v>
      </c>
      <c r="K260" s="57">
        <v>1254</v>
      </c>
      <c r="L260" s="39">
        <v>2054</v>
      </c>
      <c r="M260" s="27">
        <v>71</v>
      </c>
      <c r="N260" s="99" t="s">
        <v>155</v>
      </c>
      <c r="O260" s="27" t="s">
        <v>156</v>
      </c>
    </row>
    <row r="261" spans="1:15" ht="30" x14ac:dyDescent="0.25">
      <c r="A261" s="136">
        <v>4039904</v>
      </c>
      <c r="B261" s="27">
        <v>4165989</v>
      </c>
      <c r="C261" s="66" t="s">
        <v>268</v>
      </c>
      <c r="D261" s="53">
        <v>120411</v>
      </c>
      <c r="E261" s="27" t="s">
        <v>37</v>
      </c>
      <c r="F261" s="27" t="s">
        <v>67</v>
      </c>
      <c r="G261" s="27" t="s">
        <v>46</v>
      </c>
      <c r="H261" s="91">
        <v>3520</v>
      </c>
      <c r="I261" s="50">
        <v>46013</v>
      </c>
      <c r="J261" s="50">
        <v>46014</v>
      </c>
      <c r="K261" s="57">
        <v>2099</v>
      </c>
      <c r="L261" s="39" t="s">
        <v>269</v>
      </c>
      <c r="M261" s="27">
        <v>242</v>
      </c>
      <c r="N261" s="99" t="s">
        <v>155</v>
      </c>
      <c r="O261" s="27" t="s">
        <v>156</v>
      </c>
    </row>
    <row r="262" spans="1:15" ht="120" x14ac:dyDescent="0.25">
      <c r="A262" s="136">
        <v>4039778</v>
      </c>
      <c r="B262" s="14">
        <v>4165984</v>
      </c>
      <c r="C262" s="66" t="s">
        <v>270</v>
      </c>
      <c r="D262" s="53">
        <v>120411</v>
      </c>
      <c r="E262" s="27" t="s">
        <v>37</v>
      </c>
      <c r="F262" s="27" t="s">
        <v>67</v>
      </c>
      <c r="G262" s="27" t="s">
        <v>46</v>
      </c>
      <c r="H262" s="91">
        <v>8500</v>
      </c>
      <c r="I262" s="50">
        <v>46013</v>
      </c>
      <c r="J262" s="50">
        <v>46015</v>
      </c>
      <c r="K262" s="57">
        <v>2100</v>
      </c>
      <c r="L262" s="142" t="s">
        <v>271</v>
      </c>
      <c r="M262" s="27">
        <v>242</v>
      </c>
      <c r="N262" s="99" t="s">
        <v>155</v>
      </c>
      <c r="O262" s="27" t="s">
        <v>156</v>
      </c>
    </row>
    <row r="263" spans="1:15" hidden="1" x14ac:dyDescent="0.25">
      <c r="A263" s="27" t="s">
        <v>32</v>
      </c>
      <c r="B263" s="27" t="s">
        <v>32</v>
      </c>
      <c r="C263" s="25" t="s">
        <v>184</v>
      </c>
      <c r="D263" s="53"/>
      <c r="E263" s="27" t="s">
        <v>37</v>
      </c>
      <c r="F263" s="27" t="s">
        <v>185</v>
      </c>
      <c r="G263" s="27" t="s">
        <v>46</v>
      </c>
      <c r="H263" s="67">
        <v>1321.15</v>
      </c>
      <c r="I263" s="50">
        <v>46006</v>
      </c>
      <c r="J263" s="50">
        <v>46017</v>
      </c>
      <c r="K263" s="57">
        <v>14738</v>
      </c>
      <c r="L263" s="39">
        <v>1295</v>
      </c>
      <c r="M263" s="52">
        <v>30</v>
      </c>
      <c r="N263" s="73" t="s">
        <v>155</v>
      </c>
      <c r="O263" s="64" t="s">
        <v>156</v>
      </c>
    </row>
    <row r="264" spans="1:15" ht="30" hidden="1" x14ac:dyDescent="0.25">
      <c r="A264" s="30">
        <v>3627916</v>
      </c>
      <c r="B264" s="30">
        <v>3773474</v>
      </c>
      <c r="C264" s="25" t="s">
        <v>159</v>
      </c>
      <c r="D264" s="27" t="s">
        <v>160</v>
      </c>
      <c r="E264" s="27" t="s">
        <v>37</v>
      </c>
      <c r="F264" s="27" t="s">
        <v>161</v>
      </c>
      <c r="G264" s="27" t="s">
        <v>46</v>
      </c>
      <c r="H264" s="67">
        <v>1595.88</v>
      </c>
      <c r="I264" s="50">
        <v>46018</v>
      </c>
      <c r="J264" s="50">
        <v>46020</v>
      </c>
      <c r="K264" s="57">
        <v>87787294</v>
      </c>
      <c r="L264" s="39">
        <v>2488</v>
      </c>
      <c r="M264" s="52">
        <v>153</v>
      </c>
      <c r="N264" s="68" t="s">
        <v>155</v>
      </c>
      <c r="O264" s="27" t="s">
        <v>156</v>
      </c>
    </row>
    <row r="265" spans="1:15" ht="150" hidden="1" x14ac:dyDescent="0.25">
      <c r="A265" s="14">
        <v>4002793</v>
      </c>
      <c r="B265" s="14">
        <v>4129082</v>
      </c>
      <c r="C265" s="25" t="s">
        <v>207</v>
      </c>
      <c r="D265" s="27">
        <v>15839</v>
      </c>
      <c r="E265" s="27" t="s">
        <v>37</v>
      </c>
      <c r="F265" s="27" t="s">
        <v>191</v>
      </c>
      <c r="G265" s="27" t="s">
        <v>55</v>
      </c>
      <c r="H265" s="67">
        <v>2750</v>
      </c>
      <c r="I265" s="50">
        <v>46024</v>
      </c>
      <c r="J265" s="50">
        <v>46029</v>
      </c>
      <c r="K265" s="57">
        <v>1855</v>
      </c>
      <c r="L265" s="39" t="s">
        <v>263</v>
      </c>
      <c r="M265" s="52">
        <v>242</v>
      </c>
      <c r="N265" s="68" t="s">
        <v>155</v>
      </c>
      <c r="O265" s="27" t="s">
        <v>156</v>
      </c>
    </row>
    <row r="266" spans="1:15" ht="30" hidden="1" x14ac:dyDescent="0.25">
      <c r="A266" s="27">
        <v>4125235</v>
      </c>
      <c r="B266" s="27">
        <v>4245557</v>
      </c>
      <c r="C266" s="66" t="s">
        <v>272</v>
      </c>
      <c r="D266" s="53" t="s">
        <v>273</v>
      </c>
      <c r="E266" s="27" t="s">
        <v>37</v>
      </c>
      <c r="F266" s="27" t="s">
        <v>257</v>
      </c>
      <c r="G266" s="27" t="s">
        <v>46</v>
      </c>
      <c r="H266" s="91">
        <v>3397.5</v>
      </c>
      <c r="I266" s="50">
        <v>46028</v>
      </c>
      <c r="J266" s="27"/>
      <c r="K266" s="57">
        <v>6490</v>
      </c>
      <c r="L266" s="39">
        <v>2119</v>
      </c>
      <c r="M266" s="27">
        <v>9</v>
      </c>
      <c r="N266" s="99" t="s">
        <v>155</v>
      </c>
      <c r="O266" s="27" t="s">
        <v>163</v>
      </c>
    </row>
    <row r="267" spans="1:15" ht="30" hidden="1" x14ac:dyDescent="0.25">
      <c r="A267" s="27">
        <v>3631801</v>
      </c>
      <c r="B267" s="27">
        <v>3776543</v>
      </c>
      <c r="C267" s="25" t="s">
        <v>164</v>
      </c>
      <c r="D267" s="27" t="s">
        <v>160</v>
      </c>
      <c r="E267" s="27" t="s">
        <v>37</v>
      </c>
      <c r="F267" s="27" t="s">
        <v>161</v>
      </c>
      <c r="G267" s="27" t="s">
        <v>46</v>
      </c>
      <c r="H267" s="67">
        <v>521.95000000000005</v>
      </c>
      <c r="I267" s="50">
        <v>46030</v>
      </c>
      <c r="J267" s="50">
        <v>46031</v>
      </c>
      <c r="K267" s="57">
        <v>11</v>
      </c>
      <c r="L267" s="39">
        <v>2488</v>
      </c>
      <c r="M267" s="52">
        <v>242</v>
      </c>
      <c r="N267" s="73" t="s">
        <v>155</v>
      </c>
      <c r="O267" s="27" t="s">
        <v>156</v>
      </c>
    </row>
    <row r="268" spans="1:15" ht="90" hidden="1" x14ac:dyDescent="0.25">
      <c r="A268" s="27">
        <v>4285976</v>
      </c>
      <c r="B268" s="27">
        <v>4412650</v>
      </c>
      <c r="C268" s="66" t="s">
        <v>187</v>
      </c>
      <c r="D268" s="53" t="s">
        <v>259</v>
      </c>
      <c r="E268" s="27" t="s">
        <v>37</v>
      </c>
      <c r="F268" s="27" t="s">
        <v>260</v>
      </c>
      <c r="G268" s="27" t="s">
        <v>55</v>
      </c>
      <c r="H268" s="67">
        <v>8730</v>
      </c>
      <c r="I268" s="50">
        <v>46034</v>
      </c>
      <c r="J268" s="50">
        <v>46034</v>
      </c>
      <c r="K268" s="57">
        <v>765</v>
      </c>
      <c r="L268" s="39">
        <v>1210</v>
      </c>
      <c r="M268" s="52">
        <v>242</v>
      </c>
      <c r="N268" s="99" t="s">
        <v>155</v>
      </c>
      <c r="O268" s="27" t="s">
        <v>39</v>
      </c>
    </row>
    <row r="269" spans="1:15" ht="75" hidden="1" x14ac:dyDescent="0.25">
      <c r="A269" s="27">
        <v>3796471</v>
      </c>
      <c r="B269" s="27">
        <v>3934127</v>
      </c>
      <c r="C269" s="25" t="s">
        <v>172</v>
      </c>
      <c r="D269" s="27" t="s">
        <v>173</v>
      </c>
      <c r="E269" s="27" t="s">
        <v>37</v>
      </c>
      <c r="F269" s="27" t="s">
        <v>174</v>
      </c>
      <c r="G269" s="27" t="s">
        <v>46</v>
      </c>
      <c r="H269" s="67">
        <v>6250.23</v>
      </c>
      <c r="I269" s="50">
        <v>46035</v>
      </c>
      <c r="J269" s="50">
        <v>46039</v>
      </c>
      <c r="K269" s="57">
        <v>75210</v>
      </c>
      <c r="L269" s="39" t="s">
        <v>249</v>
      </c>
      <c r="M269" s="52" t="s">
        <v>178</v>
      </c>
      <c r="N269" s="99" t="s">
        <v>155</v>
      </c>
      <c r="O269" s="27" t="s">
        <v>156</v>
      </c>
    </row>
    <row r="270" spans="1:15" ht="30" hidden="1" x14ac:dyDescent="0.25">
      <c r="A270" s="27">
        <v>3796459</v>
      </c>
      <c r="B270" s="27">
        <v>3934135</v>
      </c>
      <c r="C270" s="25" t="s">
        <v>165</v>
      </c>
      <c r="D270" s="27" t="s">
        <v>166</v>
      </c>
      <c r="E270" s="27" t="s">
        <v>37</v>
      </c>
      <c r="F270" s="27" t="s">
        <v>167</v>
      </c>
      <c r="G270" s="27" t="s">
        <v>46</v>
      </c>
      <c r="H270" s="67">
        <v>415</v>
      </c>
      <c r="I270" s="50">
        <v>46035</v>
      </c>
      <c r="J270" s="50">
        <v>46039</v>
      </c>
      <c r="K270" s="57">
        <v>1916</v>
      </c>
      <c r="L270" s="39">
        <v>2054</v>
      </c>
      <c r="M270" s="27">
        <v>71</v>
      </c>
      <c r="N270" s="99" t="s">
        <v>155</v>
      </c>
      <c r="O270" s="27" t="s">
        <v>156</v>
      </c>
    </row>
    <row r="271" spans="1:15" hidden="1" x14ac:dyDescent="0.25">
      <c r="A271" s="27">
        <v>3623537</v>
      </c>
      <c r="B271" s="30">
        <v>3769130</v>
      </c>
      <c r="C271" s="95" t="s">
        <v>236</v>
      </c>
      <c r="D271" s="85"/>
      <c r="E271" s="27" t="s">
        <v>37</v>
      </c>
      <c r="F271" s="27" t="s">
        <v>96</v>
      </c>
      <c r="G271" s="27" t="s">
        <v>46</v>
      </c>
      <c r="H271" s="91">
        <v>90599.22</v>
      </c>
      <c r="I271" s="50">
        <v>46034</v>
      </c>
      <c r="J271" s="50">
        <v>46037</v>
      </c>
      <c r="K271" s="57">
        <v>171671</v>
      </c>
      <c r="L271" s="39" t="s">
        <v>154</v>
      </c>
      <c r="M271" s="52">
        <v>153</v>
      </c>
      <c r="N271" s="99" t="s">
        <v>155</v>
      </c>
      <c r="O271" s="27" t="s">
        <v>274</v>
      </c>
    </row>
    <row r="272" spans="1:15" hidden="1" x14ac:dyDescent="0.25">
      <c r="A272" s="27">
        <v>3623537</v>
      </c>
      <c r="B272" s="30">
        <v>3769130</v>
      </c>
      <c r="C272" s="95" t="s">
        <v>236</v>
      </c>
      <c r="D272" s="53"/>
      <c r="E272" s="27" t="s">
        <v>37</v>
      </c>
      <c r="F272" s="27" t="s">
        <v>96</v>
      </c>
      <c r="G272" s="27" t="s">
        <v>46</v>
      </c>
      <c r="H272" s="91">
        <v>64739.1</v>
      </c>
      <c r="I272" s="50">
        <v>46034</v>
      </c>
      <c r="J272" s="50">
        <v>46037</v>
      </c>
      <c r="K272" s="57">
        <v>171670</v>
      </c>
      <c r="L272" s="39" t="s">
        <v>154</v>
      </c>
      <c r="M272" s="52">
        <v>153</v>
      </c>
      <c r="N272" s="99" t="s">
        <v>155</v>
      </c>
      <c r="O272" s="27" t="s">
        <v>274</v>
      </c>
    </row>
    <row r="273" spans="1:15" ht="150" x14ac:dyDescent="0.25">
      <c r="A273" s="136">
        <v>4039778</v>
      </c>
      <c r="B273" s="14">
        <v>4165984</v>
      </c>
      <c r="C273" s="66" t="s">
        <v>275</v>
      </c>
      <c r="D273" s="53">
        <v>120411</v>
      </c>
      <c r="E273" s="27" t="s">
        <v>45</v>
      </c>
      <c r="F273" s="27" t="s">
        <v>67</v>
      </c>
      <c r="G273" s="27" t="s">
        <v>75</v>
      </c>
      <c r="H273" s="91">
        <v>12300</v>
      </c>
      <c r="I273" s="50">
        <v>46037</v>
      </c>
      <c r="J273" s="50">
        <v>46045</v>
      </c>
      <c r="K273" s="57">
        <v>2108</v>
      </c>
      <c r="L273" s="39" t="s">
        <v>276</v>
      </c>
      <c r="M273" s="27">
        <v>242</v>
      </c>
      <c r="N273" s="99" t="s">
        <v>155</v>
      </c>
      <c r="O273" s="27" t="s">
        <v>99</v>
      </c>
    </row>
    <row r="274" spans="1:15" ht="30" hidden="1" x14ac:dyDescent="0.25">
      <c r="A274" s="27">
        <v>4004885</v>
      </c>
      <c r="B274" s="27">
        <v>4131474</v>
      </c>
      <c r="C274" s="25" t="s">
        <v>277</v>
      </c>
      <c r="D274" s="27" t="s">
        <v>210</v>
      </c>
      <c r="E274" s="27" t="s">
        <v>37</v>
      </c>
      <c r="F274" s="27" t="s">
        <v>62</v>
      </c>
      <c r="G274" s="27" t="s">
        <v>46</v>
      </c>
      <c r="H274" s="67">
        <v>34210.04</v>
      </c>
      <c r="I274" s="50">
        <v>46039</v>
      </c>
      <c r="J274" s="50">
        <v>46037</v>
      </c>
      <c r="K274" s="57">
        <v>5687</v>
      </c>
      <c r="L274" s="39" t="s">
        <v>278</v>
      </c>
      <c r="M274" s="52">
        <v>242</v>
      </c>
      <c r="N274" s="73" t="s">
        <v>155</v>
      </c>
      <c r="O274" s="27" t="s">
        <v>156</v>
      </c>
    </row>
    <row r="275" spans="1:15" ht="45" hidden="1" x14ac:dyDescent="0.25">
      <c r="A275" s="27">
        <v>3619858</v>
      </c>
      <c r="B275" s="27">
        <v>3766711</v>
      </c>
      <c r="C275" s="66" t="s">
        <v>151</v>
      </c>
      <c r="D275" s="53" t="s">
        <v>152</v>
      </c>
      <c r="E275" s="27" t="s">
        <v>37</v>
      </c>
      <c r="F275" s="27" t="s">
        <v>153</v>
      </c>
      <c r="G275" s="27" t="s">
        <v>46</v>
      </c>
      <c r="H275" s="91">
        <v>4208.75</v>
      </c>
      <c r="I275" s="50">
        <v>46043</v>
      </c>
      <c r="J275" s="50">
        <v>46044</v>
      </c>
      <c r="K275" s="57">
        <v>617503</v>
      </c>
      <c r="L275" s="39" t="s">
        <v>154</v>
      </c>
      <c r="M275" s="27">
        <v>153</v>
      </c>
      <c r="N275" s="99" t="s">
        <v>155</v>
      </c>
      <c r="O275" s="27" t="s">
        <v>274</v>
      </c>
    </row>
    <row r="276" spans="1:15" ht="60" x14ac:dyDescent="0.25">
      <c r="A276" s="136">
        <v>4039778</v>
      </c>
      <c r="B276" s="14">
        <v>4165984</v>
      </c>
      <c r="C276" s="66" t="s">
        <v>279</v>
      </c>
      <c r="D276" s="53">
        <v>120411</v>
      </c>
      <c r="E276" s="27" t="s">
        <v>45</v>
      </c>
      <c r="F276" s="27" t="s">
        <v>67</v>
      </c>
      <c r="G276" s="27" t="s">
        <v>75</v>
      </c>
      <c r="H276" s="91">
        <v>1680</v>
      </c>
      <c r="I276" s="50">
        <v>46045</v>
      </c>
      <c r="J276" s="50">
        <v>46045</v>
      </c>
      <c r="K276" s="24" t="s">
        <v>280</v>
      </c>
      <c r="L276" s="39" t="s">
        <v>281</v>
      </c>
      <c r="M276" s="27">
        <v>242</v>
      </c>
      <c r="N276" s="99" t="s">
        <v>155</v>
      </c>
      <c r="O276" s="27" t="s">
        <v>99</v>
      </c>
    </row>
    <row r="277" spans="1:15" ht="60" x14ac:dyDescent="0.25">
      <c r="A277" s="136">
        <v>4039778</v>
      </c>
      <c r="B277" s="14">
        <v>4165984</v>
      </c>
      <c r="C277" s="66" t="s">
        <v>282</v>
      </c>
      <c r="D277" s="53">
        <v>120411</v>
      </c>
      <c r="E277" s="27" t="s">
        <v>45</v>
      </c>
      <c r="F277" s="27" t="s">
        <v>67</v>
      </c>
      <c r="G277" s="27" t="s">
        <v>75</v>
      </c>
      <c r="H277" s="91">
        <v>2150</v>
      </c>
      <c r="I277" s="50">
        <v>46045</v>
      </c>
      <c r="J277" s="50">
        <v>46045</v>
      </c>
      <c r="K277" s="57">
        <v>2114</v>
      </c>
      <c r="L277" s="39" t="s">
        <v>283</v>
      </c>
      <c r="M277" s="27">
        <v>242</v>
      </c>
      <c r="N277" s="99" t="s">
        <v>155</v>
      </c>
      <c r="O277" s="27" t="s">
        <v>99</v>
      </c>
    </row>
    <row r="278" spans="1:15" x14ac:dyDescent="0.25">
      <c r="A278" s="27"/>
      <c r="B278" s="27"/>
      <c r="C278" s="66"/>
      <c r="D278" s="53"/>
      <c r="E278" s="27"/>
      <c r="F278" s="27"/>
      <c r="G278" s="27"/>
      <c r="H278" s="91"/>
      <c r="I278" s="50"/>
      <c r="J278" s="27"/>
      <c r="K278" s="57"/>
      <c r="L278" s="39"/>
      <c r="M278" s="27"/>
      <c r="N278" s="99"/>
      <c r="O278" s="27"/>
    </row>
    <row r="279" spans="1:15" x14ac:dyDescent="0.25">
      <c r="A279" s="27"/>
      <c r="B279" s="27"/>
      <c r="C279" s="66"/>
      <c r="D279" s="53"/>
      <c r="E279" s="27"/>
      <c r="F279" s="27"/>
      <c r="G279" s="27"/>
      <c r="H279" s="91"/>
      <c r="I279" s="50"/>
      <c r="J279" s="27"/>
      <c r="K279" s="57"/>
      <c r="L279" s="39"/>
      <c r="M279" s="27"/>
      <c r="N279" s="99"/>
      <c r="O279" s="27"/>
    </row>
    <row r="280" spans="1:15" x14ac:dyDescent="0.25">
      <c r="A280" s="27"/>
      <c r="B280" s="27"/>
      <c r="C280" s="66"/>
      <c r="D280" s="53"/>
      <c r="E280" s="27"/>
      <c r="F280" s="27"/>
      <c r="G280" s="27"/>
      <c r="H280" s="91"/>
      <c r="I280" s="50"/>
      <c r="J280" s="27"/>
      <c r="K280" s="57"/>
      <c r="L280" s="39"/>
      <c r="M280" s="27"/>
      <c r="N280" s="99"/>
      <c r="O280" s="27"/>
    </row>
    <row r="281" spans="1:15" x14ac:dyDescent="0.25">
      <c r="A281" s="27"/>
      <c r="B281" s="27"/>
      <c r="C281" s="66"/>
      <c r="D281" s="53"/>
      <c r="E281" s="27"/>
      <c r="F281" s="27"/>
      <c r="G281" s="27"/>
      <c r="H281" s="91"/>
      <c r="I281" s="50"/>
      <c r="J281" s="27"/>
      <c r="K281" s="57"/>
      <c r="L281" s="39"/>
      <c r="M281" s="27"/>
      <c r="N281" s="99"/>
      <c r="O281" s="27"/>
    </row>
    <row r="282" spans="1:15" x14ac:dyDescent="0.25">
      <c r="A282" s="27"/>
      <c r="B282" s="27"/>
      <c r="C282" s="66"/>
      <c r="D282" s="53"/>
      <c r="E282" s="27"/>
      <c r="F282" s="27"/>
      <c r="G282" s="27"/>
      <c r="H282" s="91"/>
      <c r="I282" s="50"/>
      <c r="J282" s="27"/>
      <c r="K282" s="57"/>
      <c r="L282" s="39"/>
      <c r="M282" s="27"/>
      <c r="N282" s="99"/>
      <c r="O282" s="27"/>
    </row>
    <row r="283" spans="1:15" x14ac:dyDescent="0.25">
      <c r="A283" s="27"/>
      <c r="B283" s="27"/>
      <c r="C283" s="66"/>
      <c r="D283" s="53"/>
      <c r="E283" s="27"/>
      <c r="F283" s="27"/>
      <c r="G283" s="27"/>
      <c r="H283" s="91"/>
      <c r="I283" s="50"/>
      <c r="J283" s="27"/>
      <c r="K283" s="57"/>
      <c r="L283" s="39"/>
      <c r="M283" s="27"/>
      <c r="N283" s="99"/>
      <c r="O283" s="27"/>
    </row>
    <row r="284" spans="1:15" x14ac:dyDescent="0.25">
      <c r="A284" s="27"/>
      <c r="B284" s="27"/>
      <c r="C284" s="66"/>
      <c r="D284" s="53"/>
      <c r="E284" s="27"/>
      <c r="F284" s="27"/>
      <c r="G284" s="27"/>
      <c r="H284" s="91"/>
      <c r="I284" s="50"/>
      <c r="J284" s="27"/>
      <c r="K284" s="57"/>
      <c r="L284" s="39"/>
      <c r="M284" s="27"/>
      <c r="N284" s="99"/>
      <c r="O284" s="27"/>
    </row>
    <row r="285" spans="1:15" x14ac:dyDescent="0.25">
      <c r="A285" s="27"/>
      <c r="B285" s="27"/>
      <c r="C285" s="66"/>
      <c r="D285" s="53"/>
      <c r="E285" s="27"/>
      <c r="F285" s="27"/>
      <c r="G285" s="27"/>
      <c r="H285" s="91"/>
      <c r="I285" s="50"/>
      <c r="J285" s="27"/>
      <c r="K285" s="57"/>
      <c r="L285" s="39"/>
      <c r="M285" s="27"/>
      <c r="N285" s="99"/>
      <c r="O285" s="27"/>
    </row>
    <row r="286" spans="1:15" x14ac:dyDescent="0.25">
      <c r="A286" s="27"/>
      <c r="B286" s="27"/>
      <c r="C286" s="66"/>
      <c r="D286" s="53"/>
      <c r="E286" s="27"/>
      <c r="F286" s="27"/>
      <c r="G286" s="27"/>
      <c r="H286" s="91"/>
      <c r="I286" s="50"/>
      <c r="J286" s="27"/>
      <c r="K286" s="57"/>
      <c r="L286" s="39"/>
      <c r="M286" s="27"/>
      <c r="N286" s="99"/>
      <c r="O286" s="27"/>
    </row>
    <row r="287" spans="1:15" x14ac:dyDescent="0.25">
      <c r="A287" s="27"/>
      <c r="B287" s="27"/>
      <c r="C287" s="66"/>
      <c r="D287" s="53"/>
      <c r="E287" s="27"/>
      <c r="F287" s="27"/>
      <c r="G287" s="27"/>
      <c r="H287" s="91"/>
      <c r="I287" s="50"/>
      <c r="J287" s="27"/>
      <c r="K287" s="57"/>
      <c r="L287" s="39"/>
      <c r="M287" s="27"/>
      <c r="N287" s="99"/>
      <c r="O287" s="27"/>
    </row>
    <row r="288" spans="1:15" x14ac:dyDescent="0.25">
      <c r="A288" s="27"/>
      <c r="B288" s="27"/>
      <c r="C288" s="66"/>
      <c r="D288" s="53"/>
      <c r="E288" s="27"/>
      <c r="F288" s="27"/>
      <c r="G288" s="27"/>
      <c r="H288" s="91"/>
      <c r="I288" s="50"/>
      <c r="J288" s="27"/>
      <c r="K288" s="57"/>
      <c r="L288" s="39"/>
      <c r="M288" s="27"/>
      <c r="N288" s="99"/>
      <c r="O288" s="27"/>
    </row>
    <row r="289" spans="1:15" x14ac:dyDescent="0.25">
      <c r="A289" s="27"/>
      <c r="B289" s="27"/>
      <c r="C289" s="66"/>
      <c r="D289" s="53"/>
      <c r="E289" s="27"/>
      <c r="F289" s="27"/>
      <c r="G289" s="27"/>
      <c r="H289" s="91"/>
      <c r="I289" s="50"/>
      <c r="J289" s="27"/>
      <c r="K289" s="57"/>
      <c r="L289" s="39"/>
      <c r="M289" s="27"/>
      <c r="N289" s="99"/>
      <c r="O289" s="27"/>
    </row>
    <row r="290" spans="1:15" x14ac:dyDescent="0.25">
      <c r="A290" s="27"/>
      <c r="B290" s="27"/>
      <c r="C290" s="66"/>
      <c r="D290" s="53"/>
      <c r="E290" s="27"/>
      <c r="F290" s="27"/>
      <c r="G290" s="27"/>
      <c r="H290" s="91"/>
      <c r="I290" s="50"/>
      <c r="J290" s="27"/>
      <c r="K290" s="57"/>
      <c r="L290" s="39"/>
      <c r="M290" s="27"/>
      <c r="N290" s="99"/>
      <c r="O290" s="27"/>
    </row>
    <row r="291" spans="1:15" x14ac:dyDescent="0.25">
      <c r="A291" s="27"/>
      <c r="B291" s="27"/>
      <c r="C291" s="66"/>
      <c r="D291" s="53"/>
      <c r="E291" s="27"/>
      <c r="F291" s="27"/>
      <c r="G291" s="27"/>
      <c r="H291" s="91"/>
      <c r="I291" s="50"/>
      <c r="J291" s="27"/>
      <c r="K291" s="57"/>
      <c r="L291" s="39"/>
      <c r="M291" s="27"/>
      <c r="N291" s="99"/>
      <c r="O291" s="27"/>
    </row>
    <row r="292" spans="1:15" x14ac:dyDescent="0.25">
      <c r="A292" s="27"/>
      <c r="B292" s="27"/>
      <c r="C292" s="66"/>
      <c r="D292" s="53"/>
      <c r="E292" s="27"/>
      <c r="F292" s="27"/>
      <c r="G292" s="27"/>
      <c r="H292" s="91"/>
      <c r="I292" s="50"/>
      <c r="J292" s="27"/>
      <c r="K292" s="57"/>
      <c r="L292" s="39"/>
      <c r="M292" s="27"/>
      <c r="N292" s="99"/>
      <c r="O292" s="27"/>
    </row>
    <row r="293" spans="1:15" x14ac:dyDescent="0.25">
      <c r="A293" s="27"/>
      <c r="B293" s="27"/>
      <c r="C293" s="66"/>
      <c r="D293" s="53"/>
      <c r="E293" s="27"/>
      <c r="F293" s="27"/>
      <c r="G293" s="27"/>
      <c r="H293" s="91"/>
      <c r="I293" s="50"/>
      <c r="J293" s="27"/>
      <c r="K293" s="57"/>
      <c r="L293" s="39"/>
      <c r="M293" s="27"/>
      <c r="N293" s="99"/>
      <c r="O293" s="27"/>
    </row>
    <row r="294" spans="1:15" x14ac:dyDescent="0.25">
      <c r="A294" s="27"/>
      <c r="B294" s="27"/>
      <c r="C294" s="66"/>
      <c r="D294" s="53"/>
      <c r="E294" s="27"/>
      <c r="F294" s="27"/>
      <c r="G294" s="27"/>
      <c r="H294" s="91"/>
      <c r="I294" s="50"/>
      <c r="J294" s="27"/>
      <c r="K294" s="57"/>
      <c r="L294" s="39"/>
      <c r="M294" s="27"/>
      <c r="N294" s="99"/>
      <c r="O294" s="27"/>
    </row>
    <row r="295" spans="1:15" x14ac:dyDescent="0.25">
      <c r="A295" s="27"/>
      <c r="B295" s="27"/>
      <c r="C295" s="66"/>
      <c r="D295" s="53"/>
      <c r="E295" s="27"/>
      <c r="F295" s="27"/>
      <c r="G295" s="27"/>
      <c r="H295" s="91"/>
      <c r="I295" s="50"/>
      <c r="J295" s="27"/>
      <c r="K295" s="57"/>
      <c r="L295" s="39"/>
      <c r="M295" s="27"/>
      <c r="N295" s="99"/>
      <c r="O295" s="27"/>
    </row>
    <row r="296" spans="1:15" x14ac:dyDescent="0.25">
      <c r="A296" s="27"/>
      <c r="B296" s="27"/>
      <c r="C296" s="66"/>
      <c r="D296" s="53"/>
      <c r="E296" s="27"/>
      <c r="F296" s="27"/>
      <c r="G296" s="27"/>
      <c r="H296" s="91"/>
      <c r="I296" s="50"/>
      <c r="J296" s="27"/>
      <c r="K296" s="57"/>
      <c r="L296" s="39"/>
      <c r="M296" s="27"/>
      <c r="N296" s="99"/>
      <c r="O296" s="27"/>
    </row>
  </sheetData>
  <autoFilter ref="A1:P277" xr:uid="{00000000-0009-0000-0000-000002000000}">
    <filterColumn colId="5">
      <filters>
        <filter val="J ORTIZ"/>
      </filters>
    </filterColumn>
  </autoFilter>
  <conditionalFormatting sqref="A13:A25">
    <cfRule type="duplicateValues" dxfId="227" priority="368"/>
  </conditionalFormatting>
  <conditionalFormatting sqref="A53 A51 A49 A47 A45 A43 A41 A39 A37 A35 A33 A31">
    <cfRule type="duplicateValues" dxfId="226" priority="340"/>
  </conditionalFormatting>
  <conditionalFormatting sqref="A65:A70">
    <cfRule type="duplicateValues" dxfId="225" priority="306"/>
  </conditionalFormatting>
  <conditionalFormatting sqref="A81:A86">
    <cfRule type="duplicateValues" dxfId="224" priority="283"/>
  </conditionalFormatting>
  <conditionalFormatting sqref="A104:A113">
    <cfRule type="duplicateValues" dxfId="223" priority="439"/>
  </conditionalFormatting>
  <conditionalFormatting sqref="A120">
    <cfRule type="duplicateValues" dxfId="222" priority="186"/>
  </conditionalFormatting>
  <conditionalFormatting sqref="A123:A136">
    <cfRule type="duplicateValues" dxfId="221" priority="236"/>
  </conditionalFormatting>
  <conditionalFormatting sqref="A137:A146">
    <cfRule type="duplicateValues" dxfId="220" priority="230"/>
  </conditionalFormatting>
  <conditionalFormatting sqref="A156:A161">
    <cfRule type="duplicateValues" dxfId="219" priority="195"/>
  </conditionalFormatting>
  <conditionalFormatting sqref="A193:A230 A232:A233 A236:A238 A244:A245 A249 A252:A255 A257 A261:A262 A266 A268 A271:A273 A275:A296">
    <cfRule type="duplicateValues" dxfId="218" priority="166"/>
  </conditionalFormatting>
  <conditionalFormatting sqref="A231">
    <cfRule type="duplicateValues" dxfId="217" priority="160"/>
  </conditionalFormatting>
  <conditionalFormatting sqref="A234">
    <cfRule type="duplicateValues" dxfId="216" priority="153"/>
  </conditionalFormatting>
  <conditionalFormatting sqref="A235">
    <cfRule type="duplicateValues" dxfId="215" priority="147"/>
  </conditionalFormatting>
  <conditionalFormatting sqref="A239">
    <cfRule type="duplicateValues" dxfId="214" priority="140"/>
  </conditionalFormatting>
  <conditionalFormatting sqref="A240">
    <cfRule type="duplicateValues" dxfId="213" priority="134"/>
  </conditionalFormatting>
  <conditionalFormatting sqref="A241">
    <cfRule type="duplicateValues" dxfId="212" priority="130"/>
  </conditionalFormatting>
  <conditionalFormatting sqref="A242">
    <cfRule type="duplicateValues" dxfId="211" priority="123"/>
  </conditionalFormatting>
  <conditionalFormatting sqref="A246:A247">
    <cfRule type="duplicateValues" dxfId="210" priority="110"/>
  </conditionalFormatting>
  <conditionalFormatting sqref="A250">
    <cfRule type="duplicateValues" dxfId="209" priority="102"/>
  </conditionalFormatting>
  <conditionalFormatting sqref="A251">
    <cfRule type="duplicateValues" dxfId="208" priority="91"/>
  </conditionalFormatting>
  <conditionalFormatting sqref="A256">
    <cfRule type="duplicateValues" dxfId="207" priority="84"/>
  </conditionalFormatting>
  <conditionalFormatting sqref="A258">
    <cfRule type="duplicateValues" dxfId="206" priority="74"/>
  </conditionalFormatting>
  <conditionalFormatting sqref="A259">
    <cfRule type="duplicateValues" dxfId="205" priority="65"/>
  </conditionalFormatting>
  <conditionalFormatting sqref="A260">
    <cfRule type="duplicateValues" dxfId="204" priority="61"/>
  </conditionalFormatting>
  <conditionalFormatting sqref="A265">
    <cfRule type="duplicateValues" dxfId="203" priority="44"/>
  </conditionalFormatting>
  <conditionalFormatting sqref="A267">
    <cfRule type="duplicateValues" dxfId="202" priority="39"/>
  </conditionalFormatting>
  <conditionalFormatting sqref="A269">
    <cfRule type="duplicateValues" dxfId="201" priority="31"/>
  </conditionalFormatting>
  <conditionalFormatting sqref="A270">
    <cfRule type="duplicateValues" dxfId="200" priority="27"/>
  </conditionalFormatting>
  <conditionalFormatting sqref="A274">
    <cfRule type="duplicateValues" dxfId="199" priority="23"/>
  </conditionalFormatting>
  <conditionalFormatting sqref="B1:B25">
    <cfRule type="duplicateValues" dxfId="198" priority="374"/>
  </conditionalFormatting>
  <conditionalFormatting sqref="B2:B12">
    <cfRule type="duplicateValues" dxfId="197" priority="373"/>
  </conditionalFormatting>
  <conditionalFormatting sqref="B13:B24">
    <cfRule type="duplicateValues" dxfId="196" priority="370"/>
  </conditionalFormatting>
  <conditionalFormatting sqref="B25">
    <cfRule type="duplicateValues" dxfId="195" priority="369"/>
  </conditionalFormatting>
  <conditionalFormatting sqref="B26">
    <cfRule type="duplicateValues" dxfId="194" priority="367"/>
  </conditionalFormatting>
  <conditionalFormatting sqref="B26:B54">
    <cfRule type="duplicateValues" dxfId="193" priority="364"/>
  </conditionalFormatting>
  <conditionalFormatting sqref="B27">
    <cfRule type="duplicateValues" dxfId="192" priority="353"/>
  </conditionalFormatting>
  <conditionalFormatting sqref="B28">
    <cfRule type="duplicateValues" dxfId="191" priority="352"/>
  </conditionalFormatting>
  <conditionalFormatting sqref="B29">
    <cfRule type="duplicateValues" dxfId="190" priority="348"/>
  </conditionalFormatting>
  <conditionalFormatting sqref="B30">
    <cfRule type="duplicateValues" dxfId="189" priority="344"/>
  </conditionalFormatting>
  <conditionalFormatting sqref="B32">
    <cfRule type="duplicateValues" dxfId="188" priority="338"/>
  </conditionalFormatting>
  <conditionalFormatting sqref="B34">
    <cfRule type="duplicateValues" dxfId="187" priority="337"/>
  </conditionalFormatting>
  <conditionalFormatting sqref="B36">
    <cfRule type="duplicateValues" dxfId="186" priority="336"/>
  </conditionalFormatting>
  <conditionalFormatting sqref="B38">
    <cfRule type="duplicateValues" dxfId="185" priority="335"/>
  </conditionalFormatting>
  <conditionalFormatting sqref="B40">
    <cfRule type="duplicateValues" dxfId="184" priority="334"/>
  </conditionalFormatting>
  <conditionalFormatting sqref="B42">
    <cfRule type="duplicateValues" dxfId="183" priority="333"/>
  </conditionalFormatting>
  <conditionalFormatting sqref="B44">
    <cfRule type="duplicateValues" dxfId="182" priority="332"/>
  </conditionalFormatting>
  <conditionalFormatting sqref="B46">
    <cfRule type="duplicateValues" dxfId="181" priority="331"/>
  </conditionalFormatting>
  <conditionalFormatting sqref="B48">
    <cfRule type="duplicateValues" dxfId="180" priority="330"/>
  </conditionalFormatting>
  <conditionalFormatting sqref="B50">
    <cfRule type="duplicateValues" dxfId="179" priority="329"/>
  </conditionalFormatting>
  <conditionalFormatting sqref="B51 B49 B47 B45 B43 B41 B39 B37 B35 B33 B31">
    <cfRule type="duplicateValues" dxfId="178" priority="339"/>
  </conditionalFormatting>
  <conditionalFormatting sqref="B52">
    <cfRule type="duplicateValues" dxfId="177" priority="328"/>
  </conditionalFormatting>
  <conditionalFormatting sqref="B53">
    <cfRule type="duplicateValues" dxfId="176" priority="327"/>
  </conditionalFormatting>
  <conditionalFormatting sqref="B54">
    <cfRule type="duplicateValues" dxfId="175" priority="185"/>
  </conditionalFormatting>
  <conditionalFormatting sqref="B55:B57">
    <cfRule type="duplicateValues" dxfId="174" priority="326"/>
  </conditionalFormatting>
  <conditionalFormatting sqref="B55:B70">
    <cfRule type="duplicateValues" dxfId="173" priority="323"/>
  </conditionalFormatting>
  <conditionalFormatting sqref="B58">
    <cfRule type="duplicateValues" dxfId="172" priority="316"/>
  </conditionalFormatting>
  <conditionalFormatting sqref="B59">
    <cfRule type="duplicateValues" dxfId="171" priority="312"/>
  </conditionalFormatting>
  <conditionalFormatting sqref="B60">
    <cfRule type="duplicateValues" dxfId="170" priority="311"/>
  </conditionalFormatting>
  <conditionalFormatting sqref="B61">
    <cfRule type="duplicateValues" dxfId="169" priority="310"/>
  </conditionalFormatting>
  <conditionalFormatting sqref="B62">
    <cfRule type="duplicateValues" dxfId="168" priority="309"/>
  </conditionalFormatting>
  <conditionalFormatting sqref="B63">
    <cfRule type="duplicateValues" dxfId="167" priority="308"/>
  </conditionalFormatting>
  <conditionalFormatting sqref="B64">
    <cfRule type="duplicateValues" dxfId="166" priority="307"/>
  </conditionalFormatting>
  <conditionalFormatting sqref="B65:B69">
    <cfRule type="duplicateValues" dxfId="165" priority="305"/>
  </conditionalFormatting>
  <conditionalFormatting sqref="B70">
    <cfRule type="duplicateValues" dxfId="164" priority="304"/>
  </conditionalFormatting>
  <conditionalFormatting sqref="B71:B73">
    <cfRule type="duplicateValues" dxfId="163" priority="303"/>
  </conditionalFormatting>
  <conditionalFormatting sqref="B71:B86">
    <cfRule type="duplicateValues" dxfId="162" priority="300"/>
  </conditionalFormatting>
  <conditionalFormatting sqref="B74">
    <cfRule type="duplicateValues" dxfId="161" priority="293"/>
  </conditionalFormatting>
  <conditionalFormatting sqref="B75">
    <cfRule type="duplicateValues" dxfId="160" priority="289"/>
  </conditionalFormatting>
  <conditionalFormatting sqref="B76">
    <cfRule type="duplicateValues" dxfId="159" priority="288"/>
  </conditionalFormatting>
  <conditionalFormatting sqref="B77">
    <cfRule type="duplicateValues" dxfId="158" priority="287"/>
  </conditionalFormatting>
  <conditionalFormatting sqref="B78">
    <cfRule type="duplicateValues" dxfId="157" priority="286"/>
  </conditionalFormatting>
  <conditionalFormatting sqref="B79">
    <cfRule type="duplicateValues" dxfId="156" priority="285"/>
  </conditionalFormatting>
  <conditionalFormatting sqref="B80">
    <cfRule type="duplicateValues" dxfId="155" priority="284"/>
  </conditionalFormatting>
  <conditionalFormatting sqref="B81:B85">
    <cfRule type="duplicateValues" dxfId="154" priority="282"/>
  </conditionalFormatting>
  <conditionalFormatting sqref="B86">
    <cfRule type="duplicateValues" dxfId="153" priority="281"/>
  </conditionalFormatting>
  <conditionalFormatting sqref="B87:B88">
    <cfRule type="duplicateValues" dxfId="152" priority="280"/>
  </conditionalFormatting>
  <conditionalFormatting sqref="B87:B103">
    <cfRule type="duplicateValues" dxfId="151" priority="277"/>
  </conditionalFormatting>
  <conditionalFormatting sqref="B104:B112">
    <cfRule type="duplicateValues" dxfId="150" priority="434"/>
  </conditionalFormatting>
  <conditionalFormatting sqref="B104:B113">
    <cfRule type="duplicateValues" dxfId="149" priority="438"/>
  </conditionalFormatting>
  <conditionalFormatting sqref="B113">
    <cfRule type="duplicateValues" dxfId="148" priority="249"/>
  </conditionalFormatting>
  <conditionalFormatting sqref="B114:B119 B121">
    <cfRule type="duplicateValues" dxfId="147" priority="247"/>
  </conditionalFormatting>
  <conditionalFormatting sqref="B114:B136">
    <cfRule type="duplicateValues" dxfId="146" priority="244"/>
  </conditionalFormatting>
  <conditionalFormatting sqref="B125:B135">
    <cfRule type="duplicateValues" dxfId="145" priority="235"/>
  </conditionalFormatting>
  <conditionalFormatting sqref="B136">
    <cfRule type="duplicateValues" dxfId="144" priority="231"/>
  </conditionalFormatting>
  <conditionalFormatting sqref="B137:B145">
    <cfRule type="duplicateValues" dxfId="143" priority="229"/>
  </conditionalFormatting>
  <conditionalFormatting sqref="B137:B146">
    <cfRule type="duplicateValues" dxfId="142" priority="228"/>
  </conditionalFormatting>
  <conditionalFormatting sqref="B146">
    <cfRule type="duplicateValues" dxfId="141" priority="222"/>
  </conditionalFormatting>
  <conditionalFormatting sqref="B147:B154">
    <cfRule type="duplicateValues" dxfId="140" priority="221"/>
  </conditionalFormatting>
  <conditionalFormatting sqref="B147:B155">
    <cfRule type="duplicateValues" dxfId="139" priority="218"/>
  </conditionalFormatting>
  <conditionalFormatting sqref="B155">
    <cfRule type="duplicateValues" dxfId="138" priority="199"/>
  </conditionalFormatting>
  <conditionalFormatting sqref="B156:B160">
    <cfRule type="duplicateValues" dxfId="137" priority="194"/>
  </conditionalFormatting>
  <conditionalFormatting sqref="B156:B161">
    <cfRule type="duplicateValues" dxfId="136" priority="193"/>
  </conditionalFormatting>
  <conditionalFormatting sqref="B161">
    <cfRule type="duplicateValues" dxfId="135" priority="187"/>
  </conditionalFormatting>
  <conditionalFormatting sqref="B162:B190">
    <cfRule type="duplicateValues" dxfId="134" priority="184"/>
  </conditionalFormatting>
  <conditionalFormatting sqref="B162:B230 B232:B233 B236:B238 B244:B245 B249 B252:B255 B257 B261:B262 B266 B268 B271:B273 B275:B296">
    <cfRule type="duplicateValues" dxfId="133" priority="181"/>
  </conditionalFormatting>
  <conditionalFormatting sqref="B191:B192">
    <cfRule type="duplicateValues" dxfId="132" priority="167"/>
  </conditionalFormatting>
  <conditionalFormatting sqref="B193:B228">
    <cfRule type="duplicateValues" dxfId="131" priority="165"/>
  </conditionalFormatting>
  <conditionalFormatting sqref="B229:B230">
    <cfRule type="duplicateValues" dxfId="130" priority="164"/>
  </conditionalFormatting>
  <conditionalFormatting sqref="B231">
    <cfRule type="duplicateValues" dxfId="129" priority="159"/>
    <cfRule type="duplicateValues" dxfId="128" priority="162"/>
  </conditionalFormatting>
  <conditionalFormatting sqref="B232:B233 B236:B238 B244:B245 B249 B252:B255 B257 B261:B262 B266 B268 B271:B273 B275:B296">
    <cfRule type="duplicateValues" dxfId="127" priority="163"/>
  </conditionalFormatting>
  <conditionalFormatting sqref="B234">
    <cfRule type="duplicateValues" dxfId="126" priority="152"/>
    <cfRule type="duplicateValues" dxfId="125" priority="155"/>
  </conditionalFormatting>
  <conditionalFormatting sqref="B235">
    <cfRule type="duplicateValues" dxfId="124" priority="144"/>
    <cfRule type="duplicateValues" dxfId="123" priority="146"/>
  </conditionalFormatting>
  <conditionalFormatting sqref="B239">
    <cfRule type="duplicateValues" dxfId="122" priority="138"/>
    <cfRule type="duplicateValues" dxfId="121" priority="139"/>
  </conditionalFormatting>
  <conditionalFormatting sqref="B240">
    <cfRule type="duplicateValues" dxfId="120" priority="133"/>
    <cfRule type="duplicateValues" dxfId="119" priority="136"/>
  </conditionalFormatting>
  <conditionalFormatting sqref="B241">
    <cfRule type="duplicateValues" dxfId="118" priority="129"/>
    <cfRule type="duplicateValues" dxfId="117" priority="132"/>
  </conditionalFormatting>
  <conditionalFormatting sqref="B242">
    <cfRule type="duplicateValues" dxfId="116" priority="121"/>
    <cfRule type="duplicateValues" dxfId="115" priority="122"/>
  </conditionalFormatting>
  <conditionalFormatting sqref="B243">
    <cfRule type="duplicateValues" dxfId="114" priority="116"/>
  </conditionalFormatting>
  <conditionalFormatting sqref="B248">
    <cfRule type="duplicateValues" dxfId="113" priority="107"/>
    <cfRule type="duplicateValues" dxfId="112" priority="108"/>
  </conditionalFormatting>
  <conditionalFormatting sqref="B250">
    <cfRule type="duplicateValues" dxfId="111" priority="100"/>
    <cfRule type="duplicateValues" dxfId="110" priority="101"/>
  </conditionalFormatting>
  <conditionalFormatting sqref="B251">
    <cfRule type="duplicateValues" dxfId="109" priority="90"/>
    <cfRule type="duplicateValues" dxfId="108" priority="92"/>
  </conditionalFormatting>
  <conditionalFormatting sqref="B256">
    <cfRule type="duplicateValues" dxfId="107" priority="82"/>
    <cfRule type="duplicateValues" dxfId="106" priority="83"/>
  </conditionalFormatting>
  <conditionalFormatting sqref="B258">
    <cfRule type="duplicateValues" dxfId="105" priority="73"/>
    <cfRule type="duplicateValues" dxfId="104" priority="75"/>
  </conditionalFormatting>
  <conditionalFormatting sqref="B259">
    <cfRule type="duplicateValues" dxfId="103" priority="64"/>
    <cfRule type="duplicateValues" dxfId="102" priority="67"/>
  </conditionalFormatting>
  <conditionalFormatting sqref="B260">
    <cfRule type="duplicateValues" dxfId="101" priority="60"/>
    <cfRule type="duplicateValues" dxfId="100" priority="63"/>
  </conditionalFormatting>
  <conditionalFormatting sqref="B263">
    <cfRule type="duplicateValues" dxfId="99" priority="58"/>
  </conditionalFormatting>
  <conditionalFormatting sqref="B264">
    <cfRule type="duplicateValues" dxfId="98" priority="51"/>
    <cfRule type="duplicateValues" dxfId="97" priority="52"/>
  </conditionalFormatting>
  <conditionalFormatting sqref="B265">
    <cfRule type="duplicateValues" dxfId="96" priority="43"/>
    <cfRule type="duplicateValues" dxfId="95" priority="45"/>
  </conditionalFormatting>
  <conditionalFormatting sqref="B267">
    <cfRule type="duplicateValues" dxfId="94" priority="38"/>
    <cfRule type="duplicateValues" dxfId="93" priority="40"/>
  </conditionalFormatting>
  <conditionalFormatting sqref="B269">
    <cfRule type="duplicateValues" dxfId="92" priority="30"/>
    <cfRule type="duplicateValues" dxfId="91" priority="32"/>
  </conditionalFormatting>
  <conditionalFormatting sqref="B270">
    <cfRule type="duplicateValues" dxfId="90" priority="26"/>
    <cfRule type="duplicateValues" dxfId="89" priority="28"/>
  </conditionalFormatting>
  <conditionalFormatting sqref="B274">
    <cfRule type="duplicateValues" dxfId="88" priority="21"/>
    <cfRule type="duplicateValues" dxfId="87" priority="22"/>
  </conditionalFormatting>
  <conditionalFormatting sqref="G2:G296">
    <cfRule type="containsText" dxfId="86" priority="25" operator="containsText" text="SIM">
      <formula>NOT(ISERROR(SEARCH("SIM",G2)))</formula>
    </cfRule>
  </conditionalFormatting>
  <conditionalFormatting sqref="I1:I9 N1:O9">
    <cfRule type="containsText" dxfId="85" priority="381" operator="containsText" text="Aguardando pedido">
      <formula>NOT(ISERROR(SEARCH("Aguardando pedido",I1)))</formula>
    </cfRule>
  </conditionalFormatting>
  <conditionalFormatting sqref="I26">
    <cfRule type="containsText" dxfId="84" priority="365" operator="containsText" text="Aguardar NF">
      <formula>NOT(ISERROR(SEARCH("Aguardar NF",I26)))</formula>
    </cfRule>
    <cfRule type="containsText" dxfId="83" priority="366" operator="containsText" text="Aguardando pedido">
      <formula>NOT(ISERROR(SEARCH("Aguardando pedido",I26)))</formula>
    </cfRule>
  </conditionalFormatting>
  <conditionalFormatting sqref="I55 N55:O55">
    <cfRule type="containsText" dxfId="82" priority="325" operator="containsText" text="Aguardando pedido">
      <formula>NOT(ISERROR(SEARCH("Aguardando pedido",I55)))</formula>
    </cfRule>
  </conditionalFormatting>
  <conditionalFormatting sqref="I71 N71:O71">
    <cfRule type="containsText" dxfId="81" priority="302" operator="containsText" text="Aguardando pedido">
      <formula>NOT(ISERROR(SEARCH("Aguardando pedido",I71)))</formula>
    </cfRule>
  </conditionalFormatting>
  <conditionalFormatting sqref="I87 N87:O87">
    <cfRule type="containsText" dxfId="80" priority="279" operator="containsText" text="Aguardando pedido">
      <formula>NOT(ISERROR(SEARCH("Aguardando pedido",I87)))</formula>
    </cfRule>
  </conditionalFormatting>
  <conditionalFormatting sqref="I114:I119 N114:O119 N120:N121">
    <cfRule type="containsText" dxfId="79" priority="246" operator="containsText" text="Aguardando pedido">
      <formula>NOT(ISERROR(SEARCH("Aguardando pedido",I114)))</formula>
    </cfRule>
  </conditionalFormatting>
  <conditionalFormatting sqref="I147:I152 N147:O152 N153:N154">
    <cfRule type="containsText" dxfId="78" priority="220" operator="containsText" text="Aguardando pedido">
      <formula>NOT(ISERROR(SEARCH("Aguardando pedido",I147)))</formula>
    </cfRule>
  </conditionalFormatting>
  <conditionalFormatting sqref="I162:I181 N162:O183 N184:N188">
    <cfRule type="containsText" dxfId="77" priority="183" operator="containsText" text="Aguardando pedido">
      <formula>NOT(ISERROR(SEARCH("Aguardando pedido",I162)))</formula>
    </cfRule>
  </conditionalFormatting>
  <conditionalFormatting sqref="L1:L296">
    <cfRule type="cellIs" dxfId="76" priority="20" operator="equal">
      <formula>4502</formula>
    </cfRule>
  </conditionalFormatting>
  <conditionalFormatting sqref="N10:N54">
    <cfRule type="containsText" dxfId="75" priority="354" operator="containsText" text="NF LANÇADA">
      <formula>NOT(ISERROR(SEARCH("NF LANÇADA",N10)))</formula>
    </cfRule>
    <cfRule type="containsText" dxfId="74" priority="357" operator="containsText" text="Aguardar NF">
      <formula>NOT(ISERROR(SEARCH("Aguardar NF",N10)))</formula>
    </cfRule>
    <cfRule type="containsText" dxfId="73" priority="358" operator="containsText" text="Aguardando pedido">
      <formula>NOT(ISERROR(SEARCH("Aguardando pedido",N10)))</formula>
    </cfRule>
  </conditionalFormatting>
  <conditionalFormatting sqref="N56:N70">
    <cfRule type="containsText" dxfId="72" priority="317" operator="containsText" text="NF LANÇADA">
      <formula>NOT(ISERROR(SEARCH("NF LANÇADA",N56)))</formula>
    </cfRule>
    <cfRule type="containsText" dxfId="71" priority="318" operator="containsText" text="Aguardar NF">
      <formula>NOT(ISERROR(SEARCH("Aguardar NF",N56)))</formula>
    </cfRule>
    <cfRule type="containsText" dxfId="70" priority="319" operator="containsText" text="Aguardando pedido">
      <formula>NOT(ISERROR(SEARCH("Aguardando pedido",N56)))</formula>
    </cfRule>
  </conditionalFormatting>
  <conditionalFormatting sqref="N72:N86">
    <cfRule type="containsText" dxfId="69" priority="294" operator="containsText" text="NF LANÇADA">
      <formula>NOT(ISERROR(SEARCH("NF LANÇADA",N72)))</formula>
    </cfRule>
    <cfRule type="containsText" dxfId="68" priority="295" operator="containsText" text="Aguardar NF">
      <formula>NOT(ISERROR(SEARCH("Aguardar NF",N72)))</formula>
    </cfRule>
    <cfRule type="containsText" dxfId="67" priority="296" operator="containsText" text="Aguardando pedido">
      <formula>NOT(ISERROR(SEARCH("Aguardando pedido",N72)))</formula>
    </cfRule>
  </conditionalFormatting>
  <conditionalFormatting sqref="N88:N113">
    <cfRule type="containsText" dxfId="66" priority="259" operator="containsText" text="NF LANÇADA">
      <formula>NOT(ISERROR(SEARCH("NF LANÇADA",N88)))</formula>
    </cfRule>
    <cfRule type="containsText" dxfId="65" priority="260" operator="containsText" text="Aguardar NF">
      <formula>NOT(ISERROR(SEARCH("Aguardar NF",N88)))</formula>
    </cfRule>
    <cfRule type="containsText" dxfId="64" priority="261" operator="containsText" text="Aguardando pedido">
      <formula>NOT(ISERROR(SEARCH("Aguardando pedido",N88)))</formula>
    </cfRule>
  </conditionalFormatting>
  <conditionalFormatting sqref="N119:N121">
    <cfRule type="containsText" dxfId="63" priority="242" operator="containsText" text="NF LANÇADA">
      <formula>NOT(ISERROR(SEARCH("NF LANÇADA",N119)))</formula>
    </cfRule>
  </conditionalFormatting>
  <conditionalFormatting sqref="N123:N146">
    <cfRule type="containsText" dxfId="62" priority="224" operator="containsText" text="NF LANÇADA">
      <formula>NOT(ISERROR(SEARCH("NF LANÇADA",N123)))</formula>
    </cfRule>
    <cfRule type="containsText" dxfId="61" priority="225" operator="containsText" text="Aguardar NF">
      <formula>NOT(ISERROR(SEARCH("Aguardar NF",N123)))</formula>
    </cfRule>
    <cfRule type="containsText" dxfId="60" priority="226" operator="containsText" text="Aguardando pedido">
      <formula>NOT(ISERROR(SEARCH("Aguardando pedido",N123)))</formula>
    </cfRule>
  </conditionalFormatting>
  <conditionalFormatting sqref="N152:N154">
    <cfRule type="containsText" dxfId="59" priority="210" operator="containsText" text="NF LANÇADA">
      <formula>NOT(ISERROR(SEARCH("NF LANÇADA",N152)))</formula>
    </cfRule>
  </conditionalFormatting>
  <conditionalFormatting sqref="N155:N161">
    <cfRule type="containsText" dxfId="58" priority="189" operator="containsText" text="NF LANÇADA">
      <formula>NOT(ISERROR(SEARCH("NF LANÇADA",N155)))</formula>
    </cfRule>
    <cfRule type="containsText" dxfId="57" priority="190" operator="containsText" text="Aguardar NF">
      <formula>NOT(ISERROR(SEARCH("Aguardar NF",N155)))</formula>
    </cfRule>
    <cfRule type="containsText" dxfId="56" priority="191" operator="containsText" text="Aguardando pedido">
      <formula>NOT(ISERROR(SEARCH("Aguardando pedido",N155)))</formula>
    </cfRule>
  </conditionalFormatting>
  <conditionalFormatting sqref="N182:N188 N178:N179 O182:O183">
    <cfRule type="containsText" dxfId="55" priority="179" operator="containsText" text="NF LANÇADA">
      <formula>NOT(ISERROR(SEARCH("NF LANÇADA",N178)))</formula>
    </cfRule>
  </conditionalFormatting>
  <conditionalFormatting sqref="N184">
    <cfRule type="containsText" dxfId="54" priority="171" operator="containsText" text="NF LANÇADA">
      <formula>NOT(ISERROR(SEARCH("NF LANÇADA",N184)))</formula>
    </cfRule>
    <cfRule type="containsText" dxfId="53" priority="174" operator="containsText" text="Aguardar NF">
      <formula>NOT(ISERROR(SEARCH("Aguardar NF",N184)))</formula>
    </cfRule>
    <cfRule type="containsText" dxfId="52" priority="175" operator="containsText" text="Aguardando pedido">
      <formula>NOT(ISERROR(SEARCH("Aguardando pedido",N184)))</formula>
    </cfRule>
  </conditionalFormatting>
  <conditionalFormatting sqref="N191:N296">
    <cfRule type="containsText" dxfId="51" priority="1" operator="containsText" text="NF LANÇADA">
      <formula>NOT(ISERROR(SEARCH("NF LANÇADA",N191)))</formula>
    </cfRule>
    <cfRule type="containsText" dxfId="50" priority="2" operator="containsText" text="Aguardar NF">
      <formula>NOT(ISERROR(SEARCH("Aguardar NF",N191)))</formula>
    </cfRule>
    <cfRule type="containsText" dxfId="49" priority="3" operator="containsText" text="Aguardando pedido">
      <formula>NOT(ISERROR(SEARCH("Aguardando pedido",N191)))</formula>
    </cfRule>
  </conditionalFormatting>
  <conditionalFormatting sqref="N1:O9 I1:I9">
    <cfRule type="containsText" dxfId="48" priority="380" operator="containsText" text="Aguardar NF">
      <formula>NOT(ISERROR(SEARCH("Aguardar NF",I1)))</formula>
    </cfRule>
  </conditionalFormatting>
  <conditionalFormatting sqref="N1:O9">
    <cfRule type="containsText" dxfId="47" priority="371" operator="containsText" text="NF LANÇADA">
      <formula>NOT(ISERROR(SEARCH("NF LANÇADA",N1)))</formula>
    </cfRule>
  </conditionalFormatting>
  <conditionalFormatting sqref="N26:O26">
    <cfRule type="containsText" dxfId="46" priority="360" operator="containsText" text="NF LANÇADA">
      <formula>NOT(ISERROR(SEARCH("NF LANÇADA",N26)))</formula>
    </cfRule>
    <cfRule type="containsText" dxfId="45" priority="361" operator="containsText" text="Aguardar NF">
      <formula>NOT(ISERROR(SEARCH("Aguardar NF",N26)))</formula>
    </cfRule>
    <cfRule type="containsText" dxfId="44" priority="362" operator="containsText" text="Aguardando pedido">
      <formula>NOT(ISERROR(SEARCH("Aguardando pedido",N26)))</formula>
    </cfRule>
  </conditionalFormatting>
  <conditionalFormatting sqref="N55:O55 I55">
    <cfRule type="containsText" dxfId="43" priority="324" operator="containsText" text="Aguardar NF">
      <formula>NOT(ISERROR(SEARCH("Aguardar NF",I55)))</formula>
    </cfRule>
  </conditionalFormatting>
  <conditionalFormatting sqref="N55:O55">
    <cfRule type="containsText" dxfId="42" priority="321" operator="containsText" text="NF LANÇADA">
      <formula>NOT(ISERROR(SEARCH("NF LANÇADA",N55)))</formula>
    </cfRule>
  </conditionalFormatting>
  <conditionalFormatting sqref="N71:O71 I71">
    <cfRule type="containsText" dxfId="41" priority="301" operator="containsText" text="Aguardar NF">
      <formula>NOT(ISERROR(SEARCH("Aguardar NF",I71)))</formula>
    </cfRule>
  </conditionalFormatting>
  <conditionalFormatting sqref="N71:O71">
    <cfRule type="containsText" dxfId="40" priority="298" operator="containsText" text="NF LANÇADA">
      <formula>NOT(ISERROR(SEARCH("NF LANÇADA",N71)))</formula>
    </cfRule>
  </conditionalFormatting>
  <conditionalFormatting sqref="N87:O87 I87">
    <cfRule type="containsText" dxfId="39" priority="278" operator="containsText" text="Aguardar NF">
      <formula>NOT(ISERROR(SEARCH("Aguardar NF",I87)))</formula>
    </cfRule>
  </conditionalFormatting>
  <conditionalFormatting sqref="N87:O87">
    <cfRule type="containsText" dxfId="38" priority="275" operator="containsText" text="NF LANÇADA">
      <formula>NOT(ISERROR(SEARCH("NF LANÇADA",N87)))</formula>
    </cfRule>
  </conditionalFormatting>
  <conditionalFormatting sqref="N114:O119 N120:N121 I114:I119">
    <cfRule type="containsText" dxfId="37" priority="245" operator="containsText" text="Aguardar NF">
      <formula>NOT(ISERROR(SEARCH("Aguardar NF",I114)))</formula>
    </cfRule>
  </conditionalFormatting>
  <conditionalFormatting sqref="N114:O119">
    <cfRule type="containsText" dxfId="36" priority="240" operator="containsText" text="NF LANÇADA">
      <formula>NOT(ISERROR(SEARCH("NF LANÇADA",N114)))</formula>
    </cfRule>
  </conditionalFormatting>
  <conditionalFormatting sqref="N121:O122">
    <cfRule type="containsText" dxfId="35" priority="237" operator="containsText" text="NF LANÇADA">
      <formula>NOT(ISERROR(SEARCH("NF LANÇADA",N121)))</formula>
    </cfRule>
    <cfRule type="containsText" dxfId="34" priority="238" operator="containsText" text="Aguardar NF">
      <formula>NOT(ISERROR(SEARCH("Aguardar NF",N121)))</formula>
    </cfRule>
    <cfRule type="containsText" dxfId="33" priority="239" operator="containsText" text="Aguardando pedido">
      <formula>NOT(ISERROR(SEARCH("Aguardando pedido",N121)))</formula>
    </cfRule>
  </conditionalFormatting>
  <conditionalFormatting sqref="N147:O152 N153:N154 I147:I152">
    <cfRule type="containsText" dxfId="32" priority="219" operator="containsText" text="Aguardar NF">
      <formula>NOT(ISERROR(SEARCH("Aguardar NF",I147)))</formula>
    </cfRule>
  </conditionalFormatting>
  <conditionalFormatting sqref="N147:O153">
    <cfRule type="containsText" dxfId="31" priority="200" operator="containsText" text="NF LANÇADA">
      <formula>NOT(ISERROR(SEARCH("NF LANÇADA",N147)))</formula>
    </cfRule>
  </conditionalFormatting>
  <conditionalFormatting sqref="N153:O153">
    <cfRule type="containsText" dxfId="30" priority="205" operator="containsText" text="Aguardar NF">
      <formula>NOT(ISERROR(SEARCH("Aguardar NF",N153)))</formula>
    </cfRule>
    <cfRule type="containsText" dxfId="29" priority="206" operator="containsText" text="Aguardando pedido">
      <formula>NOT(ISERROR(SEARCH("Aguardando pedido",N153)))</formula>
    </cfRule>
  </conditionalFormatting>
  <conditionalFormatting sqref="N162:O181">
    <cfRule type="containsText" dxfId="28" priority="176" operator="containsText" text="NF LANÇADA">
      <formula>NOT(ISERROR(SEARCH("NF LANÇADA",N162)))</formula>
    </cfRule>
  </conditionalFormatting>
  <conditionalFormatting sqref="N162:O183 N184:N188 I162:I181">
    <cfRule type="containsText" dxfId="27" priority="182" operator="containsText" text="Aguardar NF">
      <formula>NOT(ISERROR(SEARCH("Aguardar NF",I162)))</formula>
    </cfRule>
  </conditionalFormatting>
  <conditionalFormatting sqref="O28:O30">
    <cfRule type="containsText" dxfId="26" priority="341" operator="containsText" text="NF LANÇADA">
      <formula>NOT(ISERROR(SEARCH("NF LANÇADA",O28)))</formula>
    </cfRule>
    <cfRule type="containsText" dxfId="25" priority="342" operator="containsText" text="Aguardar NF">
      <formula>NOT(ISERROR(SEARCH("Aguardar NF",O28)))</formula>
    </cfRule>
    <cfRule type="containsText" dxfId="24" priority="343" operator="containsText" text="Aguardando pedido">
      <formula>NOT(ISERROR(SEARCH("Aguardando pedido",O28)))</formula>
    </cfRule>
  </conditionalFormatting>
  <conditionalFormatting sqref="O57:O58">
    <cfRule type="containsText" dxfId="23" priority="313" operator="containsText" text="NF LANÇADA">
      <formula>NOT(ISERROR(SEARCH("NF LANÇADA",O57)))</formula>
    </cfRule>
    <cfRule type="containsText" dxfId="22" priority="314" operator="containsText" text="Aguardar NF">
      <formula>NOT(ISERROR(SEARCH("Aguardar NF",O57)))</formula>
    </cfRule>
    <cfRule type="containsText" dxfId="21" priority="315" operator="containsText" text="Aguardando pedido">
      <formula>NOT(ISERROR(SEARCH("Aguardando pedido",O57)))</formula>
    </cfRule>
  </conditionalFormatting>
  <conditionalFormatting sqref="O73:O74">
    <cfRule type="containsText" dxfId="20" priority="290" operator="containsText" text="NF LANÇADA">
      <formula>NOT(ISERROR(SEARCH("NF LANÇADA",O73)))</formula>
    </cfRule>
    <cfRule type="containsText" dxfId="19" priority="291" operator="containsText" text="Aguardar NF">
      <formula>NOT(ISERROR(SEARCH("Aguardar NF",O73)))</formula>
    </cfRule>
    <cfRule type="containsText" dxfId="18" priority="292" operator="containsText" text="Aguardando pedido">
      <formula>NOT(ISERROR(SEARCH("Aguardando pedido",O73)))</formula>
    </cfRule>
  </conditionalFormatting>
  <conditionalFormatting sqref="O89">
    <cfRule type="containsText" dxfId="17" priority="271" operator="containsText" text="NF LANÇADA">
      <formula>NOT(ISERROR(SEARCH("NF LANÇADA",O89)))</formula>
    </cfRule>
    <cfRule type="containsText" dxfId="16" priority="272" operator="containsText" text="Aguardar NF">
      <formula>NOT(ISERROR(SEARCH("Aguardar NF",O89)))</formula>
    </cfRule>
    <cfRule type="containsText" dxfId="15" priority="273" operator="containsText" text="Aguardando pedido">
      <formula>NOT(ISERROR(SEARCH("Aguardando pedido",O89)))</formula>
    </cfRule>
  </conditionalFormatting>
  <conditionalFormatting sqref="O127">
    <cfRule type="containsText" dxfId="14" priority="232" operator="containsText" text="NF LANÇADA">
      <formula>NOT(ISERROR(SEARCH("NF LANÇADA",O127)))</formula>
    </cfRule>
    <cfRule type="containsText" dxfId="13" priority="233" operator="containsText" text="Aguardar NF">
      <formula>NOT(ISERROR(SEARCH("Aguardar NF",O127)))</formula>
    </cfRule>
    <cfRule type="containsText" dxfId="12" priority="234" operator="containsText" text="Aguardando pedido">
      <formula>NOT(ISERROR(SEARCH("Aguardando pedido",O127)))</formula>
    </cfRule>
  </conditionalFormatting>
  <conditionalFormatting sqref="O149">
    <cfRule type="containsText" dxfId="11" priority="214" operator="containsText" text="NF LANÇADA">
      <formula>NOT(ISERROR(SEARCH("NF LANÇADA",O149)))</formula>
    </cfRule>
  </conditionalFormatting>
  <conditionalFormatting sqref="O185:O188">
    <cfRule type="containsText" dxfId="10" priority="168" operator="containsText" text="NF LANÇADA">
      <formula>NOT(ISERROR(SEARCH("NF LANÇADA",O185)))</formula>
    </cfRule>
    <cfRule type="containsText" dxfId="9" priority="169" operator="containsText" text="Aguardar NF">
      <formula>NOT(ISERROR(SEARCH("Aguardar NF",O185)))</formula>
    </cfRule>
    <cfRule type="containsText" dxfId="8" priority="170" operator="containsText" text="Aguardando pedido">
      <formula>NOT(ISERROR(SEARCH("Aguardando pedido",O185)))</formula>
    </cfRule>
  </conditionalFormatting>
  <conditionalFormatting sqref="P1">
    <cfRule type="containsText" dxfId="7" priority="375" operator="containsText" text="NF LANÇADA">
      <formula>NOT(ISERROR(SEARCH("NF LANÇADA",P1)))</formula>
    </cfRule>
    <cfRule type="containsText" dxfId="6" priority="376" operator="containsText" text="Aguardar NF">
      <formula>NOT(ISERROR(SEARCH("Aguardar NF",P1)))</formula>
    </cfRule>
    <cfRule type="containsText" dxfId="5" priority="377" operator="containsText" text="Aguardando pedido">
      <formula>NOT(ISERROR(SEARCH("Aguardando pedido",P1)))</formula>
    </cfRule>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J24"/>
  <sheetViews>
    <sheetView showGridLines="0" workbookViewId="0">
      <pane ySplit="1" topLeftCell="A16" activePane="bottomLeft" state="frozen"/>
      <selection pane="bottomLeft" activeCell="E5" sqref="E5"/>
    </sheetView>
  </sheetViews>
  <sheetFormatPr defaultColWidth="9.28515625" defaultRowHeight="15" x14ac:dyDescent="0.25"/>
  <cols>
    <col min="1" max="1" width="30.140625" customWidth="1"/>
    <col min="2" max="2" width="23.28515625" bestFit="1" customWidth="1"/>
    <col min="3" max="3" width="10.140625" bestFit="1" customWidth="1"/>
    <col min="4" max="4" width="11.5703125" customWidth="1"/>
    <col min="5" max="5" width="15" bestFit="1" customWidth="1"/>
    <col min="6" max="6" width="10.7109375" customWidth="1"/>
    <col min="7" max="7" width="8.7109375" bestFit="1" customWidth="1"/>
    <col min="8" max="8" width="25.28515625" customWidth="1"/>
    <col min="9" max="9" width="16.28515625" bestFit="1" customWidth="1"/>
    <col min="10" max="10" width="11.42578125" customWidth="1"/>
    <col min="11" max="11" width="17.7109375" bestFit="1" customWidth="1"/>
    <col min="12" max="12" width="21.5703125" customWidth="1"/>
    <col min="13" max="13" width="93.85546875" customWidth="1"/>
    <col min="14" max="31" width="11.5703125" hidden="1" customWidth="1"/>
    <col min="32" max="33" width="11.5703125" customWidth="1"/>
    <col min="34" max="34" width="9.28515625" customWidth="1"/>
    <col min="35" max="35" width="9.5703125" customWidth="1"/>
    <col min="36" max="36" width="12.28515625" customWidth="1"/>
  </cols>
  <sheetData>
    <row r="1" spans="1:36" x14ac:dyDescent="0.25">
      <c r="A1" s="7" t="s">
        <v>284</v>
      </c>
      <c r="B1" s="7" t="s">
        <v>285</v>
      </c>
      <c r="C1" s="7" t="s">
        <v>286</v>
      </c>
      <c r="D1" s="7" t="s">
        <v>287</v>
      </c>
      <c r="E1" s="8" t="s">
        <v>288</v>
      </c>
      <c r="F1" s="7" t="s">
        <v>289</v>
      </c>
      <c r="G1" s="7" t="s">
        <v>290</v>
      </c>
      <c r="H1" s="7" t="s">
        <v>147</v>
      </c>
      <c r="I1" s="7" t="s">
        <v>291</v>
      </c>
      <c r="J1" s="9" t="s">
        <v>292</v>
      </c>
      <c r="K1" s="9" t="s">
        <v>293</v>
      </c>
      <c r="L1" s="7" t="s">
        <v>294</v>
      </c>
      <c r="M1" s="10" t="s">
        <v>295</v>
      </c>
      <c r="N1" s="11">
        <v>45352</v>
      </c>
      <c r="O1" s="11">
        <v>45383</v>
      </c>
      <c r="P1" s="11">
        <v>45413</v>
      </c>
      <c r="Q1" s="11">
        <v>45444</v>
      </c>
      <c r="R1" s="11">
        <v>45474</v>
      </c>
      <c r="S1" s="11">
        <v>45505</v>
      </c>
      <c r="T1" s="11">
        <v>45536</v>
      </c>
      <c r="U1" s="11">
        <v>45566</v>
      </c>
      <c r="V1" s="11">
        <v>45597</v>
      </c>
      <c r="W1" s="11">
        <v>45627</v>
      </c>
      <c r="X1" s="11">
        <v>45658</v>
      </c>
      <c r="Y1" s="11">
        <v>45689</v>
      </c>
      <c r="Z1" s="11">
        <v>45717</v>
      </c>
      <c r="AA1" s="11">
        <v>45748</v>
      </c>
      <c r="AB1" s="11">
        <v>45778</v>
      </c>
      <c r="AC1" s="11">
        <v>45809</v>
      </c>
      <c r="AD1" s="11">
        <v>45839</v>
      </c>
      <c r="AE1" s="11">
        <v>45870</v>
      </c>
      <c r="AF1" s="11">
        <v>45901</v>
      </c>
      <c r="AG1" s="11">
        <v>45931</v>
      </c>
      <c r="AH1" s="11">
        <v>45962</v>
      </c>
      <c r="AI1" s="11">
        <v>45992</v>
      </c>
      <c r="AJ1" s="11">
        <v>46023</v>
      </c>
    </row>
    <row r="2" spans="1:36" x14ac:dyDescent="0.25">
      <c r="A2" s="12" t="s">
        <v>296</v>
      </c>
      <c r="B2" s="13" t="s">
        <v>297</v>
      </c>
      <c r="C2" s="14">
        <v>112589</v>
      </c>
      <c r="D2" s="14">
        <v>14445</v>
      </c>
      <c r="E2" s="15">
        <v>146936.89000000001</v>
      </c>
      <c r="F2" s="14">
        <v>3623537</v>
      </c>
      <c r="G2" s="14">
        <v>3769130</v>
      </c>
      <c r="H2" s="14" t="s">
        <v>298</v>
      </c>
      <c r="I2" s="14" t="s">
        <v>299</v>
      </c>
      <c r="J2" s="16">
        <v>45313</v>
      </c>
      <c r="K2" s="16">
        <v>46043</v>
      </c>
      <c r="L2" s="14" t="s">
        <v>300</v>
      </c>
      <c r="M2" s="17" t="s">
        <v>301</v>
      </c>
      <c r="N2" s="14" t="s">
        <v>37</v>
      </c>
      <c r="O2" s="14" t="s">
        <v>37</v>
      </c>
      <c r="P2" s="14" t="s">
        <v>37</v>
      </c>
      <c r="Q2" s="14" t="s">
        <v>37</v>
      </c>
      <c r="R2" s="14" t="s">
        <v>37</v>
      </c>
      <c r="S2" s="14" t="s">
        <v>37</v>
      </c>
      <c r="T2" s="14" t="s">
        <v>37</v>
      </c>
      <c r="U2" s="14" t="s">
        <v>37</v>
      </c>
      <c r="V2" s="14" t="s">
        <v>37</v>
      </c>
      <c r="W2" s="14" t="s">
        <v>37</v>
      </c>
      <c r="X2" s="14" t="s">
        <v>37</v>
      </c>
      <c r="Y2" s="14" t="s">
        <v>37</v>
      </c>
      <c r="Z2" s="14" t="s">
        <v>37</v>
      </c>
      <c r="AA2" s="14" t="s">
        <v>37</v>
      </c>
      <c r="AB2" s="14" t="s">
        <v>37</v>
      </c>
      <c r="AC2" s="14" t="s">
        <v>37</v>
      </c>
      <c r="AD2" s="14" t="s">
        <v>37</v>
      </c>
      <c r="AE2" s="14" t="s">
        <v>37</v>
      </c>
      <c r="AF2" s="14" t="s">
        <v>37</v>
      </c>
      <c r="AG2" s="14" t="s">
        <v>37</v>
      </c>
      <c r="AH2" s="14" t="s">
        <v>37</v>
      </c>
      <c r="AI2" s="14" t="s">
        <v>37</v>
      </c>
      <c r="AJ2" s="14" t="s">
        <v>37</v>
      </c>
    </row>
    <row r="3" spans="1:36" x14ac:dyDescent="0.25">
      <c r="A3" s="18" t="s">
        <v>302</v>
      </c>
      <c r="B3" s="18" t="s">
        <v>303</v>
      </c>
      <c r="C3" s="19">
        <v>112325</v>
      </c>
      <c r="D3" s="19">
        <v>14277</v>
      </c>
      <c r="E3" s="20" t="s">
        <v>304</v>
      </c>
      <c r="F3" s="19">
        <v>3623588</v>
      </c>
      <c r="G3" s="19">
        <v>3769114</v>
      </c>
      <c r="H3" s="19"/>
      <c r="I3" s="19" t="s">
        <v>305</v>
      </c>
      <c r="J3" s="21">
        <v>45215</v>
      </c>
      <c r="K3" s="21">
        <v>45580</v>
      </c>
      <c r="L3" s="19" t="s">
        <v>300</v>
      </c>
      <c r="M3" s="22" t="s">
        <v>306</v>
      </c>
      <c r="N3" s="19" t="s">
        <v>37</v>
      </c>
      <c r="O3" s="19" t="s">
        <v>37</v>
      </c>
      <c r="P3" s="19" t="s">
        <v>37</v>
      </c>
      <c r="Q3" s="19" t="s">
        <v>37</v>
      </c>
      <c r="R3" s="19" t="s">
        <v>37</v>
      </c>
      <c r="S3" s="19" t="s">
        <v>37</v>
      </c>
      <c r="T3" s="19" t="s">
        <v>37</v>
      </c>
      <c r="U3" s="19" t="s">
        <v>46</v>
      </c>
      <c r="V3" s="19" t="s">
        <v>46</v>
      </c>
      <c r="W3" s="19" t="s">
        <v>46</v>
      </c>
      <c r="X3" s="19" t="s">
        <v>46</v>
      </c>
      <c r="Y3" s="19" t="s">
        <v>46</v>
      </c>
      <c r="Z3" s="19" t="s">
        <v>46</v>
      </c>
      <c r="AA3" s="19" t="s">
        <v>46</v>
      </c>
      <c r="AB3" s="19" t="s">
        <v>46</v>
      </c>
      <c r="AC3" s="19" t="s">
        <v>46</v>
      </c>
      <c r="AD3" s="19" t="s">
        <v>46</v>
      </c>
      <c r="AE3" s="19" t="s">
        <v>46</v>
      </c>
      <c r="AF3" s="19" t="s">
        <v>46</v>
      </c>
      <c r="AG3" s="19" t="s">
        <v>46</v>
      </c>
      <c r="AH3" s="19" t="s">
        <v>46</v>
      </c>
      <c r="AI3" s="19" t="s">
        <v>46</v>
      </c>
      <c r="AJ3" s="19"/>
    </row>
    <row r="4" spans="1:36" x14ac:dyDescent="0.25">
      <c r="A4" s="18" t="s">
        <v>307</v>
      </c>
      <c r="B4" s="18" t="s">
        <v>303</v>
      </c>
      <c r="C4" s="19">
        <v>111420</v>
      </c>
      <c r="D4" s="19">
        <v>13958</v>
      </c>
      <c r="E4" s="23">
        <v>31664.98</v>
      </c>
      <c r="F4" s="19"/>
      <c r="G4" s="19">
        <v>3763776</v>
      </c>
      <c r="H4" s="19" t="s">
        <v>298</v>
      </c>
      <c r="I4" s="19" t="s">
        <v>308</v>
      </c>
      <c r="J4" s="21">
        <v>45215</v>
      </c>
      <c r="K4" s="21">
        <v>45580</v>
      </c>
      <c r="L4" s="19" t="s">
        <v>300</v>
      </c>
      <c r="M4" s="22" t="s">
        <v>309</v>
      </c>
      <c r="N4" s="19" t="s">
        <v>37</v>
      </c>
      <c r="O4" s="19" t="s">
        <v>37</v>
      </c>
      <c r="P4" s="19" t="s">
        <v>37</v>
      </c>
      <c r="Q4" s="19" t="s">
        <v>37</v>
      </c>
      <c r="R4" s="19" t="s">
        <v>37</v>
      </c>
      <c r="S4" s="19" t="s">
        <v>37</v>
      </c>
      <c r="T4" s="19" t="s">
        <v>37</v>
      </c>
      <c r="U4" s="19" t="s">
        <v>37</v>
      </c>
      <c r="V4" s="19" t="s">
        <v>46</v>
      </c>
      <c r="W4" s="19" t="s">
        <v>46</v>
      </c>
      <c r="X4" s="19" t="s">
        <v>46</v>
      </c>
      <c r="Y4" s="19" t="s">
        <v>46</v>
      </c>
      <c r="Z4" s="19" t="s">
        <v>46</v>
      </c>
      <c r="AA4" s="19" t="s">
        <v>46</v>
      </c>
      <c r="AB4" s="19" t="s">
        <v>46</v>
      </c>
      <c r="AC4" s="19" t="s">
        <v>46</v>
      </c>
      <c r="AD4" s="19" t="s">
        <v>46</v>
      </c>
      <c r="AE4" s="19" t="s">
        <v>46</v>
      </c>
      <c r="AF4" s="19" t="s">
        <v>46</v>
      </c>
      <c r="AG4" s="19" t="s">
        <v>46</v>
      </c>
      <c r="AH4" s="19" t="s">
        <v>46</v>
      </c>
      <c r="AI4" s="19" t="s">
        <v>46</v>
      </c>
      <c r="AJ4" s="19"/>
    </row>
    <row r="5" spans="1:36" x14ac:dyDescent="0.25">
      <c r="A5" s="12" t="s">
        <v>310</v>
      </c>
      <c r="B5" s="13" t="s">
        <v>297</v>
      </c>
      <c r="C5" s="14">
        <v>111657</v>
      </c>
      <c r="D5" s="14">
        <v>3624</v>
      </c>
      <c r="E5" s="15">
        <v>4074.44</v>
      </c>
      <c r="F5" s="14">
        <v>3619858</v>
      </c>
      <c r="G5" s="14">
        <v>3766711</v>
      </c>
      <c r="H5" s="14" t="s">
        <v>298</v>
      </c>
      <c r="I5" s="14" t="s">
        <v>308</v>
      </c>
      <c r="J5" s="16">
        <v>41792</v>
      </c>
      <c r="K5" s="16">
        <v>72686</v>
      </c>
      <c r="L5" s="14" t="s">
        <v>311</v>
      </c>
      <c r="M5" s="17" t="s">
        <v>312</v>
      </c>
      <c r="N5" s="14" t="s">
        <v>37</v>
      </c>
      <c r="O5" s="14" t="s">
        <v>37</v>
      </c>
      <c r="P5" s="14" t="s">
        <v>37</v>
      </c>
      <c r="Q5" s="14" t="s">
        <v>37</v>
      </c>
      <c r="R5" s="14" t="s">
        <v>37</v>
      </c>
      <c r="S5" s="14" t="s">
        <v>37</v>
      </c>
      <c r="T5" s="14" t="s">
        <v>37</v>
      </c>
      <c r="U5" s="14" t="s">
        <v>37</v>
      </c>
      <c r="V5" s="14" t="s">
        <v>37</v>
      </c>
      <c r="W5" s="14" t="s">
        <v>37</v>
      </c>
      <c r="X5" s="14" t="s">
        <v>37</v>
      </c>
      <c r="Y5" s="14" t="s">
        <v>37</v>
      </c>
      <c r="Z5" s="14" t="s">
        <v>37</v>
      </c>
      <c r="AA5" s="14" t="s">
        <v>37</v>
      </c>
      <c r="AB5" s="14" t="s">
        <v>37</v>
      </c>
      <c r="AC5" s="14" t="s">
        <v>37</v>
      </c>
      <c r="AD5" s="14" t="s">
        <v>37</v>
      </c>
      <c r="AE5" s="14" t="s">
        <v>37</v>
      </c>
      <c r="AF5" s="14" t="s">
        <v>37</v>
      </c>
      <c r="AG5" s="14" t="s">
        <v>37</v>
      </c>
      <c r="AH5" s="14" t="s">
        <v>37</v>
      </c>
      <c r="AI5" s="14" t="s">
        <v>37</v>
      </c>
      <c r="AJ5" s="14"/>
    </row>
    <row r="6" spans="1:36" ht="165" x14ac:dyDescent="0.25">
      <c r="A6" s="12" t="s">
        <v>313</v>
      </c>
      <c r="B6" s="13" t="s">
        <v>314</v>
      </c>
      <c r="C6" s="14">
        <v>112382</v>
      </c>
      <c r="D6" s="14">
        <v>834</v>
      </c>
      <c r="E6" s="15">
        <v>13133.68</v>
      </c>
      <c r="F6" s="24">
        <v>3494194</v>
      </c>
      <c r="G6" s="24">
        <v>3741081</v>
      </c>
      <c r="H6" s="14">
        <v>2208</v>
      </c>
      <c r="I6" s="14" t="s">
        <v>315</v>
      </c>
      <c r="J6" s="16">
        <v>40134</v>
      </c>
      <c r="K6" s="16">
        <v>73049</v>
      </c>
      <c r="L6" s="14" t="s">
        <v>316</v>
      </c>
      <c r="M6" s="17" t="s">
        <v>317</v>
      </c>
      <c r="N6" s="14" t="s">
        <v>37</v>
      </c>
      <c r="O6" s="14" t="s">
        <v>37</v>
      </c>
      <c r="P6" s="14" t="s">
        <v>37</v>
      </c>
      <c r="Q6" s="14" t="s">
        <v>37</v>
      </c>
      <c r="R6" s="14" t="s">
        <v>37</v>
      </c>
      <c r="S6" s="14" t="s">
        <v>37</v>
      </c>
      <c r="T6" s="14" t="s">
        <v>45</v>
      </c>
      <c r="U6" s="14" t="s">
        <v>37</v>
      </c>
      <c r="V6" s="14" t="s">
        <v>37</v>
      </c>
      <c r="W6" s="14" t="s">
        <v>37</v>
      </c>
      <c r="X6" s="25" t="s">
        <v>318</v>
      </c>
      <c r="Y6" s="25" t="s">
        <v>318</v>
      </c>
      <c r="Z6" s="25" t="s">
        <v>318</v>
      </c>
      <c r="AA6" s="25" t="s">
        <v>318</v>
      </c>
      <c r="AB6" s="25" t="s">
        <v>318</v>
      </c>
      <c r="AC6" s="25" t="s">
        <v>318</v>
      </c>
      <c r="AD6" s="25" t="s">
        <v>318</v>
      </c>
      <c r="AE6" s="25" t="s">
        <v>318</v>
      </c>
      <c r="AF6" s="25" t="s">
        <v>318</v>
      </c>
      <c r="AG6" s="25" t="s">
        <v>318</v>
      </c>
      <c r="AH6" s="25" t="s">
        <v>318</v>
      </c>
      <c r="AI6" s="25" t="s">
        <v>318</v>
      </c>
      <c r="AJ6" s="145" t="s">
        <v>319</v>
      </c>
    </row>
    <row r="7" spans="1:36" x14ac:dyDescent="0.25">
      <c r="A7" s="12" t="s">
        <v>320</v>
      </c>
      <c r="B7" s="13" t="s">
        <v>297</v>
      </c>
      <c r="C7" s="14">
        <v>112582</v>
      </c>
      <c r="D7" s="14">
        <v>14441</v>
      </c>
      <c r="E7" s="26">
        <v>1595.88</v>
      </c>
      <c r="F7" s="14">
        <v>3627916</v>
      </c>
      <c r="G7" s="14">
        <v>3773474</v>
      </c>
      <c r="H7" s="14" t="s">
        <v>321</v>
      </c>
      <c r="I7" s="14" t="s">
        <v>322</v>
      </c>
      <c r="J7" s="16">
        <v>45215</v>
      </c>
      <c r="K7" s="16">
        <v>45782</v>
      </c>
      <c r="L7" s="14" t="s">
        <v>300</v>
      </c>
      <c r="M7" s="17" t="s">
        <v>323</v>
      </c>
      <c r="N7" s="14" t="s">
        <v>37</v>
      </c>
      <c r="O7" s="14" t="s">
        <v>37</v>
      </c>
      <c r="P7" s="14" t="s">
        <v>37</v>
      </c>
      <c r="Q7" s="14" t="s">
        <v>37</v>
      </c>
      <c r="R7" s="14" t="s">
        <v>45</v>
      </c>
      <c r="S7" s="14" t="s">
        <v>37</v>
      </c>
      <c r="T7" s="14" t="s">
        <v>37</v>
      </c>
      <c r="U7" s="14" t="s">
        <v>37</v>
      </c>
      <c r="V7" s="14" t="s">
        <v>37</v>
      </c>
      <c r="W7" s="14" t="s">
        <v>37</v>
      </c>
      <c r="X7" s="14" t="s">
        <v>37</v>
      </c>
      <c r="Y7" s="14" t="s">
        <v>37</v>
      </c>
      <c r="Z7" s="14" t="s">
        <v>37</v>
      </c>
      <c r="AA7" s="14" t="s">
        <v>45</v>
      </c>
      <c r="AB7" s="14" t="s">
        <v>37</v>
      </c>
      <c r="AC7" s="14" t="s">
        <v>37</v>
      </c>
      <c r="AD7" s="14" t="s">
        <v>37</v>
      </c>
      <c r="AE7" s="14" t="s">
        <v>37</v>
      </c>
      <c r="AF7" s="14" t="s">
        <v>37</v>
      </c>
      <c r="AG7" s="14" t="s">
        <v>37</v>
      </c>
      <c r="AH7" s="14" t="s">
        <v>37</v>
      </c>
      <c r="AI7" s="14" t="s">
        <v>37</v>
      </c>
      <c r="AJ7" s="14"/>
    </row>
    <row r="8" spans="1:36" x14ac:dyDescent="0.25">
      <c r="A8" s="12" t="s">
        <v>320</v>
      </c>
      <c r="B8" s="13" t="s">
        <v>297</v>
      </c>
      <c r="C8" s="14">
        <v>112582</v>
      </c>
      <c r="D8" s="14">
        <v>14441</v>
      </c>
      <c r="E8" s="15">
        <v>521.95000000000005</v>
      </c>
      <c r="F8" s="14">
        <v>3631801</v>
      </c>
      <c r="G8" s="14">
        <v>3776543</v>
      </c>
      <c r="H8" s="14" t="s">
        <v>321</v>
      </c>
      <c r="I8" s="14" t="s">
        <v>322</v>
      </c>
      <c r="J8" s="16">
        <v>45215</v>
      </c>
      <c r="K8" s="16">
        <v>45782</v>
      </c>
      <c r="L8" s="14" t="s">
        <v>300</v>
      </c>
      <c r="M8" s="17" t="s">
        <v>324</v>
      </c>
      <c r="N8" s="14" t="s">
        <v>37</v>
      </c>
      <c r="O8" s="14" t="s">
        <v>37</v>
      </c>
      <c r="P8" s="14" t="s">
        <v>37</v>
      </c>
      <c r="Q8" s="14" t="s">
        <v>37</v>
      </c>
      <c r="R8" s="14" t="s">
        <v>37</v>
      </c>
      <c r="S8" s="14" t="s">
        <v>45</v>
      </c>
      <c r="T8" s="14" t="s">
        <v>37</v>
      </c>
      <c r="U8" s="14" t="s">
        <v>37</v>
      </c>
      <c r="V8" s="14" t="s">
        <v>37</v>
      </c>
      <c r="W8" s="14" t="s">
        <v>37</v>
      </c>
      <c r="X8" s="14" t="s">
        <v>37</v>
      </c>
      <c r="Y8" s="14" t="s">
        <v>37</v>
      </c>
      <c r="Z8" s="14" t="s">
        <v>37</v>
      </c>
      <c r="AA8" s="14" t="s">
        <v>37</v>
      </c>
      <c r="AB8" s="14" t="s">
        <v>45</v>
      </c>
      <c r="AC8" s="14" t="s">
        <v>37</v>
      </c>
      <c r="AD8" s="14" t="s">
        <v>37</v>
      </c>
      <c r="AE8" s="14" t="s">
        <v>37</v>
      </c>
      <c r="AF8" s="14" t="s">
        <v>37</v>
      </c>
      <c r="AG8" s="14" t="s">
        <v>37</v>
      </c>
      <c r="AH8" s="14" t="s">
        <v>37</v>
      </c>
      <c r="AI8" s="14" t="s">
        <v>37</v>
      </c>
      <c r="AJ8" s="14" t="s">
        <v>45</v>
      </c>
    </row>
    <row r="9" spans="1:36" x14ac:dyDescent="0.25">
      <c r="A9" s="12" t="s">
        <v>325</v>
      </c>
      <c r="B9" s="13" t="s">
        <v>297</v>
      </c>
      <c r="C9" s="14">
        <v>114403</v>
      </c>
      <c r="D9" s="14">
        <v>9655</v>
      </c>
      <c r="E9" s="15">
        <v>415</v>
      </c>
      <c r="F9" s="14">
        <v>3796459</v>
      </c>
      <c r="G9" s="14">
        <v>3934135</v>
      </c>
      <c r="H9" s="27">
        <v>2054</v>
      </c>
      <c r="I9" s="14" t="s">
        <v>308</v>
      </c>
      <c r="J9" s="16">
        <v>43983</v>
      </c>
      <c r="K9" s="16" t="s">
        <v>326</v>
      </c>
      <c r="L9" s="14" t="s">
        <v>300</v>
      </c>
      <c r="M9" s="28" t="s">
        <v>165</v>
      </c>
      <c r="N9" s="14" t="s">
        <v>32</v>
      </c>
      <c r="O9" s="14" t="s">
        <v>32</v>
      </c>
      <c r="P9" s="14" t="s">
        <v>32</v>
      </c>
      <c r="Q9" s="14" t="s">
        <v>32</v>
      </c>
      <c r="R9" s="14" t="s">
        <v>37</v>
      </c>
      <c r="S9" s="14" t="s">
        <v>37</v>
      </c>
      <c r="T9" s="14" t="s">
        <v>37</v>
      </c>
      <c r="U9" s="14" t="s">
        <v>37</v>
      </c>
      <c r="V9" s="14" t="s">
        <v>37</v>
      </c>
      <c r="W9" s="14" t="s">
        <v>37</v>
      </c>
      <c r="X9" s="14" t="s">
        <v>37</v>
      </c>
      <c r="Y9" s="14" t="s">
        <v>37</v>
      </c>
      <c r="Z9" s="14" t="s">
        <v>37</v>
      </c>
      <c r="AA9" s="14" t="s">
        <v>37</v>
      </c>
      <c r="AB9" s="14" t="s">
        <v>37</v>
      </c>
      <c r="AC9" s="14" t="s">
        <v>37</v>
      </c>
      <c r="AD9" s="14" t="s">
        <v>37</v>
      </c>
      <c r="AE9" s="14" t="s">
        <v>37</v>
      </c>
      <c r="AF9" s="14" t="s">
        <v>37</v>
      </c>
      <c r="AG9" s="14" t="s">
        <v>37</v>
      </c>
      <c r="AH9" s="14" t="s">
        <v>37</v>
      </c>
      <c r="AI9" s="14" t="s">
        <v>37</v>
      </c>
      <c r="AJ9" s="14" t="s">
        <v>45</v>
      </c>
    </row>
    <row r="10" spans="1:36" ht="135" x14ac:dyDescent="0.25">
      <c r="A10" s="12" t="s">
        <v>327</v>
      </c>
      <c r="B10" s="13" t="s">
        <v>297</v>
      </c>
      <c r="C10" s="14">
        <v>114402</v>
      </c>
      <c r="D10" s="14">
        <v>9654</v>
      </c>
      <c r="E10" s="15">
        <v>6250.23</v>
      </c>
      <c r="F10" s="14">
        <v>3796471</v>
      </c>
      <c r="G10" s="14">
        <v>3934127</v>
      </c>
      <c r="H10" s="27" t="s">
        <v>328</v>
      </c>
      <c r="I10" s="14" t="s">
        <v>308</v>
      </c>
      <c r="J10" s="16">
        <v>43983</v>
      </c>
      <c r="K10" s="16" t="s">
        <v>326</v>
      </c>
      <c r="L10" s="14" t="s">
        <v>300</v>
      </c>
      <c r="M10" s="28" t="s">
        <v>329</v>
      </c>
      <c r="N10" s="14" t="s">
        <v>32</v>
      </c>
      <c r="O10" s="14" t="s">
        <v>32</v>
      </c>
      <c r="P10" s="14" t="s">
        <v>32</v>
      </c>
      <c r="Q10" s="14" t="s">
        <v>32</v>
      </c>
      <c r="R10" s="14" t="s">
        <v>45</v>
      </c>
      <c r="S10" s="14" t="s">
        <v>45</v>
      </c>
      <c r="T10" s="14" t="s">
        <v>45</v>
      </c>
      <c r="U10" s="14" t="s">
        <v>45</v>
      </c>
      <c r="V10" s="14" t="s">
        <v>37</v>
      </c>
      <c r="W10" s="14" t="s">
        <v>37</v>
      </c>
      <c r="X10" s="14" t="s">
        <v>37</v>
      </c>
      <c r="Y10" s="14" t="s">
        <v>37</v>
      </c>
      <c r="Z10" s="14" t="s">
        <v>37</v>
      </c>
      <c r="AA10" s="14" t="s">
        <v>37</v>
      </c>
      <c r="AB10" s="14" t="s">
        <v>37</v>
      </c>
      <c r="AC10" s="14" t="s">
        <v>37</v>
      </c>
      <c r="AD10" s="14" t="s">
        <v>37</v>
      </c>
      <c r="AE10" s="14" t="s">
        <v>37</v>
      </c>
      <c r="AF10" s="14" t="s">
        <v>37</v>
      </c>
      <c r="AG10" s="14" t="s">
        <v>37</v>
      </c>
      <c r="AH10" s="14" t="s">
        <v>37</v>
      </c>
      <c r="AI10" s="14" t="s">
        <v>37</v>
      </c>
      <c r="AJ10" s="14" t="s">
        <v>45</v>
      </c>
    </row>
    <row r="11" spans="1:36" x14ac:dyDescent="0.25">
      <c r="A11" s="12" t="s">
        <v>330</v>
      </c>
      <c r="B11" s="13" t="s">
        <v>297</v>
      </c>
      <c r="C11" s="14">
        <v>113132</v>
      </c>
      <c r="D11" s="14">
        <v>5835</v>
      </c>
      <c r="E11" s="15">
        <v>1321.16</v>
      </c>
      <c r="F11" s="14" t="s">
        <v>32</v>
      </c>
      <c r="G11" s="14" t="s">
        <v>32</v>
      </c>
      <c r="H11" s="14">
        <v>1295</v>
      </c>
      <c r="I11" s="14" t="s">
        <v>331</v>
      </c>
      <c r="J11" s="16">
        <v>42555</v>
      </c>
      <c r="K11" s="16">
        <v>46387</v>
      </c>
      <c r="L11" s="14" t="s">
        <v>32</v>
      </c>
      <c r="M11" s="17" t="s">
        <v>184</v>
      </c>
      <c r="N11" s="14" t="s">
        <v>37</v>
      </c>
      <c r="O11" s="14" t="s">
        <v>32</v>
      </c>
      <c r="P11" s="14" t="s">
        <v>32</v>
      </c>
      <c r="Q11" s="14" t="s">
        <v>32</v>
      </c>
      <c r="R11" s="14" t="s">
        <v>37</v>
      </c>
      <c r="S11" s="14" t="s">
        <v>37</v>
      </c>
      <c r="T11" s="14" t="s">
        <v>37</v>
      </c>
      <c r="U11" s="14" t="s">
        <v>45</v>
      </c>
      <c r="V11" s="14" t="s">
        <v>37</v>
      </c>
      <c r="W11" s="14" t="s">
        <v>37</v>
      </c>
      <c r="X11" s="14" t="s">
        <v>37</v>
      </c>
      <c r="Y11" s="14" t="s">
        <v>37</v>
      </c>
      <c r="Z11" s="14" t="s">
        <v>37</v>
      </c>
      <c r="AA11" s="14" t="s">
        <v>37</v>
      </c>
      <c r="AB11" s="14" t="s">
        <v>37</v>
      </c>
      <c r="AC11" s="14" t="s">
        <v>37</v>
      </c>
      <c r="AD11" s="14" t="s">
        <v>37</v>
      </c>
      <c r="AE11" s="14" t="s">
        <v>37</v>
      </c>
      <c r="AF11" s="14" t="s">
        <v>37</v>
      </c>
      <c r="AG11" s="14" t="s">
        <v>37</v>
      </c>
      <c r="AH11" s="14" t="s">
        <v>37</v>
      </c>
      <c r="AI11" s="14" t="s">
        <v>37</v>
      </c>
      <c r="AJ11" s="14"/>
    </row>
    <row r="12" spans="1:36" x14ac:dyDescent="0.25">
      <c r="A12" s="18" t="s">
        <v>189</v>
      </c>
      <c r="B12" s="19" t="s">
        <v>332</v>
      </c>
      <c r="C12" s="19">
        <v>119738</v>
      </c>
      <c r="D12" s="19">
        <v>15713</v>
      </c>
      <c r="E12" s="23">
        <v>7500</v>
      </c>
      <c r="F12" s="19">
        <v>3977321</v>
      </c>
      <c r="G12" s="19">
        <v>4106352</v>
      </c>
      <c r="H12" s="19">
        <v>1210</v>
      </c>
      <c r="I12" s="19" t="s">
        <v>331</v>
      </c>
      <c r="J12" s="21">
        <v>45645</v>
      </c>
      <c r="K12" s="21">
        <v>45991</v>
      </c>
      <c r="L12" s="19" t="s">
        <v>311</v>
      </c>
      <c r="M12" s="22" t="s">
        <v>187</v>
      </c>
      <c r="N12" s="19" t="s">
        <v>32</v>
      </c>
      <c r="O12" s="19" t="s">
        <v>32</v>
      </c>
      <c r="P12" s="19" t="s">
        <v>32</v>
      </c>
      <c r="Q12" s="19" t="s">
        <v>32</v>
      </c>
      <c r="R12" s="19" t="s">
        <v>32</v>
      </c>
      <c r="S12" s="19" t="s">
        <v>32</v>
      </c>
      <c r="T12" s="19" t="s">
        <v>32</v>
      </c>
      <c r="U12" s="19" t="s">
        <v>32</v>
      </c>
      <c r="V12" s="19" t="s">
        <v>32</v>
      </c>
      <c r="W12" s="19" t="s">
        <v>32</v>
      </c>
      <c r="X12" s="19" t="s">
        <v>37</v>
      </c>
      <c r="Y12" s="19" t="s">
        <v>37</v>
      </c>
      <c r="Z12" s="19" t="s">
        <v>37</v>
      </c>
      <c r="AA12" s="19" t="s">
        <v>37</v>
      </c>
      <c r="AB12" s="19" t="s">
        <v>37</v>
      </c>
      <c r="AC12" s="19" t="s">
        <v>37</v>
      </c>
      <c r="AD12" s="19" t="s">
        <v>37</v>
      </c>
      <c r="AE12" s="19" t="s">
        <v>37</v>
      </c>
      <c r="AF12" s="19" t="s">
        <v>37</v>
      </c>
      <c r="AG12" s="19" t="s">
        <v>37</v>
      </c>
      <c r="AH12" s="19" t="s">
        <v>37</v>
      </c>
      <c r="AI12" s="19" t="s">
        <v>46</v>
      </c>
      <c r="AJ12" s="19"/>
    </row>
    <row r="13" spans="1:36" x14ac:dyDescent="0.25">
      <c r="A13" s="12" t="s">
        <v>333</v>
      </c>
      <c r="B13" s="13" t="s">
        <v>297</v>
      </c>
      <c r="C13" s="14">
        <v>128247</v>
      </c>
      <c r="D13" s="14">
        <v>18060</v>
      </c>
      <c r="E13" s="15">
        <v>8730</v>
      </c>
      <c r="F13" s="14">
        <v>4285976</v>
      </c>
      <c r="G13" s="14">
        <v>4412650</v>
      </c>
      <c r="H13" s="14">
        <v>1210</v>
      </c>
      <c r="I13" s="14" t="s">
        <v>334</v>
      </c>
      <c r="J13" s="16">
        <v>45992</v>
      </c>
      <c r="K13" s="16" t="s">
        <v>326</v>
      </c>
      <c r="L13" s="14" t="s">
        <v>300</v>
      </c>
      <c r="M13" s="17" t="s">
        <v>187</v>
      </c>
      <c r="N13" s="14"/>
      <c r="O13" s="14"/>
      <c r="P13" s="14"/>
      <c r="Q13" s="14"/>
      <c r="R13" s="14"/>
      <c r="S13" s="14"/>
      <c r="T13" s="14"/>
      <c r="U13" s="14"/>
      <c r="V13" s="14"/>
      <c r="W13" s="14"/>
      <c r="X13" s="14"/>
      <c r="Y13" s="14"/>
      <c r="Z13" s="14"/>
      <c r="AA13" s="14"/>
      <c r="AB13" s="14"/>
      <c r="AC13" s="14"/>
      <c r="AD13" s="14"/>
      <c r="AE13" s="14" t="s">
        <v>32</v>
      </c>
      <c r="AF13" s="14" t="s">
        <v>32</v>
      </c>
      <c r="AG13" s="14" t="s">
        <v>32</v>
      </c>
      <c r="AH13" s="14" t="s">
        <v>32</v>
      </c>
      <c r="AI13" s="14" t="s">
        <v>37</v>
      </c>
      <c r="AJ13" s="14" t="s">
        <v>37</v>
      </c>
    </row>
    <row r="14" spans="1:36" ht="315" x14ac:dyDescent="0.25">
      <c r="A14" s="12" t="s">
        <v>191</v>
      </c>
      <c r="B14" s="13" t="s">
        <v>297</v>
      </c>
      <c r="C14" s="14">
        <v>119950</v>
      </c>
      <c r="D14" s="14">
        <v>15839</v>
      </c>
      <c r="E14" s="15">
        <v>2750</v>
      </c>
      <c r="F14" s="14">
        <v>4002793</v>
      </c>
      <c r="G14" s="14">
        <v>4129082</v>
      </c>
      <c r="H14" s="27" t="s">
        <v>335</v>
      </c>
      <c r="I14" s="14" t="s">
        <v>322</v>
      </c>
      <c r="J14" s="16">
        <v>45689</v>
      </c>
      <c r="K14" s="16" t="s">
        <v>326</v>
      </c>
      <c r="L14" s="14" t="s">
        <v>311</v>
      </c>
      <c r="M14" s="28" t="s">
        <v>336</v>
      </c>
      <c r="N14" s="14" t="s">
        <v>32</v>
      </c>
      <c r="O14" s="14" t="s">
        <v>32</v>
      </c>
      <c r="P14" s="14" t="s">
        <v>32</v>
      </c>
      <c r="Q14" s="14" t="s">
        <v>32</v>
      </c>
      <c r="R14" s="14" t="s">
        <v>32</v>
      </c>
      <c r="S14" s="14" t="s">
        <v>32</v>
      </c>
      <c r="T14" s="14" t="s">
        <v>32</v>
      </c>
      <c r="U14" s="14" t="s">
        <v>32</v>
      </c>
      <c r="V14" s="14" t="s">
        <v>32</v>
      </c>
      <c r="W14" s="14" t="s">
        <v>32</v>
      </c>
      <c r="X14" s="14" t="s">
        <v>32</v>
      </c>
      <c r="Y14" s="14" t="s">
        <v>32</v>
      </c>
      <c r="Z14" s="14" t="s">
        <v>37</v>
      </c>
      <c r="AA14" s="14" t="s">
        <v>37</v>
      </c>
      <c r="AB14" s="14" t="s">
        <v>37</v>
      </c>
      <c r="AC14" s="14" t="s">
        <v>37</v>
      </c>
      <c r="AD14" s="14" t="s">
        <v>37</v>
      </c>
      <c r="AE14" s="14" t="s">
        <v>37</v>
      </c>
      <c r="AF14" s="14" t="s">
        <v>37</v>
      </c>
      <c r="AG14" s="14" t="s">
        <v>37</v>
      </c>
      <c r="AH14" s="14" t="s">
        <v>37</v>
      </c>
      <c r="AI14" s="14" t="s">
        <v>37</v>
      </c>
      <c r="AJ14" s="14" t="s">
        <v>37</v>
      </c>
    </row>
    <row r="15" spans="1:36" ht="30" x14ac:dyDescent="0.25">
      <c r="A15" s="12" t="s">
        <v>62</v>
      </c>
      <c r="B15" s="13" t="s">
        <v>297</v>
      </c>
      <c r="C15" s="14">
        <v>112762</v>
      </c>
      <c r="D15" s="14">
        <v>14442</v>
      </c>
      <c r="E15" s="15">
        <v>29471.02</v>
      </c>
      <c r="F15" s="29">
        <v>4004885</v>
      </c>
      <c r="G15" s="29">
        <v>4131474</v>
      </c>
      <c r="H15" s="30" t="s">
        <v>212</v>
      </c>
      <c r="I15" s="29" t="s">
        <v>337</v>
      </c>
      <c r="J15" s="16">
        <v>45292</v>
      </c>
      <c r="K15" s="16">
        <v>46022</v>
      </c>
      <c r="L15" s="14" t="s">
        <v>338</v>
      </c>
      <c r="M15" s="28" t="s">
        <v>339</v>
      </c>
      <c r="N15" s="14" t="s">
        <v>32</v>
      </c>
      <c r="O15" s="14" t="s">
        <v>32</v>
      </c>
      <c r="P15" s="14" t="s">
        <v>32</v>
      </c>
      <c r="Q15" s="14" t="s">
        <v>32</v>
      </c>
      <c r="R15" s="14" t="s">
        <v>32</v>
      </c>
      <c r="S15" s="14" t="s">
        <v>32</v>
      </c>
      <c r="T15" s="14" t="s">
        <v>32</v>
      </c>
      <c r="U15" s="14" t="s">
        <v>32</v>
      </c>
      <c r="V15" s="14" t="s">
        <v>32</v>
      </c>
      <c r="W15" s="14" t="s">
        <v>32</v>
      </c>
      <c r="X15" s="14" t="s">
        <v>37</v>
      </c>
      <c r="Y15" s="14" t="s">
        <v>37</v>
      </c>
      <c r="Z15" s="14" t="s">
        <v>37</v>
      </c>
      <c r="AA15" s="14" t="s">
        <v>37</v>
      </c>
      <c r="AB15" s="14" t="s">
        <v>37</v>
      </c>
      <c r="AC15" s="14" t="s">
        <v>37</v>
      </c>
      <c r="AD15" s="14" t="s">
        <v>37</v>
      </c>
      <c r="AE15" s="14" t="s">
        <v>37</v>
      </c>
      <c r="AF15" s="14" t="s">
        <v>37</v>
      </c>
      <c r="AG15" s="14" t="s">
        <v>37</v>
      </c>
      <c r="AH15" s="14" t="s">
        <v>37</v>
      </c>
      <c r="AI15" s="14" t="s">
        <v>37</v>
      </c>
      <c r="AJ15" s="14" t="s">
        <v>37</v>
      </c>
    </row>
    <row r="16" spans="1:36" ht="30" x14ac:dyDescent="0.25">
      <c r="A16" s="12" t="s">
        <v>67</v>
      </c>
      <c r="B16" s="13" t="s">
        <v>297</v>
      </c>
      <c r="C16" s="14">
        <v>120411</v>
      </c>
      <c r="D16" s="14">
        <v>16000</v>
      </c>
      <c r="E16" s="31">
        <v>200</v>
      </c>
      <c r="F16" s="14">
        <v>4039778</v>
      </c>
      <c r="G16" s="14">
        <v>4165984</v>
      </c>
      <c r="H16" s="19" t="s">
        <v>340</v>
      </c>
      <c r="I16" s="14" t="s">
        <v>299</v>
      </c>
      <c r="J16" s="32">
        <v>45717</v>
      </c>
      <c r="K16" s="16" t="s">
        <v>326</v>
      </c>
      <c r="L16" s="14" t="s">
        <v>300</v>
      </c>
      <c r="M16" s="28" t="s">
        <v>341</v>
      </c>
      <c r="N16" s="14" t="s">
        <v>32</v>
      </c>
      <c r="O16" s="14" t="s">
        <v>32</v>
      </c>
      <c r="P16" s="14" t="s">
        <v>32</v>
      </c>
      <c r="Q16" s="14" t="s">
        <v>32</v>
      </c>
      <c r="R16" s="14" t="s">
        <v>32</v>
      </c>
      <c r="S16" s="14" t="s">
        <v>32</v>
      </c>
      <c r="T16" s="14" t="s">
        <v>32</v>
      </c>
      <c r="U16" s="14" t="s">
        <v>32</v>
      </c>
      <c r="V16" s="14" t="s">
        <v>32</v>
      </c>
      <c r="W16" s="14" t="s">
        <v>32</v>
      </c>
      <c r="X16" s="14" t="s">
        <v>32</v>
      </c>
      <c r="Y16" s="14" t="s">
        <v>32</v>
      </c>
      <c r="Z16" s="14" t="s">
        <v>32</v>
      </c>
      <c r="AA16" s="14" t="s">
        <v>32</v>
      </c>
      <c r="AB16" s="14" t="s">
        <v>32</v>
      </c>
      <c r="AC16" s="14" t="s">
        <v>32</v>
      </c>
      <c r="AD16" s="14" t="s">
        <v>32</v>
      </c>
      <c r="AE16" s="14" t="s">
        <v>32</v>
      </c>
      <c r="AF16" s="14" t="s">
        <v>32</v>
      </c>
      <c r="AG16" s="14" t="s">
        <v>32</v>
      </c>
      <c r="AH16" s="14" t="s">
        <v>32</v>
      </c>
      <c r="AI16" s="14" t="s">
        <v>32</v>
      </c>
      <c r="AJ16" s="14" t="s">
        <v>32</v>
      </c>
    </row>
    <row r="17" spans="1:36" ht="30" x14ac:dyDescent="0.25">
      <c r="A17" s="12" t="s">
        <v>67</v>
      </c>
      <c r="B17" s="13" t="s">
        <v>297</v>
      </c>
      <c r="C17" s="14">
        <v>120411</v>
      </c>
      <c r="D17" s="14">
        <v>16000</v>
      </c>
      <c r="E17" s="31">
        <v>210</v>
      </c>
      <c r="F17" s="14">
        <v>4039904</v>
      </c>
      <c r="G17" s="14">
        <v>4165989</v>
      </c>
      <c r="H17" s="19" t="s">
        <v>340</v>
      </c>
      <c r="I17" s="14" t="s">
        <v>299</v>
      </c>
      <c r="J17" s="32">
        <v>45717</v>
      </c>
      <c r="K17" s="16" t="s">
        <v>326</v>
      </c>
      <c r="L17" s="14" t="s">
        <v>300</v>
      </c>
      <c r="M17" s="28" t="s">
        <v>342</v>
      </c>
      <c r="N17" s="14" t="s">
        <v>32</v>
      </c>
      <c r="O17" s="14" t="s">
        <v>32</v>
      </c>
      <c r="P17" s="14" t="s">
        <v>32</v>
      </c>
      <c r="Q17" s="14" t="s">
        <v>32</v>
      </c>
      <c r="R17" s="14" t="s">
        <v>32</v>
      </c>
      <c r="S17" s="14" t="s">
        <v>32</v>
      </c>
      <c r="T17" s="14" t="s">
        <v>32</v>
      </c>
      <c r="U17" s="14" t="s">
        <v>32</v>
      </c>
      <c r="V17" s="14" t="s">
        <v>32</v>
      </c>
      <c r="W17" s="14" t="s">
        <v>32</v>
      </c>
      <c r="X17" s="14" t="s">
        <v>32</v>
      </c>
      <c r="Y17" s="14" t="s">
        <v>32</v>
      </c>
      <c r="Z17" s="14" t="s">
        <v>32</v>
      </c>
      <c r="AA17" s="14" t="s">
        <v>32</v>
      </c>
      <c r="AB17" s="14" t="s">
        <v>32</v>
      </c>
      <c r="AC17" s="14" t="s">
        <v>32</v>
      </c>
      <c r="AD17" s="14" t="s">
        <v>32</v>
      </c>
      <c r="AE17" s="14" t="s">
        <v>32</v>
      </c>
      <c r="AF17" s="14" t="s">
        <v>32</v>
      </c>
      <c r="AG17" s="14" t="s">
        <v>32</v>
      </c>
      <c r="AH17" s="14" t="s">
        <v>32</v>
      </c>
      <c r="AI17" s="14" t="s">
        <v>32</v>
      </c>
      <c r="AJ17" s="14" t="s">
        <v>32</v>
      </c>
    </row>
    <row r="18" spans="1:36" ht="30" x14ac:dyDescent="0.25">
      <c r="A18" s="12" t="s">
        <v>67</v>
      </c>
      <c r="B18" s="13" t="s">
        <v>297</v>
      </c>
      <c r="C18" s="14">
        <v>120411</v>
      </c>
      <c r="D18" s="14">
        <v>16000</v>
      </c>
      <c r="E18" s="31">
        <v>290</v>
      </c>
      <c r="F18" s="14">
        <v>4039909</v>
      </c>
      <c r="G18" s="19"/>
      <c r="H18" s="19" t="s">
        <v>340</v>
      </c>
      <c r="I18" s="14" t="s">
        <v>299</v>
      </c>
      <c r="J18" s="32">
        <v>45717</v>
      </c>
      <c r="K18" s="16" t="s">
        <v>326</v>
      </c>
      <c r="L18" s="14" t="s">
        <v>300</v>
      </c>
      <c r="M18" s="28" t="s">
        <v>343</v>
      </c>
      <c r="N18" s="14" t="s">
        <v>32</v>
      </c>
      <c r="O18" s="14" t="s">
        <v>32</v>
      </c>
      <c r="P18" s="14" t="s">
        <v>32</v>
      </c>
      <c r="Q18" s="14" t="s">
        <v>32</v>
      </c>
      <c r="R18" s="14" t="s">
        <v>32</v>
      </c>
      <c r="S18" s="14" t="s">
        <v>32</v>
      </c>
      <c r="T18" s="14" t="s">
        <v>32</v>
      </c>
      <c r="U18" s="14" t="s">
        <v>32</v>
      </c>
      <c r="V18" s="14" t="s">
        <v>32</v>
      </c>
      <c r="W18" s="14" t="s">
        <v>32</v>
      </c>
      <c r="X18" s="14" t="s">
        <v>32</v>
      </c>
      <c r="Y18" s="14" t="s">
        <v>32</v>
      </c>
      <c r="Z18" s="14" t="s">
        <v>32</v>
      </c>
      <c r="AA18" s="14" t="s">
        <v>32</v>
      </c>
      <c r="AB18" s="14" t="s">
        <v>32</v>
      </c>
      <c r="AC18" s="14" t="s">
        <v>32</v>
      </c>
      <c r="AD18" s="14" t="s">
        <v>32</v>
      </c>
      <c r="AE18" s="14" t="s">
        <v>32</v>
      </c>
      <c r="AF18" s="14" t="s">
        <v>32</v>
      </c>
      <c r="AG18" s="14" t="s">
        <v>32</v>
      </c>
      <c r="AH18" s="14" t="s">
        <v>32</v>
      </c>
      <c r="AI18" s="14" t="s">
        <v>32</v>
      </c>
      <c r="AJ18" s="14" t="s">
        <v>32</v>
      </c>
    </row>
    <row r="19" spans="1:36" ht="69" customHeight="1" x14ac:dyDescent="0.25">
      <c r="A19" s="12" t="s">
        <v>344</v>
      </c>
      <c r="B19" s="13" t="s">
        <v>297</v>
      </c>
      <c r="C19" s="14">
        <v>121666</v>
      </c>
      <c r="D19" s="14">
        <v>16242</v>
      </c>
      <c r="E19" s="15">
        <v>27196.67</v>
      </c>
      <c r="F19" s="14">
        <v>4083066</v>
      </c>
      <c r="G19" s="33">
        <v>4206828</v>
      </c>
      <c r="H19" s="27">
        <v>1210</v>
      </c>
      <c r="I19" s="14" t="s">
        <v>334</v>
      </c>
      <c r="J19" s="16">
        <v>45717</v>
      </c>
      <c r="K19" s="16">
        <v>46813</v>
      </c>
      <c r="L19" s="14" t="s">
        <v>345</v>
      </c>
      <c r="M19" s="28" t="s">
        <v>346</v>
      </c>
      <c r="N19" s="14" t="s">
        <v>32</v>
      </c>
      <c r="O19" s="14" t="s">
        <v>32</v>
      </c>
      <c r="P19" s="14" t="s">
        <v>32</v>
      </c>
      <c r="Q19" s="14" t="s">
        <v>32</v>
      </c>
      <c r="R19" s="14" t="s">
        <v>32</v>
      </c>
      <c r="S19" s="14" t="s">
        <v>32</v>
      </c>
      <c r="T19" s="14" t="s">
        <v>32</v>
      </c>
      <c r="U19" s="14" t="s">
        <v>32</v>
      </c>
      <c r="V19" s="14" t="s">
        <v>32</v>
      </c>
      <c r="W19" s="14" t="s">
        <v>32</v>
      </c>
      <c r="X19" s="14" t="s">
        <v>32</v>
      </c>
      <c r="Y19" s="14" t="s">
        <v>32</v>
      </c>
      <c r="Z19" s="14" t="s">
        <v>32</v>
      </c>
      <c r="AA19" s="14" t="s">
        <v>32</v>
      </c>
      <c r="AB19" s="14" t="s">
        <v>37</v>
      </c>
      <c r="AC19" s="14" t="s">
        <v>37</v>
      </c>
      <c r="AD19" s="14" t="s">
        <v>37</v>
      </c>
      <c r="AE19" s="14" t="s">
        <v>37</v>
      </c>
      <c r="AF19" s="14" t="s">
        <v>37</v>
      </c>
      <c r="AG19" s="14" t="s">
        <v>37</v>
      </c>
      <c r="AH19" s="14" t="s">
        <v>37</v>
      </c>
      <c r="AI19" s="14" t="s">
        <v>37</v>
      </c>
      <c r="AJ19" s="14"/>
    </row>
    <row r="20" spans="1:36" ht="30" x14ac:dyDescent="0.25">
      <c r="A20" s="12" t="s">
        <v>257</v>
      </c>
      <c r="B20" s="13" t="s">
        <v>297</v>
      </c>
      <c r="C20" s="14">
        <v>122708</v>
      </c>
      <c r="D20" s="14">
        <v>16445</v>
      </c>
      <c r="E20" s="15">
        <v>4550</v>
      </c>
      <c r="F20" s="14">
        <v>4125154</v>
      </c>
      <c r="G20" s="33">
        <v>4245451</v>
      </c>
      <c r="H20" s="19" t="s">
        <v>340</v>
      </c>
      <c r="I20" s="14" t="s">
        <v>347</v>
      </c>
      <c r="J20" s="16">
        <v>45805</v>
      </c>
      <c r="K20" s="16" t="s">
        <v>326</v>
      </c>
      <c r="L20" s="14"/>
      <c r="M20" s="28" t="s">
        <v>348</v>
      </c>
      <c r="N20" s="14" t="s">
        <v>32</v>
      </c>
      <c r="O20" s="14" t="s">
        <v>32</v>
      </c>
      <c r="P20" s="14" t="s">
        <v>32</v>
      </c>
      <c r="Q20" s="14" t="s">
        <v>32</v>
      </c>
      <c r="R20" s="14" t="s">
        <v>32</v>
      </c>
      <c r="S20" s="14" t="s">
        <v>32</v>
      </c>
      <c r="T20" s="14" t="s">
        <v>32</v>
      </c>
      <c r="U20" s="14" t="s">
        <v>32</v>
      </c>
      <c r="V20" s="14" t="s">
        <v>32</v>
      </c>
      <c r="W20" s="14" t="s">
        <v>32</v>
      </c>
      <c r="X20" s="14" t="s">
        <v>32</v>
      </c>
      <c r="Y20" s="14" t="s">
        <v>32</v>
      </c>
      <c r="Z20" s="14" t="s">
        <v>32</v>
      </c>
      <c r="AA20" s="14" t="s">
        <v>32</v>
      </c>
      <c r="AB20" s="14" t="s">
        <v>32</v>
      </c>
      <c r="AC20" s="14" t="s">
        <v>32</v>
      </c>
      <c r="AD20" s="14" t="s">
        <v>32</v>
      </c>
      <c r="AE20" s="14" t="s">
        <v>32</v>
      </c>
      <c r="AF20" s="14" t="s">
        <v>32</v>
      </c>
      <c r="AG20" s="14" t="s">
        <v>32</v>
      </c>
      <c r="AH20" s="14" t="s">
        <v>32</v>
      </c>
      <c r="AI20" s="14" t="s">
        <v>32</v>
      </c>
      <c r="AJ20" s="14" t="s">
        <v>32</v>
      </c>
    </row>
    <row r="21" spans="1:36" ht="30" x14ac:dyDescent="0.25">
      <c r="A21" s="12" t="s">
        <v>257</v>
      </c>
      <c r="B21" s="13" t="s">
        <v>297</v>
      </c>
      <c r="C21" s="14">
        <v>122708</v>
      </c>
      <c r="D21" s="14">
        <v>16445</v>
      </c>
      <c r="E21" s="15">
        <v>6150</v>
      </c>
      <c r="F21" s="14">
        <v>4125189</v>
      </c>
      <c r="G21" s="33">
        <v>4245547</v>
      </c>
      <c r="H21" s="19" t="s">
        <v>340</v>
      </c>
      <c r="I21" s="14" t="s">
        <v>347</v>
      </c>
      <c r="J21" s="16">
        <v>45805</v>
      </c>
      <c r="K21" s="16" t="s">
        <v>326</v>
      </c>
      <c r="L21" s="14"/>
      <c r="M21" s="28" t="s">
        <v>349</v>
      </c>
      <c r="N21" s="14" t="s">
        <v>32</v>
      </c>
      <c r="O21" s="14" t="s">
        <v>32</v>
      </c>
      <c r="P21" s="14" t="s">
        <v>32</v>
      </c>
      <c r="Q21" s="14" t="s">
        <v>32</v>
      </c>
      <c r="R21" s="14" t="s">
        <v>32</v>
      </c>
      <c r="S21" s="14" t="s">
        <v>32</v>
      </c>
      <c r="T21" s="14" t="s">
        <v>32</v>
      </c>
      <c r="U21" s="14" t="s">
        <v>32</v>
      </c>
      <c r="V21" s="14" t="s">
        <v>32</v>
      </c>
      <c r="W21" s="14" t="s">
        <v>32</v>
      </c>
      <c r="X21" s="14" t="s">
        <v>32</v>
      </c>
      <c r="Y21" s="14" t="s">
        <v>32</v>
      </c>
      <c r="Z21" s="14" t="s">
        <v>32</v>
      </c>
      <c r="AA21" s="14" t="s">
        <v>32</v>
      </c>
      <c r="AB21" s="14" t="s">
        <v>32</v>
      </c>
      <c r="AC21" s="14" t="s">
        <v>32</v>
      </c>
      <c r="AD21" s="14" t="s">
        <v>32</v>
      </c>
      <c r="AE21" s="14" t="s">
        <v>32</v>
      </c>
      <c r="AF21" s="14" t="s">
        <v>32</v>
      </c>
      <c r="AG21" s="14" t="s">
        <v>32</v>
      </c>
      <c r="AH21" s="14" t="s">
        <v>32</v>
      </c>
      <c r="AI21" s="14" t="s">
        <v>32</v>
      </c>
      <c r="AJ21" s="14" t="s">
        <v>32</v>
      </c>
    </row>
    <row r="22" spans="1:36" ht="135" x14ac:dyDescent="0.25">
      <c r="A22" s="12" t="s">
        <v>257</v>
      </c>
      <c r="B22" s="13" t="s">
        <v>297</v>
      </c>
      <c r="C22" s="14">
        <v>122708</v>
      </c>
      <c r="D22" s="14">
        <v>16445</v>
      </c>
      <c r="E22" s="34" t="s">
        <v>350</v>
      </c>
      <c r="F22" s="14">
        <v>4125235</v>
      </c>
      <c r="G22" s="33">
        <v>4245557</v>
      </c>
      <c r="H22" s="19" t="s">
        <v>340</v>
      </c>
      <c r="I22" s="14" t="s">
        <v>347</v>
      </c>
      <c r="J22" s="16">
        <v>45805</v>
      </c>
      <c r="K22" s="16" t="s">
        <v>326</v>
      </c>
      <c r="L22" s="14"/>
      <c r="M22" s="28" t="s">
        <v>351</v>
      </c>
      <c r="N22" s="14" t="s">
        <v>32</v>
      </c>
      <c r="O22" s="14" t="s">
        <v>32</v>
      </c>
      <c r="P22" s="14" t="s">
        <v>32</v>
      </c>
      <c r="Q22" s="14" t="s">
        <v>32</v>
      </c>
      <c r="R22" s="14" t="s">
        <v>32</v>
      </c>
      <c r="S22" s="14" t="s">
        <v>32</v>
      </c>
      <c r="T22" s="14" t="s">
        <v>32</v>
      </c>
      <c r="U22" s="14" t="s">
        <v>32</v>
      </c>
      <c r="V22" s="14" t="s">
        <v>32</v>
      </c>
      <c r="W22" s="14" t="s">
        <v>32</v>
      </c>
      <c r="X22" s="14" t="s">
        <v>32</v>
      </c>
      <c r="Y22" s="14" t="s">
        <v>32</v>
      </c>
      <c r="Z22" s="14" t="s">
        <v>32</v>
      </c>
      <c r="AA22" s="14" t="s">
        <v>32</v>
      </c>
      <c r="AB22" s="14" t="s">
        <v>32</v>
      </c>
      <c r="AC22" s="14" t="s">
        <v>32</v>
      </c>
      <c r="AD22" s="14" t="s">
        <v>32</v>
      </c>
      <c r="AE22" s="14" t="s">
        <v>32</v>
      </c>
      <c r="AF22" s="14" t="s">
        <v>32</v>
      </c>
      <c r="AG22" s="14" t="s">
        <v>32</v>
      </c>
      <c r="AH22" s="14" t="s">
        <v>32</v>
      </c>
      <c r="AI22" s="14" t="s">
        <v>32</v>
      </c>
      <c r="AJ22" s="14" t="s">
        <v>32</v>
      </c>
    </row>
    <row r="23" spans="1:36" x14ac:dyDescent="0.25">
      <c r="A23" s="12" t="s">
        <v>257</v>
      </c>
      <c r="B23" s="13" t="s">
        <v>297</v>
      </c>
      <c r="C23" s="14">
        <v>122708</v>
      </c>
      <c r="D23" s="14">
        <v>16445</v>
      </c>
      <c r="E23" s="34"/>
      <c r="F23" s="27">
        <v>4168151</v>
      </c>
      <c r="G23" s="33">
        <v>4324442</v>
      </c>
      <c r="H23" s="19" t="s">
        <v>340</v>
      </c>
      <c r="I23" s="14" t="s">
        <v>347</v>
      </c>
      <c r="J23" s="16">
        <v>45875</v>
      </c>
      <c r="K23" s="16" t="s">
        <v>326</v>
      </c>
      <c r="L23" s="14"/>
      <c r="M23" s="149" t="s">
        <v>352</v>
      </c>
      <c r="N23" s="14" t="s">
        <v>32</v>
      </c>
      <c r="O23" s="14" t="s">
        <v>32</v>
      </c>
      <c r="P23" s="14" t="s">
        <v>32</v>
      </c>
      <c r="Q23" s="14" t="s">
        <v>32</v>
      </c>
      <c r="R23" s="14" t="s">
        <v>32</v>
      </c>
      <c r="S23" s="14" t="s">
        <v>32</v>
      </c>
      <c r="T23" s="14" t="s">
        <v>32</v>
      </c>
      <c r="U23" s="14" t="s">
        <v>32</v>
      </c>
      <c r="V23" s="14" t="s">
        <v>32</v>
      </c>
      <c r="W23" s="14" t="s">
        <v>32</v>
      </c>
      <c r="X23" s="14" t="s">
        <v>32</v>
      </c>
      <c r="Y23" s="14" t="s">
        <v>32</v>
      </c>
      <c r="Z23" s="14" t="s">
        <v>32</v>
      </c>
      <c r="AA23" s="14" t="s">
        <v>32</v>
      </c>
      <c r="AB23" s="14" t="s">
        <v>32</v>
      </c>
      <c r="AC23" s="14" t="s">
        <v>32</v>
      </c>
      <c r="AD23" s="14" t="s">
        <v>32</v>
      </c>
      <c r="AE23" s="14" t="s">
        <v>32</v>
      </c>
      <c r="AF23" s="14" t="s">
        <v>32</v>
      </c>
      <c r="AG23" s="14" t="s">
        <v>32</v>
      </c>
      <c r="AH23" s="14" t="s">
        <v>32</v>
      </c>
      <c r="AI23" s="14" t="s">
        <v>32</v>
      </c>
      <c r="AJ23" s="14" t="s">
        <v>32</v>
      </c>
    </row>
    <row r="24" spans="1:36" ht="75" x14ac:dyDescent="0.25">
      <c r="A24" s="12" t="s">
        <v>353</v>
      </c>
      <c r="B24" s="13" t="s">
        <v>297</v>
      </c>
      <c r="C24" s="14">
        <v>128212</v>
      </c>
      <c r="D24" s="14">
        <v>18036</v>
      </c>
      <c r="E24" s="34" t="s">
        <v>354</v>
      </c>
      <c r="F24" s="14">
        <v>4264873</v>
      </c>
      <c r="G24" s="33">
        <v>4412622</v>
      </c>
      <c r="H24" s="19" t="s">
        <v>340</v>
      </c>
      <c r="I24" s="14" t="s">
        <v>299</v>
      </c>
      <c r="J24" s="16">
        <v>45946</v>
      </c>
      <c r="K24" s="16" t="s">
        <v>326</v>
      </c>
      <c r="L24" s="14" t="s">
        <v>345</v>
      </c>
      <c r="M24" s="28" t="s">
        <v>355</v>
      </c>
      <c r="N24" s="14"/>
      <c r="O24" s="14"/>
      <c r="P24" s="14"/>
      <c r="Q24" s="14"/>
      <c r="R24" s="14"/>
      <c r="S24" s="14"/>
      <c r="T24" s="14"/>
      <c r="U24" s="14"/>
      <c r="V24" s="14"/>
      <c r="W24" s="14"/>
      <c r="X24" s="14"/>
      <c r="Y24" s="14"/>
      <c r="Z24" s="14"/>
      <c r="AA24" s="14"/>
      <c r="AB24" s="14"/>
      <c r="AC24" s="14"/>
      <c r="AD24" s="14"/>
      <c r="AE24" s="14" t="s">
        <v>32</v>
      </c>
      <c r="AF24" s="14" t="s">
        <v>32</v>
      </c>
      <c r="AG24" s="14" t="s">
        <v>32</v>
      </c>
      <c r="AH24" s="14" t="s">
        <v>32</v>
      </c>
      <c r="AI24" s="14" t="s">
        <v>32</v>
      </c>
      <c r="AJ24" s="14" t="s">
        <v>32</v>
      </c>
    </row>
  </sheetData>
  <autoFilter ref="A1:AJ24" xr:uid="{00000000-0001-0000-0300-000000000000}"/>
  <conditionalFormatting sqref="F23">
    <cfRule type="duplicateValues" dxfId="4" priority="1"/>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1:N31"/>
  <sheetViews>
    <sheetView showGridLines="0" workbookViewId="0">
      <selection activeCell="D7" sqref="D7:F8"/>
    </sheetView>
  </sheetViews>
  <sheetFormatPr defaultRowHeight="15" customHeight="1" x14ac:dyDescent="0.25"/>
  <cols>
    <col min="2" max="2" width="47.5703125" customWidth="1"/>
    <col min="5" max="6" width="18.42578125" customWidth="1"/>
    <col min="10" max="10" width="29.5703125" customWidth="1"/>
    <col min="12" max="14" width="19" customWidth="1"/>
  </cols>
  <sheetData>
    <row r="1" spans="2:14" x14ac:dyDescent="0.25">
      <c r="D1" s="35"/>
      <c r="F1" s="36"/>
    </row>
    <row r="2" spans="2:14" x14ac:dyDescent="0.25">
      <c r="B2" s="37" t="s">
        <v>356</v>
      </c>
      <c r="C2" s="35"/>
      <c r="D2" s="35"/>
      <c r="F2" s="36"/>
      <c r="J2" s="37" t="s">
        <v>356</v>
      </c>
      <c r="K2" s="35"/>
      <c r="L2" s="35"/>
      <c r="N2" s="36"/>
    </row>
    <row r="3" spans="2:14" x14ac:dyDescent="0.25">
      <c r="B3" s="38" t="s">
        <v>357</v>
      </c>
      <c r="C3" s="35"/>
      <c r="D3" s="35"/>
      <c r="F3" s="36"/>
      <c r="J3" s="38" t="s">
        <v>357</v>
      </c>
      <c r="K3" s="35"/>
      <c r="L3" s="35"/>
      <c r="N3" s="36"/>
    </row>
    <row r="4" spans="2:14" x14ac:dyDescent="0.25">
      <c r="F4" s="36"/>
      <c r="N4" s="36"/>
    </row>
    <row r="5" spans="2:14" ht="120.75" customHeight="1" x14ac:dyDescent="0.25">
      <c r="B5" s="39" t="s">
        <v>222</v>
      </c>
      <c r="F5" s="36"/>
      <c r="J5" s="39" t="s">
        <v>111</v>
      </c>
      <c r="N5" s="36"/>
    </row>
    <row r="6" spans="2:14" x14ac:dyDescent="0.25">
      <c r="D6" s="35" t="s">
        <v>358</v>
      </c>
      <c r="E6" t="s">
        <v>147</v>
      </c>
      <c r="F6" s="36"/>
      <c r="L6" s="35" t="s">
        <v>358</v>
      </c>
      <c r="M6" t="s">
        <v>147</v>
      </c>
      <c r="N6" s="36"/>
    </row>
    <row r="7" spans="2:14" ht="14.45" customHeight="1" x14ac:dyDescent="0.25">
      <c r="B7" t="s">
        <v>359</v>
      </c>
      <c r="D7" s="40">
        <v>0.25</v>
      </c>
      <c r="E7" s="41">
        <v>2224</v>
      </c>
      <c r="F7" s="42">
        <f>D7*$B$8</f>
        <v>8552.51</v>
      </c>
      <c r="G7" s="36"/>
      <c r="J7" t="s">
        <v>359</v>
      </c>
      <c r="L7" s="40">
        <f>N7/$J$8</f>
        <v>2.6666666666666665</v>
      </c>
      <c r="M7" s="41">
        <v>2151</v>
      </c>
      <c r="N7" s="42">
        <v>400</v>
      </c>
    </row>
    <row r="8" spans="2:14" x14ac:dyDescent="0.25">
      <c r="B8" s="44">
        <v>34210.04</v>
      </c>
      <c r="D8" s="40">
        <v>0.75</v>
      </c>
      <c r="E8" s="41">
        <v>2488</v>
      </c>
      <c r="F8" s="42">
        <f>D8*$B$8</f>
        <v>25657.53</v>
      </c>
      <c r="G8" s="36"/>
      <c r="J8" s="44">
        <v>150</v>
      </c>
      <c r="L8" s="40">
        <f t="shared" ref="L8:L10" si="0">N8/$J$8</f>
        <v>5</v>
      </c>
      <c r="M8" s="41">
        <v>2054</v>
      </c>
      <c r="N8" s="42">
        <v>750</v>
      </c>
    </row>
    <row r="9" spans="2:14" ht="14.45" customHeight="1" x14ac:dyDescent="0.25">
      <c r="D9" s="40"/>
      <c r="E9" s="41"/>
      <c r="F9" s="42">
        <f>D9*$B$8</f>
        <v>0</v>
      </c>
      <c r="G9" s="36"/>
      <c r="L9" s="40">
        <f t="shared" si="0"/>
        <v>6.1333333333333337</v>
      </c>
      <c r="M9" s="41">
        <v>1759</v>
      </c>
      <c r="N9" s="42">
        <v>920</v>
      </c>
    </row>
    <row r="10" spans="2:14" x14ac:dyDescent="0.25">
      <c r="D10" s="40"/>
      <c r="E10" s="41"/>
      <c r="F10" s="42">
        <f>D10*$B$8</f>
        <v>0</v>
      </c>
      <c r="G10" s="36"/>
      <c r="L10" s="40">
        <f t="shared" si="0"/>
        <v>1.4666666666666666</v>
      </c>
      <c r="M10" s="41">
        <v>2208</v>
      </c>
      <c r="N10" s="42">
        <v>220</v>
      </c>
    </row>
    <row r="11" spans="2:14" x14ac:dyDescent="0.25">
      <c r="D11" s="40"/>
      <c r="E11" s="41"/>
      <c r="F11" s="42">
        <f t="shared" ref="F11:F25" si="1">D11*$B$8</f>
        <v>0</v>
      </c>
      <c r="G11" s="36"/>
      <c r="L11" s="40"/>
      <c r="M11" s="41"/>
      <c r="N11" s="42">
        <f t="shared" ref="N11:N25" si="2">L11*$B$8</f>
        <v>0</v>
      </c>
    </row>
    <row r="12" spans="2:14" x14ac:dyDescent="0.25">
      <c r="B12" s="46" t="s">
        <v>8</v>
      </c>
      <c r="D12" s="40"/>
      <c r="E12" s="41"/>
      <c r="F12" s="42">
        <f t="shared" si="1"/>
        <v>0</v>
      </c>
      <c r="G12" s="36"/>
      <c r="J12" s="46" t="s">
        <v>8</v>
      </c>
      <c r="L12" s="40"/>
      <c r="M12" s="41"/>
      <c r="N12" s="42">
        <f t="shared" si="2"/>
        <v>0</v>
      </c>
    </row>
    <row r="13" spans="2:14" ht="33.75" customHeight="1" x14ac:dyDescent="0.25">
      <c r="B13" s="157">
        <v>262</v>
      </c>
      <c r="D13" s="40"/>
      <c r="E13" s="41"/>
      <c r="F13" s="42">
        <f t="shared" si="1"/>
        <v>0</v>
      </c>
      <c r="G13" s="36"/>
      <c r="J13" s="157">
        <v>262</v>
      </c>
      <c r="L13" s="40"/>
      <c r="M13" s="41"/>
      <c r="N13" s="42">
        <f t="shared" si="2"/>
        <v>0</v>
      </c>
    </row>
    <row r="14" spans="2:14" x14ac:dyDescent="0.25">
      <c r="B14" s="157"/>
      <c r="D14" s="40"/>
      <c r="E14" s="41"/>
      <c r="F14" s="42">
        <f t="shared" si="1"/>
        <v>0</v>
      </c>
      <c r="J14" s="157"/>
      <c r="L14" s="40"/>
      <c r="M14" s="41"/>
      <c r="N14" s="42">
        <f t="shared" si="2"/>
        <v>0</v>
      </c>
    </row>
    <row r="15" spans="2:14" x14ac:dyDescent="0.25">
      <c r="D15" s="40"/>
      <c r="E15" s="41"/>
      <c r="F15" s="42">
        <f t="shared" si="1"/>
        <v>0</v>
      </c>
      <c r="L15" s="40"/>
      <c r="M15" s="41"/>
      <c r="N15" s="42">
        <f t="shared" si="2"/>
        <v>0</v>
      </c>
    </row>
    <row r="16" spans="2:14" ht="15" customHeight="1" x14ac:dyDescent="0.25">
      <c r="D16" s="40"/>
      <c r="E16" s="41"/>
      <c r="F16" s="42">
        <f t="shared" si="1"/>
        <v>0</v>
      </c>
      <c r="L16" s="40"/>
      <c r="M16" s="41"/>
      <c r="N16" s="42">
        <f t="shared" si="2"/>
        <v>0</v>
      </c>
    </row>
    <row r="17" spans="4:14" ht="15" customHeight="1" x14ac:dyDescent="0.25">
      <c r="D17" s="45"/>
      <c r="E17" s="41"/>
      <c r="F17" s="42">
        <f t="shared" si="1"/>
        <v>0</v>
      </c>
      <c r="L17" s="45"/>
      <c r="M17" s="41"/>
      <c r="N17" s="42">
        <f t="shared" si="2"/>
        <v>0</v>
      </c>
    </row>
    <row r="18" spans="4:14" x14ac:dyDescent="0.25">
      <c r="D18" s="45"/>
      <c r="E18" s="41"/>
      <c r="F18" s="42">
        <f t="shared" si="1"/>
        <v>0</v>
      </c>
      <c r="L18" s="45"/>
      <c r="M18" s="41"/>
      <c r="N18" s="42">
        <f t="shared" si="2"/>
        <v>0</v>
      </c>
    </row>
    <row r="19" spans="4:14" x14ac:dyDescent="0.25">
      <c r="D19" s="45"/>
      <c r="E19" s="41"/>
      <c r="F19" s="42">
        <f t="shared" si="1"/>
        <v>0</v>
      </c>
      <c r="L19" s="45"/>
      <c r="M19" s="41"/>
      <c r="N19" s="42">
        <f t="shared" si="2"/>
        <v>0</v>
      </c>
    </row>
    <row r="20" spans="4:14" x14ac:dyDescent="0.25">
      <c r="D20" s="45"/>
      <c r="E20" s="41"/>
      <c r="F20" s="42">
        <f t="shared" si="1"/>
        <v>0</v>
      </c>
      <c r="L20" s="45"/>
      <c r="M20" s="41"/>
      <c r="N20" s="42">
        <f t="shared" si="2"/>
        <v>0</v>
      </c>
    </row>
    <row r="21" spans="4:14" x14ac:dyDescent="0.25">
      <c r="D21" s="45"/>
      <c r="E21" s="41"/>
      <c r="F21" s="42">
        <f t="shared" si="1"/>
        <v>0</v>
      </c>
      <c r="L21" s="45"/>
      <c r="M21" s="41"/>
      <c r="N21" s="42">
        <f t="shared" si="2"/>
        <v>0</v>
      </c>
    </row>
    <row r="22" spans="4:14" x14ac:dyDescent="0.25">
      <c r="D22" s="45"/>
      <c r="E22" s="41"/>
      <c r="F22" s="42">
        <f t="shared" si="1"/>
        <v>0</v>
      </c>
      <c r="L22" s="45"/>
      <c r="M22" s="41"/>
      <c r="N22" s="42">
        <f t="shared" si="2"/>
        <v>0</v>
      </c>
    </row>
    <row r="23" spans="4:14" x14ac:dyDescent="0.25">
      <c r="D23" s="45"/>
      <c r="E23" s="41"/>
      <c r="F23" s="42">
        <f t="shared" si="1"/>
        <v>0</v>
      </c>
      <c r="L23" s="45"/>
      <c r="M23" s="41"/>
      <c r="N23" s="42">
        <f t="shared" si="2"/>
        <v>0</v>
      </c>
    </row>
    <row r="24" spans="4:14" x14ac:dyDescent="0.25">
      <c r="D24" s="45"/>
      <c r="E24" s="41"/>
      <c r="F24" s="42">
        <f t="shared" si="1"/>
        <v>0</v>
      </c>
      <c r="L24" s="45"/>
      <c r="M24" s="41"/>
      <c r="N24" s="42">
        <f t="shared" si="2"/>
        <v>0</v>
      </c>
    </row>
    <row r="25" spans="4:14" x14ac:dyDescent="0.25">
      <c r="D25" s="45"/>
      <c r="E25" s="41"/>
      <c r="F25" s="42">
        <f t="shared" si="1"/>
        <v>0</v>
      </c>
      <c r="L25" s="45"/>
      <c r="M25" s="41"/>
      <c r="N25" s="42">
        <f t="shared" si="2"/>
        <v>0</v>
      </c>
    </row>
    <row r="26" spans="4:14" x14ac:dyDescent="0.25">
      <c r="D26" s="35"/>
      <c r="F26" s="36"/>
      <c r="L26" s="35"/>
      <c r="N26" s="36"/>
    </row>
    <row r="27" spans="4:14" x14ac:dyDescent="0.25">
      <c r="D27" s="35"/>
      <c r="F27" s="42">
        <f>SUM(F7:F25)</f>
        <v>34210.04</v>
      </c>
      <c r="L27" s="35"/>
      <c r="N27" s="42">
        <f>SUM(N7:N25)</f>
        <v>2290</v>
      </c>
    </row>
    <row r="28" spans="4:14" x14ac:dyDescent="0.25">
      <c r="D28" s="35"/>
      <c r="F28" s="36"/>
    </row>
    <row r="29" spans="4:14" ht="14.45" customHeight="1" x14ac:dyDescent="0.25">
      <c r="D29" s="35"/>
      <c r="F29" s="36"/>
    </row>
    <row r="30" spans="4:14" ht="14.45" customHeight="1" x14ac:dyDescent="0.25">
      <c r="D30" s="35"/>
      <c r="F30" s="36"/>
    </row>
    <row r="31" spans="4:14" x14ac:dyDescent="0.25">
      <c r="D31" s="35"/>
      <c r="F31" s="36"/>
    </row>
  </sheetData>
  <mergeCells count="2">
    <mergeCell ref="B13:B14"/>
    <mergeCell ref="J13:J14"/>
  </mergeCells>
  <conditionalFormatting sqref="B5">
    <cfRule type="cellIs" dxfId="3" priority="4" operator="equal">
      <formula>4502</formula>
    </cfRule>
  </conditionalFormatting>
  <conditionalFormatting sqref="B13">
    <cfRule type="cellIs" dxfId="2" priority="3" operator="equal">
      <formula>4502</formula>
    </cfRule>
  </conditionalFormatting>
  <conditionalFormatting sqref="J5">
    <cfRule type="cellIs" dxfId="1" priority="2" operator="equal">
      <formula>4502</formula>
    </cfRule>
  </conditionalFormatting>
  <conditionalFormatting sqref="J13">
    <cfRule type="cellIs" dxfId="0" priority="1" operator="equal">
      <formula>4502</formula>
    </cfRule>
  </conditionalFormatting>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71220A11FEA46C4886D3604CC483AD6B" ma:contentTypeVersion="15" ma:contentTypeDescription="Crie um novo documento." ma:contentTypeScope="" ma:versionID="bb07fbe832bfbac930195f44faefcab7">
  <xsd:schema xmlns:xsd="http://www.w3.org/2001/XMLSchema" xmlns:xs="http://www.w3.org/2001/XMLSchema" xmlns:p="http://schemas.microsoft.com/office/2006/metadata/properties" xmlns:ns2="6dbcbc56-3d12-411a-a735-f36ec8e8bfd2" xmlns:ns3="8de5c96d-c68a-4bc1-8ca7-a6766c74fd4d" targetNamespace="http://schemas.microsoft.com/office/2006/metadata/properties" ma:root="true" ma:fieldsID="71ce47b93599878504e7d9a94c5299da" ns2:_="" ns3:_="">
    <xsd:import namespace="6dbcbc56-3d12-411a-a735-f36ec8e8bfd2"/>
    <xsd:import namespace="8de5c96d-c68a-4bc1-8ca7-a6766c74fd4d"/>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3:SharedWithUsers" minOccurs="0"/>
                <xsd:element ref="ns3:SharedWithDetails" minOccurs="0"/>
                <xsd:element ref="ns2:lcf76f155ced4ddcb4097134ff3c332f" minOccurs="0"/>
                <xsd:element ref="ns2:MediaServiceOCR" minOccurs="0"/>
                <xsd:element ref="ns2:MediaServiceLocation" minOccurs="0"/>
                <xsd:element ref="ns2:MediaServiceSearchPropertie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dbcbc56-3d12-411a-a735-f36ec8e8bfd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8" nillable="true" ma:taxonomy="true" ma:internalName="lcf76f155ced4ddcb4097134ff3c332f" ma:taxonomyFieldName="MediaServiceImageTags" ma:displayName="Marcações de imagem" ma:readOnly="false" ma:fieldId="{5cf76f15-5ced-4ddc-b409-7134ff3c332f}" ma:taxonomyMulti="true" ma:sspId="69df8bfc-69f5-472b-bcc3-14f5ad47a756" ma:termSetId="09814cd3-568e-fe90-9814-8d621ff8fb84" ma:anchorId="fba54fb3-c3e1-fe81-a776-ca4b69148c4d" ma:open="true" ma:isKeyword="false">
      <xsd:complexType>
        <xsd:sequence>
          <xsd:element ref="pc:Terms" minOccurs="0" maxOccurs="1"/>
        </xsd:sequence>
      </xsd:complexType>
    </xsd:element>
    <xsd:element name="MediaServiceOCR" ma:index="19" nillable="true" ma:displayName="Extracted Text" ma:internalName="MediaServiceOCR" ma:readOnly="true">
      <xsd:simpleType>
        <xsd:restriction base="dms:Note">
          <xsd:maxLength value="255"/>
        </xsd:restriction>
      </xsd:simpleType>
    </xsd:element>
    <xsd:element name="MediaServiceLocation" ma:index="20" nillable="true" ma:displayName="Location" ma:description="" ma:indexed="true" ma:internalName="MediaServiceLocation"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BillingMetadata" ma:index="22"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8de5c96d-c68a-4bc1-8ca7-a6766c74fd4d" elementFormDefault="qualified">
    <xsd:import namespace="http://schemas.microsoft.com/office/2006/documentManagement/types"/>
    <xsd:import namespace="http://schemas.microsoft.com/office/infopath/2007/PartnerControls"/>
    <xsd:element name="SharedWithUsers" ma:index="15" nillable="true" ma:displayName="Compartilhado com"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6" nillable="true" ma:displayName="Detalhes de Compartilhado Com"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6dbcbc56-3d12-411a-a735-f36ec8e8bfd2">
      <Terms xmlns="http://schemas.microsoft.com/office/infopath/2007/PartnerControls"/>
    </lcf76f155ced4ddcb4097134ff3c332f>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966D70E7-DD16-4CA7-972B-BE7A432BAB8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dbcbc56-3d12-411a-a735-f36ec8e8bfd2"/>
    <ds:schemaRef ds:uri="8de5c96d-c68a-4bc1-8ca7-a6766c74fd4d"/>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E6789367-A5F1-4388-8120-DDEDA2FE2BF0}">
  <ds:schemaRefs>
    <ds:schemaRef ds:uri="http://schemas.microsoft.com/office/2006/metadata/properties"/>
    <ds:schemaRef ds:uri="http://schemas.microsoft.com/office/infopath/2007/PartnerControls"/>
    <ds:schemaRef ds:uri="6dbcbc56-3d12-411a-a735-f36ec8e8bfd2"/>
  </ds:schemaRefs>
</ds:datastoreItem>
</file>

<file path=customXml/itemProps3.xml><?xml version="1.0" encoding="utf-8"?>
<ds:datastoreItem xmlns:ds="http://schemas.openxmlformats.org/officeDocument/2006/customXml" ds:itemID="{54650467-4C7D-42B4-91BA-A0E0F8FB5E54}">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5</vt:i4>
      </vt:variant>
    </vt:vector>
  </HeadingPairs>
  <TitlesOfParts>
    <vt:vector size="5" baseType="lpstr">
      <vt:lpstr>CONTROLE RC E NF</vt:lpstr>
      <vt:lpstr>LISTA SUSPENSA - NÃO ALTERAR </vt:lpstr>
      <vt:lpstr>NF FIXA MENSAL - CONTRATO</vt:lpstr>
      <vt:lpstr>CONTROLE - CONTRATOS SERVIÇO</vt:lpstr>
      <vt:lpstr>RATEIO</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Camila Ramos</dc:creator>
  <cp:keywords/>
  <dc:description/>
  <cp:lastModifiedBy>José Adenilson</cp:lastModifiedBy>
  <cp:revision/>
  <dcterms:created xsi:type="dcterms:W3CDTF">2025-10-21T18:33:23Z</dcterms:created>
  <dcterms:modified xsi:type="dcterms:W3CDTF">2026-01-25T22:18:14Z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0x01010071220A11FEA46C4886D3604CC483AD6B</vt:lpwstr>
  </property>
  <property fmtid="{D5CDD505-2E9C-101B-9397-08002B2CF9AE}" pid="3" name="MediaServiceImageTags">
    <vt:lpwstr/>
  </property>
</Properties>
</file>