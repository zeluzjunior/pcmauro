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2CC1730C-9ECB-436E-B017-AEFBC4270F4C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GASTOS!$A$1:$I$1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A5" i="1"/>
  <c r="A4" i="1"/>
</calcChain>
</file>

<file path=xl/sharedStrings.xml><?xml version="1.0" encoding="utf-8"?>
<sst xmlns="http://schemas.openxmlformats.org/spreadsheetml/2006/main" count="75" uniqueCount="60">
  <si>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</si>
  <si>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</si>
  <si>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</si>
  <si>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</si>
  <si>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</si>
  <si>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</si>
  <si>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</si>
  <si>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</si>
  <si>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</si>
  <si>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</si>
  <si>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</si>
  <si>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</si>
  <si>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</si>
  <si>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</si>
  <si>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</si>
  <si>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</si>
  <si>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</si>
  <si>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</si>
  <si>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</si>
  <si>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</si>
  <si>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</si>
  <si>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</si>
  <si>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</si>
  <si>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</si>
  <si>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</si>
  <si>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</si>
  <si>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</si>
  <si>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</si>
  <si>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</si>
  <si>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</si>
  <si>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</si>
  <si>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</si>
  <si>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</si>
  <si>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</si>
  <si>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</si>
  <si>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</si>
  <si>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</si>
  <si>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</si>
  <si>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</si>
  <si>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</si>
  <si>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</si>
  <si>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</si>
  <si>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DESCRIÇÃO DO SERVIÇO</t>
  </si>
  <si>
    <t>VALOR TOTAL</t>
  </si>
  <si>
    <t>PREVISÃO 
P/ EXECUÇÃO</t>
  </si>
  <si>
    <t>USO 
CONTÁBIL</t>
  </si>
  <si>
    <t>NÚMERO DA 
NOTA FISCAL</t>
  </si>
  <si>
    <t>ID</t>
  </si>
  <si>
    <t>FEVEREIRO / 2026</t>
  </si>
  <si>
    <t>OUTUBRO / 2025</t>
  </si>
  <si>
    <t>NOVEMBRO / 2025</t>
  </si>
  <si>
    <t>SOLICITANTE 1</t>
  </si>
  <si>
    <t>SOLICITANTE 2</t>
  </si>
  <si>
    <t>SOLICITANTE 3</t>
  </si>
  <si>
    <t>FORNECEDOR 1</t>
  </si>
  <si>
    <t>FORNECEDOR 2</t>
  </si>
  <si>
    <t>FORNECEDOR 3</t>
  </si>
  <si>
    <t>SERVIÇO 1</t>
  </si>
  <si>
    <t>SERVIÇO 2</t>
  </si>
  <si>
    <t>SERVIÇO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</si>
</sst>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0" applyNumberFormat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5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4" fillId="4" borderId="5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164" fontId="4" fillId="4" borderId="4" xfId="1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[TESTES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DASHBOARD!$C$4:$C$5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DASHBOARD!$D$4:$D$5</c:f>
              <c:numCache>
                <c:formatCode>[$R$-416]\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66967824074" createdVersion="8" refreshedVersion="8" minRefreshableVersion="3" recordCount="500" xr:uid="{56332D3B-67C9-4FD9-B762-5A17C06DD789}">
  <cacheSource type="worksheet">
    <worksheetSource ref="B1:I1048576" sheet="GASTOS"/>
  </cacheSource>
  <cacheFields count="17">
    <cacheField name="SETOR " numFmtId="0">
      <sharedItems containsNonDate="0" containsString="0" containsBlank="1"/>
    </cacheField>
    <cacheField name="SOLICITANTE" numFmtId="0">
      <sharedItems containsNonDate="0" containsBlank="1" count="6"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NonDate="0" containsString="0" containsBlank="1"/>
    </cacheField>
    <cacheField name="DESCRIÇÃO DO SERVIÇO" numFmtId="0">
      <sharedItems containsNonDate="0" containsString="0" containsBlank="1"/>
    </cacheField>
    <cacheField name="VALOR TOTAL" numFmtId="0">
      <sharedItems containsNonDate="0" containsString="0" containsBlank="1"/>
    </cacheField>
    <cacheField name="PREVISÃO _x000a_P/ EXECUÇÃO" numFmtId="0">
      <sharedItems containsNonDate="0" containsBlank="1" count="10">
        <m/>
        <s v="JANEIRO / 2026" u="1"/>
        <s v="FEVEREIO / 2026" u="1"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NonDate="0" containsString="0" containsBlank="1"/>
    </cacheField>
    <cacheField name="NÚMERO DA _x000a_NOTA FISCAL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String="0" containsBlank="1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NonDate="0" containsString="0" containsBlank="1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5" firstHeaderRow="1" firstDataRow="1" firstDataCol="1"/>
  <pivotFields count="17">
    <pivotField showAll="0"/>
    <pivotField showAll="0">
      <items count="7">
        <item m="1" x="2"/>
        <item m="1" x="3"/>
        <item m="1" x="4"/>
        <item m="1" x="5"/>
        <item x="0"/>
        <item m="1" x="1"/>
        <item t="default"/>
      </items>
    </pivotField>
    <pivotField showAll="0"/>
    <pivotField showAll="0"/>
    <pivotField dataField="1" showAll="0"/>
    <pivotField axis="axisRow" showAll="0">
      <items count="11">
        <item m="1" x="7"/>
        <item m="1" x="3"/>
        <item m="1" x="8"/>
        <item m="1" x="1"/>
        <item m="1" x="9"/>
        <item m="1" x="6"/>
        <item m="1" x="4"/>
        <item x="0"/>
        <item m="1" x="5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/>
    </format>
    <format dxfId="26">
      <pivotArea dataOnly="0" labelOnly="1" grandRow="1" outline="0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E5188-C282-4C8A-B91A-3DC66731A07F}" name="Tabela1" displayName="Tabela1" ref="A1:I5" totalsRowShown="0" headerRowDxfId="9" dataDxfId="10" headerRowBorderDxfId="11" tableBorderDxfId="12">
  <autoFilter ref="A1:I5" xr:uid="{683E5188-C282-4C8A-B91A-3DC66731A07F}"/>
  <sortState xmlns:xlrd2="http://schemas.microsoft.com/office/spreadsheetml/2017/richdata2" ref="A2:I5">
    <sortCondition descending="1" ref="D1:D5"/>
  </sortState>
  <tableColumns count="9">
    <tableColumn id="1" xr3:uid="{03571598-4110-4697-88AA-ACD60B9FF450}" name="ID" dataDxfId="8">
      <calculatedColumnFormula>DADOS!B18</calculatedColumnFormula>
    </tableColumn>
    <tableColumn id="2" xr3:uid="{ABEF6740-C01F-4F1D-ABD7-C5F8FFA3D336}" name="SETOR " dataDxfId="7"/>
    <tableColumn id="3" xr3:uid="{2E3F447C-7501-45C1-93B5-8629B738548B}" name="SOLICITANTE" dataDxfId="6"/>
    <tableColumn id="4" xr3:uid="{9543B7A2-E94B-4055-A00A-F9519A860DD2}" name="FORNECEDOR_x000a_NOME FANTASIA" dataDxfId="5"/>
    <tableColumn id="5" xr3:uid="{C117DEA7-99E2-4267-8398-9921067C5D14}" name="DESCRIÇÃO DO SERVIÇO" dataDxfId="4"/>
    <tableColumn id="6" xr3:uid="{BAECC4FF-0D7C-4E6B-A933-CD64430242D2}" name="VALOR TOTAL" dataDxfId="3" dataCellStyle="Moeda"/>
    <tableColumn id="7" xr3:uid="{26EBA0EE-51A3-4DAD-9C7F-B0860B393FDF}" name="PREVISÃO _x000a_P/ EXECUÇÃO" dataDxfId="2"/>
    <tableColumn id="8" xr3:uid="{0B691297-D732-45EF-AA36-7DBC8CFFB2B9}" name="USO _x000a_CONTÁBIL" dataDxfId="1"/>
    <tableColumn id="9" xr3:uid="{62931156-E17D-4839-8356-E18AACF9DE52}" name="NÚMERO DA _x000a_NOTA FISC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21"/>
  <sheetViews>
    <sheetView workbookViewId="0">
      <selection activeCell="C25" sqref="C25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49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50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48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2:4" x14ac:dyDescent="0.25">
      <c r="D17" s="4" t="s">
        <v>35</v>
      </c>
    </row>
    <row r="18" spans="2:4" x14ac:dyDescent="0.25">
      <c r="B18" s="3">
        <v>1</v>
      </c>
    </row>
    <row r="19" spans="2:4" x14ac:dyDescent="0.25">
      <c r="B19" s="3">
        <v>2</v>
      </c>
    </row>
    <row r="20" spans="2:4" x14ac:dyDescent="0.25">
      <c r="B20" s="3">
        <v>3</v>
      </c>
    </row>
    <row r="21" spans="2:4" x14ac:dyDescent="0.25">
      <c r="B21" s="3">
        <v>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F47" sqref="F47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x14ac:dyDescent="0.25">
      <c r="A2" s="23"/>
      <c r="B2" s="24"/>
      <c r="C2" s="24"/>
      <c r="D2" s="24"/>
      <c r="E2" s="24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</row>
    <row r="3" spans="1:35" x14ac:dyDescent="0.25">
      <c r="A3" s="23"/>
      <c r="B3" s="24"/>
      <c r="C3" t="s">
        <v>36</v>
      </c>
      <c r="D3" t="s">
        <v>37</v>
      </c>
      <c r="E3" s="2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23"/>
      <c r="B4" s="24"/>
      <c r="C4" s="28" t="s">
        <v>38</v>
      </c>
      <c r="D4" s="29"/>
      <c r="E4" s="25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</row>
    <row r="5" spans="1:35" x14ac:dyDescent="0.25">
      <c r="A5" s="23"/>
      <c r="B5" s="24"/>
      <c r="C5" s="28" t="s">
        <v>39</v>
      </c>
      <c r="D5" s="29"/>
      <c r="E5" s="25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spans="1:35" x14ac:dyDescent="0.25">
      <c r="A6" s="23"/>
      <c r="B6" s="24"/>
      <c r="C6"/>
      <c r="D6"/>
      <c r="E6" s="25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x14ac:dyDescent="0.25">
      <c r="A7" s="23"/>
      <c r="B7" s="24"/>
      <c r="C7"/>
      <c r="D7"/>
      <c r="E7" s="25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</row>
    <row r="8" spans="1:35" x14ac:dyDescent="0.25">
      <c r="A8" s="23"/>
      <c r="B8" s="24"/>
      <c r="C8"/>
      <c r="D8"/>
      <c r="E8" s="2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</row>
    <row r="9" spans="1:35" x14ac:dyDescent="0.25">
      <c r="A9" s="23"/>
      <c r="B9" s="24"/>
      <c r="C9"/>
      <c r="D9"/>
      <c r="E9" s="25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</row>
    <row r="10" spans="1:35" x14ac:dyDescent="0.25">
      <c r="A10" s="23"/>
      <c r="B10" s="24"/>
      <c r="C10"/>
      <c r="D10"/>
      <c r="E10" s="25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</row>
    <row r="11" spans="1:35" x14ac:dyDescent="0.25">
      <c r="A11" s="23"/>
      <c r="B11" s="24"/>
      <c r="C11"/>
      <c r="D11"/>
      <c r="E11" s="25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</row>
    <row r="12" spans="1:35" x14ac:dyDescent="0.25">
      <c r="A12" s="23"/>
      <c r="B12" s="24"/>
      <c r="C12"/>
      <c r="D12"/>
      <c r="E12" s="2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x14ac:dyDescent="0.25">
      <c r="A13" s="23"/>
      <c r="B13" s="24"/>
      <c r="C13"/>
      <c r="D13"/>
      <c r="E13" s="25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x14ac:dyDescent="0.25">
      <c r="A14" s="23"/>
      <c r="B14" s="24"/>
      <c r="C14"/>
      <c r="D14"/>
      <c r="E14" s="25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x14ac:dyDescent="0.25">
      <c r="A15" s="23"/>
      <c r="B15" s="24"/>
      <c r="C15"/>
      <c r="D15"/>
      <c r="E15" s="25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x14ac:dyDescent="0.25">
      <c r="A16" s="23"/>
      <c r="B16" s="24"/>
      <c r="C16"/>
      <c r="D16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</row>
    <row r="17" spans="1:35" x14ac:dyDescent="0.25">
      <c r="A17" s="23"/>
      <c r="B17" s="24"/>
      <c r="C17"/>
      <c r="D17"/>
      <c r="E17" s="25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x14ac:dyDescent="0.25">
      <c r="A18" s="23"/>
      <c r="B18" s="24"/>
      <c r="C18"/>
      <c r="D18"/>
      <c r="E18" s="25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x14ac:dyDescent="0.25">
      <c r="A19" s="23"/>
      <c r="B19" s="24"/>
      <c r="C19"/>
      <c r="D19"/>
      <c r="E19" s="2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x14ac:dyDescent="0.25">
      <c r="A20" s="23"/>
      <c r="B20" s="24"/>
      <c r="C20"/>
      <c r="D20"/>
      <c r="E20" s="24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x14ac:dyDescent="0.25">
      <c r="A21" s="23"/>
      <c r="B21" s="24"/>
      <c r="C21"/>
      <c r="D21"/>
      <c r="E21" s="25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x14ac:dyDescent="0.25">
      <c r="A22" s="23"/>
      <c r="B22" s="24"/>
      <c r="C22"/>
      <c r="D22"/>
      <c r="E22" s="24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x14ac:dyDescent="0.25">
      <c r="A23" s="23"/>
      <c r="B23" s="24"/>
      <c r="C23"/>
      <c r="D23"/>
      <c r="E23" s="24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x14ac:dyDescent="0.25">
      <c r="A24" s="23"/>
      <c r="B24" s="24"/>
      <c r="C24"/>
      <c r="D24"/>
      <c r="E24" s="2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x14ac:dyDescent="0.25">
      <c r="A25" s="23"/>
      <c r="B25" s="24"/>
      <c r="C25"/>
      <c r="D25"/>
      <c r="E25" s="24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x14ac:dyDescent="0.25">
      <c r="A26" s="23"/>
      <c r="B26" s="24"/>
      <c r="C26" s="24"/>
      <c r="D26" s="24"/>
      <c r="E26" s="24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</row>
    <row r="29" spans="1:3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3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</row>
    <row r="37" spans="1:35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</row>
    <row r="42" spans="1:35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</row>
    <row r="43" spans="1:35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</row>
    <row r="46" spans="1:35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</row>
    <row r="47" spans="1:35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I5"/>
  <sheetViews>
    <sheetView tabSelected="1" zoomScale="70" zoomScaleNormal="7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6.28515625" style="27" customWidth="1"/>
    <col min="2" max="2" width="18.7109375" style="17" customWidth="1"/>
    <col min="3" max="3" width="24.140625" style="17" customWidth="1"/>
    <col min="4" max="4" width="29.7109375" style="18" customWidth="1"/>
    <col min="5" max="5" width="34.28515625" style="19" customWidth="1"/>
    <col min="6" max="6" width="23.140625" style="20" customWidth="1"/>
    <col min="7" max="7" width="24" style="17" customWidth="1"/>
    <col min="8" max="8" width="14.140625" style="21" customWidth="1"/>
    <col min="9" max="9" width="17.5703125" style="22" customWidth="1"/>
    <col min="10" max="16384" width="9.140625" style="27"/>
  </cols>
  <sheetData>
    <row r="1" spans="1:9" s="26" customFormat="1" ht="52.5" customHeight="1" x14ac:dyDescent="0.25">
      <c r="A1" s="30" t="s">
        <v>47</v>
      </c>
      <c r="B1" s="32" t="s">
        <v>1</v>
      </c>
      <c r="C1" s="32" t="s">
        <v>40</v>
      </c>
      <c r="D1" s="33" t="s">
        <v>41</v>
      </c>
      <c r="E1" s="33" t="s">
        <v>42</v>
      </c>
      <c r="F1" s="34" t="s">
        <v>43</v>
      </c>
      <c r="G1" s="33" t="s">
        <v>44</v>
      </c>
      <c r="H1" s="33" t="s">
        <v>45</v>
      </c>
      <c r="I1" s="33" t="s">
        <v>46</v>
      </c>
    </row>
    <row r="2" spans="1:9" x14ac:dyDescent="0.25">
      <c r="A2" s="31">
        <f>DADOS!B20</f>
        <v>3</v>
      </c>
      <c r="B2" s="11" t="s">
        <v>28</v>
      </c>
      <c r="C2" s="11" t="s">
        <v>53</v>
      </c>
      <c r="D2" s="13" t="s">
        <v>56</v>
      </c>
      <c r="E2" s="14" t="s">
        <v>59</v>
      </c>
      <c r="F2" s="15">
        <v>2000</v>
      </c>
      <c r="G2" s="11" t="s">
        <v>21</v>
      </c>
      <c r="H2" s="16">
        <v>242</v>
      </c>
      <c r="I2" s="12"/>
    </row>
    <row r="3" spans="1:9" x14ac:dyDescent="0.25">
      <c r="A3" s="31">
        <f>DADOS!B19</f>
        <v>2</v>
      </c>
      <c r="B3" s="11" t="s">
        <v>28</v>
      </c>
      <c r="C3" s="11" t="s">
        <v>52</v>
      </c>
      <c r="D3" s="13" t="s">
        <v>55</v>
      </c>
      <c r="E3" s="14" t="s">
        <v>58</v>
      </c>
      <c r="F3" s="15">
        <v>1500</v>
      </c>
      <c r="G3" s="11" t="s">
        <v>19</v>
      </c>
      <c r="H3" s="16">
        <v>242</v>
      </c>
      <c r="I3" s="12"/>
    </row>
    <row r="4" spans="1:9" x14ac:dyDescent="0.25">
      <c r="A4" s="31">
        <f>DADOS!B18</f>
        <v>1</v>
      </c>
      <c r="B4" s="11" t="s">
        <v>28</v>
      </c>
      <c r="C4" s="11" t="s">
        <v>51</v>
      </c>
      <c r="D4" s="13" t="s">
        <v>54</v>
      </c>
      <c r="E4" s="14" t="s">
        <v>57</v>
      </c>
      <c r="F4" s="15">
        <v>1000</v>
      </c>
      <c r="G4" s="11" t="s">
        <v>48</v>
      </c>
      <c r="H4" s="16">
        <v>242</v>
      </c>
      <c r="I4" s="12"/>
    </row>
    <row r="5" spans="1:9" x14ac:dyDescent="0.25">
      <c r="A5" s="31">
        <f>DADOS!B21</f>
        <v>4</v>
      </c>
      <c r="B5" s="11"/>
      <c r="C5" s="11"/>
      <c r="D5" s="13"/>
      <c r="E5" s="14"/>
      <c r="F5" s="15"/>
      <c r="G5" s="11"/>
      <c r="H5" s="16"/>
      <c r="I5" s="12"/>
    </row>
  </sheetData>
  <sheetProtection formatCells="0" formatColumns="0" formatRows="0" insertHyperlinks="0" sort="0" autoFilter="0" pivotTables="0"/>
  <protectedRanges>
    <protectedRange sqref="B2:I5" name="Intervalo1"/>
  </protectedRange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CC596A-8F6E-4002-8EE0-4DEF79BC6697}">
          <x14:formula1>
            <xm:f>DADOS!$C$2:$C$5</xm:f>
          </x14:formula1>
          <xm:sqref>H2:H5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2026-02-15T22:45:01Z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