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uzjunior\Downloads\"/>
    </mc:Choice>
  </mc:AlternateContent>
  <xr:revisionPtr revIDLastSave="0" documentId="13_ncr:1_{0D4C0423-1B47-4B26-B621-477B757FB09E}" xr6:coauthVersionLast="47" xr6:coauthVersionMax="47" xr10:uidLastSave="{00000000-0000-0000-0000-000000000000}"/>
  <bookViews>
    <workbookView xWindow="-120" yWindow="-120" windowWidth="29040" windowHeight="16440" firstSheet="4" activeTab="4" xr2:uid="{00000000-000D-0000-FFFF-FFFF00000000}"/>
  </bookViews>
  <sheets>
    <sheet name="MATERIAL" sheetId="2" state="hidden" r:id="rId1"/>
    <sheet name="RATEIO SIMULADOR" sheetId="5" state="hidden" r:id="rId2"/>
    <sheet name="OS ABERTAS" sheetId="7" state="hidden" r:id="rId3"/>
    <sheet name="Planilha1" sheetId="9" state="hidden" r:id="rId4"/>
    <sheet name="Turno A" sheetId="10" r:id="rId5"/>
  </sheets>
  <definedNames>
    <definedName name="_xlnm._FilterDatabase" localSheetId="0" hidden="1">MATERIAL!$B$1:$R$5</definedName>
    <definedName name="_xlnm._FilterDatabase" localSheetId="4" hidden="1">'Turno A'!$A$1:$BA$1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I25" i="2"/>
  <c r="I23" i="2"/>
  <c r="I22" i="2"/>
  <c r="I21" i="2"/>
  <c r="I20" i="2"/>
  <c r="I19" i="2"/>
  <c r="I18" i="2"/>
  <c r="I17" i="2"/>
  <c r="I16" i="2"/>
  <c r="I15" i="2"/>
  <c r="F9" i="5" l="1"/>
  <c r="D17" i="5"/>
  <c r="E3" i="5"/>
  <c r="I14" i="2"/>
  <c r="I13" i="2"/>
  <c r="I12" i="2"/>
  <c r="I11" i="2"/>
  <c r="I10" i="2"/>
  <c r="I9" i="2"/>
  <c r="I8" i="2"/>
  <c r="I7" i="2"/>
  <c r="I6" i="2"/>
  <c r="I5" i="2"/>
  <c r="I4" i="2"/>
  <c r="E4" i="5"/>
  <c r="E5" i="5"/>
  <c r="I3" i="2"/>
  <c r="I2" i="2"/>
  <c r="F11" i="5" l="1"/>
  <c r="F12" i="5"/>
  <c r="F13" i="5"/>
  <c r="F14" i="5"/>
  <c r="F15" i="5"/>
  <c r="F16" i="5"/>
  <c r="F10" i="5"/>
</calcChain>
</file>

<file path=xl/sharedStrings.xml><?xml version="1.0" encoding="utf-8"?>
<sst xmlns="http://schemas.openxmlformats.org/spreadsheetml/2006/main" count="356" uniqueCount="154">
  <si>
    <t>REQUISITANTE</t>
  </si>
  <si>
    <t>SOLICITANTE</t>
  </si>
  <si>
    <t>DATA DA REQ</t>
  </si>
  <si>
    <t>CÓDIGO DO MATERIAL</t>
  </si>
  <si>
    <t>DESCRIÇÃO DO MATERIAL</t>
  </si>
  <si>
    <t>QUANTIDADE</t>
  </si>
  <si>
    <t>CLASSIFICAÇÃO</t>
  </si>
  <si>
    <t>DATA DE ENTREGA</t>
  </si>
  <si>
    <t>OBSERVAÇÃO</t>
  </si>
  <si>
    <t>STATUS</t>
  </si>
  <si>
    <t>REQUISIÇÃO</t>
  </si>
  <si>
    <t>PEDIDO</t>
  </si>
  <si>
    <t xml:space="preserve">STATUS </t>
  </si>
  <si>
    <t>data de recebimento</t>
  </si>
  <si>
    <t>QTD PENDENTE</t>
  </si>
  <si>
    <t>NF</t>
  </si>
  <si>
    <t>CAMILA</t>
  </si>
  <si>
    <t>CRISTIANO</t>
  </si>
  <si>
    <t>Porta guarda chuva</t>
  </si>
  <si>
    <t>Entregue ao Marcelo 03/11</t>
  </si>
  <si>
    <t>ok recebido</t>
  </si>
  <si>
    <t>normal</t>
  </si>
  <si>
    <t>Guarda chuva</t>
  </si>
  <si>
    <t>urgente</t>
  </si>
  <si>
    <t>Bombom sonho de valsa</t>
  </si>
  <si>
    <t>retirado</t>
  </si>
  <si>
    <t>3 cópias de chave do banheiro do Aparecido</t>
  </si>
  <si>
    <t>Entregue ao almox 15/01</t>
  </si>
  <si>
    <t>retirado com nota fiscal de pagamento</t>
  </si>
  <si>
    <t>Garrafa térmica 1,8L</t>
  </si>
  <si>
    <t>Carimbo do Cristiano</t>
  </si>
  <si>
    <t>Entregue ao almox 08/01</t>
  </si>
  <si>
    <t>Cartucho magenta</t>
  </si>
  <si>
    <t>Cartucho azul</t>
  </si>
  <si>
    <t>Cartucho amarelo</t>
  </si>
  <si>
    <t>Cartucho preto</t>
  </si>
  <si>
    <t>Caderno de protocolo de entrega</t>
  </si>
  <si>
    <t>cancelado</t>
  </si>
  <si>
    <t>Filtro de água</t>
  </si>
  <si>
    <t>Não comprado</t>
  </si>
  <si>
    <t>Carimbo do Jeverson</t>
  </si>
  <si>
    <t>Carimbo do PCM</t>
  </si>
  <si>
    <t>Carimbo - SEMANAL</t>
  </si>
  <si>
    <t>Carimbo - QUINZENAL</t>
  </si>
  <si>
    <t>Carimbo - MENSAL</t>
  </si>
  <si>
    <t>Carimbo - ERIC</t>
  </si>
  <si>
    <t>Carimbo - RHUAN</t>
  </si>
  <si>
    <t>Carimbo - JOSÉ</t>
  </si>
  <si>
    <t>Placas de identificação do setor - vermelho</t>
  </si>
  <si>
    <t xml:space="preserve">Placas de identificação do setor - branco </t>
  </si>
  <si>
    <t>TAYANE</t>
  </si>
  <si>
    <t xml:space="preserve">Lixeira de pedal branca 30 litros </t>
  </si>
  <si>
    <t>Carimbo - William Giacomolli</t>
  </si>
  <si>
    <t>Mouse sem fio</t>
  </si>
  <si>
    <t>Escaninho acrílico de mesa c/ 3 divisórias.
1 KARINE - 1 RHUAN - 1 JOSÉ - 1 APRENDIZ - 1 FRANCIS</t>
  </si>
  <si>
    <t>JEFERSON</t>
  </si>
  <si>
    <t>GARRAFA TERMICA 2L</t>
  </si>
  <si>
    <t>LIVRO ATA 100 FOLHAS NUMERADAS</t>
  </si>
  <si>
    <t>compra por parceria</t>
  </si>
  <si>
    <t>ERIC</t>
  </si>
  <si>
    <t>Carimbo - ERIC encarregado de manutenção</t>
  </si>
  <si>
    <t>nf substituida pela 1418</t>
  </si>
  <si>
    <t xml:space="preserve">34% - 2461, Preparo Embutimento
33% - 2224, Espostejamento
33% - 2267, Prepara Massa
</t>
  </si>
  <si>
    <t>29% abate 2488
15 % ete 1228
15 % FFO 2330
15 %4588
15% 2267
10% 2224
1% - 2216</t>
  </si>
  <si>
    <t xml:space="preserve">NOME </t>
  </si>
  <si>
    <t xml:space="preserve">NUMERO DA ORDEM </t>
  </si>
  <si>
    <t xml:space="preserve">OBSERVAÇÃO </t>
  </si>
  <si>
    <t>AGUINALDO</t>
  </si>
  <si>
    <t>CONFIRMAR COM REQUISITANTE - PENDENTE</t>
  </si>
  <si>
    <t xml:space="preserve">AGNES </t>
  </si>
  <si>
    <t>AOS ABERTA DUPLICADA DA AOS 2993</t>
  </si>
  <si>
    <t>BRUNO</t>
  </si>
  <si>
    <t>DIONE</t>
  </si>
  <si>
    <t>GIOVANA</t>
  </si>
  <si>
    <t xml:space="preserve">ROQUE SANTOS </t>
  </si>
  <si>
    <t>MARIANA FATIMA</t>
  </si>
  <si>
    <t>WILLIAM GARCIA</t>
  </si>
  <si>
    <t>WILLIAM GIACOMOLLI</t>
  </si>
  <si>
    <t>COLABORADORES</t>
  </si>
  <si>
    <t>TREINAMENTO</t>
  </si>
  <si>
    <t>DATA</t>
  </si>
  <si>
    <t>HORÁRIO</t>
  </si>
  <si>
    <t>LOCAL</t>
  </si>
  <si>
    <t>EDNEI</t>
  </si>
  <si>
    <t>AURORA E VOCE</t>
  </si>
  <si>
    <t>08:00/10:30</t>
  </si>
  <si>
    <t>AUDITÓRIO</t>
  </si>
  <si>
    <t>LUAN</t>
  </si>
  <si>
    <t>21:00/23:30</t>
  </si>
  <si>
    <t>LUCAS OLIVEIRA</t>
  </si>
  <si>
    <t>LUCAS VINICIUS</t>
  </si>
  <si>
    <t>aguardar novas datas</t>
  </si>
  <si>
    <t>SANDRO</t>
  </si>
  <si>
    <t>AGENOR</t>
  </si>
  <si>
    <t>NR36</t>
  </si>
  <si>
    <t>08:00/10:00</t>
  </si>
  <si>
    <t>MANUTENÇÃO</t>
  </si>
  <si>
    <t>DARILDO</t>
  </si>
  <si>
    <t>FABIO</t>
  </si>
  <si>
    <t>21/00:23:00</t>
  </si>
  <si>
    <t>FELIPE</t>
  </si>
  <si>
    <t>GILBERTO</t>
  </si>
  <si>
    <t>JOCIEL</t>
  </si>
  <si>
    <t>JOHNNY</t>
  </si>
  <si>
    <t>21:00/23:00</t>
  </si>
  <si>
    <t>REBERTI</t>
  </si>
  <si>
    <t>ROBSON</t>
  </si>
  <si>
    <t>DESCRIÇÃO DO SERVIÇO</t>
  </si>
  <si>
    <t>VALOR TOTAL</t>
  </si>
  <si>
    <t>PREVISÃO P/ EXECUÇÃO</t>
  </si>
  <si>
    <t>USO CONTÁBIL</t>
  </si>
  <si>
    <t>SERVIÇO CONCLUÍDO</t>
  </si>
  <si>
    <t>NF DE SERVIÇO RECEBIDA</t>
  </si>
  <si>
    <t xml:space="preserve">NF ENVIADA PARA LANÇAMENTO </t>
  </si>
  <si>
    <t>CLEITON</t>
  </si>
  <si>
    <t>MULT-TEC</t>
  </si>
  <si>
    <t>Status</t>
  </si>
  <si>
    <t>USO CONTABIL</t>
  </si>
  <si>
    <t>Mês</t>
  </si>
  <si>
    <t xml:space="preserve">REVISAO DAS PLACAS DA BASE DA R535 DA PRESUNTARIA </t>
  </si>
  <si>
    <t>SIM</t>
  </si>
  <si>
    <t xml:space="preserve">NF Lançada </t>
  </si>
  <si>
    <t xml:space="preserve">SIM </t>
  </si>
  <si>
    <t xml:space="preserve">NF Não Lançada </t>
  </si>
  <si>
    <t>NÃO</t>
  </si>
  <si>
    <t>INDEFINIDO</t>
  </si>
  <si>
    <t>-</t>
  </si>
  <si>
    <t>DEZEMBRO / 2025</t>
  </si>
  <si>
    <t>JANEIRO / 2026</t>
  </si>
  <si>
    <t>FEVEREIRO / 2026</t>
  </si>
  <si>
    <t>MARÇO / 2026</t>
  </si>
  <si>
    <t>ABRIL / 2026</t>
  </si>
  <si>
    <t>MAIO / 2026</t>
  </si>
  <si>
    <t>JUNHO / 2026</t>
  </si>
  <si>
    <t>JULHO / 2026</t>
  </si>
  <si>
    <t>AGOSTO / 2026</t>
  </si>
  <si>
    <t>SETEMBRO / 2026</t>
  </si>
  <si>
    <t>OUTUBRO / 2026</t>
  </si>
  <si>
    <t>NOVEMBRO / 2026</t>
  </si>
  <si>
    <t>DEZEMBRO / 2026</t>
  </si>
  <si>
    <t>SEM PREVISÃO</t>
  </si>
  <si>
    <t>FORNECEDOR
NOME FANTASIA</t>
  </si>
  <si>
    <t>FORNECEDOR
CNPJ</t>
  </si>
  <si>
    <t>NÚMERO DA NF</t>
  </si>
  <si>
    <t>ORDEM DE SERVIÇO</t>
  </si>
  <si>
    <t>DATA DE ABERTURA DA REQUISIÇÃO</t>
  </si>
  <si>
    <t>NÚEMRO DA REQUISIÇÃO DE COMPRA</t>
  </si>
  <si>
    <t>NÚMERO DO PEDIDO DE COMPRA</t>
  </si>
  <si>
    <t>OBRAS / PROJETO</t>
  </si>
  <si>
    <t xml:space="preserve">SETOR </t>
  </si>
  <si>
    <t>PCM</t>
  </si>
  <si>
    <t>ELETROMOTOR</t>
  </si>
  <si>
    <t>76174911/0001-05</t>
  </si>
  <si>
    <t>MOTOREDUTOR DA FATIADORA MANUAL DE BISTECA OS 95974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</si>
</sst>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6" borderId="0" applyNumberFormat="0" applyBorder="0" applyAlignment="0" applyProtection="0"/>
    <xf numFmtId="0" fontId="4" fillId="0" borderId="0" applyNumberFormat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5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1" fillId="6" borderId="0" xfId="1"/>
    <xf numFmtId="0" fontId="5" fillId="0" borderId="1" xfId="0" applyFont="1" applyBorder="1" applyAlignment="1">
      <alignment horizontal="center" vertical="center" wrapText="1"/>
    </xf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0" fillId="0" borderId="10" xfId="0" applyNumberFormat="1" applyBorder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 wrapText="1"/>
    </xf>
    <xf numFmtId="17" fontId="6" fillId="5" borderId="1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0" fillId="0" borderId="11" xfId="0" applyBorder="1"/>
    <xf numFmtId="49" fontId="8" fillId="0" borderId="1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164" fontId="9" fillId="7" borderId="11" xfId="0" applyNumberFormat="1" applyFont="1" applyFill="1" applyBorder="1" applyAlignment="1">
      <alignment horizontal="center" vertical="center" wrapText="1"/>
    </xf>
    <xf numFmtId="14" fontId="9" fillId="7" borderId="1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" fontId="0" fillId="0" borderId="11" xfId="0" applyNumberFormat="1" applyBorder="1"/>
  </cellXfs>
  <cellStyles count="3">
    <cellStyle name="60% - Ênfase1" xfId="1" builtinId="32"/>
    <cellStyle name="Normal" xfId="0" builtinId="0"/>
    <cellStyle name="normal 2" xfId="2" xr:uid="{00000000-0005-0000-0000-000002000000}"/>
  </cellStyles>
  <dxfs count="4">
    <dxf>
      <font>
        <color rgb="FF9C0006"/>
      </font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65"/>
  <sheetViews>
    <sheetView showGridLines="0" workbookViewId="0">
      <selection activeCell="F2" sqref="F2:F14"/>
    </sheetView>
  </sheetViews>
  <sheetFormatPr defaultRowHeight="15" x14ac:dyDescent="0.25"/>
  <cols>
    <col min="1" max="1" width="9.140625" style="2"/>
    <col min="2" max="2" width="14.42578125" style="2" bestFit="1" customWidth="1"/>
    <col min="3" max="3" width="12.42578125" style="2" customWidth="1"/>
    <col min="4" max="4" width="17.5703125" style="2" customWidth="1"/>
    <col min="5" max="5" width="21.140625" style="2" bestFit="1" customWidth="1"/>
    <col min="6" max="6" width="62.42578125" style="10" customWidth="1"/>
    <col min="7" max="7" width="13.28515625" style="2" bestFit="1" customWidth="1"/>
    <col min="8" max="8" width="14.7109375" style="2" bestFit="1" customWidth="1"/>
    <col min="9" max="9" width="14.7109375" style="2" customWidth="1"/>
    <col min="10" max="10" width="17.85546875" style="2" hidden="1" customWidth="1"/>
    <col min="11" max="11" width="30.42578125" style="2" hidden="1" customWidth="1"/>
    <col min="12" max="12" width="31" style="2" hidden="1" customWidth="1"/>
    <col min="13" max="13" width="14.7109375" style="2" customWidth="1"/>
    <col min="14" max="14" width="12.140625" style="2" customWidth="1"/>
    <col min="15" max="15" width="15.5703125" style="2" customWidth="1"/>
    <col min="16" max="16" width="14.140625" style="2" bestFit="1" customWidth="1"/>
    <col min="17" max="17" width="15" style="2" bestFit="1" customWidth="1"/>
    <col min="18" max="18" width="0" style="2" hidden="1" customWidth="1"/>
    <col min="20" max="21" width="0" hidden="1" customWidth="1"/>
    <col min="22" max="22" width="3.5703125" customWidth="1"/>
    <col min="23" max="23" width="35.7109375" bestFit="1" customWidth="1"/>
  </cols>
  <sheetData>
    <row r="1" spans="1:23" s="1" customFormat="1" ht="35.25" customHeight="1" x14ac:dyDescent="0.25">
      <c r="A1" s="11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39" t="s">
        <v>6</v>
      </c>
      <c r="I1" s="39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V1" s="40" t="s">
        <v>6</v>
      </c>
      <c r="W1" s="41"/>
    </row>
    <row r="2" spans="1:23" x14ac:dyDescent="0.25">
      <c r="B2" s="3" t="s">
        <v>16</v>
      </c>
      <c r="C2" s="3" t="s">
        <v>17</v>
      </c>
      <c r="D2" s="4">
        <v>45233</v>
      </c>
      <c r="E2" s="3">
        <v>58140</v>
      </c>
      <c r="F2" s="9" t="s">
        <v>18</v>
      </c>
      <c r="G2" s="3">
        <v>1</v>
      </c>
      <c r="H2" s="3">
        <v>1</v>
      </c>
      <c r="I2" s="3" t="str">
        <f t="shared" ref="I2:I25" si="0">_xlfn.XLOOKUP(H2,V:V,W:W,0)</f>
        <v>normal</v>
      </c>
      <c r="J2" s="4"/>
      <c r="K2" s="3"/>
      <c r="L2" s="25" t="s">
        <v>19</v>
      </c>
      <c r="M2" s="3">
        <v>3544427</v>
      </c>
      <c r="N2" s="3">
        <v>3709855</v>
      </c>
      <c r="O2" s="3" t="s">
        <v>20</v>
      </c>
      <c r="P2" s="17">
        <v>45271</v>
      </c>
      <c r="Q2" s="3">
        <v>0</v>
      </c>
      <c r="R2" s="3"/>
      <c r="V2" s="7">
        <v>1</v>
      </c>
      <c r="W2" s="5" t="s">
        <v>21</v>
      </c>
    </row>
    <row r="3" spans="1:23" x14ac:dyDescent="0.25">
      <c r="B3" s="3" t="s">
        <v>16</v>
      </c>
      <c r="C3" s="3" t="s">
        <v>17</v>
      </c>
      <c r="D3" s="4">
        <v>45233</v>
      </c>
      <c r="E3" s="3">
        <v>49960</v>
      </c>
      <c r="F3" s="9" t="s">
        <v>22</v>
      </c>
      <c r="G3" s="3">
        <v>3</v>
      </c>
      <c r="H3" s="3">
        <v>1</v>
      </c>
      <c r="I3" s="3" t="str">
        <f t="shared" si="0"/>
        <v>normal</v>
      </c>
      <c r="J3" s="3"/>
      <c r="K3" s="3"/>
      <c r="L3" s="25" t="s">
        <v>19</v>
      </c>
      <c r="M3" s="3">
        <v>3544427</v>
      </c>
      <c r="N3" s="3">
        <v>3696132</v>
      </c>
      <c r="O3" s="3" t="s">
        <v>20</v>
      </c>
      <c r="P3" s="17">
        <v>45271</v>
      </c>
      <c r="Q3" s="3">
        <v>0</v>
      </c>
      <c r="R3" s="3"/>
      <c r="V3" s="7">
        <v>2</v>
      </c>
      <c r="W3" s="5" t="s">
        <v>23</v>
      </c>
    </row>
    <row r="4" spans="1:23" x14ac:dyDescent="0.25">
      <c r="B4" s="3" t="s">
        <v>16</v>
      </c>
      <c r="C4" s="3" t="s">
        <v>17</v>
      </c>
      <c r="D4" s="4">
        <v>45233</v>
      </c>
      <c r="E4" s="3">
        <v>34372</v>
      </c>
      <c r="F4" s="9" t="s">
        <v>24</v>
      </c>
      <c r="G4" s="3">
        <v>2</v>
      </c>
      <c r="H4" s="3">
        <v>1</v>
      </c>
      <c r="I4" s="3" t="str">
        <f t="shared" si="0"/>
        <v>normal</v>
      </c>
      <c r="J4" s="3"/>
      <c r="K4" s="3"/>
      <c r="L4" s="25" t="s">
        <v>19</v>
      </c>
      <c r="M4" s="3">
        <v>3544427</v>
      </c>
      <c r="N4" s="3">
        <v>3709850</v>
      </c>
      <c r="O4" s="3" t="s">
        <v>20</v>
      </c>
      <c r="P4" s="17">
        <v>45273</v>
      </c>
      <c r="Q4" s="3">
        <v>0</v>
      </c>
      <c r="R4" s="3"/>
      <c r="V4" s="7">
        <v>5</v>
      </c>
      <c r="W4" s="5" t="s">
        <v>25</v>
      </c>
    </row>
    <row r="5" spans="1:23" x14ac:dyDescent="0.25">
      <c r="B5" s="3" t="s">
        <v>16</v>
      </c>
      <c r="C5" s="3" t="s">
        <v>16</v>
      </c>
      <c r="D5" s="4">
        <v>45306</v>
      </c>
      <c r="E5" s="3">
        <v>29272</v>
      </c>
      <c r="F5" s="9" t="s">
        <v>26</v>
      </c>
      <c r="G5" s="3">
        <v>3</v>
      </c>
      <c r="H5" s="3">
        <v>1</v>
      </c>
      <c r="I5" s="3" t="str">
        <f t="shared" si="0"/>
        <v>normal</v>
      </c>
      <c r="J5" s="4"/>
      <c r="K5" s="3"/>
      <c r="L5" s="25" t="s">
        <v>27</v>
      </c>
      <c r="M5" s="3"/>
      <c r="N5" s="3"/>
      <c r="O5" s="3" t="s">
        <v>20</v>
      </c>
      <c r="P5" s="17">
        <v>45314</v>
      </c>
      <c r="Q5" s="3">
        <v>0</v>
      </c>
      <c r="R5" s="3"/>
      <c r="V5" s="8">
        <v>8</v>
      </c>
      <c r="W5" s="6" t="s">
        <v>28</v>
      </c>
    </row>
    <row r="6" spans="1:23" x14ac:dyDescent="0.25">
      <c r="B6" s="3" t="s">
        <v>16</v>
      </c>
      <c r="C6" s="3" t="s">
        <v>16</v>
      </c>
      <c r="D6" s="4">
        <v>45306</v>
      </c>
      <c r="E6" s="3">
        <v>60107</v>
      </c>
      <c r="F6" s="9" t="s">
        <v>29</v>
      </c>
      <c r="G6" s="3">
        <v>1</v>
      </c>
      <c r="H6" s="3">
        <v>1</v>
      </c>
      <c r="I6" s="3" t="str">
        <f t="shared" si="0"/>
        <v>normal</v>
      </c>
      <c r="J6" s="3"/>
      <c r="K6" s="3"/>
      <c r="L6" s="25" t="s">
        <v>27</v>
      </c>
      <c r="M6" s="3">
        <v>3612422</v>
      </c>
      <c r="N6" s="3">
        <v>3758569</v>
      </c>
      <c r="O6" s="3" t="s">
        <v>20</v>
      </c>
      <c r="P6" s="17">
        <v>45309</v>
      </c>
      <c r="Q6" s="3">
        <v>0</v>
      </c>
      <c r="R6" s="3"/>
    </row>
    <row r="7" spans="1:23" x14ac:dyDescent="0.25">
      <c r="B7" s="3" t="s">
        <v>16</v>
      </c>
      <c r="C7" s="3" t="s">
        <v>16</v>
      </c>
      <c r="D7" s="4">
        <v>45299</v>
      </c>
      <c r="E7" s="3">
        <v>59963</v>
      </c>
      <c r="F7" s="9" t="s">
        <v>30</v>
      </c>
      <c r="G7" s="3">
        <v>1</v>
      </c>
      <c r="H7" s="3">
        <v>1</v>
      </c>
      <c r="I7" s="3" t="str">
        <f t="shared" si="0"/>
        <v>normal</v>
      </c>
      <c r="J7" s="3"/>
      <c r="K7" s="3"/>
      <c r="L7" s="25" t="s">
        <v>31</v>
      </c>
      <c r="M7" s="3"/>
      <c r="N7" s="3"/>
      <c r="O7" s="3" t="s">
        <v>20</v>
      </c>
      <c r="P7" s="17">
        <v>45323</v>
      </c>
      <c r="Q7" s="3">
        <v>0</v>
      </c>
      <c r="R7" s="3"/>
    </row>
    <row r="8" spans="1:23" x14ac:dyDescent="0.25">
      <c r="A8" s="2">
        <v>239</v>
      </c>
      <c r="B8" s="3" t="s">
        <v>16</v>
      </c>
      <c r="C8" s="3" t="s">
        <v>16</v>
      </c>
      <c r="D8" s="4">
        <v>45349</v>
      </c>
      <c r="E8" s="3">
        <v>50215</v>
      </c>
      <c r="F8" s="9" t="s">
        <v>32</v>
      </c>
      <c r="G8" s="3">
        <v>3</v>
      </c>
      <c r="H8" s="3">
        <v>1</v>
      </c>
      <c r="I8" s="3" t="str">
        <f t="shared" si="0"/>
        <v>normal</v>
      </c>
      <c r="J8" s="3"/>
      <c r="K8" s="3"/>
      <c r="L8" s="3"/>
      <c r="M8" s="3"/>
      <c r="N8" s="3"/>
      <c r="O8" s="3" t="s">
        <v>20</v>
      </c>
      <c r="P8" s="17">
        <v>45349</v>
      </c>
      <c r="Q8" s="3">
        <v>0</v>
      </c>
      <c r="R8" s="3"/>
    </row>
    <row r="9" spans="1:23" x14ac:dyDescent="0.25">
      <c r="A9" s="2">
        <v>239</v>
      </c>
      <c r="B9" s="3" t="s">
        <v>16</v>
      </c>
      <c r="C9" s="3" t="s">
        <v>16</v>
      </c>
      <c r="D9" s="4">
        <v>45349</v>
      </c>
      <c r="E9" s="3">
        <v>50097</v>
      </c>
      <c r="F9" s="9" t="s">
        <v>33</v>
      </c>
      <c r="G9" s="3">
        <v>3</v>
      </c>
      <c r="H9" s="3">
        <v>1</v>
      </c>
      <c r="I9" s="3" t="str">
        <f t="shared" si="0"/>
        <v>normal</v>
      </c>
      <c r="J9" s="3"/>
      <c r="K9" s="3"/>
      <c r="L9" s="3"/>
      <c r="M9" s="3"/>
      <c r="N9" s="3"/>
      <c r="O9" s="3" t="s">
        <v>20</v>
      </c>
      <c r="P9" s="17">
        <v>45349</v>
      </c>
      <c r="Q9" s="3">
        <v>0</v>
      </c>
      <c r="R9" s="3"/>
    </row>
    <row r="10" spans="1:23" x14ac:dyDescent="0.25">
      <c r="A10" s="2">
        <v>239</v>
      </c>
      <c r="B10" s="3" t="s">
        <v>16</v>
      </c>
      <c r="C10" s="3" t="s">
        <v>16</v>
      </c>
      <c r="D10" s="4">
        <v>45349</v>
      </c>
      <c r="E10" s="3">
        <v>129507</v>
      </c>
      <c r="F10" s="9" t="s">
        <v>34</v>
      </c>
      <c r="G10" s="3">
        <v>3</v>
      </c>
      <c r="H10" s="3">
        <v>1</v>
      </c>
      <c r="I10" s="3" t="str">
        <f t="shared" si="0"/>
        <v>normal</v>
      </c>
      <c r="J10" s="3"/>
      <c r="K10" s="3"/>
      <c r="L10" s="3"/>
      <c r="M10" s="3"/>
      <c r="N10" s="3"/>
      <c r="O10" s="3" t="s">
        <v>20</v>
      </c>
      <c r="P10" s="17">
        <v>45349</v>
      </c>
      <c r="Q10" s="3">
        <v>0</v>
      </c>
      <c r="R10" s="3"/>
    </row>
    <row r="11" spans="1:23" x14ac:dyDescent="0.25">
      <c r="A11" s="2">
        <v>532</v>
      </c>
      <c r="B11" s="3" t="s">
        <v>16</v>
      </c>
      <c r="C11" s="3" t="s">
        <v>16</v>
      </c>
      <c r="D11" s="4">
        <v>45349</v>
      </c>
      <c r="E11" s="3">
        <v>132832</v>
      </c>
      <c r="F11" s="9" t="s">
        <v>35</v>
      </c>
      <c r="G11" s="3">
        <v>3</v>
      </c>
      <c r="H11" s="3">
        <v>1</v>
      </c>
      <c r="I11" s="3" t="str">
        <f t="shared" si="0"/>
        <v>normal</v>
      </c>
      <c r="J11" s="3"/>
      <c r="K11" s="3"/>
      <c r="L11" s="3"/>
      <c r="M11" s="3"/>
      <c r="N11" s="3"/>
      <c r="O11" s="3" t="s">
        <v>20</v>
      </c>
      <c r="P11" s="17">
        <v>45349</v>
      </c>
      <c r="Q11" s="3">
        <v>0</v>
      </c>
      <c r="R11" s="3"/>
    </row>
    <row r="12" spans="1:23" x14ac:dyDescent="0.25">
      <c r="B12" s="3" t="s">
        <v>16</v>
      </c>
      <c r="C12" s="3" t="s">
        <v>16</v>
      </c>
      <c r="D12" s="17">
        <v>45393</v>
      </c>
      <c r="E12" s="3">
        <v>60107</v>
      </c>
      <c r="F12" s="9" t="s">
        <v>29</v>
      </c>
      <c r="G12" s="3">
        <v>1</v>
      </c>
      <c r="H12" s="3">
        <v>1</v>
      </c>
      <c r="I12" s="3" t="str">
        <f t="shared" si="0"/>
        <v>normal</v>
      </c>
      <c r="J12" s="3"/>
      <c r="K12" s="3"/>
      <c r="L12" s="3"/>
      <c r="M12" s="3">
        <v>3696712</v>
      </c>
      <c r="N12" s="3">
        <v>3839480</v>
      </c>
      <c r="O12" s="3" t="s">
        <v>20</v>
      </c>
      <c r="P12" s="17">
        <v>45393</v>
      </c>
      <c r="Q12" s="3">
        <v>0</v>
      </c>
      <c r="R12" s="3"/>
    </row>
    <row r="13" spans="1:23" x14ac:dyDescent="0.25">
      <c r="B13" s="3" t="s">
        <v>16</v>
      </c>
      <c r="C13" s="3" t="s">
        <v>16</v>
      </c>
      <c r="D13" s="17">
        <v>45404</v>
      </c>
      <c r="E13" s="3">
        <v>111184</v>
      </c>
      <c r="F13" s="9" t="s">
        <v>36</v>
      </c>
      <c r="G13" s="3">
        <v>1</v>
      </c>
      <c r="H13" s="3">
        <v>1</v>
      </c>
      <c r="I13" s="3" t="str">
        <f t="shared" si="0"/>
        <v>normal</v>
      </c>
      <c r="J13" s="3"/>
      <c r="K13" s="3"/>
      <c r="L13" s="3"/>
      <c r="M13" s="3">
        <v>3715837</v>
      </c>
      <c r="N13" s="3">
        <v>3855828</v>
      </c>
      <c r="O13" s="3" t="s">
        <v>37</v>
      </c>
      <c r="P13" s="3"/>
      <c r="Q13" s="3"/>
      <c r="R13" s="3"/>
    </row>
    <row r="14" spans="1:23" x14ac:dyDescent="0.25">
      <c r="B14" s="3" t="s">
        <v>16</v>
      </c>
      <c r="C14" s="3" t="s">
        <v>16</v>
      </c>
      <c r="D14" s="4">
        <v>45407</v>
      </c>
      <c r="E14" s="3">
        <v>113985</v>
      </c>
      <c r="F14" s="9" t="s">
        <v>38</v>
      </c>
      <c r="G14" s="3">
        <v>2</v>
      </c>
      <c r="H14" s="3">
        <v>1</v>
      </c>
      <c r="I14" s="3" t="str">
        <f t="shared" si="0"/>
        <v>normal</v>
      </c>
      <c r="J14" s="3"/>
      <c r="K14" s="3"/>
      <c r="L14" s="3" t="s">
        <v>39</v>
      </c>
      <c r="M14" s="3"/>
      <c r="N14" s="3"/>
      <c r="O14" s="3" t="s">
        <v>37</v>
      </c>
      <c r="P14" s="3"/>
      <c r="Q14" s="3"/>
      <c r="R14" s="3"/>
    </row>
    <row r="15" spans="1:23" x14ac:dyDescent="0.25">
      <c r="B15" s="3" t="s">
        <v>16</v>
      </c>
      <c r="C15" s="3" t="s">
        <v>16</v>
      </c>
      <c r="D15" s="4">
        <v>45622</v>
      </c>
      <c r="E15" s="3">
        <v>59963</v>
      </c>
      <c r="F15" s="9" t="s">
        <v>40</v>
      </c>
      <c r="G15" s="3">
        <v>1</v>
      </c>
      <c r="H15" s="3">
        <v>1</v>
      </c>
      <c r="I15" s="3" t="str">
        <f t="shared" si="0"/>
        <v>normal</v>
      </c>
      <c r="J15" s="3"/>
      <c r="K15" s="3"/>
      <c r="L15" s="3"/>
      <c r="M15" s="3">
        <v>3942595</v>
      </c>
      <c r="N15" s="3">
        <v>3869639</v>
      </c>
      <c r="O15" s="3" t="s">
        <v>20</v>
      </c>
      <c r="P15" s="17">
        <v>45630</v>
      </c>
      <c r="Q15" s="3">
        <v>0</v>
      </c>
      <c r="R15" s="3"/>
    </row>
    <row r="16" spans="1:23" x14ac:dyDescent="0.25">
      <c r="B16" s="3" t="s">
        <v>16</v>
      </c>
      <c r="C16" s="3" t="s">
        <v>16</v>
      </c>
      <c r="D16" s="4">
        <v>45622</v>
      </c>
      <c r="E16" s="3">
        <v>59963</v>
      </c>
      <c r="F16" s="9" t="s">
        <v>41</v>
      </c>
      <c r="G16" s="3">
        <v>1</v>
      </c>
      <c r="H16" s="3">
        <v>1</v>
      </c>
      <c r="I16" s="3" t="str">
        <f t="shared" si="0"/>
        <v>normal</v>
      </c>
      <c r="J16" s="3"/>
      <c r="K16" s="3"/>
      <c r="L16" s="3"/>
      <c r="M16" s="3">
        <v>3942595</v>
      </c>
      <c r="N16" s="3">
        <v>3869639</v>
      </c>
      <c r="O16" s="3" t="s">
        <v>20</v>
      </c>
      <c r="P16" s="17">
        <v>45630</v>
      </c>
      <c r="Q16" s="3">
        <v>0</v>
      </c>
      <c r="R16" s="3"/>
    </row>
    <row r="17" spans="2:18" x14ac:dyDescent="0.25">
      <c r="B17" s="3" t="s">
        <v>16</v>
      </c>
      <c r="C17" s="3" t="s">
        <v>16</v>
      </c>
      <c r="D17" s="4">
        <v>45639</v>
      </c>
      <c r="E17" s="3">
        <v>59963</v>
      </c>
      <c r="F17" s="9" t="s">
        <v>42</v>
      </c>
      <c r="G17" s="3">
        <v>1</v>
      </c>
      <c r="H17" s="3">
        <v>1</v>
      </c>
      <c r="I17" s="3" t="str">
        <f t="shared" si="0"/>
        <v>normal</v>
      </c>
      <c r="J17" s="3"/>
      <c r="K17" s="3"/>
      <c r="L17" s="3"/>
      <c r="M17" s="3">
        <v>3966743</v>
      </c>
      <c r="N17" s="3">
        <v>4103620</v>
      </c>
      <c r="O17" s="3" t="s">
        <v>20</v>
      </c>
      <c r="P17" s="17">
        <v>45671</v>
      </c>
      <c r="Q17" s="3">
        <v>0</v>
      </c>
      <c r="R17" s="3"/>
    </row>
    <row r="18" spans="2:18" x14ac:dyDescent="0.25">
      <c r="B18" s="3" t="s">
        <v>16</v>
      </c>
      <c r="C18" s="3" t="s">
        <v>16</v>
      </c>
      <c r="D18" s="4">
        <v>45639</v>
      </c>
      <c r="E18" s="3">
        <v>59963</v>
      </c>
      <c r="F18" s="9" t="s">
        <v>43</v>
      </c>
      <c r="G18" s="3">
        <v>1</v>
      </c>
      <c r="H18" s="3">
        <v>1</v>
      </c>
      <c r="I18" s="3" t="str">
        <f t="shared" si="0"/>
        <v>normal</v>
      </c>
      <c r="J18" s="3"/>
      <c r="K18" s="3"/>
      <c r="L18" s="3"/>
      <c r="M18" s="3">
        <v>3966743</v>
      </c>
      <c r="N18" s="3">
        <v>4103620</v>
      </c>
      <c r="O18" s="3" t="s">
        <v>20</v>
      </c>
      <c r="P18" s="17">
        <v>45671</v>
      </c>
      <c r="Q18" s="3">
        <v>0</v>
      </c>
      <c r="R18" s="3"/>
    </row>
    <row r="19" spans="2:18" x14ac:dyDescent="0.25">
      <c r="B19" s="3" t="s">
        <v>16</v>
      </c>
      <c r="C19" s="3" t="s">
        <v>16</v>
      </c>
      <c r="D19" s="4">
        <v>45666</v>
      </c>
      <c r="E19" s="3">
        <v>59963</v>
      </c>
      <c r="F19" s="9" t="s">
        <v>44</v>
      </c>
      <c r="G19" s="3">
        <v>1</v>
      </c>
      <c r="H19" s="3">
        <v>1</v>
      </c>
      <c r="I19" s="3" t="str">
        <f t="shared" si="0"/>
        <v>normal</v>
      </c>
      <c r="J19" s="3"/>
      <c r="K19" s="3"/>
      <c r="L19" s="3"/>
      <c r="M19" s="27"/>
      <c r="N19" s="27"/>
      <c r="O19" s="3" t="s">
        <v>20</v>
      </c>
      <c r="P19" s="17">
        <v>45700</v>
      </c>
      <c r="Q19" s="3">
        <v>0</v>
      </c>
      <c r="R19" s="3"/>
    </row>
    <row r="20" spans="2:18" x14ac:dyDescent="0.25">
      <c r="B20" s="3" t="s">
        <v>16</v>
      </c>
      <c r="C20" s="3" t="s">
        <v>16</v>
      </c>
      <c r="D20" s="4">
        <v>45666</v>
      </c>
      <c r="E20" s="3">
        <v>59963</v>
      </c>
      <c r="F20" s="9" t="s">
        <v>45</v>
      </c>
      <c r="G20" s="3">
        <v>1</v>
      </c>
      <c r="H20" s="3">
        <v>1</v>
      </c>
      <c r="I20" s="3" t="str">
        <f t="shared" si="0"/>
        <v>normal</v>
      </c>
      <c r="J20" s="3"/>
      <c r="K20" s="3"/>
      <c r="L20" s="3"/>
      <c r="M20" s="27"/>
      <c r="N20" s="27"/>
      <c r="O20" s="3" t="s">
        <v>20</v>
      </c>
      <c r="P20" s="17">
        <v>45700</v>
      </c>
      <c r="Q20" s="3">
        <v>0</v>
      </c>
      <c r="R20" s="3"/>
    </row>
    <row r="21" spans="2:18" x14ac:dyDescent="0.25">
      <c r="B21" s="3" t="s">
        <v>16</v>
      </c>
      <c r="C21" s="3" t="s">
        <v>16</v>
      </c>
      <c r="D21" s="4">
        <v>45666</v>
      </c>
      <c r="E21" s="3">
        <v>59963</v>
      </c>
      <c r="F21" s="9" t="s">
        <v>46</v>
      </c>
      <c r="G21" s="3">
        <v>1</v>
      </c>
      <c r="H21" s="3">
        <v>1</v>
      </c>
      <c r="I21" s="3" t="str">
        <f t="shared" si="0"/>
        <v>normal</v>
      </c>
      <c r="J21" s="3"/>
      <c r="K21" s="3"/>
      <c r="L21" s="3"/>
      <c r="M21" s="27"/>
      <c r="N21" s="27"/>
      <c r="O21" s="3" t="s">
        <v>20</v>
      </c>
      <c r="P21" s="17">
        <v>45700</v>
      </c>
      <c r="Q21" s="3">
        <v>0</v>
      </c>
      <c r="R21" s="3"/>
    </row>
    <row r="22" spans="2:18" x14ac:dyDescent="0.25">
      <c r="B22" s="3" t="s">
        <v>16</v>
      </c>
      <c r="C22" s="3" t="s">
        <v>16</v>
      </c>
      <c r="D22" s="4">
        <v>45666</v>
      </c>
      <c r="E22" s="3">
        <v>59963</v>
      </c>
      <c r="F22" s="9" t="s">
        <v>47</v>
      </c>
      <c r="G22" s="3">
        <v>1</v>
      </c>
      <c r="H22" s="3">
        <v>1</v>
      </c>
      <c r="I22" s="3" t="str">
        <f t="shared" si="0"/>
        <v>normal</v>
      </c>
      <c r="J22" s="3"/>
      <c r="K22" s="3"/>
      <c r="L22" s="3"/>
      <c r="M22" s="27"/>
      <c r="N22" s="27"/>
      <c r="O22" s="3" t="s">
        <v>20</v>
      </c>
      <c r="P22" s="17">
        <v>45700</v>
      </c>
      <c r="Q22" s="3">
        <v>0</v>
      </c>
      <c r="R22" s="3"/>
    </row>
    <row r="23" spans="2:18" x14ac:dyDescent="0.25">
      <c r="B23" s="3" t="s">
        <v>16</v>
      </c>
      <c r="C23" s="3" t="s">
        <v>16</v>
      </c>
      <c r="D23" s="4">
        <v>45639</v>
      </c>
      <c r="E23" s="3">
        <v>192226</v>
      </c>
      <c r="F23" s="9" t="s">
        <v>48</v>
      </c>
      <c r="G23" s="3">
        <v>35</v>
      </c>
      <c r="H23" s="3">
        <v>1</v>
      </c>
      <c r="I23" s="3" t="str">
        <f t="shared" si="0"/>
        <v>normal</v>
      </c>
      <c r="J23" s="3"/>
      <c r="K23" s="3"/>
      <c r="L23" s="3"/>
      <c r="M23" s="27"/>
      <c r="N23" s="27"/>
      <c r="O23" s="3" t="s">
        <v>20</v>
      </c>
      <c r="P23" s="17">
        <v>45726</v>
      </c>
      <c r="Q23" s="3">
        <v>0</v>
      </c>
      <c r="R23" s="3"/>
    </row>
    <row r="24" spans="2:18" x14ac:dyDescent="0.25">
      <c r="B24" s="3" t="s">
        <v>16</v>
      </c>
      <c r="C24" s="3" t="s">
        <v>16</v>
      </c>
      <c r="D24" s="4">
        <v>45639</v>
      </c>
      <c r="E24" s="3">
        <v>192227</v>
      </c>
      <c r="F24" s="9" t="s">
        <v>49</v>
      </c>
      <c r="G24" s="3">
        <v>18</v>
      </c>
      <c r="H24" s="3">
        <v>1</v>
      </c>
      <c r="I24" s="3" t="str">
        <f t="shared" si="0"/>
        <v>normal</v>
      </c>
      <c r="J24" s="3"/>
      <c r="K24" s="3"/>
      <c r="L24" s="3"/>
      <c r="M24" s="27"/>
      <c r="N24" s="27"/>
      <c r="O24" s="3" t="s">
        <v>20</v>
      </c>
      <c r="P24" s="17">
        <v>45726</v>
      </c>
      <c r="Q24" s="3">
        <v>0</v>
      </c>
      <c r="R24" s="3"/>
    </row>
    <row r="25" spans="2:18" x14ac:dyDescent="0.25">
      <c r="B25" s="3" t="s">
        <v>16</v>
      </c>
      <c r="C25" s="3" t="s">
        <v>17</v>
      </c>
      <c r="D25" s="4">
        <v>45671</v>
      </c>
      <c r="E25" s="3">
        <v>49960</v>
      </c>
      <c r="F25" s="9" t="s">
        <v>22</v>
      </c>
      <c r="G25" s="3">
        <v>5</v>
      </c>
      <c r="H25" s="3">
        <v>1</v>
      </c>
      <c r="I25" s="3" t="str">
        <f t="shared" si="0"/>
        <v>normal</v>
      </c>
      <c r="J25" s="3"/>
      <c r="K25" s="3"/>
      <c r="L25" s="3"/>
      <c r="M25" s="3">
        <v>3988528</v>
      </c>
      <c r="N25" s="3">
        <v>4122016</v>
      </c>
      <c r="O25" s="3" t="s">
        <v>20</v>
      </c>
      <c r="P25" s="17">
        <v>45686</v>
      </c>
      <c r="Q25" s="3">
        <v>0</v>
      </c>
      <c r="R25" s="3"/>
    </row>
    <row r="26" spans="2:18" x14ac:dyDescent="0.25">
      <c r="B26" s="3" t="s">
        <v>50</v>
      </c>
      <c r="C26" s="3" t="s">
        <v>50</v>
      </c>
      <c r="D26" s="17">
        <v>45702</v>
      </c>
      <c r="E26" s="3">
        <v>59906</v>
      </c>
      <c r="F26" s="9" t="s">
        <v>51</v>
      </c>
      <c r="G26" s="3">
        <v>6</v>
      </c>
      <c r="H26" s="3">
        <v>1</v>
      </c>
      <c r="I26" s="3" t="s">
        <v>21</v>
      </c>
      <c r="J26" s="3"/>
      <c r="K26" s="3"/>
      <c r="L26" s="3"/>
      <c r="M26" s="3">
        <v>4022757</v>
      </c>
      <c r="N26" s="3"/>
      <c r="O26" s="3"/>
      <c r="P26" s="3"/>
      <c r="Q26" s="3"/>
      <c r="R26" s="3"/>
    </row>
    <row r="27" spans="2:18" x14ac:dyDescent="0.25">
      <c r="B27" s="3" t="s">
        <v>16</v>
      </c>
      <c r="C27" s="3" t="s">
        <v>16</v>
      </c>
      <c r="D27" s="17">
        <v>45709</v>
      </c>
      <c r="E27" s="3">
        <v>59963</v>
      </c>
      <c r="F27" s="9" t="s">
        <v>52</v>
      </c>
      <c r="G27" s="3">
        <v>1</v>
      </c>
      <c r="H27" s="3">
        <v>1</v>
      </c>
      <c r="I27" s="3" t="s">
        <v>21</v>
      </c>
      <c r="J27" s="3"/>
      <c r="K27" s="3"/>
      <c r="L27" s="3"/>
      <c r="M27" s="27"/>
      <c r="N27" s="27"/>
      <c r="O27" s="3" t="s">
        <v>20</v>
      </c>
      <c r="P27" s="17">
        <v>45734</v>
      </c>
      <c r="Q27" s="3">
        <v>0</v>
      </c>
      <c r="R27" s="3"/>
    </row>
    <row r="28" spans="2:18" x14ac:dyDescent="0.25">
      <c r="B28" s="3" t="s">
        <v>16</v>
      </c>
      <c r="C28" s="3" t="s">
        <v>16</v>
      </c>
      <c r="D28" s="17">
        <v>45709</v>
      </c>
      <c r="E28" s="3">
        <v>50176</v>
      </c>
      <c r="F28" s="9" t="s">
        <v>53</v>
      </c>
      <c r="G28" s="3">
        <v>1</v>
      </c>
      <c r="H28" s="3">
        <v>1</v>
      </c>
      <c r="I28" s="3" t="s">
        <v>21</v>
      </c>
      <c r="J28" s="3"/>
      <c r="K28" s="3"/>
      <c r="L28" s="3"/>
      <c r="M28" s="27"/>
      <c r="N28" s="27"/>
      <c r="O28" s="3" t="s">
        <v>20</v>
      </c>
      <c r="P28" s="17">
        <v>45734</v>
      </c>
      <c r="Q28" s="3">
        <v>0</v>
      </c>
      <c r="R28" s="3"/>
    </row>
    <row r="29" spans="2:18" ht="30" x14ac:dyDescent="0.25">
      <c r="B29" s="3" t="s">
        <v>16</v>
      </c>
      <c r="C29" s="3" t="s">
        <v>16</v>
      </c>
      <c r="D29" s="17">
        <v>45813</v>
      </c>
      <c r="E29" s="3">
        <v>50027</v>
      </c>
      <c r="F29" s="13" t="s">
        <v>54</v>
      </c>
      <c r="G29" s="3">
        <v>5</v>
      </c>
      <c r="H29" s="3">
        <v>1</v>
      </c>
      <c r="I29" s="3" t="s">
        <v>21</v>
      </c>
      <c r="J29" s="3"/>
      <c r="K29" s="3"/>
      <c r="L29" s="3"/>
      <c r="M29" s="3">
        <v>4151831</v>
      </c>
      <c r="N29" s="3">
        <v>4277784</v>
      </c>
      <c r="O29" s="3" t="s">
        <v>20</v>
      </c>
      <c r="P29" s="17">
        <v>45845</v>
      </c>
      <c r="Q29" s="3">
        <v>0</v>
      </c>
      <c r="R29" s="3"/>
    </row>
    <row r="30" spans="2:18" x14ac:dyDescent="0.25">
      <c r="B30" s="3" t="s">
        <v>16</v>
      </c>
      <c r="C30" s="3" t="s">
        <v>16</v>
      </c>
      <c r="D30" s="17">
        <v>45833</v>
      </c>
      <c r="E30" s="3">
        <v>113985</v>
      </c>
      <c r="F30" s="9" t="s">
        <v>38</v>
      </c>
      <c r="G30" s="3">
        <v>2</v>
      </c>
      <c r="H30" s="3">
        <v>1</v>
      </c>
      <c r="I30" s="3" t="s">
        <v>21</v>
      </c>
      <c r="J30" s="3"/>
      <c r="K30" s="3"/>
      <c r="L30" s="3"/>
      <c r="M30" s="3">
        <v>4157984</v>
      </c>
      <c r="N30" s="3">
        <v>4277794</v>
      </c>
      <c r="O30" s="3" t="s">
        <v>20</v>
      </c>
      <c r="P30" s="17">
        <v>45860</v>
      </c>
      <c r="Q30" s="3">
        <v>0</v>
      </c>
      <c r="R30" s="3"/>
    </row>
    <row r="31" spans="2:18" x14ac:dyDescent="0.25">
      <c r="B31" s="3" t="s">
        <v>16</v>
      </c>
      <c r="C31" s="3" t="s">
        <v>55</v>
      </c>
      <c r="D31" s="17">
        <v>45874</v>
      </c>
      <c r="E31" s="3">
        <v>36483</v>
      </c>
      <c r="F31" s="9" t="s">
        <v>56</v>
      </c>
      <c r="G31" s="3">
        <v>1</v>
      </c>
      <c r="H31" s="3">
        <v>1</v>
      </c>
      <c r="I31" s="3" t="s">
        <v>21</v>
      </c>
      <c r="J31" s="3"/>
      <c r="K31" s="3"/>
      <c r="L31" s="3"/>
      <c r="M31" s="3">
        <v>4201379</v>
      </c>
      <c r="N31" s="3">
        <v>4321913</v>
      </c>
      <c r="O31" s="3" t="s">
        <v>20</v>
      </c>
      <c r="P31" s="17">
        <v>45883</v>
      </c>
      <c r="Q31" s="3">
        <v>0</v>
      </c>
      <c r="R31" s="3"/>
    </row>
    <row r="32" spans="2:18" ht="14.45" customHeight="1" x14ac:dyDescent="0.25">
      <c r="B32" s="3" t="s">
        <v>16</v>
      </c>
      <c r="C32" s="3" t="s">
        <v>16</v>
      </c>
      <c r="D32" s="17">
        <v>45874</v>
      </c>
      <c r="E32" s="3">
        <v>39047</v>
      </c>
      <c r="F32" s="9" t="s">
        <v>57</v>
      </c>
      <c r="G32" s="3">
        <v>8</v>
      </c>
      <c r="H32" s="3">
        <v>1</v>
      </c>
      <c r="I32" s="3" t="s">
        <v>21</v>
      </c>
      <c r="J32" s="3"/>
      <c r="K32" s="3"/>
      <c r="L32" s="3"/>
      <c r="M32" s="42" t="s">
        <v>58</v>
      </c>
      <c r="N32" s="43"/>
      <c r="O32" s="3" t="s">
        <v>20</v>
      </c>
      <c r="P32" s="29">
        <v>45875</v>
      </c>
      <c r="Q32" s="3">
        <v>0</v>
      </c>
      <c r="R32" s="3"/>
    </row>
    <row r="33" spans="2:18" x14ac:dyDescent="0.25">
      <c r="B33" s="3" t="s">
        <v>16</v>
      </c>
      <c r="C33" s="3" t="s">
        <v>59</v>
      </c>
      <c r="D33" s="17">
        <v>45896</v>
      </c>
      <c r="E33" s="3">
        <v>59963</v>
      </c>
      <c r="F33" s="9" t="s">
        <v>60</v>
      </c>
      <c r="G33" s="3">
        <v>1</v>
      </c>
      <c r="H33" s="3">
        <v>1</v>
      </c>
      <c r="I33" s="3" t="s">
        <v>21</v>
      </c>
      <c r="J33" s="3"/>
      <c r="K33" s="3"/>
      <c r="L33" s="3"/>
      <c r="M33" s="42" t="s">
        <v>58</v>
      </c>
      <c r="N33" s="43"/>
      <c r="O33" s="3"/>
      <c r="P33" s="3"/>
      <c r="Q33" s="3"/>
      <c r="R33" s="3"/>
    </row>
    <row r="34" spans="2:18" x14ac:dyDescent="0.25">
      <c r="B34" s="3"/>
      <c r="C34" s="3"/>
      <c r="D34" s="3"/>
      <c r="E34" s="3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x14ac:dyDescent="0.25">
      <c r="B35" s="3"/>
      <c r="C35" s="3"/>
      <c r="D35" s="3"/>
      <c r="E35" s="3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25">
      <c r="B36" s="3"/>
      <c r="C36" s="3"/>
      <c r="D36" s="3"/>
      <c r="E36" s="3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x14ac:dyDescent="0.25">
      <c r="B37" s="3"/>
      <c r="C37" s="3"/>
      <c r="D37" s="3"/>
      <c r="E37" s="3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x14ac:dyDescent="0.25">
      <c r="B38" s="3"/>
      <c r="C38" s="3"/>
      <c r="D38" s="3"/>
      <c r="E38" s="3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x14ac:dyDescent="0.25">
      <c r="B39" s="3"/>
      <c r="C39" s="3"/>
      <c r="D39" s="3"/>
      <c r="E39" s="3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5">
      <c r="B40" s="3"/>
      <c r="C40" s="3"/>
      <c r="D40" s="3"/>
      <c r="E40" s="3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5">
      <c r="B41" s="3"/>
      <c r="C41" s="3"/>
      <c r="D41" s="3"/>
      <c r="E41" s="3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x14ac:dyDescent="0.25">
      <c r="B42" s="3"/>
      <c r="C42" s="3"/>
      <c r="D42" s="3"/>
      <c r="E42" s="3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x14ac:dyDescent="0.25">
      <c r="B43" s="3"/>
      <c r="C43" s="3"/>
      <c r="D43" s="3"/>
      <c r="E43" s="3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x14ac:dyDescent="0.25">
      <c r="B44" s="3"/>
      <c r="C44" s="3"/>
      <c r="D44" s="3"/>
      <c r="E44" s="3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x14ac:dyDescent="0.25">
      <c r="B45" s="3"/>
      <c r="C45" s="3"/>
      <c r="D45" s="3"/>
      <c r="E45" s="3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x14ac:dyDescent="0.25">
      <c r="B46" s="3"/>
      <c r="C46" s="3"/>
      <c r="D46" s="3"/>
      <c r="E46" s="3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x14ac:dyDescent="0.25">
      <c r="B47" s="3"/>
      <c r="C47" s="3"/>
      <c r="D47" s="3"/>
      <c r="E47" s="3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25">
      <c r="B48" s="3"/>
      <c r="C48" s="3"/>
      <c r="D48" s="3"/>
      <c r="E48" s="3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x14ac:dyDescent="0.25">
      <c r="B49" s="3"/>
      <c r="C49" s="3"/>
      <c r="D49" s="3"/>
      <c r="E49" s="3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x14ac:dyDescent="0.25">
      <c r="B50" s="3"/>
      <c r="C50" s="3"/>
      <c r="D50" s="3"/>
      <c r="E50" s="3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x14ac:dyDescent="0.25">
      <c r="B51" s="3"/>
      <c r="C51" s="3"/>
      <c r="D51" s="3"/>
      <c r="E51" s="3"/>
      <c r="F51" s="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x14ac:dyDescent="0.25">
      <c r="B52" s="3"/>
      <c r="C52" s="3"/>
      <c r="D52" s="3"/>
      <c r="E52" s="3"/>
      <c r="F52" s="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x14ac:dyDescent="0.25">
      <c r="B53" s="3"/>
      <c r="C53" s="3"/>
      <c r="D53" s="3"/>
      <c r="E53" s="3"/>
      <c r="F53" s="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x14ac:dyDescent="0.25">
      <c r="B54" s="3"/>
      <c r="C54" s="3"/>
      <c r="D54" s="3"/>
      <c r="E54" s="3"/>
      <c r="F54" s="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x14ac:dyDescent="0.25">
      <c r="B55" s="3"/>
      <c r="C55" s="3"/>
      <c r="D55" s="3"/>
      <c r="E55" s="3"/>
      <c r="F55" s="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x14ac:dyDescent="0.25">
      <c r="B56" s="3"/>
      <c r="C56" s="3"/>
      <c r="D56" s="3"/>
      <c r="E56" s="3"/>
      <c r="F56" s="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x14ac:dyDescent="0.25">
      <c r="B57" s="3"/>
      <c r="C57" s="3"/>
      <c r="D57" s="3"/>
      <c r="E57" s="3"/>
      <c r="F57" s="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x14ac:dyDescent="0.25">
      <c r="B58" s="3"/>
      <c r="C58" s="3"/>
      <c r="D58" s="3"/>
      <c r="E58" s="3"/>
      <c r="F58" s="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x14ac:dyDescent="0.25">
      <c r="B59" s="3"/>
      <c r="C59" s="3"/>
      <c r="D59" s="3"/>
      <c r="E59" s="3"/>
      <c r="F59" s="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x14ac:dyDescent="0.25">
      <c r="B60" s="3"/>
      <c r="C60" s="3"/>
      <c r="D60" s="3"/>
      <c r="E60" s="3"/>
      <c r="F60" s="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x14ac:dyDescent="0.25">
      <c r="B61" s="3"/>
      <c r="C61" s="3"/>
      <c r="D61" s="3"/>
      <c r="E61" s="3"/>
      <c r="F61" s="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x14ac:dyDescent="0.25">
      <c r="B62" s="3"/>
      <c r="C62" s="3"/>
      <c r="D62" s="3"/>
      <c r="E62" s="3"/>
      <c r="F62" s="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x14ac:dyDescent="0.25">
      <c r="B63" s="3"/>
      <c r="C63" s="3"/>
      <c r="D63" s="3"/>
      <c r="E63" s="3"/>
      <c r="F63" s="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x14ac:dyDescent="0.25">
      <c r="B64" s="3"/>
      <c r="C64" s="3"/>
      <c r="D64" s="3"/>
      <c r="E64" s="3"/>
      <c r="F64" s="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x14ac:dyDescent="0.25">
      <c r="B65" s="3"/>
      <c r="C65" s="3"/>
      <c r="D65" s="3"/>
      <c r="E65" s="3"/>
      <c r="F65" s="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</sheetData>
  <autoFilter ref="B1:R5" xr:uid="{00000000-0009-0000-0000-000000000000}">
    <filterColumn colId="6" showButton="0"/>
  </autoFilter>
  <mergeCells count="4">
    <mergeCell ref="H1:I1"/>
    <mergeCell ref="V1:W1"/>
    <mergeCell ref="M32:N32"/>
    <mergeCell ref="M33:N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B1" workbookViewId="0">
      <selection activeCell="G16" sqref="G16"/>
    </sheetView>
  </sheetViews>
  <sheetFormatPr defaultRowHeight="15" x14ac:dyDescent="0.25"/>
  <cols>
    <col min="1" max="1" width="17.42578125" customWidth="1"/>
    <col min="2" max="2" width="27.85546875" customWidth="1"/>
    <col min="3" max="3" width="39.140625" customWidth="1"/>
    <col min="4" max="4" width="13.7109375" customWidth="1"/>
    <col min="5" max="5" width="12.42578125" bestFit="1" customWidth="1"/>
    <col min="6" max="6" width="15" customWidth="1"/>
    <col min="7" max="7" width="13.7109375" bestFit="1" customWidth="1"/>
  </cols>
  <sheetData>
    <row r="1" spans="1:7" ht="97.5" customHeight="1" x14ac:dyDescent="0.25">
      <c r="A1" s="14">
        <v>18000.009999999998</v>
      </c>
      <c r="B1" s="15" t="s">
        <v>61</v>
      </c>
      <c r="C1" s="1" t="s">
        <v>62</v>
      </c>
    </row>
    <row r="3" spans="1:7" x14ac:dyDescent="0.25">
      <c r="D3" s="20">
        <v>0.34</v>
      </c>
      <c r="E3" s="21">
        <f>$A$1*D3</f>
        <v>6120.0033999999996</v>
      </c>
      <c r="F3">
        <v>2461</v>
      </c>
    </row>
    <row r="4" spans="1:7" x14ac:dyDescent="0.25">
      <c r="D4" s="20">
        <v>0.33</v>
      </c>
      <c r="E4" s="21">
        <f t="shared" ref="E4:E5" si="0">$A$1*D4</f>
        <v>5940.0032999999994</v>
      </c>
      <c r="F4">
        <v>2224</v>
      </c>
    </row>
    <row r="5" spans="1:7" x14ac:dyDescent="0.25">
      <c r="D5" s="20">
        <v>0.33</v>
      </c>
      <c r="E5" s="21">
        <f t="shared" si="0"/>
        <v>5940.0032999999994</v>
      </c>
      <c r="F5">
        <v>2267</v>
      </c>
    </row>
    <row r="8" spans="1:7" x14ac:dyDescent="0.25">
      <c r="D8" s="16"/>
    </row>
    <row r="9" spans="1:7" ht="150" x14ac:dyDescent="0.25">
      <c r="D9" s="14">
        <v>5200</v>
      </c>
      <c r="E9" s="23" t="s">
        <v>63</v>
      </c>
      <c r="F9" s="21">
        <f>D9/100</f>
        <v>52</v>
      </c>
    </row>
    <row r="10" spans="1:7" x14ac:dyDescent="0.25">
      <c r="D10">
        <v>29</v>
      </c>
      <c r="E10">
        <v>2488</v>
      </c>
      <c r="F10" s="14">
        <f>$F$9*D10</f>
        <v>1508</v>
      </c>
      <c r="G10" s="21"/>
    </row>
    <row r="11" spans="1:7" x14ac:dyDescent="0.25">
      <c r="D11">
        <v>15</v>
      </c>
      <c r="E11">
        <v>1228</v>
      </c>
      <c r="F11" s="14">
        <f t="shared" ref="F11:F16" si="1">$F$9*D11</f>
        <v>780</v>
      </c>
    </row>
    <row r="12" spans="1:7" x14ac:dyDescent="0.25">
      <c r="D12">
        <v>15</v>
      </c>
      <c r="E12">
        <v>2330</v>
      </c>
      <c r="F12" s="14">
        <f t="shared" si="1"/>
        <v>780</v>
      </c>
    </row>
    <row r="13" spans="1:7" x14ac:dyDescent="0.25">
      <c r="D13">
        <v>15</v>
      </c>
      <c r="E13">
        <v>4588</v>
      </c>
      <c r="F13" s="14">
        <f t="shared" si="1"/>
        <v>780</v>
      </c>
    </row>
    <row r="14" spans="1:7" x14ac:dyDescent="0.25">
      <c r="D14">
        <v>15</v>
      </c>
      <c r="E14">
        <v>2267</v>
      </c>
      <c r="F14" s="14">
        <f t="shared" si="1"/>
        <v>780</v>
      </c>
    </row>
    <row r="15" spans="1:7" x14ac:dyDescent="0.25">
      <c r="D15">
        <v>10</v>
      </c>
      <c r="E15">
        <v>2224</v>
      </c>
      <c r="F15" s="14">
        <f t="shared" si="1"/>
        <v>520</v>
      </c>
    </row>
    <row r="16" spans="1:7" x14ac:dyDescent="0.25">
      <c r="D16">
        <v>1</v>
      </c>
      <c r="E16">
        <v>2216</v>
      </c>
      <c r="F16" s="14">
        <f t="shared" si="1"/>
        <v>52</v>
      </c>
    </row>
    <row r="17" spans="4:4" x14ac:dyDescent="0.25">
      <c r="D17" s="24">
        <f>SUM(D10:D16)</f>
        <v>100</v>
      </c>
    </row>
  </sheetData>
  <conditionalFormatting sqref="B1">
    <cfRule type="containsText" dxfId="3" priority="3" operator="containsText" text="NF LANÇADA">
      <formula>NOT(ISERROR(SEARCH("NF LANÇADA",B1)))</formula>
    </cfRule>
    <cfRule type="containsText" dxfId="2" priority="4" operator="containsText" text="Aguardar NF">
      <formula>NOT(ISERROR(SEARCH("Aguardar NF",B1)))</formula>
    </cfRule>
    <cfRule type="containsText" dxfId="1" priority="5" operator="containsText" text="Aguardando pedido">
      <formula>NOT(ISERROR(SEARCH("Aguardando pedido",B1)))</formula>
    </cfRule>
  </conditionalFormatting>
  <conditionalFormatting sqref="E9">
    <cfRule type="cellIs" dxfId="0" priority="1" operator="equal">
      <formula>4502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opLeftCell="A17" workbookViewId="0">
      <selection activeCell="D2" sqref="D2"/>
    </sheetView>
  </sheetViews>
  <sheetFormatPr defaultRowHeight="15" x14ac:dyDescent="0.25"/>
  <cols>
    <col min="1" max="1" width="21" bestFit="1" customWidth="1"/>
    <col min="2" max="2" width="20.42578125" bestFit="1" customWidth="1"/>
    <col min="3" max="3" width="35.7109375" bestFit="1" customWidth="1"/>
    <col min="4" max="4" width="42.42578125" bestFit="1" customWidth="1"/>
  </cols>
  <sheetData>
    <row r="1" spans="1:4" x14ac:dyDescent="0.25">
      <c r="A1" s="22" t="s">
        <v>64</v>
      </c>
      <c r="B1" s="22" t="s">
        <v>65</v>
      </c>
      <c r="C1" s="22" t="s">
        <v>66</v>
      </c>
      <c r="D1" s="22" t="s">
        <v>9</v>
      </c>
    </row>
    <row r="2" spans="1:4" x14ac:dyDescent="0.25">
      <c r="A2" s="19" t="s">
        <v>67</v>
      </c>
      <c r="B2" s="19">
        <v>1663</v>
      </c>
      <c r="D2" t="s">
        <v>68</v>
      </c>
    </row>
    <row r="3" spans="1:4" x14ac:dyDescent="0.25">
      <c r="A3" s="19" t="s">
        <v>69</v>
      </c>
      <c r="B3" s="19">
        <v>1861</v>
      </c>
      <c r="D3" t="s">
        <v>68</v>
      </c>
    </row>
    <row r="4" spans="1:4" x14ac:dyDescent="0.25">
      <c r="A4" s="19" t="s">
        <v>69</v>
      </c>
      <c r="B4" s="19">
        <v>2068</v>
      </c>
      <c r="D4" t="s">
        <v>68</v>
      </c>
    </row>
    <row r="5" spans="1:4" x14ac:dyDescent="0.25">
      <c r="A5" s="19" t="s">
        <v>69</v>
      </c>
      <c r="B5" s="19">
        <v>2699</v>
      </c>
      <c r="D5" t="s">
        <v>68</v>
      </c>
    </row>
    <row r="6" spans="1:4" x14ac:dyDescent="0.25">
      <c r="A6" s="19" t="s">
        <v>69</v>
      </c>
      <c r="B6" s="19">
        <v>2983</v>
      </c>
      <c r="C6" t="s">
        <v>70</v>
      </c>
    </row>
    <row r="7" spans="1:4" x14ac:dyDescent="0.25">
      <c r="A7" s="19" t="s">
        <v>69</v>
      </c>
      <c r="B7" s="19">
        <v>3131</v>
      </c>
      <c r="D7" t="s">
        <v>68</v>
      </c>
    </row>
    <row r="8" spans="1:4" x14ac:dyDescent="0.25">
      <c r="A8" s="19" t="s">
        <v>69</v>
      </c>
      <c r="B8" s="19">
        <v>3132</v>
      </c>
      <c r="D8" t="s">
        <v>68</v>
      </c>
    </row>
    <row r="9" spans="1:4" x14ac:dyDescent="0.25">
      <c r="A9" s="19" t="s">
        <v>69</v>
      </c>
      <c r="B9" s="19">
        <v>5730</v>
      </c>
      <c r="D9" t="s">
        <v>68</v>
      </c>
    </row>
    <row r="10" spans="1:4" x14ac:dyDescent="0.25">
      <c r="A10" s="19" t="s">
        <v>69</v>
      </c>
      <c r="B10" s="19">
        <v>5733</v>
      </c>
      <c r="D10" t="s">
        <v>68</v>
      </c>
    </row>
    <row r="11" spans="1:4" x14ac:dyDescent="0.25">
      <c r="A11" s="19" t="s">
        <v>69</v>
      </c>
      <c r="B11" s="19">
        <v>5734</v>
      </c>
      <c r="D11" t="s">
        <v>68</v>
      </c>
    </row>
    <row r="12" spans="1:4" x14ac:dyDescent="0.25">
      <c r="A12" s="19" t="s">
        <v>71</v>
      </c>
      <c r="B12" s="19">
        <v>3526</v>
      </c>
      <c r="D12" t="s">
        <v>68</v>
      </c>
    </row>
    <row r="13" spans="1:4" x14ac:dyDescent="0.25">
      <c r="A13" s="19" t="s">
        <v>71</v>
      </c>
      <c r="B13" s="19">
        <v>3529</v>
      </c>
      <c r="D13" t="s">
        <v>68</v>
      </c>
    </row>
    <row r="14" spans="1:4" x14ac:dyDescent="0.25">
      <c r="A14" s="19" t="s">
        <v>71</v>
      </c>
      <c r="B14" s="19">
        <v>4109</v>
      </c>
      <c r="D14" t="s">
        <v>68</v>
      </c>
    </row>
    <row r="15" spans="1:4" x14ac:dyDescent="0.25">
      <c r="A15" s="19" t="s">
        <v>71</v>
      </c>
      <c r="B15" s="19">
        <v>4245</v>
      </c>
      <c r="D15" t="s">
        <v>68</v>
      </c>
    </row>
    <row r="16" spans="1:4" x14ac:dyDescent="0.25">
      <c r="A16" s="19" t="s">
        <v>72</v>
      </c>
      <c r="B16" s="19">
        <v>95</v>
      </c>
      <c r="D16" t="s">
        <v>68</v>
      </c>
    </row>
    <row r="17" spans="1:4" x14ac:dyDescent="0.25">
      <c r="A17" s="19" t="s">
        <v>72</v>
      </c>
      <c r="B17" s="19">
        <v>552</v>
      </c>
      <c r="D17" t="s">
        <v>68</v>
      </c>
    </row>
    <row r="18" spans="1:4" x14ac:dyDescent="0.25">
      <c r="A18" s="19" t="s">
        <v>72</v>
      </c>
      <c r="B18" s="19">
        <v>3365</v>
      </c>
      <c r="D18" t="s">
        <v>68</v>
      </c>
    </row>
    <row r="19" spans="1:4" x14ac:dyDescent="0.25">
      <c r="A19" s="19" t="s">
        <v>72</v>
      </c>
      <c r="B19" s="19">
        <v>3925</v>
      </c>
      <c r="D19" t="s">
        <v>68</v>
      </c>
    </row>
    <row r="20" spans="1:4" x14ac:dyDescent="0.25">
      <c r="A20" s="19" t="s">
        <v>73</v>
      </c>
      <c r="B20" s="19">
        <v>3371</v>
      </c>
      <c r="D20" t="s">
        <v>68</v>
      </c>
    </row>
    <row r="21" spans="1:4" x14ac:dyDescent="0.25">
      <c r="A21" s="19" t="s">
        <v>74</v>
      </c>
      <c r="B21" s="19">
        <v>1090</v>
      </c>
      <c r="D21" t="s">
        <v>68</v>
      </c>
    </row>
    <row r="22" spans="1:4" x14ac:dyDescent="0.25">
      <c r="A22" s="19" t="s">
        <v>75</v>
      </c>
      <c r="B22" s="19">
        <v>4226</v>
      </c>
      <c r="D22" t="s">
        <v>68</v>
      </c>
    </row>
    <row r="23" spans="1:4" x14ac:dyDescent="0.25">
      <c r="A23" s="19" t="s">
        <v>76</v>
      </c>
      <c r="B23" s="19">
        <v>3978</v>
      </c>
      <c r="D23" t="s">
        <v>68</v>
      </c>
    </row>
    <row r="24" spans="1:4" x14ac:dyDescent="0.25">
      <c r="A24" s="19" t="s">
        <v>76</v>
      </c>
      <c r="B24" s="19">
        <v>4143</v>
      </c>
      <c r="D24" t="s">
        <v>68</v>
      </c>
    </row>
    <row r="25" spans="1:4" x14ac:dyDescent="0.25">
      <c r="A25" s="19" t="s">
        <v>76</v>
      </c>
      <c r="B25" s="19">
        <v>5322</v>
      </c>
      <c r="D25" t="s">
        <v>68</v>
      </c>
    </row>
    <row r="26" spans="1:4" x14ac:dyDescent="0.25">
      <c r="A26" s="19" t="s">
        <v>77</v>
      </c>
      <c r="B26" s="19">
        <v>351</v>
      </c>
      <c r="D26" t="s">
        <v>68</v>
      </c>
    </row>
    <row r="27" spans="1:4" x14ac:dyDescent="0.25">
      <c r="A27" s="19" t="s">
        <v>77</v>
      </c>
      <c r="B27" s="19">
        <v>1582</v>
      </c>
      <c r="D2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7"/>
  <sheetViews>
    <sheetView workbookViewId="0">
      <selection activeCell="K9" sqref="K9"/>
    </sheetView>
  </sheetViews>
  <sheetFormatPr defaultRowHeight="15" x14ac:dyDescent="0.25"/>
  <cols>
    <col min="2" max="2" width="19.7109375" customWidth="1"/>
    <col min="3" max="3" width="17.85546875" customWidth="1"/>
    <col min="4" max="4" width="9.5703125" customWidth="1"/>
    <col min="5" max="5" width="15.42578125" customWidth="1"/>
    <col min="6" max="6" width="18.5703125" style="2" customWidth="1"/>
  </cols>
  <sheetData>
    <row r="2" spans="2:6" ht="20.25" customHeight="1" x14ac:dyDescent="0.25">
      <c r="B2" s="28" t="s">
        <v>78</v>
      </c>
      <c r="C2" s="28" t="s">
        <v>79</v>
      </c>
      <c r="D2" s="28" t="s">
        <v>80</v>
      </c>
      <c r="E2" s="28" t="s">
        <v>81</v>
      </c>
      <c r="F2" s="28" t="s">
        <v>82</v>
      </c>
    </row>
    <row r="3" spans="2:6" x14ac:dyDescent="0.25">
      <c r="B3" s="18" t="s">
        <v>83</v>
      </c>
      <c r="C3" s="18" t="s">
        <v>84</v>
      </c>
      <c r="D3" s="17">
        <v>45814</v>
      </c>
      <c r="E3" s="3" t="s">
        <v>85</v>
      </c>
      <c r="F3" s="3" t="s">
        <v>86</v>
      </c>
    </row>
    <row r="4" spans="2:6" x14ac:dyDescent="0.25">
      <c r="B4" s="18" t="s">
        <v>87</v>
      </c>
      <c r="C4" s="18" t="s">
        <v>84</v>
      </c>
      <c r="D4" s="17">
        <v>45821</v>
      </c>
      <c r="E4" s="3" t="s">
        <v>88</v>
      </c>
      <c r="F4" s="3" t="s">
        <v>86</v>
      </c>
    </row>
    <row r="5" spans="2:6" x14ac:dyDescent="0.25">
      <c r="B5" s="18" t="s">
        <v>89</v>
      </c>
      <c r="C5" s="18" t="s">
        <v>84</v>
      </c>
      <c r="D5" s="17">
        <v>45811</v>
      </c>
      <c r="E5" s="3" t="s">
        <v>88</v>
      </c>
      <c r="F5" s="3" t="s">
        <v>86</v>
      </c>
    </row>
    <row r="6" spans="2:6" x14ac:dyDescent="0.25">
      <c r="B6" s="18" t="s">
        <v>90</v>
      </c>
      <c r="C6" s="18" t="s">
        <v>84</v>
      </c>
      <c r="D6" s="42" t="s">
        <v>91</v>
      </c>
      <c r="E6" s="43"/>
      <c r="F6" s="44"/>
    </row>
    <row r="7" spans="2:6" x14ac:dyDescent="0.25">
      <c r="B7" s="18" t="s">
        <v>92</v>
      </c>
      <c r="C7" s="18" t="s">
        <v>84</v>
      </c>
      <c r="D7" s="17">
        <v>45811</v>
      </c>
      <c r="E7" s="3" t="s">
        <v>88</v>
      </c>
      <c r="F7" s="3" t="s">
        <v>86</v>
      </c>
    </row>
    <row r="8" spans="2:6" x14ac:dyDescent="0.25">
      <c r="B8" s="18" t="s">
        <v>93</v>
      </c>
      <c r="C8" s="18" t="s">
        <v>94</v>
      </c>
      <c r="D8" s="17">
        <v>45812</v>
      </c>
      <c r="E8" s="3" t="s">
        <v>95</v>
      </c>
      <c r="F8" s="3" t="s">
        <v>96</v>
      </c>
    </row>
    <row r="9" spans="2:6" x14ac:dyDescent="0.25">
      <c r="B9" s="18" t="s">
        <v>97</v>
      </c>
      <c r="C9" s="18" t="s">
        <v>94</v>
      </c>
      <c r="D9" s="17">
        <v>45832</v>
      </c>
      <c r="E9" s="3" t="s">
        <v>95</v>
      </c>
      <c r="F9" s="3" t="s">
        <v>96</v>
      </c>
    </row>
    <row r="10" spans="2:6" x14ac:dyDescent="0.25">
      <c r="B10" s="18" t="s">
        <v>98</v>
      </c>
      <c r="C10" s="18" t="s">
        <v>94</v>
      </c>
      <c r="D10" s="17">
        <v>45826</v>
      </c>
      <c r="E10" s="3" t="s">
        <v>99</v>
      </c>
      <c r="F10" s="3" t="s">
        <v>86</v>
      </c>
    </row>
    <row r="11" spans="2:6" x14ac:dyDescent="0.25">
      <c r="B11" s="18" t="s">
        <v>100</v>
      </c>
      <c r="C11" s="18" t="s">
        <v>94</v>
      </c>
      <c r="D11" s="42" t="s">
        <v>91</v>
      </c>
      <c r="E11" s="43"/>
      <c r="F11" s="44"/>
    </row>
    <row r="12" spans="2:6" x14ac:dyDescent="0.25">
      <c r="B12" s="18" t="s">
        <v>101</v>
      </c>
      <c r="C12" s="18" t="s">
        <v>94</v>
      </c>
      <c r="D12" s="42" t="s">
        <v>91</v>
      </c>
      <c r="E12" s="43"/>
      <c r="F12" s="44"/>
    </row>
    <row r="13" spans="2:6" x14ac:dyDescent="0.25">
      <c r="B13" s="18" t="s">
        <v>102</v>
      </c>
      <c r="C13" s="18" t="s">
        <v>94</v>
      </c>
      <c r="D13" s="42" t="s">
        <v>91</v>
      </c>
      <c r="E13" s="43"/>
      <c r="F13" s="44"/>
    </row>
    <row r="14" spans="2:6" x14ac:dyDescent="0.25">
      <c r="B14" s="18" t="s">
        <v>103</v>
      </c>
      <c r="C14" s="18" t="s">
        <v>94</v>
      </c>
      <c r="D14" s="42" t="s">
        <v>91</v>
      </c>
      <c r="E14" s="43"/>
      <c r="F14" s="44"/>
    </row>
    <row r="15" spans="2:6" x14ac:dyDescent="0.25">
      <c r="B15" s="18" t="s">
        <v>89</v>
      </c>
      <c r="C15" s="18" t="s">
        <v>94</v>
      </c>
      <c r="D15" s="26">
        <v>45813</v>
      </c>
      <c r="E15" s="18" t="s">
        <v>104</v>
      </c>
      <c r="F15" s="3" t="s">
        <v>86</v>
      </c>
    </row>
    <row r="16" spans="2:6" x14ac:dyDescent="0.25">
      <c r="B16" s="18" t="s">
        <v>105</v>
      </c>
      <c r="C16" s="18" t="s">
        <v>94</v>
      </c>
      <c r="D16" s="17">
        <v>45834</v>
      </c>
      <c r="E16" s="3" t="s">
        <v>95</v>
      </c>
      <c r="F16" s="3" t="s">
        <v>86</v>
      </c>
    </row>
    <row r="17" spans="2:6" x14ac:dyDescent="0.25">
      <c r="B17" s="18" t="s">
        <v>106</v>
      </c>
      <c r="C17" s="18" t="s">
        <v>94</v>
      </c>
      <c r="D17" s="42" t="s">
        <v>91</v>
      </c>
      <c r="E17" s="43"/>
      <c r="F17" s="44"/>
    </row>
  </sheetData>
  <mergeCells count="6">
    <mergeCell ref="D14:F14"/>
    <mergeCell ref="D17:F17"/>
    <mergeCell ref="D6:F6"/>
    <mergeCell ref="D11:F11"/>
    <mergeCell ref="D12:F12"/>
    <mergeCell ref="D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A16"/>
  <sheetViews>
    <sheetView tabSelected="1" zoomScale="70" zoomScaleNormal="7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.5703125" style="30" customWidth="1"/>
    <col min="2" max="2" width="16" style="30" customWidth="1"/>
    <col min="3" max="3" width="19.5703125" style="30" customWidth="1"/>
    <col min="4" max="4" width="29.42578125" style="30" customWidth="1"/>
    <col min="5" max="5" width="18.42578125" style="30" customWidth="1"/>
    <col min="6" max="6" width="91.140625" style="31" customWidth="1"/>
    <col min="7" max="7" width="26.28515625" style="30" customWidth="1"/>
    <col min="8" max="8" width="19.85546875" style="30" customWidth="1"/>
    <col min="9" max="9" width="14.85546875" style="30" bestFit="1" customWidth="1"/>
    <col min="10" max="10" width="18.140625" style="30" customWidth="1"/>
    <col min="11" max="11" width="19.85546875" style="30" customWidth="1"/>
    <col min="12" max="12" width="20.7109375" style="30" customWidth="1"/>
    <col min="13" max="13" width="23.7109375" style="30" customWidth="1"/>
    <col min="14" max="14" width="23.140625" style="30" customWidth="1"/>
    <col min="15" max="15" width="20.42578125" style="38" customWidth="1"/>
    <col min="16" max="16" width="25" style="38" customWidth="1"/>
    <col min="17" max="17" width="25.42578125" style="38" customWidth="1"/>
    <col min="18" max="21" width="9.140625" style="34"/>
    <col min="22" max="47" width="9.140625" style="30"/>
    <col min="48" max="48" width="31" style="30" customWidth="1"/>
    <col min="49" max="49" width="22.7109375" style="30" customWidth="1"/>
    <col min="50" max="50" width="29.140625" style="30" customWidth="1"/>
    <col min="51" max="51" width="27.28515625" style="30" customWidth="1"/>
    <col min="52" max="52" width="25.42578125" style="30" customWidth="1"/>
    <col min="53" max="53" width="29.42578125" style="30" customWidth="1"/>
    <col min="54" max="16384" width="9.140625" style="30"/>
  </cols>
  <sheetData>
    <row r="1" spans="2:53" ht="45" customHeight="1" x14ac:dyDescent="0.25">
      <c r="B1" s="45" t="s">
        <v>149</v>
      </c>
      <c r="C1" s="45" t="s">
        <v>1</v>
      </c>
      <c r="D1" s="45" t="s">
        <v>141</v>
      </c>
      <c r="E1" s="45" t="s">
        <v>142</v>
      </c>
      <c r="F1" s="45" t="s">
        <v>107</v>
      </c>
      <c r="G1" s="45" t="s">
        <v>108</v>
      </c>
      <c r="H1" s="45" t="s">
        <v>109</v>
      </c>
      <c r="I1" s="45" t="s">
        <v>110</v>
      </c>
      <c r="J1" s="47" t="s">
        <v>143</v>
      </c>
      <c r="K1" s="36" t="s">
        <v>144</v>
      </c>
      <c r="L1" s="36" t="s">
        <v>145</v>
      </c>
      <c r="M1" s="36" t="s">
        <v>146</v>
      </c>
      <c r="N1" s="36" t="s">
        <v>147</v>
      </c>
      <c r="O1" s="48" t="s">
        <v>111</v>
      </c>
      <c r="P1" s="48" t="s">
        <v>112</v>
      </c>
      <c r="Q1" s="48" t="s">
        <v>113</v>
      </c>
    </row>
    <row r="2" spans="2:53" ht="30" x14ac:dyDescent="0.25">
      <c r="B2" s="32" t="s">
        <v>150</v>
      </c>
      <c r="C2" s="53" t="s">
        <v>152</v>
      </c>
      <c r="D2" s="49" t="s">
        <v>151</v>
      </c>
      <c r="E2" s="49"/>
      <c r="F2" s="50" t="s">
        <v>153</v>
      </c>
      <c r="G2" s="61">
        <v>3380</v>
      </c>
      <c r="H2" s="33" t="s">
        <v>127</v>
      </c>
      <c r="I2" s="32">
        <v>242</v>
      </c>
      <c r="J2" s="46"/>
      <c r="K2" s="49">
        <v>88639</v>
      </c>
      <c r="L2" s="55">
        <v>45959</v>
      </c>
      <c r="M2" s="49">
        <v>4285510</v>
      </c>
      <c r="N2" s="49">
        <v>4408524</v>
      </c>
      <c r="O2" s="46"/>
      <c r="P2" s="46"/>
      <c r="Q2" s="46"/>
      <c r="AV2" s="56" t="s">
        <v>116</v>
      </c>
      <c r="AW2" s="57" t="s">
        <v>117</v>
      </c>
      <c r="AX2" s="58" t="s">
        <v>118</v>
      </c>
      <c r="AY2" s="37" t="s">
        <v>111</v>
      </c>
      <c r="AZ2" s="37" t="s">
        <v>112</v>
      </c>
      <c r="BA2" s="37" t="s">
        <v>113</v>
      </c>
    </row>
    <row r="3" spans="2:53" x14ac:dyDescent="0.25">
      <c r="B3" s="32" t="s">
        <v>150</v>
      </c>
      <c r="C3" s="53" t="s">
        <v>114</v>
      </c>
      <c r="D3" s="49" t="s">
        <v>115</v>
      </c>
      <c r="E3" s="49"/>
      <c r="F3" s="49" t="s">
        <v>119</v>
      </c>
      <c r="G3" s="54">
        <v>12085</v>
      </c>
      <c r="H3" s="33" t="s">
        <v>127</v>
      </c>
      <c r="I3" s="32">
        <v>242</v>
      </c>
      <c r="J3" s="46"/>
      <c r="K3" s="49">
        <v>86826</v>
      </c>
      <c r="L3" s="55">
        <v>45944</v>
      </c>
      <c r="M3" s="49">
        <v>4274405</v>
      </c>
      <c r="N3" s="49">
        <v>4399765</v>
      </c>
      <c r="O3" s="46" t="s">
        <v>120</v>
      </c>
      <c r="P3" s="46" t="s">
        <v>120</v>
      </c>
      <c r="Q3" s="46" t="s">
        <v>120</v>
      </c>
      <c r="AV3" s="59" t="s">
        <v>121</v>
      </c>
      <c r="AW3" s="60">
        <v>5</v>
      </c>
      <c r="AX3" s="51" t="s">
        <v>127</v>
      </c>
      <c r="AY3" s="37" t="s">
        <v>122</v>
      </c>
      <c r="AZ3" s="37" t="s">
        <v>122</v>
      </c>
      <c r="BA3" s="37" t="s">
        <v>122</v>
      </c>
    </row>
    <row r="4" spans="2:53" x14ac:dyDescent="0.25">
      <c r="B4" s="32" t="s">
        <v>126</v>
      </c>
      <c r="C4" s="32" t="s">
        <v>126</v>
      </c>
      <c r="D4" s="32" t="s">
        <v>126</v>
      </c>
      <c r="E4" s="32"/>
      <c r="F4" s="32" t="s">
        <v>126</v>
      </c>
      <c r="G4" s="32" t="s">
        <v>126</v>
      </c>
      <c r="H4" s="32" t="s">
        <v>126</v>
      </c>
      <c r="I4" s="32" t="s">
        <v>126</v>
      </c>
      <c r="J4" s="32" t="s">
        <v>126</v>
      </c>
      <c r="K4" s="32" t="s">
        <v>126</v>
      </c>
      <c r="L4" s="32" t="s">
        <v>126</v>
      </c>
      <c r="M4" s="32" t="s">
        <v>126</v>
      </c>
      <c r="N4" s="32" t="s">
        <v>126</v>
      </c>
      <c r="O4" s="32" t="s">
        <v>126</v>
      </c>
      <c r="P4" s="32" t="s">
        <v>126</v>
      </c>
      <c r="Q4" s="32" t="s">
        <v>126</v>
      </c>
      <c r="AV4" s="59" t="s">
        <v>123</v>
      </c>
      <c r="AW4" s="60">
        <v>170</v>
      </c>
      <c r="AX4" s="51" t="s">
        <v>128</v>
      </c>
      <c r="AY4" s="37" t="s">
        <v>124</v>
      </c>
      <c r="AZ4" s="37" t="s">
        <v>124</v>
      </c>
      <c r="BA4" s="37" t="s">
        <v>124</v>
      </c>
    </row>
    <row r="5" spans="2:53" x14ac:dyDescent="0.25">
      <c r="AW5" s="35">
        <v>242</v>
      </c>
      <c r="AX5" s="51" t="s">
        <v>129</v>
      </c>
    </row>
    <row r="6" spans="2:53" x14ac:dyDescent="0.25">
      <c r="AW6" s="35" t="s">
        <v>148</v>
      </c>
      <c r="AX6" s="51" t="s">
        <v>130</v>
      </c>
    </row>
    <row r="7" spans="2:53" x14ac:dyDescent="0.25">
      <c r="AW7" s="32" t="s">
        <v>125</v>
      </c>
      <c r="AX7" s="51" t="s">
        <v>131</v>
      </c>
    </row>
    <row r="8" spans="2:53" x14ac:dyDescent="0.25">
      <c r="AX8" s="51" t="s">
        <v>132</v>
      </c>
    </row>
    <row r="9" spans="2:53" x14ac:dyDescent="0.25">
      <c r="AX9" s="51" t="s">
        <v>133</v>
      </c>
    </row>
    <row r="10" spans="2:53" x14ac:dyDescent="0.25">
      <c r="AX10" s="51" t="s">
        <v>134</v>
      </c>
    </row>
    <row r="11" spans="2:53" x14ac:dyDescent="0.25">
      <c r="AX11" s="51" t="s">
        <v>135</v>
      </c>
    </row>
    <row r="12" spans="2:53" x14ac:dyDescent="0.25">
      <c r="AX12" s="52" t="s">
        <v>136</v>
      </c>
    </row>
    <row r="13" spans="2:53" x14ac:dyDescent="0.25">
      <c r="AX13" s="51" t="s">
        <v>137</v>
      </c>
    </row>
    <row r="14" spans="2:53" x14ac:dyDescent="0.25">
      <c r="AX14" s="51" t="s">
        <v>138</v>
      </c>
    </row>
    <row r="15" spans="2:53" x14ac:dyDescent="0.25">
      <c r="AX15" s="51" t="s">
        <v>139</v>
      </c>
    </row>
    <row r="16" spans="2:53" x14ac:dyDescent="0.25">
      <c r="AX16" s="51" t="s">
        <v>140</v>
      </c>
    </row>
  </sheetData>
  <sortState xmlns:xlrd2="http://schemas.microsoft.com/office/spreadsheetml/2017/richdata2" ref="C2:N3">
    <sortCondition ref="C2:C3"/>
    <sortCondition ref="D2:D3"/>
  </sortState>
  <dataValidations count="5">
    <dataValidation type="list" allowBlank="1" showInputMessage="1" showErrorMessage="1" sqref="H2:H3" xr:uid="{BE9B8D35-0DD8-42E5-BC2E-AE748AE91524}">
      <formula1>$AX$3:$AX$16</formula1>
    </dataValidation>
    <dataValidation type="list" allowBlank="1" showInputMessage="1" showErrorMessage="1" sqref="I2:I3" xr:uid="{11DBE36A-7357-497B-8E01-A8242058EEE0}">
      <formula1>$AW$3:$AW$7</formula1>
    </dataValidation>
    <dataValidation type="list" allowBlank="1" showInputMessage="1" showErrorMessage="1" sqref="O2:O3" xr:uid="{5D820214-D648-44F6-AA9E-F8057B746145}">
      <formula1>$AY$3:$AY$4</formula1>
    </dataValidation>
    <dataValidation type="list" allowBlank="1" showInputMessage="1" showErrorMessage="1" sqref="P2:P3" xr:uid="{D557E2B5-44D1-47FA-9D71-C3F85A1CCB33}">
      <formula1>$AZ$3:$AZ$4</formula1>
    </dataValidation>
    <dataValidation type="list" allowBlank="1" showInputMessage="1" showErrorMessage="1" sqref="Q2:Q3" xr:uid="{2C2BC5A9-F32E-48E2-95C7-D92BDF9A7F69}">
      <formula1>$BA$3:$BA$4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64fe2f5dd673a50750c529cc83895310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5ab44bf015fb2d7684238f412ef4dcc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de5c96d-c68a-4bc1-8ca7-a6766c74fd4d">
      <UserInfo>
        <DisplayName>Bruno Rafael Borsato</DisplayName>
        <AccountId>15</AccountId>
        <AccountType/>
      </UserInfo>
      <UserInfo>
        <DisplayName>William Giacomolli</DisplayName>
        <AccountId>23</AccountId>
        <AccountType/>
      </UserInfo>
      <UserInfo>
        <DisplayName>William Felipe Garcia</DisplayName>
        <AccountId>14</AccountId>
        <AccountType/>
      </UserInfo>
      <UserInfo>
        <DisplayName>Agnes Carla Lobo Marques</DisplayName>
        <AccountId>24</AccountId>
        <AccountType/>
      </UserInfo>
      <UserInfo>
        <DisplayName>Dione Cezar Martins</DisplayName>
        <AccountId>38</AccountId>
        <AccountType/>
      </UserInfo>
      <UserInfo>
        <DisplayName>Marcos Paulo Mattos da Silva</DisplayName>
        <AccountId>25</AccountId>
        <AccountType/>
      </UserInfo>
      <UserInfo>
        <DisplayName>Flavio Mainardes Rodrigues</DisplayName>
        <AccountId>26</AccountId>
        <AccountType/>
      </UserInfo>
      <UserInfo>
        <DisplayName>Kennedy Schmitt da Silva</DisplayName>
        <AccountId>27</AccountId>
        <AccountType/>
      </UserInfo>
    </SharedWithUsers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5D6AB-98F1-41FA-B29C-3D2A9CCAD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8FDD0D-4FF6-4B39-AAD2-1CE35D393B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C93F17-8136-4B39-9821-7984F7405CB1}">
  <ds:schemaRefs>
    <ds:schemaRef ds:uri="http://schemas.microsoft.com/office/2006/metadata/properties"/>
    <ds:schemaRef ds:uri="http://schemas.microsoft.com/office/infopath/2007/PartnerControls"/>
    <ds:schemaRef ds:uri="8de5c96d-c68a-4bc1-8ca7-a6766c74fd4d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MATERIAL</vt:lpstr>
      <vt:lpstr>RATEIO SIMULADOR</vt:lpstr>
      <vt:lpstr>OS ABERTAS</vt:lpstr>
      <vt:lpstr>Planilha1</vt:lpstr>
      <vt:lpstr>Turno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José Adenilson</cp:lastModifiedBy>
  <cp:revision/>
  <dcterms:created xsi:type="dcterms:W3CDTF">2023-10-30T14:50:55Z</dcterms:created>
  <dcterms:modified xsi:type="dcterms:W3CDTF">2025-12-11T14:02:19Z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