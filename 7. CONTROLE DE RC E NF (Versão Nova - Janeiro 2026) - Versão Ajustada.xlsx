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zeluzjunior\Downloads\"/>
    </mc:Choice>
  </mc:AlternateContent>
  <xr:revisionPtr revIDLastSave="13226" documentId="13_ncr:1_{E2D07C56-966B-461F-B253-14A15E1934BB}" xr6:coauthVersionLast="47" xr6:coauthVersionMax="47" xr10:uidLastSave="{7F34E5BD-1EC0-49AA-9D90-8BC7F3BB4CE1}"/>
  <bookViews>
    <workbookView xWindow="-120" yWindow="-120" windowWidth="29040" windowHeight="16440" tabRatio="582" xr2:uid="{00000000-000D-0000-FFFF-FFFF00000000}"/>
  </bookViews>
  <sheets>
    <sheet name="CONTROLE RC E NF" sheetId="1" r:id="rId1"/>
    <sheet name="CONTROLE - CONTRATOS SERVIÇO" sheetId="4" r:id="rId2"/>
    <sheet name="NF FIXA MENSAL - CONTRATO" sheetId="7" r:id="rId3"/>
    <sheet name="LISTA SUSPENSA - NÃO ALTERAR " sheetId="3" r:id="rId4"/>
    <sheet name="RATEIO" sheetId="5" r:id="rId5"/>
  </sheets>
  <definedNames>
    <definedName name="_xlnm._FilterDatabase" localSheetId="3" hidden="1">'LISTA SUSPENSA - NÃO ALTERAR '!$E$1:$E$10</definedName>
    <definedName name="_xlnm._FilterDatabase" localSheetId="1" hidden="1">'CONTROLE - CONTRATOS SERVIÇO'!$A$1:$AK$24</definedName>
    <definedName name="_xlnm._FilterDatabase" localSheetId="2" hidden="1">'NF FIXA MENSAL - CONTRATO'!$A$1:$Q$352</definedName>
    <definedName name="_xlnm._FilterDatabase" localSheetId="0" hidden="1">'CONTROLE RC E NF'!$A$3:$AI$1254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88" i="1" l="1"/>
  <c r="AD674" i="1"/>
  <c r="AD781" i="1"/>
  <c r="AD765" i="1"/>
  <c r="AD675" i="1"/>
  <c r="AD693" i="1"/>
  <c r="AD632" i="1"/>
  <c r="AD679" i="1"/>
  <c r="AD719" i="1"/>
  <c r="AD658" i="1"/>
  <c r="AD716" i="1"/>
  <c r="AD694" i="1"/>
  <c r="AD695" i="1"/>
  <c r="AD633" i="1"/>
  <c r="AD587" i="1"/>
  <c r="AD375" i="1"/>
  <c r="AD443" i="1"/>
  <c r="AD266" i="1"/>
  <c r="AD350" i="1"/>
  <c r="AD391" i="1"/>
  <c r="AD390" i="1"/>
  <c r="AD389" i="1"/>
  <c r="AD388" i="1"/>
  <c r="AD387" i="1"/>
  <c r="AD386" i="1"/>
  <c r="AD385" i="1"/>
  <c r="AD384" i="1"/>
  <c r="AD383" i="1"/>
  <c r="AD382" i="1"/>
  <c r="AD381" i="1"/>
  <c r="AD380" i="1"/>
  <c r="AD379" i="1"/>
  <c r="AD378" i="1"/>
  <c r="AD377" i="1"/>
  <c r="AD376" i="1"/>
  <c r="AD374" i="1"/>
  <c r="AD373" i="1"/>
  <c r="AD372" i="1"/>
  <c r="AD371" i="1"/>
  <c r="AD370" i="1"/>
  <c r="AD369" i="1"/>
  <c r="AD368" i="1"/>
  <c r="AD367" i="1"/>
  <c r="AD366" i="1"/>
  <c r="AD365" i="1"/>
  <c r="AD364" i="1"/>
  <c r="AD363" i="1"/>
  <c r="AD362" i="1"/>
  <c r="AD361" i="1"/>
  <c r="AD360" i="1"/>
  <c r="AD359" i="1"/>
  <c r="AD46" i="1"/>
  <c r="AD45" i="1"/>
  <c r="AD44" i="1"/>
  <c r="AD899" i="1"/>
  <c r="AD898" i="1"/>
  <c r="AD897" i="1"/>
  <c r="AD896" i="1"/>
  <c r="AD895" i="1"/>
  <c r="AD894" i="1"/>
  <c r="AD893" i="1"/>
  <c r="AD892" i="1"/>
  <c r="AD891" i="1"/>
  <c r="AD890" i="1"/>
  <c r="AD889" i="1"/>
  <c r="AD888" i="1"/>
  <c r="AD887" i="1"/>
  <c r="AD886" i="1"/>
  <c r="AD885" i="1"/>
  <c r="AD884" i="1"/>
  <c r="AD883" i="1"/>
  <c r="AD882" i="1"/>
  <c r="AD881" i="1"/>
  <c r="AD880" i="1"/>
  <c r="AD879" i="1"/>
  <c r="AD878" i="1"/>
  <c r="AD877" i="1"/>
  <c r="AD876" i="1"/>
  <c r="AD875" i="1"/>
  <c r="AD874" i="1"/>
  <c r="AD873" i="1"/>
  <c r="AD872" i="1"/>
  <c r="AD871" i="1"/>
  <c r="AD870" i="1"/>
  <c r="AD869" i="1"/>
  <c r="AD868" i="1"/>
  <c r="AD867" i="1"/>
  <c r="AD866" i="1"/>
  <c r="AD865" i="1"/>
  <c r="AD864" i="1"/>
  <c r="AD863" i="1"/>
  <c r="AD862" i="1"/>
  <c r="AD861" i="1"/>
  <c r="AD860" i="1"/>
  <c r="AD859" i="1"/>
  <c r="AD858" i="1"/>
  <c r="AD857" i="1"/>
  <c r="AD856" i="1"/>
  <c r="AD855" i="1"/>
  <c r="AD854" i="1"/>
  <c r="AD853" i="1"/>
  <c r="AD852" i="1"/>
  <c r="AD851" i="1"/>
  <c r="AD849" i="1"/>
  <c r="AD848" i="1"/>
  <c r="AD847" i="1"/>
  <c r="AD846" i="1"/>
  <c r="AD845" i="1"/>
  <c r="AD844" i="1"/>
  <c r="AD843" i="1"/>
  <c r="AD842" i="1"/>
  <c r="AD841" i="1"/>
  <c r="AD840" i="1"/>
  <c r="AD839" i="1"/>
  <c r="AD838" i="1"/>
  <c r="AD837" i="1"/>
  <c r="AD836" i="1"/>
  <c r="AD835" i="1"/>
  <c r="AD834" i="1"/>
  <c r="AD833" i="1"/>
  <c r="AD832" i="1"/>
  <c r="AD831" i="1"/>
  <c r="AD830" i="1"/>
  <c r="AD829" i="1"/>
  <c r="AD828" i="1"/>
  <c r="AD827" i="1"/>
  <c r="AD826" i="1"/>
  <c r="AD825" i="1"/>
  <c r="AD824" i="1"/>
  <c r="AD823" i="1"/>
  <c r="AD822" i="1"/>
  <c r="AD821" i="1"/>
  <c r="AD820" i="1"/>
  <c r="AD819" i="1"/>
  <c r="AD818" i="1"/>
  <c r="AD817" i="1"/>
  <c r="AD816" i="1"/>
  <c r="AD815" i="1"/>
  <c r="AD814" i="1"/>
  <c r="AD813" i="1"/>
  <c r="AD812" i="1"/>
  <c r="AD811" i="1"/>
  <c r="AD810" i="1"/>
  <c r="AD809" i="1"/>
  <c r="AD808" i="1"/>
  <c r="AD807" i="1"/>
  <c r="AD806" i="1"/>
  <c r="AD805" i="1"/>
  <c r="AD804" i="1"/>
  <c r="AD803" i="1"/>
  <c r="AD802" i="1"/>
  <c r="AD801" i="1"/>
  <c r="AD800" i="1"/>
  <c r="AD799" i="1"/>
  <c r="AD798" i="1"/>
  <c r="AD797" i="1"/>
  <c r="AD796" i="1"/>
  <c r="AD795" i="1"/>
  <c r="AD794" i="1"/>
  <c r="AD793" i="1"/>
  <c r="AD792" i="1"/>
  <c r="AD791" i="1"/>
  <c r="AD790" i="1"/>
  <c r="AD789" i="1"/>
  <c r="AD787" i="1"/>
  <c r="AD784" i="1"/>
  <c r="AD782" i="1"/>
  <c r="AD780" i="1"/>
  <c r="AD779" i="1"/>
  <c r="AD778" i="1"/>
  <c r="AD777" i="1"/>
  <c r="AD776" i="1"/>
  <c r="AD775" i="1"/>
  <c r="AD774" i="1"/>
  <c r="AD773" i="1"/>
  <c r="AD772" i="1"/>
  <c r="AD771" i="1"/>
  <c r="AD770" i="1"/>
  <c r="AD769" i="1"/>
  <c r="AD768" i="1"/>
  <c r="AD767" i="1"/>
  <c r="AD766" i="1"/>
  <c r="AD764" i="1"/>
  <c r="AD763" i="1"/>
  <c r="AD762" i="1"/>
  <c r="AD761" i="1"/>
  <c r="AD760" i="1"/>
  <c r="AD759" i="1"/>
  <c r="AD758" i="1"/>
  <c r="AD757" i="1"/>
  <c r="AD756" i="1"/>
  <c r="AD755" i="1"/>
  <c r="AD754" i="1"/>
  <c r="AD752" i="1"/>
  <c r="AD751" i="1"/>
  <c r="AD750" i="1"/>
  <c r="AD749" i="1"/>
  <c r="AD748" i="1"/>
  <c r="AD747" i="1"/>
  <c r="AD746" i="1"/>
  <c r="AD745" i="1"/>
  <c r="AD744" i="1"/>
  <c r="AD743" i="1"/>
  <c r="AD742" i="1"/>
  <c r="AD741" i="1"/>
  <c r="AD740" i="1"/>
  <c r="AD739" i="1"/>
  <c r="AD738" i="1"/>
  <c r="AD737" i="1"/>
  <c r="AD736" i="1"/>
  <c r="AD735" i="1"/>
  <c r="AD734" i="1"/>
  <c r="AD733" i="1"/>
  <c r="AD732" i="1"/>
  <c r="AD731" i="1"/>
  <c r="AD730" i="1"/>
  <c r="AD729" i="1"/>
  <c r="AD728" i="1"/>
  <c r="AD726" i="1"/>
  <c r="AD725" i="1"/>
  <c r="AD724" i="1"/>
  <c r="AD723" i="1"/>
  <c r="AD722" i="1"/>
  <c r="AD721" i="1"/>
  <c r="AD720" i="1"/>
  <c r="AD718" i="1"/>
  <c r="AD717" i="1"/>
  <c r="AD714" i="1"/>
  <c r="AD713" i="1"/>
  <c r="AD712" i="1"/>
  <c r="AD711" i="1"/>
  <c r="AD710" i="1"/>
  <c r="AD709" i="1"/>
  <c r="AD708" i="1"/>
  <c r="AD707" i="1"/>
  <c r="AD706" i="1"/>
  <c r="AD705" i="1"/>
  <c r="AD704" i="1"/>
  <c r="AD703" i="1"/>
  <c r="AD702" i="1"/>
  <c r="AD701" i="1"/>
  <c r="AD700" i="1"/>
  <c r="AD699" i="1"/>
  <c r="AD698" i="1"/>
  <c r="AD697" i="1"/>
  <c r="AD696" i="1"/>
  <c r="AD692" i="1"/>
  <c r="AD691" i="1"/>
  <c r="AD690" i="1"/>
  <c r="AD689" i="1"/>
  <c r="AD688" i="1"/>
  <c r="AD687" i="1"/>
  <c r="AD686" i="1"/>
  <c r="AD685" i="1"/>
  <c r="AD684" i="1"/>
  <c r="AD683" i="1"/>
  <c r="AD682" i="1"/>
  <c r="AD678" i="1"/>
  <c r="AD677" i="1"/>
  <c r="AD676" i="1"/>
  <c r="AD673" i="1"/>
  <c r="AD672" i="1"/>
  <c r="AD671" i="1"/>
  <c r="AD670" i="1"/>
  <c r="AD669" i="1"/>
  <c r="AD668" i="1"/>
  <c r="AD667" i="1"/>
  <c r="AD666" i="1"/>
  <c r="AD665" i="1"/>
  <c r="AD664" i="1"/>
  <c r="AD663" i="1"/>
  <c r="AD662" i="1"/>
  <c r="AD661" i="1"/>
  <c r="AD659" i="1"/>
  <c r="AD657" i="1"/>
  <c r="AD656" i="1"/>
  <c r="AD655" i="1"/>
  <c r="AD654" i="1"/>
  <c r="AD653" i="1"/>
  <c r="AD652" i="1"/>
  <c r="AD651" i="1"/>
  <c r="AD650" i="1"/>
  <c r="AD649" i="1"/>
  <c r="AD648" i="1"/>
  <c r="AD647" i="1"/>
  <c r="AD646" i="1"/>
  <c r="AD645" i="1"/>
  <c r="AD644" i="1"/>
  <c r="AD642" i="1"/>
  <c r="AD641" i="1"/>
  <c r="AD640" i="1"/>
  <c r="AD639" i="1"/>
  <c r="AD638" i="1"/>
  <c r="AD637" i="1"/>
  <c r="AD636" i="1"/>
  <c r="AD635" i="1"/>
  <c r="AD634" i="1"/>
  <c r="AD630" i="1"/>
  <c r="AD629" i="1"/>
  <c r="AD628" i="1"/>
  <c r="AD627" i="1"/>
  <c r="AD626" i="1"/>
  <c r="AD625" i="1"/>
  <c r="AD624" i="1"/>
  <c r="AD623" i="1"/>
  <c r="AD622" i="1"/>
  <c r="AD621" i="1"/>
  <c r="AD620" i="1"/>
  <c r="AD619" i="1"/>
  <c r="AD618" i="1"/>
  <c r="AD617" i="1"/>
  <c r="AD616" i="1"/>
  <c r="AD615" i="1"/>
  <c r="AD614" i="1"/>
  <c r="AD613" i="1"/>
  <c r="AD612" i="1"/>
  <c r="AD611" i="1"/>
  <c r="AD610" i="1"/>
  <c r="AD609" i="1"/>
  <c r="AD608" i="1"/>
  <c r="AD607" i="1"/>
  <c r="AD606" i="1"/>
  <c r="AD605" i="1"/>
  <c r="AD604" i="1"/>
  <c r="AD603" i="1"/>
  <c r="AD602" i="1"/>
  <c r="AD601" i="1"/>
  <c r="AD600" i="1"/>
  <c r="AD598" i="1"/>
  <c r="AD596" i="1"/>
  <c r="AD595" i="1"/>
  <c r="AD594" i="1"/>
  <c r="AD593" i="1"/>
  <c r="AD592" i="1"/>
  <c r="AD591" i="1"/>
  <c r="AD590" i="1"/>
  <c r="AD589" i="1"/>
  <c r="AD588" i="1"/>
  <c r="AD586" i="1"/>
  <c r="AD585" i="1"/>
  <c r="AD584" i="1"/>
  <c r="AD583" i="1"/>
  <c r="AD582" i="1"/>
  <c r="AD581" i="1"/>
  <c r="AD580" i="1"/>
  <c r="AD579" i="1"/>
  <c r="AD578" i="1"/>
  <c r="AD577" i="1"/>
  <c r="AD576" i="1"/>
  <c r="AD575" i="1"/>
  <c r="AD573" i="1"/>
  <c r="AD572" i="1"/>
  <c r="AD571" i="1"/>
  <c r="AD570" i="1"/>
  <c r="AD569" i="1"/>
  <c r="AD568" i="1"/>
  <c r="AD567" i="1"/>
  <c r="AD566" i="1"/>
  <c r="AD565" i="1"/>
  <c r="AD563" i="1"/>
  <c r="AD562" i="1"/>
  <c r="AD561" i="1"/>
  <c r="AD560" i="1"/>
  <c r="AD559" i="1"/>
  <c r="AD558" i="1"/>
  <c r="AD557" i="1"/>
  <c r="AD556" i="1"/>
  <c r="AD555" i="1"/>
  <c r="AD554" i="1"/>
  <c r="AD553" i="1"/>
  <c r="AD552" i="1"/>
  <c r="AD551" i="1"/>
  <c r="AD550" i="1"/>
  <c r="AD549" i="1"/>
  <c r="AD548" i="1"/>
  <c r="AD547" i="1"/>
  <c r="AD546" i="1"/>
  <c r="AD545" i="1"/>
  <c r="AD544" i="1"/>
  <c r="AD543" i="1"/>
  <c r="AD542" i="1"/>
  <c r="AD541" i="1"/>
  <c r="AD540" i="1"/>
  <c r="AD539" i="1"/>
  <c r="AD538" i="1"/>
  <c r="AD537" i="1"/>
  <c r="AD536" i="1"/>
  <c r="AD535" i="1"/>
  <c r="AD534" i="1"/>
  <c r="AD532" i="1"/>
  <c r="AD531" i="1"/>
  <c r="AD529" i="1"/>
  <c r="AD528" i="1"/>
  <c r="AD527" i="1"/>
  <c r="AD526" i="1"/>
  <c r="AD525" i="1"/>
  <c r="AD524" i="1"/>
  <c r="AD523" i="1"/>
  <c r="AD522" i="1"/>
  <c r="AD521" i="1"/>
  <c r="AD520" i="1"/>
  <c r="AD519" i="1"/>
  <c r="AD518" i="1"/>
  <c r="AD517" i="1"/>
  <c r="AD516" i="1"/>
  <c r="AD515" i="1"/>
  <c r="AD514" i="1"/>
  <c r="AD513" i="1"/>
  <c r="AD512" i="1"/>
  <c r="AD511" i="1"/>
  <c r="AD509" i="1"/>
  <c r="S783" i="1" s="1"/>
  <c r="AD783" i="1" s="1"/>
  <c r="AD508" i="1"/>
  <c r="AD507" i="1"/>
  <c r="AD506" i="1"/>
  <c r="AD505" i="1"/>
  <c r="AD503" i="1"/>
  <c r="AD502" i="1"/>
  <c r="AD501" i="1"/>
  <c r="AD500" i="1"/>
  <c r="AD499" i="1"/>
  <c r="AD498" i="1"/>
  <c r="AD497" i="1"/>
  <c r="AD496" i="1"/>
  <c r="AD495" i="1"/>
  <c r="AD494" i="1"/>
  <c r="AD493" i="1"/>
  <c r="AD492" i="1"/>
  <c r="AD491" i="1"/>
  <c r="AD490" i="1"/>
  <c r="AD488" i="1"/>
  <c r="AD487" i="1"/>
  <c r="S599" i="1" s="1"/>
  <c r="AD599" i="1" s="1"/>
  <c r="AD486" i="1"/>
  <c r="AD485" i="1"/>
  <c r="AD484" i="1"/>
  <c r="AD483" i="1"/>
  <c r="AD482" i="1"/>
  <c r="AD481" i="1"/>
  <c r="AD480" i="1"/>
  <c r="AD479" i="1"/>
  <c r="AD478" i="1"/>
  <c r="AD477" i="1"/>
  <c r="AD476" i="1"/>
  <c r="AD475" i="1"/>
  <c r="AD474" i="1"/>
  <c r="AD473" i="1"/>
  <c r="AD472" i="1"/>
  <c r="AD471" i="1"/>
  <c r="AD470" i="1"/>
  <c r="AD469" i="1"/>
  <c r="AD1009" i="1"/>
  <c r="AD1008" i="1"/>
  <c r="AD1007" i="1"/>
  <c r="AD1006" i="1"/>
  <c r="AD1005" i="1"/>
  <c r="AD1004" i="1"/>
  <c r="AD1003" i="1"/>
  <c r="AD1002" i="1"/>
  <c r="AD1001" i="1"/>
  <c r="AD1000" i="1"/>
  <c r="AD999" i="1"/>
  <c r="AD998" i="1"/>
  <c r="AD997" i="1"/>
  <c r="AD996" i="1"/>
  <c r="AD995" i="1"/>
  <c r="AD994" i="1"/>
  <c r="AD993" i="1"/>
  <c r="AD992" i="1"/>
  <c r="AD991" i="1"/>
  <c r="AD990" i="1"/>
  <c r="AD989" i="1"/>
  <c r="AD988" i="1"/>
  <c r="AD987" i="1"/>
  <c r="AD986" i="1"/>
  <c r="AD985" i="1"/>
  <c r="AD984" i="1"/>
  <c r="AD983" i="1"/>
  <c r="AD982" i="1"/>
  <c r="AD981" i="1"/>
  <c r="AD980" i="1"/>
  <c r="AD979" i="1"/>
  <c r="AD978" i="1"/>
  <c r="AD977" i="1"/>
  <c r="AD976" i="1"/>
  <c r="AD975" i="1"/>
  <c r="AD974" i="1"/>
  <c r="AD973" i="1"/>
  <c r="AD972" i="1"/>
  <c r="AD971" i="1"/>
  <c r="AD970" i="1"/>
  <c r="AD969" i="1"/>
  <c r="AD968" i="1"/>
  <c r="AD967" i="1"/>
  <c r="AD966" i="1"/>
  <c r="AD965" i="1"/>
  <c r="AD964" i="1"/>
  <c r="AD963" i="1"/>
  <c r="AD962" i="1"/>
  <c r="AD961" i="1"/>
  <c r="AD960" i="1"/>
  <c r="AD959" i="1"/>
  <c r="AD958" i="1"/>
  <c r="AD957" i="1"/>
  <c r="AD956" i="1"/>
  <c r="AD955" i="1"/>
  <c r="AD954" i="1"/>
  <c r="AD953" i="1"/>
  <c r="AD952" i="1"/>
  <c r="AD951" i="1"/>
  <c r="AD950" i="1"/>
  <c r="AD949" i="1"/>
  <c r="AD948" i="1"/>
  <c r="AD947" i="1"/>
  <c r="AD946" i="1"/>
  <c r="AD945" i="1"/>
  <c r="AD944" i="1"/>
  <c r="AD943" i="1"/>
  <c r="AD942" i="1"/>
  <c r="AD941" i="1"/>
  <c r="AD940" i="1"/>
  <c r="AD939" i="1"/>
  <c r="AD938" i="1"/>
  <c r="AD937" i="1"/>
  <c r="AD936" i="1"/>
  <c r="AD935" i="1"/>
  <c r="AD934" i="1"/>
  <c r="AD933" i="1"/>
  <c r="AD932" i="1"/>
  <c r="AD931" i="1"/>
  <c r="AD930" i="1"/>
  <c r="AD929" i="1"/>
  <c r="AD928" i="1"/>
  <c r="AD927" i="1"/>
  <c r="AD926" i="1"/>
  <c r="AD925" i="1"/>
  <c r="AD924" i="1"/>
  <c r="AD923" i="1"/>
  <c r="AD922" i="1"/>
  <c r="AD921" i="1"/>
  <c r="AD920" i="1"/>
  <c r="AD919" i="1"/>
  <c r="AD918" i="1"/>
  <c r="AD917" i="1"/>
  <c r="AD916" i="1"/>
  <c r="AD915" i="1"/>
  <c r="AD914" i="1"/>
  <c r="AD913" i="1"/>
  <c r="AD912" i="1"/>
  <c r="AD911" i="1"/>
  <c r="AD910" i="1"/>
  <c r="AD909" i="1"/>
  <c r="AD908" i="1"/>
  <c r="AD907" i="1"/>
  <c r="AD906" i="1"/>
  <c r="AD905" i="1"/>
  <c r="AD904" i="1"/>
  <c r="AD903" i="1"/>
  <c r="AD902" i="1"/>
  <c r="AD901" i="1"/>
  <c r="AD900" i="1"/>
  <c r="AD1253" i="1"/>
  <c r="AD1252" i="1"/>
  <c r="AD1251" i="1"/>
  <c r="AD1250" i="1"/>
  <c r="AD1249" i="1"/>
  <c r="AD1248" i="1"/>
  <c r="AD1247" i="1"/>
  <c r="AD1246" i="1"/>
  <c r="AD1245" i="1"/>
  <c r="AD1244" i="1"/>
  <c r="AD1243" i="1"/>
  <c r="AD1242" i="1"/>
  <c r="AD1241" i="1"/>
  <c r="AD1240" i="1"/>
  <c r="AD1239" i="1"/>
  <c r="AD1238" i="1"/>
  <c r="AD1237" i="1"/>
  <c r="AD1236" i="1"/>
  <c r="AD1235" i="1"/>
  <c r="AD1234" i="1"/>
  <c r="AD1233" i="1"/>
  <c r="AD1232" i="1"/>
  <c r="AD1231" i="1"/>
  <c r="AD1230" i="1"/>
  <c r="AD1229" i="1"/>
  <c r="AD1228" i="1"/>
  <c r="AD1227" i="1"/>
  <c r="AD1226" i="1"/>
  <c r="AD1225" i="1"/>
  <c r="AD1224" i="1"/>
  <c r="AD1223" i="1"/>
  <c r="AD1222" i="1"/>
  <c r="AD1221" i="1"/>
  <c r="AD1220" i="1"/>
  <c r="AD1219" i="1"/>
  <c r="AD1218" i="1"/>
  <c r="AD1217" i="1"/>
  <c r="AD1216" i="1"/>
  <c r="AD1215" i="1"/>
  <c r="AD1214" i="1"/>
  <c r="AD1213" i="1"/>
  <c r="AD1212" i="1"/>
  <c r="AD1211" i="1"/>
  <c r="AD1210" i="1"/>
  <c r="AD1209" i="1"/>
  <c r="AD1208" i="1"/>
  <c r="AD1207" i="1"/>
  <c r="AD1206" i="1"/>
  <c r="AD1205" i="1"/>
  <c r="AD1204" i="1"/>
  <c r="AD1203" i="1"/>
  <c r="AD1202" i="1"/>
  <c r="AD1201" i="1"/>
  <c r="AD1200" i="1"/>
  <c r="AD1199" i="1"/>
  <c r="AD1198" i="1"/>
  <c r="AD1197" i="1"/>
  <c r="AD1196" i="1"/>
  <c r="AD1195" i="1"/>
  <c r="AD1194" i="1"/>
  <c r="AD1193" i="1"/>
  <c r="AD1192" i="1"/>
  <c r="AD1191" i="1"/>
  <c r="AD1190" i="1"/>
  <c r="AD1189" i="1"/>
  <c r="AD1188" i="1"/>
  <c r="AD1187" i="1"/>
  <c r="AD1186" i="1"/>
  <c r="AD1185" i="1"/>
  <c r="AD1184" i="1"/>
  <c r="AD1183" i="1"/>
  <c r="AD1182" i="1"/>
  <c r="AD1181" i="1"/>
  <c r="AD1180" i="1"/>
  <c r="AD1179" i="1"/>
  <c r="AD1178" i="1"/>
  <c r="AD1177" i="1"/>
  <c r="AD1176" i="1"/>
  <c r="AD1175" i="1"/>
  <c r="AD1174" i="1"/>
  <c r="AD1173" i="1"/>
  <c r="AD1172" i="1"/>
  <c r="AD1171" i="1"/>
  <c r="AD1170" i="1"/>
  <c r="AD1169" i="1"/>
  <c r="AD1168" i="1"/>
  <c r="AD1167" i="1"/>
  <c r="AD1166" i="1"/>
  <c r="AD1165" i="1"/>
  <c r="AD1164" i="1"/>
  <c r="AD1163" i="1"/>
  <c r="AD1162" i="1"/>
  <c r="AD1161" i="1"/>
  <c r="AD1160" i="1"/>
  <c r="AD1159" i="1"/>
  <c r="AD1158" i="1"/>
  <c r="AD1157" i="1"/>
  <c r="AD1156" i="1"/>
  <c r="AD1155" i="1"/>
  <c r="AD1154" i="1"/>
  <c r="AD1153" i="1"/>
  <c r="AD1152" i="1"/>
  <c r="AD1151" i="1"/>
  <c r="AD1150" i="1"/>
  <c r="AD1149" i="1"/>
  <c r="AD1148" i="1"/>
  <c r="AD1147" i="1"/>
  <c r="AD1146" i="1"/>
  <c r="AD1145" i="1"/>
  <c r="AD1144" i="1"/>
  <c r="AD1143" i="1"/>
  <c r="AD1142" i="1"/>
  <c r="AD1141" i="1"/>
  <c r="AD1140" i="1"/>
  <c r="AD1139" i="1"/>
  <c r="AD1138" i="1"/>
  <c r="AD1137" i="1"/>
  <c r="AD1136" i="1"/>
  <c r="AD1135" i="1"/>
  <c r="AD1134" i="1"/>
  <c r="AD1133" i="1"/>
  <c r="AD1132" i="1"/>
  <c r="AD1131" i="1"/>
  <c r="AD1130" i="1"/>
  <c r="AD1129" i="1"/>
  <c r="AD1128" i="1"/>
  <c r="AD1127" i="1"/>
  <c r="AD1126" i="1"/>
  <c r="AD1125" i="1"/>
  <c r="AD1124" i="1"/>
  <c r="AD1123" i="1"/>
  <c r="AD1122" i="1"/>
  <c r="AD1121" i="1"/>
  <c r="AD1120" i="1"/>
  <c r="AD1119" i="1"/>
  <c r="AD1118" i="1"/>
  <c r="AD1117" i="1"/>
  <c r="AD1116" i="1"/>
  <c r="AD1115" i="1"/>
  <c r="AD1114" i="1"/>
  <c r="AD1113" i="1"/>
  <c r="AD1112" i="1"/>
  <c r="AD1111" i="1"/>
  <c r="AD1110" i="1"/>
  <c r="AD1109" i="1"/>
  <c r="AD1108" i="1"/>
  <c r="AD1107" i="1"/>
  <c r="AD1106" i="1"/>
  <c r="AD1105" i="1"/>
  <c r="AD1104" i="1"/>
  <c r="AD1103" i="1"/>
  <c r="AD1102" i="1"/>
  <c r="AD1101" i="1"/>
  <c r="AD1100" i="1"/>
  <c r="AD1099" i="1"/>
  <c r="AD1098" i="1"/>
  <c r="AD1097" i="1"/>
  <c r="AD1096" i="1"/>
  <c r="AD1095" i="1"/>
  <c r="AD1094" i="1"/>
  <c r="AD1093" i="1"/>
  <c r="AD1092" i="1"/>
  <c r="AD1091" i="1"/>
  <c r="AD1090" i="1"/>
  <c r="AD1089" i="1"/>
  <c r="AD1088" i="1"/>
  <c r="AD1087" i="1"/>
  <c r="AD1086" i="1"/>
  <c r="AD1085" i="1"/>
  <c r="AD1084" i="1"/>
  <c r="AD1083" i="1"/>
  <c r="AD1082" i="1"/>
  <c r="AD1081" i="1"/>
  <c r="AD1080" i="1"/>
  <c r="AD1079" i="1"/>
  <c r="AD1078" i="1"/>
  <c r="AD1077" i="1"/>
  <c r="AD1076" i="1"/>
  <c r="AD1075" i="1"/>
  <c r="AD1074" i="1"/>
  <c r="AD1073" i="1"/>
  <c r="AD1072" i="1"/>
  <c r="AD1071" i="1"/>
  <c r="AD1070" i="1"/>
  <c r="AD1069" i="1"/>
  <c r="AD1068" i="1"/>
  <c r="AD1067" i="1"/>
  <c r="AD1066" i="1"/>
  <c r="AD1065" i="1"/>
  <c r="AD1064" i="1"/>
  <c r="AD1063" i="1"/>
  <c r="AD1062" i="1"/>
  <c r="AD1061" i="1"/>
  <c r="AD1060" i="1"/>
  <c r="AD1059" i="1"/>
  <c r="AD1058" i="1"/>
  <c r="AD1057" i="1"/>
  <c r="AD1056" i="1"/>
  <c r="AD1055" i="1"/>
  <c r="AD1054" i="1"/>
  <c r="AD1053" i="1"/>
  <c r="AD1052" i="1"/>
  <c r="AD1051" i="1"/>
  <c r="AD1050" i="1"/>
  <c r="AD1049" i="1"/>
  <c r="AD1048" i="1"/>
  <c r="AD1047" i="1"/>
  <c r="AD1046" i="1"/>
  <c r="AD1045" i="1"/>
  <c r="AD1044" i="1"/>
  <c r="AD1043" i="1"/>
  <c r="AD1042" i="1"/>
  <c r="AD1041" i="1"/>
  <c r="AD1040" i="1"/>
  <c r="AD1039" i="1"/>
  <c r="AD1038" i="1"/>
  <c r="AD1037" i="1"/>
  <c r="AD1036" i="1"/>
  <c r="AD1035" i="1"/>
  <c r="AD1034" i="1"/>
  <c r="AD1033" i="1"/>
  <c r="AD1032" i="1"/>
  <c r="AD1031" i="1"/>
  <c r="AD1030" i="1"/>
  <c r="AD1029" i="1"/>
  <c r="AD1028" i="1"/>
  <c r="AD1027" i="1"/>
  <c r="AD1026" i="1"/>
  <c r="AD1025" i="1"/>
  <c r="AD1024" i="1"/>
  <c r="AD1023" i="1"/>
  <c r="AD1022" i="1"/>
  <c r="AD1021" i="1"/>
  <c r="AD1020" i="1"/>
  <c r="AD1019" i="1"/>
  <c r="AD1018" i="1"/>
  <c r="AD1017" i="1"/>
  <c r="AD1016" i="1"/>
  <c r="AD1015" i="1"/>
  <c r="AD1014" i="1"/>
  <c r="AD1013" i="1"/>
  <c r="AD1012" i="1"/>
  <c r="AD1011" i="1"/>
  <c r="AD1010" i="1"/>
  <c r="AD447" i="1"/>
  <c r="AD446" i="1"/>
  <c r="AD445" i="1"/>
  <c r="AD444" i="1"/>
  <c r="AD442" i="1"/>
  <c r="AD441" i="1"/>
  <c r="AD440" i="1"/>
  <c r="AD439" i="1"/>
  <c r="AD438" i="1"/>
  <c r="AD437" i="1"/>
  <c r="AD436" i="1"/>
  <c r="AD435" i="1"/>
  <c r="AD434" i="1"/>
  <c r="AD433" i="1"/>
  <c r="AD432" i="1"/>
  <c r="AD431" i="1"/>
  <c r="S786" i="1" s="1"/>
  <c r="AD786" i="1" s="1"/>
  <c r="AD430" i="1"/>
  <c r="AD429" i="1"/>
  <c r="AD468" i="1"/>
  <c r="AD467" i="1"/>
  <c r="AD466" i="1"/>
  <c r="AD465" i="1"/>
  <c r="AD464" i="1"/>
  <c r="AD463" i="1"/>
  <c r="AD462" i="1"/>
  <c r="AD461" i="1"/>
  <c r="AD460" i="1"/>
  <c r="AD459" i="1"/>
  <c r="AD458" i="1"/>
  <c r="AD457" i="1"/>
  <c r="AD456" i="1"/>
  <c r="AD455" i="1"/>
  <c r="AD454" i="1"/>
  <c r="AD453" i="1"/>
  <c r="AD452" i="1"/>
  <c r="AD451" i="1"/>
  <c r="AD450" i="1"/>
  <c r="AD449" i="1"/>
  <c r="AD448" i="1"/>
  <c r="AD109" i="1"/>
  <c r="AD53" i="1"/>
  <c r="AD85" i="1"/>
  <c r="S510" i="1" s="1"/>
  <c r="AD510" i="1" s="1"/>
  <c r="AD83" i="1"/>
  <c r="AD65" i="1"/>
  <c r="AD59" i="1"/>
  <c r="AD124" i="1"/>
  <c r="AD123" i="1"/>
  <c r="AD64" i="1"/>
  <c r="F7" i="5"/>
  <c r="AD337" i="1"/>
  <c r="L7" i="5"/>
  <c r="L10" i="5"/>
  <c r="L9" i="5"/>
  <c r="L8" i="5"/>
  <c r="N25" i="5"/>
  <c r="N24" i="5"/>
  <c r="N23" i="5"/>
  <c r="N22" i="5"/>
  <c r="N21" i="5"/>
  <c r="N20" i="5"/>
  <c r="N19" i="5"/>
  <c r="N18" i="5"/>
  <c r="N17" i="5"/>
  <c r="N16" i="5"/>
  <c r="N15" i="5"/>
  <c r="N14" i="5"/>
  <c r="N13" i="5"/>
  <c r="N12" i="5"/>
  <c r="N11" i="5"/>
  <c r="AD288" i="1"/>
  <c r="AD340" i="1"/>
  <c r="AD339" i="1"/>
  <c r="AD347" i="1"/>
  <c r="AD426" i="1"/>
  <c r="AD338" i="1"/>
  <c r="AD351" i="1"/>
  <c r="AD212" i="1"/>
  <c r="AD336" i="1"/>
  <c r="AD208" i="1"/>
  <c r="AD329" i="1"/>
  <c r="AD330" i="1"/>
  <c r="AD334" i="1"/>
  <c r="AD333" i="1"/>
  <c r="AD332" i="1"/>
  <c r="AD335" i="1"/>
  <c r="AD326" i="1"/>
  <c r="AD325" i="1"/>
  <c r="AD327" i="1"/>
  <c r="AD331" i="1"/>
  <c r="AD324" i="1"/>
  <c r="AD323" i="1"/>
  <c r="AD425" i="1"/>
  <c r="AD152" i="1"/>
  <c r="AD280" i="1"/>
  <c r="AD319" i="1"/>
  <c r="AD318" i="1"/>
  <c r="AD317" i="1"/>
  <c r="AD316" i="1"/>
  <c r="AD315" i="1"/>
  <c r="AD314" i="1"/>
  <c r="AD313" i="1"/>
  <c r="AD311" i="1"/>
  <c r="AD312" i="1"/>
  <c r="AD322" i="1"/>
  <c r="AD321" i="1"/>
  <c r="AD328" i="1"/>
  <c r="AD310" i="1"/>
  <c r="AD320" i="1"/>
  <c r="AD309" i="1"/>
  <c r="AD308" i="1"/>
  <c r="AD187" i="1"/>
  <c r="AD4" i="1"/>
  <c r="S574" i="1" s="1"/>
  <c r="AD574" i="1" s="1"/>
  <c r="AD304" i="1"/>
  <c r="AD305" i="1"/>
  <c r="AD306" i="1"/>
  <c r="AD307" i="1"/>
  <c r="AD302" i="1"/>
  <c r="AD168" i="1"/>
  <c r="AD301" i="1"/>
  <c r="AD300" i="1"/>
  <c r="AD295" i="1"/>
  <c r="AD298" i="1"/>
  <c r="AD418" i="1"/>
  <c r="AD296" i="1"/>
  <c r="AD294" i="1"/>
  <c r="AD293" i="1"/>
  <c r="AD292" i="1"/>
  <c r="AD291" i="1"/>
  <c r="AD290" i="1"/>
  <c r="AD417" i="1"/>
  <c r="AD289" i="1"/>
  <c r="AD303" i="1"/>
  <c r="AD264" i="1"/>
  <c r="AD299" i="1"/>
  <c r="AD297" i="1"/>
  <c r="AD24" i="1"/>
  <c r="AD428" i="1"/>
  <c r="AD358" i="1"/>
  <c r="AD357" i="1"/>
  <c r="AD356" i="1"/>
  <c r="AD355" i="1"/>
  <c r="AD427" i="1"/>
  <c r="AD354" i="1"/>
  <c r="AD353" i="1"/>
  <c r="AD349" i="1"/>
  <c r="AD422" i="1"/>
  <c r="AD348" i="1"/>
  <c r="AD346" i="1"/>
  <c r="AD345" i="1"/>
  <c r="AD352" i="1"/>
  <c r="AD344" i="1"/>
  <c r="AD343" i="1"/>
  <c r="AD342" i="1"/>
  <c r="AD341" i="1"/>
  <c r="AD421" i="1"/>
  <c r="AD211" i="1"/>
  <c r="AD287" i="1"/>
  <c r="AD286" i="1"/>
  <c r="AD285" i="1"/>
  <c r="AD282" i="1"/>
  <c r="AD281" i="1"/>
  <c r="AD95" i="1"/>
  <c r="AD216" i="1"/>
  <c r="AD215" i="1"/>
  <c r="AD141" i="1"/>
  <c r="AD119" i="1"/>
  <c r="AD153" i="1"/>
  <c r="AD55" i="1"/>
  <c r="AD66" i="1"/>
  <c r="AD47" i="1"/>
  <c r="AD38" i="1"/>
  <c r="AD116" i="1"/>
  <c r="AD150" i="1"/>
  <c r="AD177" i="1"/>
  <c r="AD166" i="1"/>
  <c r="AD161" i="1"/>
  <c r="AD404" i="1"/>
  <c r="AD5" i="1"/>
  <c r="AD58" i="1"/>
  <c r="AD88" i="1"/>
  <c r="AD21" i="1"/>
  <c r="AD278" i="1"/>
  <c r="AD277" i="1"/>
  <c r="AD416" i="1"/>
  <c r="AD276" i="1"/>
  <c r="AD415" i="1"/>
  <c r="AD275" i="1"/>
  <c r="AD273" i="1"/>
  <c r="AD272" i="1"/>
  <c r="AD271" i="1"/>
  <c r="AD284" i="1"/>
  <c r="AD283" i="1"/>
  <c r="AD270" i="1"/>
  <c r="AD269" i="1"/>
  <c r="AD268" i="1"/>
  <c r="AD267" i="1"/>
  <c r="AD414" i="1"/>
  <c r="AD20" i="1"/>
  <c r="AD265" i="1"/>
  <c r="AD262" i="1"/>
  <c r="AD261" i="1"/>
  <c r="AD260" i="1"/>
  <c r="AD259" i="1"/>
  <c r="AD274" i="1"/>
  <c r="AD263" i="1"/>
  <c r="AD258" i="1"/>
  <c r="AD424" i="1"/>
  <c r="AD413" i="1"/>
  <c r="AD257" i="1"/>
  <c r="AD256" i="1"/>
  <c r="AD255" i="1"/>
  <c r="AD254" i="1"/>
  <c r="AD253" i="1"/>
  <c r="AD252" i="1"/>
  <c r="AD251" i="1"/>
  <c r="AD250" i="1"/>
  <c r="AD249" i="1"/>
  <c r="AD248" i="1"/>
  <c r="AD247" i="1"/>
  <c r="AD246" i="1"/>
  <c r="AD245" i="1"/>
  <c r="AD243" i="1"/>
  <c r="AD242" i="1"/>
  <c r="AD412" i="1"/>
  <c r="AD94" i="1"/>
  <c r="AD156" i="1"/>
  <c r="AD151" i="1"/>
  <c r="AD158" i="1"/>
  <c r="AD157" i="1"/>
  <c r="F25" i="5"/>
  <c r="F24" i="5"/>
  <c r="F23" i="5"/>
  <c r="F22" i="5"/>
  <c r="F21" i="5"/>
  <c r="F20" i="5"/>
  <c r="F19" i="5"/>
  <c r="F18" i="5"/>
  <c r="F17" i="5"/>
  <c r="F16" i="5"/>
  <c r="F15" i="5"/>
  <c r="F14" i="5"/>
  <c r="F13" i="5"/>
  <c r="F12" i="5"/>
  <c r="F11" i="5"/>
  <c r="F10" i="5"/>
  <c r="F9" i="5"/>
  <c r="F8" i="5"/>
  <c r="F27" i="5" s="1"/>
  <c r="AD16" i="1"/>
  <c r="AD87" i="1"/>
  <c r="AD8" i="1"/>
  <c r="AD10" i="1"/>
  <c r="AD14" i="1"/>
  <c r="AD29" i="1"/>
  <c r="AD32" i="1"/>
  <c r="AD39" i="1"/>
  <c r="AD41" i="1"/>
  <c r="AD52" i="1"/>
  <c r="AD71" i="1"/>
  <c r="AD89" i="1"/>
  <c r="AD92" i="1"/>
  <c r="AD108" i="1"/>
  <c r="AD110" i="1"/>
  <c r="AD111" i="1"/>
  <c r="AD112" i="1"/>
  <c r="AD401" i="1"/>
  <c r="AD78" i="1"/>
  <c r="AD80" i="1"/>
  <c r="AD91" i="1"/>
  <c r="AD101" i="1"/>
  <c r="AD126" i="1"/>
  <c r="AD75" i="1"/>
  <c r="AD114" i="1"/>
  <c r="AD115" i="1"/>
  <c r="AD125" i="1"/>
  <c r="AD127" i="1"/>
  <c r="AD131" i="1"/>
  <c r="AD140" i="1"/>
  <c r="AD40" i="1"/>
  <c r="AD394" i="1"/>
  <c r="AD73" i="1"/>
  <c r="AD81" i="1"/>
  <c r="AD396" i="1"/>
  <c r="AD86" i="1"/>
  <c r="AD113" i="1"/>
  <c r="AD402" i="1"/>
  <c r="AD30" i="1"/>
  <c r="AD50" i="1"/>
  <c r="AD74" i="1"/>
  <c r="AD67" i="1"/>
  <c r="AD117" i="1"/>
  <c r="AD107" i="1"/>
  <c r="AD96" i="1"/>
  <c r="AD97" i="1"/>
  <c r="AD98" i="1"/>
  <c r="AD99" i="1"/>
  <c r="AD100" i="1"/>
  <c r="AD118" i="1"/>
  <c r="AD7" i="1"/>
  <c r="AD11" i="1"/>
  <c r="AD9" i="1"/>
  <c r="AD12" i="1"/>
  <c r="AD392" i="1"/>
  <c r="AD13" i="1"/>
  <c r="AD15" i="1"/>
  <c r="AD17" i="1"/>
  <c r="AD393" i="1"/>
  <c r="AD26" i="1"/>
  <c r="AD18" i="1"/>
  <c r="AD19" i="1"/>
  <c r="AD27" i="1"/>
  <c r="AD28" i="1"/>
  <c r="AD31" i="1"/>
  <c r="AD36" i="1"/>
  <c r="AD403" i="1"/>
  <c r="AD142" i="1"/>
  <c r="AD143" i="1"/>
  <c r="AD57" i="1"/>
  <c r="AD42" i="1"/>
  <c r="AD56" i="1"/>
  <c r="AD60" i="1"/>
  <c r="AD69" i="1"/>
  <c r="AD70" i="1"/>
  <c r="AD72" i="1"/>
  <c r="AD76" i="1"/>
  <c r="AD77" i="1"/>
  <c r="AD82" i="1"/>
  <c r="AD79" i="1"/>
  <c r="AD84" i="1"/>
  <c r="AD93" i="1"/>
  <c r="AD90" i="1"/>
  <c r="AD128" i="1"/>
  <c r="AD102" i="1"/>
  <c r="AD104" i="1"/>
  <c r="AD106" i="1"/>
  <c r="AD132" i="1"/>
  <c r="AD120" i="1"/>
  <c r="AD397" i="1"/>
  <c r="AD121" i="1"/>
  <c r="AD122" i="1"/>
  <c r="AD398" i="1"/>
  <c r="AD399" i="1"/>
  <c r="AD133" i="1"/>
  <c r="AD129" i="1"/>
  <c r="AD130" i="1"/>
  <c r="AD134" i="1"/>
  <c r="AD135" i="1"/>
  <c r="AD136" i="1"/>
  <c r="AD137" i="1"/>
  <c r="AD138" i="1"/>
  <c r="AD145" i="1"/>
  <c r="AD400" i="1"/>
  <c r="AD144" i="1"/>
  <c r="AD244" i="1"/>
  <c r="AD236" i="1"/>
  <c r="AD147" i="1"/>
  <c r="AD148" i="1"/>
  <c r="AD146" i="1"/>
  <c r="AD149" i="1"/>
  <c r="AD37" i="1"/>
  <c r="AD33" i="1"/>
  <c r="AD49" i="1"/>
  <c r="AD51" i="1"/>
  <c r="AD154" i="1"/>
  <c r="AD155" i="1"/>
  <c r="AD405" i="1"/>
  <c r="AD406" i="1"/>
  <c r="AD159" i="1"/>
  <c r="AD160" i="1"/>
  <c r="AD139" i="1"/>
  <c r="AD162" i="1"/>
  <c r="AD163" i="1"/>
  <c r="AD164" i="1"/>
  <c r="AD169" i="1"/>
  <c r="AD165" i="1"/>
  <c r="AD167" i="1"/>
  <c r="AD172" i="1"/>
  <c r="AD170" i="1"/>
  <c r="AD173" i="1"/>
  <c r="AD61" i="1"/>
  <c r="AD35" i="1"/>
  <c r="AD171" i="1"/>
  <c r="AD174" i="1"/>
  <c r="AD68" i="1"/>
  <c r="AD175" i="1"/>
  <c r="AD176" i="1"/>
  <c r="AD178" i="1"/>
  <c r="AD179" i="1"/>
  <c r="AD423" i="1"/>
  <c r="AD180" i="1"/>
  <c r="AD181" i="1"/>
  <c r="AD182" i="1"/>
  <c r="AD407" i="1"/>
  <c r="AD183" i="1"/>
  <c r="AD184" i="1"/>
  <c r="AD185" i="1"/>
  <c r="AD186" i="1"/>
  <c r="AD408" i="1"/>
  <c r="AD188" i="1"/>
  <c r="AD189" i="1"/>
  <c r="S564" i="1" s="1"/>
  <c r="AD564" i="1" s="1"/>
  <c r="AD197" i="1"/>
  <c r="AD193" i="1"/>
  <c r="AD191" i="1"/>
  <c r="AD190" i="1"/>
  <c r="AD194" i="1"/>
  <c r="AD195" i="1"/>
  <c r="AD192" i="1"/>
  <c r="AD196" i="1"/>
  <c r="AD198" i="1"/>
  <c r="AD199" i="1"/>
  <c r="AD200" i="1"/>
  <c r="AD201" i="1"/>
  <c r="AD202" i="1"/>
  <c r="AD203" i="1"/>
  <c r="AD204" i="1"/>
  <c r="AD205" i="1"/>
  <c r="AD206" i="1"/>
  <c r="AD207" i="1"/>
  <c r="AD213" i="1"/>
  <c r="AD214" i="1"/>
  <c r="AD217" i="1"/>
  <c r="AD218" i="1"/>
  <c r="AD221" i="1"/>
  <c r="AD219" i="1"/>
  <c r="AD220" i="1"/>
  <c r="AD222" i="1"/>
  <c r="AD223" i="1"/>
  <c r="AD224" i="1"/>
  <c r="AD225" i="1"/>
  <c r="AD226" i="1"/>
  <c r="AD227" i="1"/>
  <c r="AD228" i="1"/>
  <c r="AD229" i="1"/>
  <c r="AD409" i="1"/>
  <c r="AD410" i="1"/>
  <c r="AD54" i="1"/>
  <c r="AD234" i="1"/>
  <c r="AD230" i="1"/>
  <c r="AD233" i="1"/>
  <c r="AD231" i="1"/>
  <c r="AD232" i="1"/>
  <c r="AD395" i="1"/>
  <c r="AD237" i="1"/>
  <c r="AD235" i="1"/>
  <c r="AD411" i="1"/>
  <c r="AD238" i="1"/>
  <c r="AD239" i="1"/>
  <c r="AD240" i="1"/>
  <c r="AD241" i="1"/>
  <c r="S489" i="1" l="1"/>
  <c r="AD489" i="1" s="1"/>
  <c r="S504" i="1"/>
  <c r="AD504" i="1" s="1"/>
  <c r="S631" i="1" s="1"/>
  <c r="AD631" i="1" s="1"/>
  <c r="S681" i="1"/>
  <c r="AD681" i="1" s="1"/>
  <c r="S597" i="1"/>
  <c r="AD597" i="1" s="1"/>
  <c r="S727" i="1" s="1"/>
  <c r="AD727" i="1" s="1"/>
  <c r="S785" i="1" s="1"/>
  <c r="AD785" i="1" s="1"/>
  <c r="S680" i="1"/>
  <c r="S753" i="1"/>
  <c r="AD753" i="1" s="1"/>
  <c r="S643" i="1"/>
  <c r="AD643" i="1" s="1"/>
  <c r="S660" i="1"/>
  <c r="AD660" i="1" s="1"/>
  <c r="S530" i="1"/>
  <c r="AD530" i="1" s="1"/>
  <c r="S715" i="1"/>
  <c r="AD715" i="1" s="1"/>
  <c r="N2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Camila Ramos</author>
    <author>tc={12785C98-4EFE-4269-BE7C-CFFCD8A537C8}</author>
    <author>tc={30311ED5-2EA9-4645-94BE-B9B659B66EFF}</author>
  </authors>
  <commentList>
    <comment ref="N3" authorId="0" shapeId="0" xr:uid="{00000000-0006-0000-0000-000001000000}">
      <text>
        <r>
          <rPr>
            <sz val="11"/>
            <color theme="1"/>
            <rFont val="Calibri"/>
            <family val="2"/>
            <scheme val="minor"/>
          </rPr>
          <t>Camila Ramos:
SE A CLASSIFICAÇÃO FOR 5 OU 8, ANEXAR REGISTRO DE PORTARIA NA ABERTURA DA REQUISIÇÃO CONFORME ESTÁ NA NORMA.</t>
        </r>
      </text>
    </comment>
    <comment ref="Z11" authorId="0" shapeId="0" xr:uid="{00000000-0006-0000-0000-000002000000}">
      <text>
        <r>
          <rPr>
            <sz val="11"/>
            <color theme="1"/>
            <rFont val="Calibri"/>
            <family val="2"/>
            <scheme val="minor"/>
          </rPr>
          <t>Camila Ramos:
NOTA ENVIADA PARA EMAIL NFE@AURORA NA QUAL NINGUÉM DA UNIDADE RECEBEU PARA DAR AS DEVIDAS TRATATIVAS.
ORIENTADO NOVAMENTE O FORNECEDOR PARA CADASTRAR O EMAIL NFSERVOFAC PARA ENVIO DAS NOTAS DE SERVIÇO.</t>
        </r>
      </text>
    </comment>
    <comment ref="Z147" authorId="1"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Nota enviada para o e-mail correto (nfserviçofac) porém Francilei não realizou a inclusão na 198 dentro do mês de emissão, solicitante Camila responsável pela abertura da rc estava de férias nesse período.</t>
      </text>
    </comment>
    <comment ref="O231" authorId="0" shapeId="0" xr:uid="{00000000-0006-0000-0000-000004000000}">
      <text>
        <r>
          <rPr>
            <sz val="11"/>
            <color theme="1"/>
            <rFont val="Calibri"/>
            <family val="2"/>
            <scheme val="minor"/>
          </rPr>
          <t>Camila Ramos:
Serviço prestado final de 2024 pelo Leonardo Gava, onde tanto o encarregado quanto o fornecedor esqueceram de dar andamento para pagamento do serviço.</t>
        </r>
      </text>
    </comment>
    <comment ref="V235" authorId="0" shapeId="0" xr:uid="{00000000-0006-0000-0000-000005000000}">
      <text>
        <r>
          <rPr>
            <sz val="11"/>
            <color theme="1"/>
            <rFont val="Calibri"/>
            <family val="2"/>
            <scheme val="minor"/>
          </rPr>
          <t>Camila Ramos:
Referente a entrega da peça, a mesma foi levada no dia 16/11 , não foi emitido nota de retorno pois o material foi retirado com romaneio interno da empresa, retornando com o mesmo.</t>
        </r>
      </text>
    </comment>
    <comment ref="O293" authorId="2" shapeId="0" xr:uid="{00000000-0006-0000-0000-000006000000}">
      <text>
        <t>[Threaded comment]
Your version of Excel allows you to read this threaded comment; however, any edits to it will get removed if the file is opened in a newer version of Excel. Learn more: https://go.microsoft.com/fwlink/?linkid=870924
Comment:
    SERVIÇO NÃO PRESTADO ANTES DO PEDIDO, APENAS ABERTO COMO 5 POR SER EMERGENCIAL.</t>
      </text>
    </comment>
  </commentList>
</comments>
</file>

<file path=xl/sharedStrings.xml><?xml version="1.0" encoding="utf-8"?>
<sst xmlns="http://schemas.openxmlformats.org/spreadsheetml/2006/main" count="12199" uniqueCount="2485">
  <si>
    <t>NF SAÍDA</t>
  </si>
  <si>
    <t>REQUISIÇÃO DE COMPRA</t>
  </si>
  <si>
    <t>NF DE SERVIÇO</t>
  </si>
  <si>
    <t>STATUS GERAL</t>
  </si>
  <si>
    <t>ID</t>
  </si>
  <si>
    <t>SOLICITANTE</t>
  </si>
  <si>
    <t>EMPRESA</t>
  </si>
  <si>
    <t>TORNO?</t>
  </si>
  <si>
    <t>DESCRIÇÃO DO SERVIÇO</t>
  </si>
  <si>
    <t>C.A/RATEIO</t>
  </si>
  <si>
    <t>USO</t>
  </si>
  <si>
    <t>QUEM ABRIU 
A RC</t>
  </si>
  <si>
    <t>ORÇAMENTO</t>
  </si>
  <si>
    <t>O.S</t>
  </si>
  <si>
    <t>CLASSIF.</t>
  </si>
  <si>
    <t>JUSTIFICATIVA CLASSIFICAÇÃO</t>
  </si>
  <si>
    <r>
      <rPr>
        <sz val="9"/>
        <color rgb="FF000000"/>
        <rFont val="Calibri"/>
        <scheme val="minor"/>
      </rPr>
      <t xml:space="preserve">SPAF0009 - Acesso portária </t>
    </r>
    <r>
      <rPr>
        <sz val="9"/>
        <color rgb="FFFF0000"/>
        <rFont val="Calibri"/>
        <scheme val="minor"/>
      </rPr>
      <t>p/ classif. 5 e 8</t>
    </r>
  </si>
  <si>
    <t>RC</t>
  </si>
  <si>
    <t>DATA RC</t>
  </si>
  <si>
    <t>PEDIDO</t>
  </si>
  <si>
    <t>VALOR TOTAL DO PEDIDO</t>
  </si>
  <si>
    <t>PREVISÃO PARA USO</t>
  </si>
  <si>
    <t>NF SERVIÇO</t>
  </si>
  <si>
    <t>NF RETORNO E DATA LANÇAMENTO</t>
  </si>
  <si>
    <t>CNPJ AURORA</t>
  </si>
  <si>
    <t>SIMPLES NACIONAL</t>
  </si>
  <si>
    <t>VALOR NF</t>
  </si>
  <si>
    <t>EMISSÃO</t>
  </si>
  <si>
    <t>INCLUSÃO 198</t>
  </si>
  <si>
    <t>STATUS</t>
  </si>
  <si>
    <t>OBS</t>
  </si>
  <si>
    <t xml:space="preserve">SALDO RESIDUAL PEDIDO </t>
  </si>
  <si>
    <t>Alex</t>
  </si>
  <si>
    <t>VELOTANO</t>
  </si>
  <si>
    <t>-</t>
  </si>
  <si>
    <t>SIM</t>
  </si>
  <si>
    <t>TORNO -  USINAGEM / FABRICAÇÃO DE 11  EIXOS PARA POLIDORA DO ABATE COM FORNECIMENTO DE MÃO DE OBRA E MATERIAL.</t>
  </si>
  <si>
    <t>Tayane</t>
  </si>
  <si>
    <t>49 - VELOTANO 74.800,00</t>
  </si>
  <si>
    <r>
      <rPr>
        <sz val="9"/>
        <color rgb="FFFF0000"/>
        <rFont val="Calibri"/>
        <scheme val="minor"/>
      </rPr>
      <t xml:space="preserve">3213
</t>
    </r>
    <r>
      <rPr>
        <sz val="9"/>
        <color rgb="FF000000"/>
        <rFont val="Calibri"/>
        <scheme val="minor"/>
      </rPr>
      <t>3220</t>
    </r>
  </si>
  <si>
    <t>OK</t>
  </si>
  <si>
    <t>8. NF INCLUSA NA 198</t>
  </si>
  <si>
    <t>Eder</t>
  </si>
  <si>
    <t>SOS SERVICE</t>
  </si>
  <si>
    <t>NÃO</t>
  </si>
  <si>
    <t>Descrição: Contratação de serviço de empresa de instalações elétricas manutenção corretiva de pendências geradas da manutenção preventiva “Cabines elétricas de MT/BT” de 2023
Anexos: Descritivo técnico 00009 Revisão Pendências 2023.pdf</t>
  </si>
  <si>
    <t>Francis</t>
  </si>
  <si>
    <t>12073 - SOS SERVICE
547 - C &amp; E SERVICE
18603 - SERCAMP</t>
  </si>
  <si>
    <t>ok</t>
  </si>
  <si>
    <t>10. SALDO CANCELADO</t>
  </si>
  <si>
    <t xml:space="preserve">Cancelado saldo a pedido do Eder </t>
  </si>
  <si>
    <t>Cleiton</t>
  </si>
  <si>
    <t>multtec</t>
  </si>
  <si>
    <t>SERVIÇO DE ASSISTÊNCIA TÉCNICA PARA   MANUTENÇÃO PREVENTIVA PARA 3 X EQUIPAMENTOS F200, 1 X EQUIPAMENTO R535, 2 X EQUIPAMENTOS R145, 12 VISITAS A SEREM REALIZADAS NO PERÍODO DE 12 MESES, INCLUINDO 1 X TÉCNICO ESPECIALISTA, TODAS AS DESPESAS DE VIAGEM, HORAS DE TRABALHO E IMPOSTOS.</t>
  </si>
  <si>
    <t>10. PARCIALMENTE ATENDIDO</t>
  </si>
  <si>
    <t>William G.</t>
  </si>
  <si>
    <t>TESCH</t>
  </si>
  <si>
    <t>SERVIÇO DE MÃO DE OBRA DE 2 ELETRICISTAS, DURANTE 15 DIAS, PARA CONSERTO, INSPEÇÃO E AJUSTES EM CONTROLADORES DE TEMPERATURA 
DOS SETORES DE PRODUÇÃO</t>
  </si>
  <si>
    <t>Camila</t>
  </si>
  <si>
    <t>893 - TESCH 21.700,00.
3 - VOLT 23.887,50
57 - G P DA LUZ 25.650,00</t>
  </si>
  <si>
    <t>9. FINALIZADO 100%</t>
  </si>
  <si>
    <t>Rhuan</t>
  </si>
  <si>
    <t>EQUIPARE</t>
  </si>
  <si>
    <t xml:space="preserve">SERVIÇO DE MÃO DE OBRA PARA REALIZAR MANUTENÇÃO PREVENTIVA NO TRITURADOR DE OSSOS
</t>
  </si>
  <si>
    <t>6664 - EQUIPARE 39.520,00</t>
  </si>
  <si>
    <t>estamos enviando com apenas um orçamento devido o fornecedor Equipare ser o fabricante da máquina.</t>
  </si>
  <si>
    <t>5. NF - PEDIDO GERADO, AGUARDANDO NF</t>
  </si>
  <si>
    <t>DALCI</t>
  </si>
  <si>
    <t>PRESTAÇÃO DE SERVIÇO COM FORNECIMENTO DE MÃO DE OBRA E MATERIAIS PARA A TROCA DOS ROLAMENTOS DIANTEIRO E TRASEIRO DOS TRÊS DIGESTORES DE VÍSCERAS.</t>
  </si>
  <si>
    <t>6834 - EQUIPARE 89.100,00
3 - PICCOLI 43.000,00
100 - PRESTECNICA    84.000,00</t>
  </si>
  <si>
    <t>Eric</t>
  </si>
  <si>
    <t>RT INSTALAÇÕES</t>
  </si>
  <si>
    <t>SERVIÇO DE MÃO DE OBRA E MATERIAL PARA REALIZAR A SUBSTITUIÇÃO DAS JUNTAS EM 4 ESTUFAS TVA VEMAG</t>
  </si>
  <si>
    <t>5388 - RT 53.400,00</t>
  </si>
  <si>
    <t>encaminhamos a solicitação com apenas um orçamento, considerando que o fornecedor RT detém o know-how necessário para a execução precisa da atividade, já tendo prestado este serviço anteriormente ao fabricante das estufas em outras unidades da Aurora.</t>
  </si>
  <si>
    <t>Flavio</t>
  </si>
  <si>
    <t>HAASEN</t>
  </si>
  <si>
    <t>manutenção no trocador de calor água 90°C</t>
  </si>
  <si>
    <t>90625 - TECSUL 19.588,33
HAASEN 11.775,90</t>
  </si>
  <si>
    <t>Somente duas empresas se prontificaram em responder a solicitação, além que as mesmas tem o material a pronta entrega para realizar a manutenção no equipamento.</t>
  </si>
  <si>
    <t>José</t>
  </si>
  <si>
    <t>MAREL</t>
  </si>
  <si>
    <t xml:space="preserve">MATERIAL E MÃO DE OBRA PARA REVISÃO PREVENTIVA NA MÁQUINA V-CUT DO SETORDO ESPOSTEJAMENTO </t>
  </si>
  <si>
    <t>201244 - MAREL 673,76 EUR</t>
  </si>
  <si>
    <t>A manutenção é executada pelo fabricante e parte do plano de preventiva PMS, por isso em anexo apenas um orçamento. </t>
  </si>
  <si>
    <t>Jeverson</t>
  </si>
  <si>
    <t>MAYEKAWA</t>
  </si>
  <si>
    <t>SERVIÇO DE MANUTENÇÃO COM CONTRATO - PRIVADO, REFERENTE A PREVENTIVA E DIFERENÇA DA REVISÃO DO CP04 200VLD E CP05 250 VMD NA UNIDADE. ATENDIMENTO EM FINAL DE SEMANA DAS 08:00 ÀS 17:00</t>
  </si>
  <si>
    <t>157400 - MAYEKAWA 27.204,82</t>
  </si>
  <si>
    <t>Manutenção será realizada no final de semana e no contrato de prestação de serviço fechado com o fornecedor não está incluso a manutenção em final de semana. Devido a falta de equipamento não conseguimos realizar durante a semana como pede.</t>
  </si>
  <si>
    <t xml:space="preserve">NÃO </t>
  </si>
  <si>
    <t>J ORTIZ</t>
  </si>
  <si>
    <t>SERVIÇO DE MÃO DE OBRA E MATERIAL PARA: DEMOLIÇÃO E CONSERTO DA ENTRADA DA BALANÇA EM UMA ÁREA DE 5X4,50(22,5M²) E DESTINAÇÃO DE ENTULHOS, DEMOLIÇÃO DE 4 BASES DE CONCRETO ARMADO EXISTENTES E DESTINAÇÃO DE ENTULHOS, EXECUÇÃO DE 04 NOVAS BASES EM CONCRETO ARMADO COM MEDIDAS DE 50 X 120 E EXECUÇÃO DE 22,5M² DE PAVIMENTO RÍGIDO (CONCRETO ARMADO COM VIGA DE CONCRETO ARMADO PARA REFORÇO NO ACESSO BALANÇA).</t>
  </si>
  <si>
    <t>2025220505 - DE PAULA 96.419,84
3179 - J ORTIZ 73.450,00
46 - FINISSIMA 66.832,00</t>
  </si>
  <si>
    <t>não</t>
  </si>
  <si>
    <t>Bruno</t>
  </si>
  <si>
    <t>METAL C</t>
  </si>
  <si>
    <t>SERVIÇOS DE ADEQUAÇÕES E MELHORIAS MECÂNICAS,  SOLDA EM TUBULAÇÕES  E CHAPAS, E CONTONEIRAS DE AÇO INOX (SOLDAS EM GERAL) E REALIZAR INSTALAÇÃO DE CHAPAS EM AÇO INOX/ALUMINIO NA PAREDE DE ISOPAINEL PARA PROTEÇÃO. SERVIÇOS A SEREM REALIZADOS DENTRO DA UNIDADE FAC DURANTE SEMANA E FINAIS DE SEMANA.</t>
  </si>
  <si>
    <t>25% - 2488
25% -  2224
25% - 2283
25% - 2232</t>
  </si>
  <si>
    <t>2019 - METAL C 61.360,00
56 - LM MONTAGENS 68.880,00.
66 - USICASTRO 67.742,00
92911 - BALENA 75.294,00</t>
  </si>
  <si>
    <r>
      <rPr>
        <sz val="9"/>
        <color rgb="FFFF0000"/>
        <rFont val="Calibri"/>
        <scheme val="minor"/>
      </rPr>
      <t xml:space="preserve">707 
733
</t>
    </r>
    <r>
      <rPr>
        <sz val="9"/>
        <color rgb="FF000000"/>
        <rFont val="Calibri"/>
        <scheme val="minor"/>
      </rPr>
      <t>737</t>
    </r>
  </si>
  <si>
    <t>G P DA LUZ</t>
  </si>
  <si>
    <t>SERVIÇOS DE ELETRICA EM GERAL, LIGAÇÃO DE MOTORES, QUADROS, E LUMINÁRIAS. INSTALAÇÃO DE NOVOS PONTOS PARA MOTORES DE VENTILADORES E TOMADAS CONFORME DEMANDA. TODOS SERVIÇOS SERÃO REALIZADOS DENTRO DA UNIDADE EM DIAS DE SEMANA E FINAL DE SEMANA.</t>
  </si>
  <si>
    <t>50% 2224
50% 2488</t>
  </si>
  <si>
    <t>134 - G P DA LUZ 59.280,00
1024 - TESCH  63.000,00.
2 - VOLT 78.540,00</t>
  </si>
  <si>
    <r>
      <rPr>
        <sz val="9"/>
        <color rgb="FFFF0000"/>
        <rFont val="Calibri"/>
        <scheme val="minor"/>
      </rPr>
      <t xml:space="preserve">316
</t>
    </r>
    <r>
      <rPr>
        <sz val="9"/>
        <color rgb="FF000000"/>
        <rFont val="Calibri"/>
        <scheme val="minor"/>
      </rPr>
      <t>317</t>
    </r>
  </si>
  <si>
    <t>sim</t>
  </si>
  <si>
    <t>BSA</t>
  </si>
  <si>
    <t>Instalações elétricas, automação e melhorias painéis ETA e ETE conforme “MEMORIAL TÉCNICO - Revisão de Painéis elétricos ETA-ETE.pdf”
Serviço deve iniciar dias 26/07 e terminar dias 25/08/25</t>
  </si>
  <si>
    <t>250067A - AUTOMEC 126.987,54
0 - USINAGEM DG 131.653,21
779 - BSA 113.218,17</t>
  </si>
  <si>
    <t>diversas paradas no processo devido a falhas elétricas e em inversores de frequência, provenientes de problemas nas instalações e cabeamentos de rede de automação, também por estarmos com acesso indevido de operadores há cabine elétrica para ligar inversores de forma manual expondo-os ao risco!</t>
  </si>
  <si>
    <t>FIEDLER</t>
  </si>
  <si>
    <t>SERVIÇO DE MÃO DE OBRA PARA 2 DIÁRIAS DE SERVIÇO PARA MANUTENÇÃO DE 1 BOMBA GRUNDFOS</t>
  </si>
  <si>
    <t>392416 - FIEDLER 5.500,00</t>
  </si>
  <si>
    <t>Somente um orçamento devido fornecedor ser representante do sistema de bombeamento Grundfos.</t>
  </si>
  <si>
    <t>10. RC/PEDIDO CANCELADO</t>
  </si>
  <si>
    <t>A pedido do Jeverson por email 24/10.</t>
  </si>
  <si>
    <t>SERVIÇO DE MÃO DE OBRA E MATERIAL PARA MANUTENÇÃO DO TROCADOR DE CALOR ALFA LAVAL MODELO T20MW.</t>
  </si>
  <si>
    <t>07949 - HAASEN 59.135,58
0 - ALMATHI 80.150,154</t>
  </si>
  <si>
    <t>Giovana</t>
  </si>
  <si>
    <t>BRN SOLUCOES INDUSTRIAIS LTDA</t>
  </si>
  <si>
    <t>REVITALIZAÇÃO DE SISTEMA DE AERAÇÃO POR AR DIFUSO ESTAÇÃO DE TRATAMENTO DE EFLUENTE</t>
  </si>
  <si>
    <t>UTC SERVICOS EM INFORMATICA LTDA</t>
  </si>
  <si>
    <t>OBRA - ADEQUAÇÕES INICIAIS FRIGORÍFICO FACAS</t>
  </si>
  <si>
    <t>MALAGUTTI</t>
  </si>
  <si>
    <t>Serviço de material e mão de obra para reparos em 5000 m² no telhado do Abate. Serviço a ser executado na unidade.</t>
  </si>
  <si>
    <t>0 - MALAGUTTI 375.202,85
2575 - CALHAS CHAPECÓ 450.900,00
0 - HERCULES 869..600,00</t>
  </si>
  <si>
    <t>H BREMER</t>
  </si>
  <si>
    <t>SERVIÇO DE MÃO DE OBRA E MATERIAL PARA SUBSTITUIÇÃO DOS REFRATÁRIOS DA CALDEIRA H.BREMER HBFR 15 TON</t>
  </si>
  <si>
    <t>427394 - H. BREMER 149.796,41</t>
  </si>
  <si>
    <t xml:space="preserve"> Somente um orçamento na qual empresa é fabricante do equipamento.</t>
  </si>
  <si>
    <t>nao</t>
  </si>
  <si>
    <t>barbara</t>
  </si>
  <si>
    <t>MONTEMIL</t>
  </si>
  <si>
    <t>SERVIÇO DE ASSISTENCIA TÉCNICA E TREINAMENTO OPERACIONAL NOS EQUIPAMENTOS DO ESPOSTEJAMENTO. ACOMPANHAMENTO DO TÉCNICO NO LOCAL EM DIAS DE SEMANA PARA VERIFICAÇÃO E AJUSTES QUE POSSAM DECORRER</t>
  </si>
  <si>
    <t>1003925 - MONTEMIL 14.890,00</t>
  </si>
  <si>
    <t>Devido ser o fabricante do equipamento</t>
  </si>
  <si>
    <t>Rafael B.</t>
  </si>
  <si>
    <t>BALENA</t>
  </si>
  <si>
    <t>ORDEM REFERENTE À SERVIÇO COM URGÊNCIA NA TELA DA ROSCA DO PERCOLADOR DEVIDO A POSSÍVEL QUEBRA DO EQUIPAMENTO E PERCA DE PRODUÇÃO E DANOS A DEMAIS EQUIPAMENTOS</t>
  </si>
  <si>
    <t>13 - USICASTRO 62.320,00
2037 - METAL C 59.500,00 
93023  - BALENA 50.318,08</t>
  </si>
  <si>
    <t>Necessidade de serviço urgente na tela da rosca do percolador com urgência devido a possível quebra do equipamento e perca de produção e danos a demais equipamentos.</t>
  </si>
  <si>
    <t>BUSCH</t>
  </si>
  <si>
    <t>SERVIÇO DE REVISÃO COM MÃO DE OBRA E PEÇAS, EM DUAS MOTOBOMBAS DE VÁCUO, SENDO:
1 MOTOBOMBA DE VÁCUO BUSCH RA 160 SN C1403000182, DO SETOR FRESCAIS (SFR - 4057);
1 MOTOBOMBA DE VÁCUO BUSCH RA 0305 D 5H3 SN C1434000300, DO SETOR PRESUNTARIA (PRU - 2291).
OBS: REVISÃO SERÁ FEITA NA UNIDADE</t>
  </si>
  <si>
    <t>455000013 - BUSCH 77.730,14</t>
  </si>
  <si>
    <t>estamos enviando com apenas um orçamento, devido o fornecedor ser o fabricante dos equipamentos.</t>
  </si>
  <si>
    <t>William Felipe</t>
  </si>
  <si>
    <t>TORNO - usinagem em redutor estufas</t>
  </si>
  <si>
    <t>VELOTANO 372</t>
  </si>
  <si>
    <t xml:space="preserve">3914 - 18/09/25
3882 - 21/08/25
3938 - 01/10/25
3963 - </t>
  </si>
  <si>
    <t>EMS</t>
  </si>
  <si>
    <t>CONTRATAÇÃO DE SERVIÇO E MATERIAIS PARA SUBSTITUIR O TRILHO "T" DA NORIA DE MONOBLOCOS QUE ESTÁ DANIFICADA. SEERVIÇO A SER REALIZADO DENTRO DA UNIDADE EM FINAL DE SEMANA.</t>
  </si>
  <si>
    <t>5532 - RT 385.300,00
9572 - METAL SUL 298.638,90
2507104 - ESTRELA METAIS 305.299,00</t>
  </si>
  <si>
    <r>
      <rPr>
        <sz val="9"/>
        <color rgb="FFFF0000"/>
        <rFont val="Calibri"/>
        <scheme val="minor"/>
      </rPr>
      <t xml:space="preserve">4333415
</t>
    </r>
    <r>
      <rPr>
        <sz val="9"/>
        <color rgb="FF000000"/>
        <rFont val="Calibri"/>
        <scheme val="minor"/>
      </rPr>
      <t>4439475</t>
    </r>
  </si>
  <si>
    <t>SERVIÇO DE CONSERTO EM MOTOBOMBA DE VÁCUO BUSCH 
WV 1000 C 001 SN C1407000742</t>
  </si>
  <si>
    <t>442003939 - BUSCH 47.367,10</t>
  </si>
  <si>
    <t>121467 - 09/12/25
121465 - 09/12/25</t>
  </si>
  <si>
    <t>STEMAC</t>
  </si>
  <si>
    <t>Serviço de manutenção do gerador do ADM, troca do tanque combustível, sensor de rotação e demais itens necessários da última manutenção.</t>
  </si>
  <si>
    <t>20815755 - STEMAC</t>
  </si>
  <si>
    <t>Somente um orçamento na qual fornecedor é fabricante do equipamento.</t>
  </si>
  <si>
    <t>4.820,09
8.454,30</t>
  </si>
  <si>
    <t>18/09/2025 - 10/11/2025</t>
  </si>
  <si>
    <t>CANCELAR SALDO RESÍDUA REFERENTE A IMPOSTO DE NF DE MATERIAL</t>
  </si>
  <si>
    <t>STIFF REGRIGERAÇÃO</t>
  </si>
  <si>
    <t xml:space="preserve">SERVIÇO DE SUBSTITUIÇÃO DOS BLOCOS SERPENTINAS DO ABSORVEDOR.
</t>
  </si>
  <si>
    <t>SOMENTE DOIS ORÇAMENTOS ONDE EMPRESAS TEM A MÃO DE OBRA QUALIFICADA PARA O ATENDIMENTO DA DEMANDA SOLICITADA DA PARTE DE REFRIGERAÇÃO.</t>
  </si>
  <si>
    <t>METAL MARC</t>
  </si>
  <si>
    <t>Serviço de assistência técnica, de quatro dias para a troca do corpo de passagem de massa da embutideira da presuntaria, com acompanhamento um dia antes e um dia após sua substituição.</t>
  </si>
  <si>
    <t>54 - METAL MARC 30.120,00</t>
  </si>
  <si>
    <t xml:space="preserve">APENAS UM ORÇAMENTO POIS A METAL MARC É EMPRSA TERCEIRA REPRESENTANTE DA METALQUIMIA, E POSSUI LIBERAÇÃO PARA REALIZAR MANUTENÇÕES NAS MÁQUINAS E EQUIPAMENTOS.
</t>
  </si>
  <si>
    <t xml:space="preserve">Manutenção no gerador de energia STEMAC , no qual necessita a troca da bateria que não é adequada hoje e substituição do óleo do motor revisão em geral. </t>
  </si>
  <si>
    <t>20816233 - STEMAC</t>
  </si>
  <si>
    <t xml:space="preserve">JUSTIFICATIVA DE 1 ORÇAMENTO: Necessidade de manutenção no gerador de energia, no qual necessita a troca da bateria que não é adequada hoje e substituição do óleo do motor que conforme orientação do técnico faz necessário devido ao acumulo de água que tivemos neste motor. </t>
  </si>
  <si>
    <t>186516 - 186517</t>
  </si>
  <si>
    <t>7.547,45 
4.304,59</t>
  </si>
  <si>
    <t>22/09/2025 - 10/11/2025</t>
  </si>
  <si>
    <t>C.O. MUELLER</t>
  </si>
  <si>
    <t>Conserto de bomba do tanque de reaproveitamento</t>
  </si>
  <si>
    <t>1517671 - C.O. MUELLER</t>
  </si>
  <si>
    <t>68991 - 04/11/25</t>
  </si>
  <si>
    <t>SERVIÇO DE CONSERTO EM MOTOBOMBA DE VÁCUO BUSCH WV 0500 C 001 SN C1426000540</t>
  </si>
  <si>
    <t>442003938 BUSCH 64.483,29</t>
  </si>
  <si>
    <t>Thales</t>
  </si>
  <si>
    <t>MAINGER ELECTRIC</t>
  </si>
  <si>
    <t>Serviço de mão de obra e material para realizar o conserto em inversor de frequência Lenze utilizado na Textor.</t>
  </si>
  <si>
    <t>919 - MAINGER ELECTRIC 3.800,00</t>
  </si>
  <si>
    <t>A pedido do Thales.</t>
  </si>
  <si>
    <t>C O MUELLER</t>
  </si>
  <si>
    <t xml:space="preserve">SERVIÇO DE CONSERTO EM MOTOBOMBA OMEL BVM/11-156/60 SN 206.048
</t>
  </si>
  <si>
    <t>1.517.889 - C O MUELLER 21.371,00</t>
  </si>
  <si>
    <t>68523 - 03/10/25</t>
  </si>
  <si>
    <t>PHDS</t>
  </si>
  <si>
    <t>SERVIÇO DE MATERIAL E MÃO DE OBRA PARA CONFECÇÃO DE UM CAVALETE, QUE SERÁ UTILIZADO PARA REMOÇÃO E DESLOCAMENTO DOS REDUTORES DOS DIGESTORES DA FFG.
CAVALETE UTILIZADO NA MANUTENÇÃO PREVENTIVA DE TROCA DOS ROLAMENTOS DOS DIGESTORES.</t>
  </si>
  <si>
    <t>13 - PHDS</t>
  </si>
  <si>
    <t>MASTER</t>
  </si>
  <si>
    <t>48 - MASTER</t>
  </si>
  <si>
    <t xml:space="preserve">OK </t>
  </si>
  <si>
    <t>MASTER / LUCOL</t>
  </si>
  <si>
    <t>Contratação de empresa de construção civil para fornecimento de material e mão de obra na execução, de Entrada Sanitária, Câmara de Matéria Prima, Lavagem de Contentores e Ampliação da Sala de Máquinas do Frigorífico Aurora Coop de Castro (FAC).</t>
  </si>
  <si>
    <t>ATENAS BOMBAS</t>
  </si>
  <si>
    <t xml:space="preserve">conserto em bomba do tanque de água 70ºC para a salamaria. </t>
  </si>
  <si>
    <t>13091 - 11/11</t>
  </si>
  <si>
    <t>SEW</t>
  </si>
  <si>
    <t>SERVIÇO DE CONSERTO EM MOTOREDUTOR SEW KHF37 CM71L/BR/HR/TF/RH1L/KK</t>
  </si>
  <si>
    <t>4827467 - SEW 10.358,24</t>
  </si>
  <si>
    <t>25396 - 16/09/25
25742 - 19/11/25</t>
  </si>
  <si>
    <t>serviço com material e mão de obra para instalação do painel de transferência para comutação automática do gerador de energia ADM</t>
  </si>
  <si>
    <t>20816066 - STEMAC</t>
  </si>
  <si>
    <t>Somente um fornecedor onde o mesmo é fabricante do equipamento.</t>
  </si>
  <si>
    <t>TORNO - usinagem em redutor da esteira textor</t>
  </si>
  <si>
    <t xml:space="preserve">3913 - 19/09/25
3962 - </t>
  </si>
  <si>
    <t>DUSPOR</t>
  </si>
  <si>
    <t>instalação de porta vai e vem no corredor de acesso das câmaras de resfriamento de carcaça. Uso 05. com material e mão de obra</t>
  </si>
  <si>
    <t xml:space="preserve"> 2890 - DUSPOR</t>
  </si>
  <si>
    <t>Somente uma empresa onde fornecedor possui know-how especifico com experiencia comprovada na área e domínio do processo, garantindo maior confiabilidade, segurança e qualidade.</t>
  </si>
  <si>
    <t>TOLEDO DO BRASIL INDÚSTRIA DE BALAN LTDA</t>
  </si>
  <si>
    <t>SERVIÇO DE MÃO DE OBRA PARA REALIZAR A RETIRADA DA BALANÇA RODOVIÁRIA DO FOSSO, INSTALAÇÃO APÓS AS ADEQUAÇÕES DA BASE E CALIBRAÇÃO.</t>
  </si>
  <si>
    <t xml:space="preserve">Justificativa: estamos enviando com apenas um orçamento devido o fornecedor Toledo ter sido o responsável pelas últimas calibrações do equipamento, e ter realizado o levantamento de todas medidas necessárias e normativas para a realização do serviço.
</t>
  </si>
  <si>
    <r>
      <rPr>
        <sz val="9"/>
        <color rgb="FF000000"/>
        <rFont val="Calibri"/>
        <scheme val="minor"/>
      </rPr>
      <t xml:space="preserve">4235917
</t>
    </r>
    <r>
      <rPr>
        <sz val="9"/>
        <color rgb="FFFF0000"/>
        <rFont val="Calibri"/>
        <scheme val="minor"/>
      </rPr>
      <t>4358208</t>
    </r>
  </si>
  <si>
    <t xml:space="preserve">Justificativa: Devido ao serviço ser executado por empresa fabricante do equipamento, Toledo Brasil, e os mesmos já estarão presentes na unidades executando outro serviço na mesma balança rodoviária, faz-se necessária a urgência do pedido e a anexação de orçamento único. </t>
  </si>
  <si>
    <t>RGM</t>
  </si>
  <si>
    <t>CONSERTO EM SOFTSTARTER CASA DE BOMBAS MODELO 3RW4424-1BC44 MARCA SIEMENS.</t>
  </si>
  <si>
    <t>7135 - 07/10/25
7376 - 24/11/25</t>
  </si>
  <si>
    <t>Francilei</t>
  </si>
  <si>
    <t>PROMAEK</t>
  </si>
  <si>
    <t>Inspeção das linhas de vida da unidade.</t>
  </si>
  <si>
    <t>MATERIAL E MÃO DE OBRA PARA MANUTENÇÃO PREVENTIVA DO MOEDOR BG-40S</t>
  </si>
  <si>
    <t>196232 - MAREL</t>
  </si>
  <si>
    <t xml:space="preserve">Trata-se de orçamento incluso no plano de manutenção preventiva feita pelo próprio fabricante da máquina. </t>
  </si>
  <si>
    <t>MONTAGIO</t>
  </si>
  <si>
    <t>SERVIÇO DE INSPEÇÃO NAS ESTRUTURAS DE ARMAZENAMENTO DA EXPEDIÇÃO. SERVIÇO A SER REALIZADO DENTRO DA UNIDADE EM DIAS NORMAIS E FINAL DE SEMANA.</t>
  </si>
  <si>
    <t>2149 - MONTAGGIO</t>
  </si>
  <si>
    <t>Justificativa um orçamento: Empresa especializada em inspeções de sistemas de armazenamento e indicada pelo fabricante dos porta paletes que temos instalado na unidade.</t>
  </si>
  <si>
    <t xml:space="preserve">REALIZAR A SUBSTITUIÇÃO DE APROXIMADAMENTE 48 METROS DE TUBULAÇÃO DE 4”, 48 METROS DE 
TUBULAÇÃO DE 3”, 48 METROS DE TUBULAÇÃO DE 2”, 20 METROS DE TUBULAÇÃO DE 1”, 20 METROS DE 
TUBULAÇÃO DE ¾” E 20 METROS DE TUBULAÇÃO DE ½” (MEDIDAS APROXIMADAS), SUBSTITUIÇÃO DE 
TUBULAÇÃO DE AÇO CARBONO POR TUBOS DE INOX.
</t>
  </si>
  <si>
    <t>4588-2488</t>
  </si>
  <si>
    <t>2013 - METAL C</t>
  </si>
  <si>
    <t>JOACIR</t>
  </si>
  <si>
    <t xml:space="preserve">SERVIÇOS REFERENTE À DE MÃO DE OBRA DE MANUTENÇÃO EM PORTAS MODELO ISOBLOCK SENDO:
• PORTAS INDUSTRIA E ABATE
• TROCA DE BORRACHAS
• FABRICAÇÃO E SUBSTITUIÇÃO DE PERFIS MEIA ESQUADRIA
• CHAPEAR PORTAS
• VEDAÇÕES
• INSTALAÇÃO DE GUIAS
• REGULAGEM DAS PORTAS
• OBS: 03 COLABORADORES / 4 DIÁRIAS FIM DE SEMANA
</t>
  </si>
  <si>
    <t xml:space="preserve"> 762 - JOACIR</t>
  </si>
  <si>
    <t>ÚNICO FORNECEDOR DISPONÍVEL NA REGIÃO QUE TEM CONHECIMENTO MANUSEIO E SERVIÇOS DE ISOPAINEL HOMOLOGADO PELA MANUTENÇÃO, PARA REALIZAÇÃO DE SERVIÇOS DENTRO DA UNIDADE COM CONHECIMENTO DA PLANTA ATENTENDO AS NECESSIDADES REAIS DO PROCESSO</t>
  </si>
  <si>
    <t>Tiago F.</t>
  </si>
  <si>
    <t xml:space="preserve">THDS </t>
  </si>
  <si>
    <t>TORNO - CONSERTO DE PORTÃO DA MOEGA  DE RECEBIMNETO DE RESÍDUOS ( SEGURANÇA DE TERECIROS QUE FAZEM O DESCARREGAMENTO DE RESÍDUOS DA INDUSTRIA)</t>
  </si>
  <si>
    <t>Tiago</t>
  </si>
  <si>
    <t>DE PAULA SOLUÇÕES</t>
  </si>
  <si>
    <t xml:space="preserve">PREPARAÇÃO E PINTURA DE SUPERFÍCIE, EM EPÓXI BRANCO (450 M²);
PREPARAÇÃO E PINTURA DE RODAPÉS, EM EPÓXI CINZA (100 M²);
PINTURA INTERNA E EXTERNA DE PORTAS, NA COR AMARELA (15 UN.);
PREPARAÇÃO E PINTURA DE VENTILADORES TIPO AVIÁRIO, NA COR CINZA (20 UN.);
</t>
  </si>
  <si>
    <t xml:space="preserve">2488 25%
4588 25%
5345 25%
2283 25%
</t>
  </si>
  <si>
    <t>120902 - DE PAULA SOLUÇÕES</t>
  </si>
  <si>
    <t>NECESSIDADE DE PINTURA COM URGÊNCIA REFERENTE A NECESSIDADE DE ATENDER PRAZOS DE AUTO CONTROLE E PRAZOS DO SIF</t>
  </si>
  <si>
    <t>STEAM PRIME</t>
  </si>
  <si>
    <t>Conserto para as válvulas de bloqueio de vapor do setor geração de vapor</t>
  </si>
  <si>
    <t xml:space="preserve"> 11467 - STEAM PRIME</t>
  </si>
  <si>
    <t>20039 - 11/11/25</t>
  </si>
  <si>
    <t>BRAPENTA</t>
  </si>
  <si>
    <t xml:space="preserve">Serviço assistência técnica detector de metais loma </t>
  </si>
  <si>
    <t>OTECCR250913 - BRAPENTA  3.664,00</t>
  </si>
  <si>
    <t>Detector de metais loma IQ3 da f200 embalagem apresentou falhas onde não conseguimos identificar o problema, assim necessitamos do serviço de um técnico especializado LOMA para nos ajudar, pois foi necessário locar um equipamento para não parar a máquina. Estamos tento custo de aluguel e precisamos consertar o quanto antes nosso detector.</t>
  </si>
  <si>
    <t>ORDEM REFERENTE À MÃO DE OBRA DE SERVIÇO DE CIVIL PARA REALIZAÇÃO DE REPARO EM 100M² DE PISO EM URETANO, REPARO EM 30 PONTOS EM RODAPÉ EM URETANO.</t>
  </si>
  <si>
    <t>NECESSIDADE DE REALIZAÇÃO SE SERVIÇOS DE REPARO EM PISO PAR TRABALHO EM FINAL DE SEMANA COM URGÊNCIA REFERENTE A NECESSIDADE DE ATENDER SOLICITAÇÕES DE QUALIDADE, PRAZOS DE AUTO CONTROLE E PRAZOS DO SIF</t>
  </si>
  <si>
    <t xml:space="preserve"> J ORTIZ CASTANHO LTDA</t>
  </si>
  <si>
    <t>SERVIÇO DE ABERTURA DE DOIS VÃOS PARA COLOCAÇÃO DE VENTILADORES PARA REALIZAR A EXAUSTÃO NO SETOR DE GALERIA TÉCNICA - SERVIÇO A SER EXECUTADO DENTRO DA UNIDADE EM FINAL DE SEMANA</t>
  </si>
  <si>
    <t>3333 - J ORTIZ CASTANHO LTDA</t>
  </si>
  <si>
    <t>SERVIÇO DE SUBSTITUIÇÃO DE TUBULAÇÕES QUE ESTÃO OXIDADAS EM DIVERSOS PONTOS SOBRE O PISO TÉCNICO DA UNIDADE - PONTOS PREVISTOS PARA SUBSTITUIÇÃO ABATE, CORTES, MIUDOS INTERNOS E EXTERNOS - SERVIÇO A SER EXECUTADO DENTRO DA UNIDADE EM DIAS DE SEMANA E FINAIS DE SEMANA</t>
  </si>
  <si>
    <t xml:space="preserve">40% - ABATE 2488
40% - ESPOSTEJAMENTO 2224
10% MI - 2739
10% ME - 2721
</t>
  </si>
  <si>
    <t>2097 - METAL C</t>
  </si>
  <si>
    <t xml:space="preserve">Munters Brasil </t>
  </si>
  <si>
    <t>SERVIÇO DE MÃO DE OBRA E MATERIAL PARA SUBSTITUIÇÃO DO KIT DE SELOS COM CLIPS, CORREIA DE ACIONAMENTO, ROLETE DE SUPORTE PARA CILINDRO, MOTOR DE ACIONAMENTO E CONJUNTO VENTILADOR DO CONE PARA MOTOR DA CARCAÇA DO DESUMIDIFICADOR MUNTERS HCD 4500</t>
  </si>
  <si>
    <t>Justificativa: estamos enviando com apenas um orçamento devido o fornecedor Münters ser o fabricante da máquina.</t>
  </si>
  <si>
    <t>G.P DA LUZ</t>
  </si>
  <si>
    <t>SERVIÇOS DE ELÉTRICA COMO MONTAGEM DE INFRAS E PASSAGEM DE CABOS, MONTAGEM DE TOMADAS, LIGAÇÃO DE APARELHOS E REFORMA DE PAINEIS ELÉTRICOS. SERVIÇO DE DESLIGAMENTO E REMOÇÃO DE INFRAS INUTILIZADAS QUE ESTÃO OBSOLETAS E SEM USO. TODOS OS SERVIÇOS SERÃO EXECUTADOS DENTRO DA UNIDADE FAC EM DIAS DE SEMANA E FINAIS DE SEMANA</t>
  </si>
  <si>
    <t>2224-2488</t>
  </si>
  <si>
    <t>176 - GP DA LUZ</t>
  </si>
  <si>
    <r>
      <rPr>
        <sz val="9"/>
        <color rgb="FFFF0000"/>
        <rFont val="Calibri"/>
        <scheme val="minor"/>
      </rPr>
      <t xml:space="preserve">333
361
</t>
    </r>
    <r>
      <rPr>
        <sz val="9"/>
        <color rgb="FF000000"/>
        <rFont val="Calibri"/>
        <scheme val="minor"/>
      </rPr>
      <t>376</t>
    </r>
  </si>
  <si>
    <t>03/11/2025 - 19/11/2025
01/12/2025</t>
  </si>
  <si>
    <t>TORNO - conserto em peça utilizada nos riscadores da deboflex</t>
  </si>
  <si>
    <t>93784 - BALENA 3.455,93</t>
  </si>
  <si>
    <t>20317 - 21/10/25</t>
  </si>
  <si>
    <t>TORNO -  usinagem em placa de selagem multivac f200 finas</t>
  </si>
  <si>
    <t>Marcos</t>
  </si>
  <si>
    <t>TORNO - FABRICAÇÃO DE BOTOEIRAS EM INOX CONFORME AMOSTRAS</t>
  </si>
  <si>
    <t>235 - THOMAZ &amp; BARONI 7.500,00
220 - EDINOX 8.522,73
379 - VELOTANO 7.275,00</t>
  </si>
  <si>
    <t>Rafael S.</t>
  </si>
  <si>
    <t>VALENGA</t>
  </si>
  <si>
    <t>SERVIÇO DE MANUTENÇÃO PREVENTIVA DE 1000H DA MÁQUINA PÁ CARREGADEIRA BRUTUS E SUBSTITUIÇÃO DE LÂMINA QUE ESTÁ COM DESGASTE.</t>
  </si>
  <si>
    <t>Yasmin</t>
  </si>
  <si>
    <t>207 - VALENGA</t>
  </si>
  <si>
    <t>ENCAMINHADO UM ÚNICO ORÇAMENTO, POIS A MECÂNICA VALENGA É AUTORIZADA BRUTUS PARA PRESTAR A CORRETA E EFICIENTE MANUTENÇÃO PREVENTIVA.</t>
  </si>
  <si>
    <t>ELETROTEC</t>
  </si>
  <si>
    <t>SERVIÇO DE CONSERTO DE MOTOR DO COMPRESSOR DE AMONIA 2 DA SALA DE MÁQUINAS</t>
  </si>
  <si>
    <t>12857 - ELETROTEC</t>
  </si>
  <si>
    <t>Igor</t>
  </si>
  <si>
    <t>TORNO - USINAGEM EM CASTANHAS DA RODA DEBOFLEX</t>
  </si>
  <si>
    <t>397 - VELOTANO 4.920,00</t>
  </si>
  <si>
    <t>3942 - 09/10/25</t>
  </si>
  <si>
    <t>SERVIÇO DE MAO DE OBRA PARA ADEQUAÇÃO DA ESTAÇÃO DE PESAGEM DA MWS DA PALETIZAÇÃO SENDO REFORMA DA ESTEIRA EXISTENTE, DESEMPENAMENTO DA ESTRUTURA , CORREÇÃO E LIMPEZA DE SOLDAS, CONSERTO DOS GUIAS DIRECIONADORES SERVIÇO A SER EXECUTADO FORA DA UNIDADE CONFORME NF DE SAÍDA 37566</t>
  </si>
  <si>
    <t xml:space="preserve"> 93783 - BALENA</t>
  </si>
  <si>
    <t>20258 - 03/10/25</t>
  </si>
  <si>
    <t>TORNO - MÃO DE OBRA PARA REFORMA DE 55 CARRETILHAS</t>
  </si>
  <si>
    <t>93848 - BALENA 11.639,32</t>
  </si>
  <si>
    <t>20289 - 14/10/25</t>
  </si>
  <si>
    <t>TORNO - confecção de roletes, envolvendo usinagem, para a linha Velati que está sem. A ausência destes acaba aumentando o desgaste do equipamento e esteira.</t>
  </si>
  <si>
    <t>93907 - BALENA 5.627,18
417 - USICASTRO 5.775,00
400 - VELOTANO 2.685,00</t>
  </si>
  <si>
    <t>ISOBLOCK</t>
  </si>
  <si>
    <t>SERVIÇO DE INSTALAÇÃO DE PORTA FRIGORÍFICA INDUSTRIAL</t>
  </si>
  <si>
    <t xml:space="preserve">124198 - ISOBLOCK </t>
  </si>
  <si>
    <t>: APENAS UM ORÇAMENTO A FIM DE MANTER A PADRONIZAÇÃO DAS PORTAS INSTALADAS NA INDUSTRIA, ONDE JÁ POSSUÍMOS PORTAS INSTALADAS DO MESMO FORNECEDOR.</t>
  </si>
  <si>
    <r>
      <rPr>
        <sz val="9"/>
        <color rgb="FFFF0000"/>
        <rFont val="Calibri"/>
        <scheme val="minor"/>
      </rPr>
      <t xml:space="preserve">4383638
</t>
    </r>
    <r>
      <rPr>
        <sz val="9"/>
        <color rgb="FF000000"/>
        <rFont val="Calibri"/>
        <scheme val="minor"/>
      </rPr>
      <t>4532526</t>
    </r>
  </si>
  <si>
    <t>C&amp;E SERVICE INSTALACOES INDUSTRIAIS LTDA</t>
  </si>
  <si>
    <t>Manutenção preventiva em 37 cabines 
elétricas da unidade</t>
  </si>
  <si>
    <t>725 - C &amp; E SERVICE INSTAÇÕES INDUSTRIAIS LTDA</t>
  </si>
  <si>
    <t>AGRINOX</t>
  </si>
  <si>
    <t>substituição de tubulação e isolação no setor de higienização de monoblocos verdes indústria e cozimento de miúdos, conforme descrito em memorial descritivo.</t>
  </si>
  <si>
    <t>35%: 2721
65% 2283</t>
  </si>
  <si>
    <t>115 - USICASTRO 24.642,07
24125 - AGRINOX 12.900,00
2090 - METAL C 21.900,00
222 - EDINOX 15.738,64</t>
  </si>
  <si>
    <t>O motivo da urgência é devido ao fato de que as tubulações descritas no memorial estão bastante oxidadas e expostas aos colaboradores, gerando riscos de queimaduras. O serviço também vem apontado no monitoramento em planilhas de autocontrole que vão para o SIF.</t>
  </si>
  <si>
    <t>Emanuel</t>
  </si>
  <si>
    <t>TORNO - usinagem roldanas, para Máquina de lavar monobloblo KUCMAQ</t>
  </si>
  <si>
    <t>93887 - BALENA 5.722,31</t>
  </si>
  <si>
    <t>20319 - 21/10/25</t>
  </si>
  <si>
    <t>TORNO - usinagem peças de regulagem de fluxo das lavadoras de alta pressão higienização.</t>
  </si>
  <si>
    <t>93863 - BALENA 4.928,00</t>
  </si>
  <si>
    <t>20318 - 21/10/25</t>
  </si>
  <si>
    <t>ATIVA PRO</t>
  </si>
  <si>
    <t>CONSERTO EM IHM DA EMBUTIDEIRA HANDTMANN MODELO VF830</t>
  </si>
  <si>
    <t>80194 - ATIVA PRO 5.417,20</t>
  </si>
  <si>
    <t>325 - 19/11/25</t>
  </si>
  <si>
    <t>EDINOX MANUTENÇÃO INDUSTRIAL LTDA</t>
  </si>
  <si>
    <t>Remoção e instalação de duto em inox conforme medidas do existente para o sistema de exaustão da sala de pesagem de condimentos</t>
  </si>
  <si>
    <t>232 - EDINOX MANUTENÇÃO INDUSTRIAL LTDA</t>
  </si>
  <si>
    <t>CONSERTO DE 40 MANEIAS UTILIZADAS NO TAM DE SANGRIA.</t>
  </si>
  <si>
    <t>93912 - BALENA 23.232,00</t>
  </si>
  <si>
    <t>20289 - 14/10/25
20354 - 29/10/25</t>
  </si>
  <si>
    <t>BERMO</t>
  </si>
  <si>
    <t xml:space="preserve">CONSERTO EM: UMA VÁLVULA REDUTORA DE PRESSÃO DN 2" M14 E UMA VÁLVULA REDUTORA DE PRESSÃO DN 2" MP-10
</t>
  </si>
  <si>
    <t>59.263 - BERMO 6.080,00</t>
  </si>
  <si>
    <t>28536 - 10/11/25</t>
  </si>
  <si>
    <t>ARTEFATOS DE BORRACHA PCR LTDA</t>
  </si>
  <si>
    <t>Serviço de material e mão de obra para reforma de cilindros de tração do equipamento MÁQUINA DE TRIPAS.</t>
  </si>
  <si>
    <t xml:space="preserve"> 122751 - ARTEFATOS DE BORRACHA PCR LTDA</t>
  </si>
  <si>
    <t>99571 - 24/10/25</t>
  </si>
  <si>
    <t>HYDROZAGEM COMERCIO DE BOMBAS LTDA</t>
  </si>
  <si>
    <t xml:space="preserve"> ASSISTÊNCIA TÉCNICA DA BOMBA DOSADORA A SEKO ETE</t>
  </si>
  <si>
    <t>aguardando declaração do simples</t>
  </si>
  <si>
    <t>TORNO - usinagem em molas da tampa da porta do tumbler.</t>
  </si>
  <si>
    <t>367 - VELOTANO 2.400,00</t>
  </si>
  <si>
    <t>3961 - 29/10/25</t>
  </si>
  <si>
    <t>TORNO - usinagem em caixa de selagem multivac f200 embalagem.</t>
  </si>
  <si>
    <t>393 - VELOTANO 1.450,00</t>
  </si>
  <si>
    <t>3995 - 27/11/25</t>
  </si>
  <si>
    <t>VOLT</t>
  </si>
  <si>
    <t>conserto eletrônico em inversor de frequência sew eurodrive</t>
  </si>
  <si>
    <t>12260 - VOLT 1.230,00</t>
  </si>
  <si>
    <t>11624 - 18/08/25
11783 - 17/10/25
11634 - 21/08/25</t>
  </si>
  <si>
    <t>conserto eletrônico em inversor de frequência mitsubishi</t>
  </si>
  <si>
    <t>12290 - VOLT 911,00</t>
  </si>
  <si>
    <t>11803 - 22/10/25
11674 - 04/09/25</t>
  </si>
  <si>
    <t xml:space="preserve">conserto eletrônico em inversor de frequência </t>
  </si>
  <si>
    <t>12351 - VOLT 1.102,00</t>
  </si>
  <si>
    <t>11804 - 22/10/25</t>
  </si>
  <si>
    <t>EMBUCHAMENTO INTERNO DA ENGRENAGEMØ 101 BILONGAR FUROS PARA RAIO DE 150 (RODA DE TRAÇÃO DE NOREA DE MIUDOS)</t>
  </si>
  <si>
    <t>465 - PHDS 1.880,00</t>
  </si>
  <si>
    <t>Devido às falhas recorrentes observadas na nórea de miúdos, foi constatada a necessidade de substituição das duas rodas de tração. No entanto, as peças disponíveis em estoque apresentavam incompatibilidade na furação em relação às rodas desgastadas. Diante disso, foi necessário adaptar as peças, realizando o alongamento da furação e a confecção de uma bucha centralizadora para garantir o correto alinhamento e funcionamento do sistema. Considerando que a nórea apresentava indícios de mau funcionamento, com paradas frequentes e prolongadas, a intervenção foi realizada em caráter de urgência, a fim de evitar maiores impactos na operação.</t>
  </si>
  <si>
    <t>88 - 02/10/25</t>
  </si>
  <si>
    <t>SERVIÇOS DE MECÂNICA EM GERAL, CORREÇÃO DE SOLDAS EM ESTRUTURAS DE ESTEIRAS, CHAPAS E PROTEÇÕES DA LINHA DE EVISCERAÇÃO E DO ESPOSTEJAMENTO E CONSERTO DE GAIOLAS E CARRINHOS DE MIUDOS E DE COZIMENTO DAS ESTUFAS. TODOS OS SERVIÇOS SERÃO EXECUTADOS DENTRO DA UNIDADE EM DIAS UTEIS E FINAIS DE SEMANA CONFORME DEMANDA.</t>
  </si>
  <si>
    <t>50%  2488 50%2224</t>
  </si>
  <si>
    <t>2117 - METAL C</t>
  </si>
  <si>
    <r>
      <rPr>
        <sz val="9"/>
        <color rgb="FF000000"/>
        <rFont val="Calibri"/>
        <scheme val="minor"/>
      </rPr>
      <t xml:space="preserve">
</t>
    </r>
    <r>
      <rPr>
        <sz val="9"/>
        <color rgb="FFFF0000"/>
        <rFont val="Calibri"/>
        <scheme val="minor"/>
      </rPr>
      <t xml:space="preserve">745 
</t>
    </r>
    <r>
      <rPr>
        <sz val="9"/>
        <color rgb="FF000000"/>
        <rFont val="Calibri"/>
        <scheme val="minor"/>
      </rPr>
      <t>746</t>
    </r>
  </si>
  <si>
    <t>SERVIÇOS DE AJUSTES E ADEQUAÇÃO DE INFRAS ELÉTRICAS DO ESPOSTEJAMENTO, CONSERTO DE INFRAS DE ILUMINAÇÃO E EQUIPAMENTOS QUE ESTÃO SOLTAS, ADEQUAÇÃO DOS PONTOS E DESCIDAS PARA TMADAS DE BALANÇAS QUE ESTÃO POR BAIXO  DAS ESTEIRAS, REDIMENSIONAMENTO DOS CABOS PARA ATENDER A ALIMENTAÇÃO DOS PONTOS DA LINHA DO CARRÉ E COSTELINHA. TODOS OS SERVIÇOS SERÃO EXECUTADOS DENTRO DA UNIDADE EM DIAS UTEIS E FINAIS DE SEMANA CONFORME DEMANDA.</t>
  </si>
  <si>
    <t>198  - GP. DA LUZ</t>
  </si>
  <si>
    <t>FINISSIMA ACABAMENTOS LTDA</t>
  </si>
  <si>
    <t>61 - FINISSIMA ACABAMENTOS LTDA</t>
  </si>
  <si>
    <t>659
666</t>
  </si>
  <si>
    <t>TORNO - usinagem em engrenagem do facão de corte linha velatti + fabricação do eixo das facas circulares mulitvac.</t>
  </si>
  <si>
    <t>11 - PHDS 965,00</t>
  </si>
  <si>
    <t>1°Equipamento parado, devido ao desgaste na engrenagem o facão parou de cortar e não tínhamos outra engrenagem para substituir.
2°Eixo da faca circular da f200, operador forçou o mesmo para retirar o suporte da faca e danificou toda a ponta do eixo impossibilitando a montagem novamente.</t>
  </si>
  <si>
    <t>6 - 22/07/25</t>
  </si>
  <si>
    <t>SERVIÇO DE CONSERTO EM MOTOBOMBA DE VÁCUO BUSCH RA 
160 SN C1403000182</t>
  </si>
  <si>
    <t>456000126 - BUSCH  40.939,84</t>
  </si>
  <si>
    <r>
      <rPr>
        <sz val="9"/>
        <color rgb="FFFF0000"/>
        <rFont val="Calibri"/>
        <scheme val="minor"/>
      </rPr>
      <t xml:space="preserve">6841
</t>
    </r>
    <r>
      <rPr>
        <sz val="9"/>
        <color rgb="FF000000"/>
        <rFont val="Calibri"/>
        <scheme val="minor"/>
      </rPr>
      <t>2</t>
    </r>
  </si>
  <si>
    <t>SERVIÇO DE VERIFICAÇÃO E DETECÇÃO DE VAZAMENTOS NA LINHA DE VÁCUO ATRAVÉS DO DETECTOR DE VAZAMENTOS A HÉLIO ASM340)</t>
  </si>
  <si>
    <t>455000036 - BUSCH 15.339,50</t>
  </si>
  <si>
    <t>estamos enviando com apenas um orçamento, devido ao fornecedor Busch ser o fabricante de todas as nossa motobombas de vácuo e possuir o Know-how para a realização do serviço.</t>
  </si>
  <si>
    <t>CONSERTO DA MOTOBOMBA DE VÁCUO BUSCH RA 0160 D 563 AJXZ SN C1347000561</t>
  </si>
  <si>
    <t>456000132 - BUSCH  56.902,02</t>
  </si>
  <si>
    <t>NAO</t>
  </si>
  <si>
    <t>TORNO - CONFECÇÃO DE SUPORTE COM ESTRUTURA EM NYLON E VISOR EM 
POLICARBONATO PARA RELÓGIO DIGITAL COM VEDAÇÃO HERMÉTICA</t>
  </si>
  <si>
    <t>94024 - BALENA 2.696,00</t>
  </si>
  <si>
    <t>20355 - 29/10/25</t>
  </si>
  <si>
    <t>conserto em bandejas utilizadas no túnel de congelamento contínuo GEA.</t>
  </si>
  <si>
    <t>24154 - AGRINOX 10.430,00</t>
  </si>
  <si>
    <t>O motivo da urgência é devido ao fato de que não possuímos bandejas reservas para substituição no equipamento.
A falta ou utilização delas quebradas pode prejudicar toda a cadeia de produção da unidade.</t>
  </si>
  <si>
    <t>1154 - 20/10/25</t>
  </si>
  <si>
    <t>TORNO - usinagem recuperação caixa selagem F200</t>
  </si>
  <si>
    <t>402 - VELOTANO 4.940,00</t>
  </si>
  <si>
    <t>3946 - 14/10/25</t>
  </si>
  <si>
    <t>TORNO - usinagem borda caixa metálica F200</t>
  </si>
  <si>
    <t>403 - VELOTANO 3.850,00</t>
  </si>
  <si>
    <t>3824 - 28/06/25
3949 - 15/10/25</t>
  </si>
  <si>
    <t>SERVIÇO DE MANUTENÇÃO E REPARO NA SOFT STARTER SIEMENS MODELO CL-3RW4424-1BC44 SÉRIE 201208 TIPO 3RW.</t>
  </si>
  <si>
    <t xml:space="preserve">14833 - RGM </t>
  </si>
  <si>
    <t>7218 - 27/10/25</t>
  </si>
  <si>
    <t>TORNO - usinagem placas para o o flap das estufas.</t>
  </si>
  <si>
    <t>384 - PHDS 12.535,80</t>
  </si>
  <si>
    <t>O flap da estufa quebrou, onde o mesmo é responsável por direcionar a fumaça no processo de cozimento dos produtos, devido estar quebrado, a coloração e cozimento do produto estava fora de padrão, pois a fumaça estava apenas de um lado do produto.</t>
  </si>
  <si>
    <t>77 - outras saídas (entrada) - 22/09/25</t>
  </si>
  <si>
    <t>confecção e instalação de 2 sapatas e 2 bases para reparo das portas dos tumbler, fixar 2 sapatas no piso com chumbador químico, realizar corte da base da estrutura da porta e soldar a nova, e realizar o ajuste da porta com o tumbler.</t>
  </si>
  <si>
    <t>2086 - METAL C 18.800,00</t>
  </si>
  <si>
    <t>Durante o processo, o operador está colocando plástico na tampa do tumbler para não dar passagem de vácuo durante o tumbleamento correndo risco de contaminação física com o plástico e perda de produto. Está prejudicando o tempo de montagem operacional no processo, pois o operador precisa ajustar a tampa manualmente porque a porta não possibilita mais regulagem devido a fixação da estrutura do piso estar comprometida.</t>
  </si>
  <si>
    <t>USICASTRO</t>
  </si>
  <si>
    <t>TORNO - REALIZAR ADAPTAÇÃO DE BASE PARA SUBSTITUIÇÃO DO REDUTOR PRINCIPAL, MONTAGEM EM LOCO, ALINHAMENTO DA MESMA</t>
  </si>
  <si>
    <t>122 - USICASTRO</t>
  </si>
  <si>
    <t>O REDUTOR QUE ESTÁ NO MOMENTO NO EQUIPAMENTO APRESENTA RISCO DE QUEBRA CAPTADO EM ANÁLISE DE VIBRAÇÃO, IMPACTANDO DIRETAMENTE A PRODUÇÃO DE FARINHA, SERÁ NECESSÁRIO ADAPTAR A BASE DO REDUTOR ORIGINAL, A EMPRESA TAMBÉM FOI A ÚNICA QUE CONSEGUE ATENDER A PRAZO NECESSÁRIO DA EMPRESA</t>
  </si>
  <si>
    <t xml:space="preserve">SERVIÇO DE REFORMA E JATEAMENTO DE 5 MESAS DE MEBALAGEM DE PRODUTO NO INDUSTRIALIZADOS CONFORME SOLICITADO PELO CONROLE DE QUALIDADE - SERVIÇO SERÁ EXECUTADO FORA DA UNIDADE E SERÁ ENVIADO UMA DE CADA VEZ ATÉ CONCLUSÃO DAS 5 UNIDADES.
Material saiu com ordem de entrega conforme anexado no e-mail da RC.
</t>
  </si>
  <si>
    <t xml:space="preserve"> 2123 - METAL C</t>
  </si>
  <si>
    <t>MULTTEC</t>
  </si>
  <si>
    <t xml:space="preserve">Serviço de assistência técnica para substituição dos pistões da bandeja de alimentação </t>
  </si>
  <si>
    <t xml:space="preserve">245 - MULTTEC </t>
  </si>
  <si>
    <t>SSU para realizar a troca dos pistões da bandeja de alimentação, os mesmos estão com mal funcionamento, gerando desalinhamento da grelha e impactando no processo. </t>
  </si>
  <si>
    <t xml:space="preserve">Serviço de assistência técnica para realizar o backup do software das multivac da indústria </t>
  </si>
  <si>
    <t>242 - MULTTEC</t>
  </si>
  <si>
    <t xml:space="preserve">SSU para fazer o backup do sistema operacional de todas as multivac da indústria, em conversa com a automação constatamos que não possuímos nenhuma cópia dos arquivos em nosso banco de dados </t>
  </si>
  <si>
    <t>FABRICAÇÃO E INSTALAÇÃO DE AGITADOR TANQUE DE LODO ETE</t>
  </si>
  <si>
    <t>THOMAZ &amp; BARONI</t>
  </si>
  <si>
    <t>SOLDAS SANITÁRIAS NA EMBALAGEM INDUSTRIAL CONFORME SOLICITAÇÃO DO CONTROLE DE QUALIDADE</t>
  </si>
  <si>
    <t>252 - THOMAZ &amp; BARONI 3.500,00</t>
  </si>
  <si>
    <t>Após inspeção realizada in loco pelo setor de Controle de qualidade, foi evidenciado por e-mail para manutenção, a necessidade de refazer soldas em mesas, carrinhos e estruturas de máquinas com soldas em condições "não sanitárias" e descontinuadas (com frestas). Estes pontos foram definidos como potenciais agentes de proliferação de contaminantes por estarem diretamente em contato com os produtos processados no setor.</t>
  </si>
  <si>
    <t xml:space="preserve">	USINAGEM SUPORTE DA SERRA AUTO SPLITTER.</t>
  </si>
  <si>
    <t>408 - VELOTANO 945,00</t>
  </si>
  <si>
    <t>3954 - 20/10/25</t>
  </si>
  <si>
    <t>AVF USINAGEM</t>
  </si>
  <si>
    <t>TORNO - Usinagem recuperação de régua da Seladora vácuo VC999</t>
  </si>
  <si>
    <t>Régua de selagem com isoladores e roscas danificados gerando paradas no equipamento durante a semana.  Devido ao processo de produção ocorrer até sábado, para não afetar a entrega de volume, optou-se por enviar a peça no domingo para o reparo definitivo.</t>
  </si>
  <si>
    <t>2000 - 14/10/25</t>
  </si>
  <si>
    <t>S.R GRANDO &amp; CIA</t>
  </si>
  <si>
    <t>FABRICAÇÃO DE DUAS PLACAS IMP UV ACRILICO - ACRÍLICO 3MM BRANCO 30X7CM COM FITA NO VERSO 1UN. VERMELHA / 1 UN. BRANCA</t>
  </si>
  <si>
    <t>119968 - S.R GRANDO &amp; CIA</t>
  </si>
  <si>
    <t>84980 </t>
  </si>
  <si>
    <t>único fornecedor enviou orçamento conforme a normativas solicitadas.</t>
  </si>
  <si>
    <t>Serviço de assistência técnica para substituição das placas que seguram o filme e as bases de tensionamento das correntes da faca</t>
  </si>
  <si>
    <t>243 - MULT-TEC</t>
  </si>
  <si>
    <t xml:space="preserve">trata se de uma requisição com apenas um orçamento em anexo pois é um serviço que requer uma mão de obra especializada, tanto na execução quanto na confecção das peças e matérias usados na manutenção da máquina, não dispomos de outros profissionais que possam fornecer esse serviço 
</t>
  </si>
  <si>
    <t>Serviço para troca dos cabos do sistema de segurança da multivac F200</t>
  </si>
  <si>
    <t>246 - MULT-TEC</t>
  </si>
  <si>
    <t>Requisição com apenas um orçamento em anexo pois é um serviço que requer uma mão de obra especializada na execução e único fornecedor disponível esta e anexo.</t>
  </si>
  <si>
    <t>TORNO - Usinagem em isoladores para VC999</t>
  </si>
  <si>
    <t>5 - AVF USINAGEM 3.398,00</t>
  </si>
  <si>
    <t>2021 - 25/11/25</t>
  </si>
  <si>
    <t>SERVIÇO DE MANUTENÇÃO E RECUPERAÇÃO DE VALVULAS.</t>
  </si>
  <si>
    <t>11610 - S P - STEAM PRIME</t>
  </si>
  <si>
    <t>589 - 03/11/25</t>
  </si>
  <si>
    <t>VPS</t>
  </si>
  <si>
    <t>MÃO DE OBRA PARA PRESSURIZAÇÃO E POSSÍVEL CORREÇÃO DE VAZAMENTO DO EQUIPAMENTO SPLIT BRITÂNIA.</t>
  </si>
  <si>
    <t>365 - VPS</t>
  </si>
  <si>
    <t>A empresa mencionada já realiza o PMOC nos equipamentos de ar condicionado da unidade. Dessa forma, estamos aproveitando a vinda deles para a execução deste serviço de forma mais ágil.</t>
  </si>
  <si>
    <t>THDS</t>
  </si>
  <si>
    <t>TORNO - CORTAR TUBOS COM 150 MM / FAZER ROSCA NA PONTA.</t>
  </si>
  <si>
    <t>131 - THDS USINAGEM</t>
  </si>
  <si>
    <t>Instalações de válvulas em tubulação danificadas de água potável no forro.</t>
  </si>
  <si>
    <t>STARTECH</t>
  </si>
  <si>
    <t>Serviço de concerto no display da tela</t>
  </si>
  <si>
    <t>8760 - STARTECH</t>
  </si>
  <si>
    <t>1952 - 05/11/25</t>
  </si>
  <si>
    <t xml:space="preserve"> PARANÁ EQUIPAMENTOS S.A.</t>
  </si>
  <si>
    <t>SERVIÇO DE REPARO EM FREIO ELETROMAGNÉTICO.</t>
  </si>
  <si>
    <t>L21445 - PARANÁ EQUIPAMENTOS S.A.</t>
  </si>
  <si>
    <t>RC FOI CANCELADA E SERÁ SUBSTITUÍDA POR OUTRA.</t>
  </si>
  <si>
    <t>MATERIAL E MÃO DE OBRA PARA MANUTENÇÃO PREVENTIVA DO RECUPERADOR DE CARNE DMM50</t>
  </si>
  <si>
    <t xml:space="preserve"> 206857 - MAREL</t>
  </si>
  <si>
    <t>FOSS</t>
  </si>
  <si>
    <t>SERVIÇO DE MÃO DE OBRA E MATERIAL PARA MANUTENÇÃO PREVENTIVA DA MÁQUINA FOODSCAN 2 DAIRY</t>
  </si>
  <si>
    <t>Calibrabem LTDA-ME</t>
  </si>
  <si>
    <t>Calibração de equipamentos ambulatórias</t>
  </si>
  <si>
    <t>1087678 - 0</t>
  </si>
  <si>
    <t>5602 - 07/11/25</t>
  </si>
  <si>
    <t xml:space="preserve">TORNO - Usinagem molde inferior selagem F200 SEI </t>
  </si>
  <si>
    <t>388 - VALOTANO 3.850,00</t>
  </si>
  <si>
    <t xml:space="preserve">3966 - </t>
  </si>
  <si>
    <t>simPLES NACIONAL</t>
  </si>
  <si>
    <t>3 ORÇ</t>
  </si>
  <si>
    <t>TORNO - confecção de tampas perfuradas para ralos sifonados em inox</t>
  </si>
  <si>
    <t xml:space="preserve">TORNO - usinagem em castanhas utilizadas em ambas Deboflex. </t>
  </si>
  <si>
    <t>410 - VELOTANO 2.304,00</t>
  </si>
  <si>
    <t>3990 - 26/11/25</t>
  </si>
  <si>
    <t>TORNO - usinagem em conjunto mola utilizado na VC999.</t>
  </si>
  <si>
    <t>411 - VELOTANO 690,00</t>
  </si>
  <si>
    <t>3974 - 04/11/25</t>
  </si>
  <si>
    <t>FÊNIX</t>
  </si>
  <si>
    <t xml:space="preserve">SERVIÇO DE MANUTENÇÃO MOTOBOMBA BÚFFALO 13HP 
DIESEL 4 POLEGADAS.
</t>
  </si>
  <si>
    <t>125 - FÊNIX</t>
  </si>
  <si>
    <t>SERVIÇO DE MÃO DE OBRA E MATERIAL PARA CONSERTO DE SOFT STARTER, MARCA SIEMENS, MODELO CL-3RW4424-1BC44</t>
  </si>
  <si>
    <t>14833 - RGM</t>
  </si>
  <si>
    <t>DEIXAR RC EXPIRAR, POIS FOI SOLICITADO DEVOLUÇÃO PORQUE JÁ HAVIA OUTRA DIGITADA</t>
  </si>
  <si>
    <t>CONSERTO DO MÓDULO DAS EMBUTIDEIRAS HANDTMANN</t>
  </si>
  <si>
    <t>080219 - ATIVA PRO 3.525,40</t>
  </si>
  <si>
    <t>339 - 08/12/25</t>
  </si>
  <si>
    <t>GN9V</t>
  </si>
  <si>
    <t>LOCAÇÃO DE DETECTOR DE METAIS PARA A LINHA DA 
TERMOFORMADORA F200.
 orçamento é referente aos dias residuais de outubro em que o detector ficou locado em nossa unidade.</t>
  </si>
  <si>
    <t>6883 - GN9V - 1.500,00</t>
  </si>
  <si>
    <t>Referente aos dias residuais de outubro em que o detector ficou locado em nossa unidade.</t>
  </si>
  <si>
    <t>4260 - 17/07/25</t>
  </si>
  <si>
    <t xml:space="preserve">SUBSTITUIÇÃO DA PROTEÇÃO EM POLICARBONATO DO DETECTOR DE METAIS QUE ESTAVA LOCADO EM NOSSA UNIDADE.
OBS: PROTEÇÃO FOI DANIFICADA NO PERÍODO DE LOCAÇÃO
</t>
  </si>
  <si>
    <t>2344 - GN9V 1.755,00</t>
  </si>
  <si>
    <t>PROTEÇÃO FOI DANIFICADA NO PERÍODO DE LOCAÇÃO.</t>
  </si>
  <si>
    <t>CROWN LIFT TRUCKS DO BRASIL</t>
  </si>
  <si>
    <t xml:space="preserve">SERVIÇO DE CONSERTO E REFORMA DE TRÊS PALETEIRAS EM AÇO INOX DA MARCA BYG - SERVIÇO A SER EXECUTADO FORA DA UNIDADE </t>
  </si>
  <si>
    <t xml:space="preserve">61678 - CROWN LIFT </t>
  </si>
  <si>
    <t xml:space="preserve">sim </t>
  </si>
  <si>
    <t xml:space="preserve">não </t>
  </si>
  <si>
    <t xml:space="preserve">TORNO - Concerto caixa de selagem da presuntaria  </t>
  </si>
  <si>
    <t>570 - PHDS USINAGEM</t>
  </si>
  <si>
    <t>Necessidade de reparo na caixa de selagem da multivac da presuntaria, a mesma apresentava avaria não atingindo o vácuo e gerando pera na produção </t>
  </si>
  <si>
    <t>serviço de usinagem</t>
  </si>
  <si>
    <t>VENZON</t>
  </si>
  <si>
    <t>AFIAÇÃO DISCO SERRA 440mm MP 5803530.003 MPS</t>
  </si>
  <si>
    <t>9 - VENZON 2.400,00</t>
  </si>
  <si>
    <t>8623 - 13/11/25</t>
  </si>
  <si>
    <t xml:space="preserve">POTENCIAL INSTALACOES ELETRICAS </t>
  </si>
  <si>
    <t>Instalações elétricas do lavador de contentores, barreira sanitária, câmara de matéria prima e ampliação da central de água quente.</t>
  </si>
  <si>
    <r>
      <rPr>
        <sz val="9"/>
        <color rgb="FFFF0000"/>
        <rFont val="Calibri"/>
        <scheme val="minor"/>
      </rPr>
      <t xml:space="preserve">238
</t>
    </r>
    <r>
      <rPr>
        <sz val="9"/>
        <color rgb="FF000000"/>
        <rFont val="Calibri"/>
        <scheme val="minor"/>
      </rPr>
      <t>239</t>
    </r>
  </si>
  <si>
    <t>SERVIÇO DE MANUTENÇÃO EM PLACA ELETRÔNICA DO CLIMATIZADOR DE AR.</t>
  </si>
  <si>
    <t>426 - VPS</t>
  </si>
  <si>
    <t>20039 - 11/11</t>
  </si>
  <si>
    <t>SERVIÇO DE MANUTENÇÃO EM BOMBA KSB MOD. ETA OPBA21300715 TAM. 80-40/3.</t>
  </si>
  <si>
    <t>1518200 - C.O. MUELLER</t>
  </si>
  <si>
    <t>CONSERTO DO DRIVE NORDAC 511E</t>
  </si>
  <si>
    <t>080218 - ATIVA PRO 4.697,80</t>
  </si>
  <si>
    <t>327 - 24/11/25</t>
  </si>
  <si>
    <t>Locação de 1 Plataforma TESOURA DE 8M</t>
  </si>
  <si>
    <t>2224 - 25%
2488 - 25%
2283 - 25%
2437 - 25%</t>
  </si>
  <si>
    <t>0 - G P DA LUZ 4.600,00</t>
  </si>
  <si>
    <t>Foi enviado apenas um orçamento pois os outros 02 fornecedores que foi consultado não possuíam a disponibilidade de aluguel do equipamento correto para a realização dos serviços no período requerido pois existia conflito de datas de aluguel devido ao equipamento já estar reservado para outra empresa.</t>
  </si>
  <si>
    <r>
      <rPr>
        <sz val="9"/>
        <color rgb="FF000000"/>
        <rFont val="Calibri"/>
        <scheme val="minor"/>
      </rPr>
      <t xml:space="preserve">338
</t>
    </r>
    <r>
      <rPr>
        <sz val="9"/>
        <color rgb="FFFF0000"/>
        <rFont val="Calibri"/>
        <scheme val="minor"/>
      </rPr>
      <t>12</t>
    </r>
  </si>
  <si>
    <t>TORNO - USINAGEM DE ENGRENAGEM FINITY ESTAGIO 4 TRIPARIA</t>
  </si>
  <si>
    <t>590 - PHDS 1.280,00</t>
  </si>
  <si>
    <t>Foi preciso pedir para empresa terceira a confecção da engrenagem dupla, onde a nossa manutenção interna não atende este tipo de serviço, com objetivo de entregar a máquina rodando na segunda feira dia 27/10.</t>
  </si>
  <si>
    <t>106 - 27/10/25</t>
  </si>
  <si>
    <t>TORNO - Usinagem em rodilhos de furacao de filme flowpack</t>
  </si>
  <si>
    <t>409 - VELOTANO 1.920,00</t>
  </si>
  <si>
    <t>3972 - 04/11/25</t>
  </si>
  <si>
    <t>TORNO - Usinagem em conjunto acionador da extratora de reto</t>
  </si>
  <si>
    <t>414 - VELOTANO 1.740,00</t>
  </si>
  <si>
    <t>4001 - 03/12/25</t>
  </si>
  <si>
    <t>REFRIGERAÇÃO IAPÓ</t>
  </si>
  <si>
    <t>SERVIÇO DE TROCA DE RELE E PROTETOR TÉRMICO DE COMPRESSOR EM FREEZER (cód. de patrimônio: 055096).</t>
  </si>
  <si>
    <t>7417557 - 14/11/25</t>
  </si>
  <si>
    <t>tapeçaria pérola</t>
  </si>
  <si>
    <t>Conserto de cadeiras de escritório .</t>
  </si>
  <si>
    <t>5345 16% 2348 40% 2283 16% 2291 8% 4057 8% 4472 4% 2208 8%</t>
  </si>
  <si>
    <t>0-tapeçaria pérola 2.010</t>
  </si>
  <si>
    <t>246 - 04/12/25</t>
  </si>
  <si>
    <t>ATIVA PRO SERVICE LTD</t>
  </si>
  <si>
    <t>SERVIÇO DE TERCEIRO COM MÃO DE OBRA E MATERIAL PARA CONSERTO EM PLACA ELETRONICA.</t>
  </si>
  <si>
    <t>SERVIÇO DE TERCEIRO COM MÃO DE OBRA E MATERIAL PARA CONSERTO EM IHM HANDTMANN</t>
  </si>
  <si>
    <t xml:space="preserve"> 328 - 24/11/25</t>
  </si>
  <si>
    <t>SERVIÇO DE TERCEIRO COM MÃO DE OBRA E MATERIAL PARA CONSERTO EM IHM ALLEN BRADLEY PANEL PLUS 400</t>
  </si>
  <si>
    <t>A1 SISTEMAS</t>
  </si>
  <si>
    <t xml:space="preserve">REVISÃO NO SISTEMA DE ANTENAS VIA RÁDIO QUE INTERLIGAM A CAPTAÇÃO DO RIO ATÉ A FÁBRICA (TROCA DE ANTENA COM DEFEITO.
</t>
  </si>
  <si>
    <t>O material foi utilizado na execução do serviço, pois, ao ser testado, apresentou defeito.</t>
  </si>
  <si>
    <t xml:space="preserve">VELOTANO </t>
  </si>
  <si>
    <t>TORNO - Serviço para mão de obra usinagem em trava da caixa de selagem.</t>
  </si>
  <si>
    <t>3964 - 31/10/25</t>
  </si>
  <si>
    <t>AFIAÇÃO LÂMINA DE CORTE V-CUT MARE</t>
  </si>
  <si>
    <t>8624 - 11/11/25</t>
  </si>
  <si>
    <t>INSTALAÇÃO DE PLATAFORMAS E ESCADAS PARA ACESSO AOS PAINÉIS DE VÁLVULA DE AMONIA NOS SETORES DE CORTES, PALETIZAÇÃO E ESTOCAGEM PARA FACILIAR A MANUTENÇÃO E MANOBRAS NAS VÁLVULAS</t>
  </si>
  <si>
    <t>SERVIÇO DE TERCEIRO COM MÃO DE OBRA E MATERIAL PARA CONSERTO EM INVERSOR DE FREQUENCIA MITSUBISHI</t>
  </si>
  <si>
    <t>TORNO - Serviço de mão de obra e material para realizar usinagem em peças guias das nóreas de entrada das câmaras de resfriamento de carcaça.</t>
  </si>
  <si>
    <t>3986 - 26/11/25
4005 - 05/12/25</t>
  </si>
  <si>
    <t>GATO AR CONDICIONADO LTDA</t>
  </si>
  <si>
    <t>SERVIÇO DE MANUTENÇÃO NO COMPRESSOR DE UNIDADE CONDENSADORA 36.000 BTUs.</t>
  </si>
  <si>
    <t xml:space="preserve">phds usinagem </t>
  </si>
  <si>
    <t>Torno - USINAR PARAFUSO DESCOREADEIRA DO CARRÉ</t>
  </si>
  <si>
    <t>Justificativa: Durante uma inspeção preventiva realizada na máquina, foi identificada uma folga excessiva no parafuso do conjunto responsável pela tração do rolo principal da descoreadeira. Essa folga comprometia a eficiência do equipamento, resultando em desperdícios, pois permaneciam pedaços de pele após a primeira passada, exigindo a repetição do processo. Essa repetição ocasionava a remoção excessiva de gordura do carré, ampliando as perdas de matéria-prima. Considerando que o equipamento foi desmontado no sábado e precisava estar em operação na segunda-feira pela manhã, foi necessário realizar a usinagem do componente em caráter de urgência.</t>
  </si>
  <si>
    <t>Torno - Serviço de mão de obra para realizar usinagem em acoplamento utilizado na F200</t>
  </si>
  <si>
    <t>O motivo do emergencial é devido ao fato de que o acoplamento do acelerador de vácuo utilizado na Multivac F200 na embalagem secundária acabou quebrando. Dessa forma, tornou-se necessário o envio imediato para para retomar a velocidade de ciclos na máquina.</t>
  </si>
  <si>
    <t>AVF</t>
  </si>
  <si>
    <t xml:space="preserve">TORNO- MÃO DE OBRA SENDO: 
Usinagem emergencial no bloco válvulas da Multivac R145
Referente a NF 39890
</t>
  </si>
  <si>
    <t xml:space="preserve">Justificativa: Máquina com problemas de atingimento mínimo vácuo devido aos parafusos de fixação entre os blocos de válvulas estarem espanados. Este serviço emergencial precisou ser feito no domingo com retorno no mesmo dia devido a produção de segunda à sábado em dois turnos no setor. </t>
  </si>
  <si>
    <t xml:space="preserve">MANUTENÇÃO MANUTENCAO EM BOMBA 8.180,00
SUBMERSIVEL BCS-205 3 CV TRIFASICA 380V.
</t>
  </si>
  <si>
    <t>13099 - 11/11/25</t>
  </si>
  <si>
    <t>TORNO- Serviço de mão de obra e material para realizar fabricação de conjuntos viradores da x-ham.</t>
  </si>
  <si>
    <t xml:space="preserve">O motivo da urgência é devido ao fato de que as algemas utilizadas na nórea aérea de pernil não estão virando corretamente devido ao elevado desgaste dos viradores, ocasionando a trava e desarme de todo o sistema. Consequentemente, gerando parada de máquina recorrente. </t>
  </si>
  <si>
    <t>velotano</t>
  </si>
  <si>
    <t>TORNO - Serviço de mão de obra e material para realizar a usinagem em eixo utilizado no moedor linha Velati.</t>
  </si>
  <si>
    <t>3983 - 12/12/25</t>
  </si>
  <si>
    <t>badan</t>
  </si>
  <si>
    <t>Conserto de transformador de selagem VC999 setor: embalagem- seg-industrial</t>
  </si>
  <si>
    <t>1452 - 19/11/25</t>
  </si>
  <si>
    <t>TORNO-Usinagem- Recuperação molde em alumínio aeronáutico para solda com uma face teflonada.</t>
  </si>
  <si>
    <t>2043 - 11/12/25</t>
  </si>
  <si>
    <t>Serviço de mão de obra e material para realizar o balanceamento em rotor de ventilador utilizado no túnel de congelamento GEA.</t>
  </si>
  <si>
    <t>O motivo do emergencial é devido ao fato de que o túnel está operando sem um ventilador. A falta desse pode auxiliar na perda total da temperatura do ambiente, gerando não conformidade e perda de produto.</t>
  </si>
  <si>
    <t xml:space="preserve">F&amp;F MANUTENÇÃO </t>
  </si>
  <si>
    <t xml:space="preserve">MANUTENÇÃO E RECUPERAÇÃO DE VÁLVULAS DE SEGURANÇA DESMONTAGEM, JATEAMENTO, LAPIDAÇÃO, CALIBRAÇÃO, TROCA DE PARAFUSOS 
E PEÇAS.
CERTIFICADOS E ART INCLUSOS.
</t>
  </si>
  <si>
    <t>603 - 18/11/2025</t>
  </si>
  <si>
    <t>USINOX</t>
  </si>
  <si>
    <t xml:space="preserve">Serviço de assistência técnica para acompanhamento e manutenção das embaladoras usinox </t>
  </si>
  <si>
    <t>3458 - USINOX</t>
  </si>
  <si>
    <t>fabricante do equipamento.</t>
  </si>
  <si>
    <t>CROWN</t>
  </si>
  <si>
    <t>referente ao conserto emergêncial da transpaleteira still da embalagem secundária, que estava parada.</t>
  </si>
  <si>
    <t>NSM</t>
  </si>
  <si>
    <t>Serviço de mão de obra para realizar a substituição de peças do gerador 03 para o gerador 04.</t>
  </si>
  <si>
    <t xml:space="preserve">O serviço foi registrado como retirado, tendo em vista que o equipamento se encontrava inoperante, comprometendo o processo de geração de energia devido à indisponibilidade do gerador. Diante da urgência, não houve tempo hábil para seguir o procedimento padrão de requisição. </t>
  </si>
  <si>
    <t>RGM MANUTENÇÃO</t>
  </si>
  <si>
    <t xml:space="preserve">CONSERTO DE INVERSOR SIEMENS SINAMICS POWER MODULE 230 MOD. 6SL3210-1NE26-0AL0.
Reparo/Preventiva:
 - Desmontagem por completo;
- Limpeza de todas as partes e peças;
 - Secagem em ambiente controlado;
 - Substituição dos ventiladores;
- Recuperação dos bornes de saída;
 - Substituição do composto de transferência térmica.
 - Montagem de acordo com normas de cada fabricante.
</t>
  </si>
  <si>
    <r>
      <rPr>
        <sz val="9"/>
        <color rgb="FFFF0000"/>
        <rFont val="Calibri"/>
        <scheme val="minor"/>
      </rPr>
      <t xml:space="preserve">2452
</t>
    </r>
    <r>
      <rPr>
        <sz val="9"/>
        <color rgb="FF000000"/>
        <rFont val="Calibri"/>
        <scheme val="minor"/>
      </rPr>
      <t>2473</t>
    </r>
  </si>
  <si>
    <t>7435 - 12/12/25</t>
  </si>
  <si>
    <t xml:space="preserve">Visita técnica para manutenção e acompanhamento nos equipamentos </t>
  </si>
  <si>
    <t>252 - MULTTEC</t>
  </si>
  <si>
    <t xml:space="preserve">Serviço de mão de obra para assistência técnica referente a F200 e R145 onde as mesmas estava apresentando problemas na formação, selagem e sistema de vácuo impactando diretamente na produção e gerando um grande número de reprocesso </t>
  </si>
  <si>
    <t>Material e mão de obra para realização de montagem de rede de utilidades contemplando, rede de vapor, rede de água temperatura 38ºC, rede de água temperatura 45ºC, rede de vapor e rede de ar comprimido contendo as derivações necessárias para ligação dos equipamentos da barreira sanitária (três unidades de lavadores de mão e três unidades de lavadores de botas),  ligação de máquina lavadora de contentores e instalação de ponto de higinização nas salas.  </t>
  </si>
  <si>
    <t>Serviço de mão de obra para substituição do rolamento da parte de traz do tumbler.</t>
  </si>
  <si>
    <t>Apenas um orçamento pois se trata do representante da marca no Brasil.</t>
  </si>
  <si>
    <t>MULT-TEC</t>
  </si>
  <si>
    <t>Serviço de reforma da termoformadora multivac F200</t>
  </si>
  <si>
    <t>2 ORÇ</t>
  </si>
  <si>
    <t>Requisição com apenas dois orçamentos pois só tem duas empresas que fornecem esse tipo de serviço.</t>
  </si>
  <si>
    <t>TORNO - fabricação de eixos e buchas para utilização no dosador de saída da câmara 04.</t>
  </si>
  <si>
    <t>O motivo do emergencial com único orçamento é devido ao fato de que o sistema dosador estava travando, acarretando na dosagem incorreta e travamento da saída das câmaras com a nórea principal</t>
  </si>
  <si>
    <t>TORNO - usinagem em rodas e eixo utilizados no elevador 2 pisos da área limpa da lavadora de monoblocos do abate.</t>
  </si>
  <si>
    <t xml:space="preserve">
O motivo do emergencial é devido ao fato de que o elevador em questão se encontrava travado, no qual tivemos que realizar toda a desmontagem das rodas, guias e eixo e confecção imediata de peças para que fosse possível reutilizar o elevador mais rápido possível
</t>
  </si>
  <si>
    <t>TORNO -  usinagem em cilindro hidráulico da injetora da presuntaria</t>
  </si>
  <si>
    <t>4008 - 10/12/25</t>
  </si>
  <si>
    <t>TORNO -  usinagem em eixo, chapas e suporte da dosadora de paletas no mezanino.</t>
  </si>
  <si>
    <t>O motivo do emergencial é devido ao elevado desgaste apresentado no sistema, gerando travamentos e interrupção do processo produtivo</t>
  </si>
  <si>
    <r>
      <rPr>
        <sz val="9"/>
        <color rgb="FFFF0000"/>
        <rFont val="Calibri"/>
        <scheme val="minor"/>
      </rPr>
      <t xml:space="preserve">378
</t>
    </r>
    <r>
      <rPr>
        <sz val="9"/>
        <color rgb="FF000000"/>
        <rFont val="Calibri"/>
        <scheme val="minor"/>
      </rPr>
      <t>429</t>
    </r>
  </si>
  <si>
    <t>TORNO -  usinagem em rolo e engrenagem da triparia</t>
  </si>
  <si>
    <t>O motivo do emergencial com um único orçamento é devido ao fato de que o rolo estava apresentando um desgaste em relação a engrenagem. Mediante ao problema enfrentado, a corrente acaba escapando do sistema, podendo ocasionar parada de máquina.</t>
  </si>
  <si>
    <t>TORNO - usinagem em placa utilizada na v-cut.</t>
  </si>
  <si>
    <t>O motivo do emergencial é devido ao fato de que a placa utilizada estava com furos e abaulada, gerando travamentos do equipamento durante o processo. Foi necessário usinagem em outra placa, para que no dia seguinte não viesse a parar por definitivo o processo</t>
  </si>
  <si>
    <t>SERVIÇO DE USINAGEM EM EIXOS DO REDUTOR DA PRENSA EXPELLER</t>
  </si>
  <si>
    <t>3989 - 26/11/25</t>
  </si>
  <si>
    <t>TORNO - usinagem em guia utilizada na Poly-clip</t>
  </si>
  <si>
    <r>
      <rPr>
        <sz val="9"/>
        <color rgb="FFFF0000"/>
        <rFont val="Calibri"/>
        <scheme val="minor"/>
      </rPr>
      <t xml:space="preserve">376
405
</t>
    </r>
    <r>
      <rPr>
        <sz val="9"/>
        <color rgb="FF000000"/>
        <rFont val="Calibri"/>
        <scheme val="minor"/>
      </rPr>
      <t>436</t>
    </r>
  </si>
  <si>
    <t>136 - 19/11/25</t>
  </si>
  <si>
    <t>Serviço para mão de obra para conserto em 2 bases do motorredutor da misturadeira montemil.</t>
  </si>
  <si>
    <t>Justificativa: Em um dos chamados da produção foi identificado que a base que segura o motoredutor, responsável pelo funcionamento do moedor estava torta, impossibilitando a regulagem da correia para estica-la, a correia estava pulando os dentes da engrenagem e ocasionando desgaste, correndo risco de parada eminente.</t>
  </si>
  <si>
    <t>MARRARI AUTOMAÇÃO INDL. LTDA</t>
  </si>
  <si>
    <t>CONSERTO E CALIBRAÇÃO DO BALDE M75 MARRARI MEDIDOR DE UMIDADE DE CAVACO</t>
  </si>
  <si>
    <r>
      <rPr>
        <sz val="9"/>
        <color rgb="FFFF0000"/>
        <rFont val="Calibri"/>
        <scheme val="minor"/>
      </rPr>
      <t xml:space="preserve">4852
</t>
    </r>
    <r>
      <rPr>
        <sz val="9"/>
        <color rgb="FF000000"/>
        <rFont val="Calibri"/>
        <scheme val="minor"/>
      </rPr>
      <t>4879</t>
    </r>
  </si>
  <si>
    <t>35040 - 24/11/25</t>
  </si>
  <si>
    <t>USIMEC</t>
  </si>
  <si>
    <t xml:space="preserve"> SERVIÇO DE MÃO DE OBRA PARA REVISÃO DO EXAUSTOR DO CHAMUSCADOR</t>
  </si>
  <si>
    <t>4854 - 04/12/25</t>
  </si>
  <si>
    <t>HANNA INSTRUMENTS BRASIL IMP. E EXP.LTD</t>
  </si>
  <si>
    <t>SERVIÇO DE CALIBRAÇÃO DE UM FOTOMETRO MEDIDOR DE CLORO LIVRE E TOTAL GAMA ALTA, MOD.HI97734C, FABRICANTE HANNA</t>
  </si>
  <si>
    <t>TORNO - Serviço de usinagem em suporte de Celeron para resistência da seladora</t>
  </si>
  <si>
    <t>3993 - 27/12/25</t>
  </si>
  <si>
    <t>TORNO -  fabricação de engrenagem para estágio 01 da Finity</t>
  </si>
  <si>
    <t xml:space="preserve">O motivo do retirado é devido ao fato de que a engrenagem em questão estava com um elevado desgaste nos dentes e na furação referente ao eixo. Dessa forma, a engrenagem ficava frouxa no eixo do rolo, aumentando significativamente o desgaste. Além disso, acabava gerando paradas devido ao escape da corrente. </t>
  </si>
  <si>
    <t xml:space="preserve">TORNO - usinagem em eixo para caixa redutora da fatiadora textor </t>
  </si>
  <si>
    <t>3991 - 26/11/25</t>
  </si>
  <si>
    <t>TORNO -  USINAGEM EM KIT ENGRENAGEM SKINNER</t>
  </si>
  <si>
    <t>TORNO -  usinagem em guias e levantadores da x-ham.</t>
  </si>
  <si>
    <t>3988 - 26/11/25</t>
  </si>
  <si>
    <t>TORNO - conserto em sistema com polia do desbobinador de tripas</t>
  </si>
  <si>
    <t>3999 - 03/12/25</t>
  </si>
  <si>
    <t>DE PAULA</t>
  </si>
  <si>
    <t>CONFECÇÃO DOS PILARES DE ANCORAGEM DA LAGOA.</t>
  </si>
  <si>
    <t>REPARO EM 100M² DE PISO EM URETANO REPARO EM 30 PONTOS EM RODAPÉ EM URETANO.</t>
  </si>
  <si>
    <t xml:space="preserve">2488 25% 4588 25%
5345 25% 2283 25%
</t>
  </si>
  <si>
    <t xml:space="preserve">Necessidade de serviço de reparo em piso mediante a atender auto controle e atividades em a manutenção dos mesmos.
</t>
  </si>
  <si>
    <r>
      <rPr>
        <sz val="9"/>
        <color rgb="FFFF0000"/>
        <rFont val="Calibri"/>
        <scheme val="minor"/>
      </rPr>
      <t xml:space="preserve">2065
</t>
    </r>
    <r>
      <rPr>
        <sz val="9"/>
        <color rgb="FF000000"/>
        <rFont val="Calibri"/>
        <scheme val="minor"/>
      </rPr>
      <t xml:space="preserve">2066
</t>
    </r>
  </si>
  <si>
    <t>pedir emissão d anota em janeiro</t>
  </si>
  <si>
    <r>
      <rPr>
        <sz val="9"/>
        <color rgb="FFFF0000"/>
        <rFont val="Calibri"/>
        <scheme val="minor"/>
      </rPr>
      <t xml:space="preserve">2102  
</t>
    </r>
    <r>
      <rPr>
        <sz val="9"/>
        <color rgb="FF000000"/>
        <rFont val="Calibri"/>
        <scheme val="minor"/>
      </rPr>
      <t>2105</t>
    </r>
  </si>
  <si>
    <t>PMP LAMINAS</t>
  </si>
  <si>
    <t>SERVIÇO DE CONSERTO DE MÁQUINA SKINNER MAREL.</t>
  </si>
  <si>
    <t>7373 - PMP LAMINAS</t>
  </si>
  <si>
    <t>PESO EXATO</t>
  </si>
  <si>
    <t>SERVIÇO DE CALIBRAÇÃO E INSPEÇÃO EM BALANÇA RODOVIÁRIA</t>
  </si>
  <si>
    <t>Devido a urgência de atendimento da calibração e inspeção da balança, o fornecedor do serviço em questão disponibilizou-se para atendimento com urgência. Por trata-se de um equipamento fundamental para a operação da empresa, faz-se necessária a urgência do atendimento. </t>
  </si>
  <si>
    <t>Solicitado cancelamento do saldo residual pelo José.</t>
  </si>
  <si>
    <t>Peso Exato LTDA</t>
  </si>
  <si>
    <t>Justificativa de orçamento único e urgência: Devido a urgência de atendimento da calibração e inspeção da balança, o fornecedor do serviço em questão disponibilizou-se para atendimento com urgência. Por trata-se de um equipamento fundamental para a operação da empresa, faz-se necessária a urgência do atendimento. </t>
  </si>
  <si>
    <t xml:space="preserve"> REQUISIÇÃO CANCELADA DEVIDO A DIGITAÇÃO EM DUPLICIDADE</t>
  </si>
  <si>
    <t>TORNO -  USINAGEM EM CONJUNTO ACIONADOR DA FACA DA PISTOLA DO RETO.</t>
  </si>
  <si>
    <t>TORNO -  USINAGEM EM BUCHA DO EIXO DO MOEDOR FRESCAL</t>
  </si>
  <si>
    <t>SERVIÇO USINAGEM EM BUCHA DO EIXO DO MOEDOR FRESCAL.</t>
  </si>
  <si>
    <t xml:space="preserve">2488 25% 5345 25%
4588 25% 2291 25%
</t>
  </si>
  <si>
    <t>NECESSIDADE DE SERVIÇO DE SUBSTITUIÇÃO DE TUBULAÇÕES COM VAZAMENTO NO FORRO DA INDUSTRIA DEVIDO A CORROSÃO DE VÁRIOS PONTOS.</t>
  </si>
  <si>
    <t>ISOPARANÁ</t>
  </si>
  <si>
    <t>ÙNICO FORNECEDOR DISPONÍVEL NA REGIÃO QUE TEM CONHECIMENTO MANUSEIO E SERVIÇOS DE ISOPAINEL HOMOLOGADO PELA MANUTENÇÃO, PARA REALIZAÇÃO DE SERVIÇOS DENTRO DA UNIDADE COM CONHECIMENTO DA PLANTA ATENTENDO AS NECESSIDADES REAIS DO PROCESSO.</t>
  </si>
  <si>
    <t>TORNO - USINAGEM EM POLIA DE ALUMINIO DA NÓRIA DE MÍUDOS</t>
  </si>
  <si>
    <t xml:space="preserve">Durante manutenção na Nória de miúdos, foi verificado a necessidade de realizar o preenchimento e usinagem do encaixe de eixo da polia. Item essencial para o funcionamento do equipamento, sem a realização do reparo no item, estaríamos sujeitos a quebra da polia e consequentemente a parada do equipamento, influenciando na produção.
</t>
  </si>
  <si>
    <t xml:space="preserve">SERVIÇO DE CONSERTO EM BOMBA INJETORA DE DIESEL. </t>
  </si>
  <si>
    <t>NECESSIDADE DE CONTRATAÇÃO URGENTE DE MÃO OBRA REFERENTE AS PINTURAS DEVIDO A MISSÃO MALÁSIA.</t>
  </si>
  <si>
    <t>ATLAS COPCO</t>
  </si>
  <si>
    <t xml:space="preserve">SERVIÇO DE MANUTENÇÃO E REPROGRAMAÇÃO DO SISTEMA OPERACIONAL DO COMPRESSOR DE AR ATLAS COPCO. </t>
  </si>
  <si>
    <t xml:space="preserve">Solicitação de serviço emergencial devido o compressor de ar Atlas Copco ter apresentado falha no sistema operacional, impossibilitando a operação do equipamento. Foi solicitada assistência técnica especializada da Atlas Copco, fabricante do equipamento.
</t>
  </si>
  <si>
    <t xml:space="preserve">TORNO - Serviço de torno para reparo nas bases de apoio da caixa de formação da R145  </t>
  </si>
  <si>
    <t>VELOTANO  - 423</t>
  </si>
  <si>
    <t>4011 - 12/12/25</t>
  </si>
  <si>
    <t>QUIMIS</t>
  </si>
  <si>
    <t>SERVIÇO DE MANUTENÇÃO EM EQUIPAMENTO BANHO MARIA MICROPROCESSADO MOD.Q215M2</t>
  </si>
  <si>
    <t>QUIMIS - 9526</t>
  </si>
  <si>
    <t xml:space="preserve"> O conserto urgente do equipamento BANHO MARIA MICROPROCESSADO MOD.Q215M2 é necessário, pois ele é essencial para a realização de análises e ensaios que dependem de controle preciso de temperatura. A indisponibilidade do equipamento interrompe procedimentos críticos, podendo comprometer resultados, atrasar processos laboratoriais e impactar diretamente a rotina operacional. Portanto, o reparo imediato é fundamental para garantir a continuidade das atividades e manter a confiabilidade das análises.</t>
  </si>
  <si>
    <t>nota fiscal enviada no email errado, recebemos apenas em 07/01</t>
  </si>
  <si>
    <t>SERVIÇO DE CONSERTO INVERSOR SIEMENS SINAMICS CL-6SL3210-1PE27-5UL0</t>
  </si>
  <si>
    <t>RGM - 15265</t>
  </si>
  <si>
    <t xml:space="preserve">SERVIÇO DE CONSERTO IHM SIEMENS CL-7KM4212-0BA00-3AA0. </t>
  </si>
  <si>
    <t>RGM - 15267</t>
  </si>
  <si>
    <t>INDUSTRIAS MARQUES DA COSTA LTDA</t>
  </si>
  <si>
    <t xml:space="preserve">SERVIÇO DE CONSERTO MÁQUINA DE LIMPEZA DE TUBOS MC2000. </t>
  </si>
  <si>
    <t xml:space="preserve"> INDUSTRIAS MARQUES DA COSTA LTDA - 35663</t>
  </si>
  <si>
    <t>32322 - 02/12/25</t>
  </si>
  <si>
    <t>ARTEFATOS DE BORRACHA PCR LTDA - 126664</t>
  </si>
  <si>
    <t>EDINOX</t>
  </si>
  <si>
    <t>ADEQUAÇÃO DE SEGURANÇA NOS DRIVEIN CONDIMENTARIA</t>
  </si>
  <si>
    <t>3 orç</t>
  </si>
  <si>
    <t>WEBER</t>
  </si>
  <si>
    <t>assistência técnica no equipamento Textor.</t>
  </si>
  <si>
    <t>3025100905 - WEBER 14.816,90</t>
  </si>
  <si>
    <t>foi realizado um levantamento e compra das peças que necessitavam realizar substituição, apos chegada das mesmas, solicitamos o atendimento do técnico para realizar a troca devido a complexidade e parametrização dos componentes. serviço prestado final de 2024 pelo Leonardo Gava, onde tanto o encarregado quanto o fornecedor esqueceram de dar andamento para pagamento do serviço.</t>
  </si>
  <si>
    <t xml:space="preserve">soldas sanitárias em estruturas de
Equipamentos do setor de embalagem primária indústria_x000D_ e industrializados, Setor de embut-cozidos e Setor de presumtaria. 
</t>
  </si>
  <si>
    <t>5345 – 20% 
2283 – 40%
2291 – 40%</t>
  </si>
  <si>
    <t>94624 - BALENA 16.000,00
275 - EDINOX 15.000,00
271 - THOMAZ &amp; BARONI 10.600,00</t>
  </si>
  <si>
    <t>Serviço deve ser executado com urgência, pois tem risco de contaminação dos produtos por meio de soldas mau acabadas e equipamentos danificados, assim podendo soltar resíduos no produto, alguns pontos com corrosão e tricas.</t>
  </si>
  <si>
    <t xml:space="preserve">RATEIO:
50% - ABATE 2488
50% - ESPOSTEJAMENTO 2224
</t>
  </si>
  <si>
    <t xml:space="preserve">TORNO - usinagem em placa de selagem </t>
  </si>
  <si>
    <t>434 - VEOTANO 2.680,00</t>
  </si>
  <si>
    <t>4032 - 06/01/26</t>
  </si>
  <si>
    <t xml:space="preserve">	TORNO - Confecção de Placa em nylon, conforme desenho</t>
  </si>
  <si>
    <t>433 - VELOTANO 1.735,00
9 - AVF 3.879,90
729 - USICASTRO 1.400,00</t>
  </si>
  <si>
    <t>Devido ao desgaste da chapa que se encontra na esteira de saída do túnel GEA, e segundo relato da operação, está danificando as caixas no processo, por falta desta peça, precisamos fazer o quanto antes este serviço, evitando prejuízo maiores. </t>
  </si>
  <si>
    <t>339 - PHDS 2.985,00</t>
  </si>
  <si>
    <t>O motivo do emergencial é devido ao fato de que o elevador em questão se encontrava travado, no qual tivemos que realizar toda a desmontagem das rodas, guias e eixo e confecção imediata de peças para que fosse possível reutilizar o elevador mais rápido possível.</t>
  </si>
  <si>
    <t>69 - 17/09/25</t>
  </si>
  <si>
    <t>cancelar, Thales enviou duplicadamente para abrir requisição, e já havia a rc 4298985</t>
  </si>
  <si>
    <t xml:space="preserve">TORNO - Serviço de usinagem em bucha bronze e eixo com 
rosca nova.
</t>
  </si>
  <si>
    <t>3998 - 03/12/25</t>
  </si>
  <si>
    <t>SERVIÇO DE REFORMA DE NIVELADORA DA DOCA DE LAVAGEM DE CONTENTORES CONFORME NF SAIDA Nº 40507 - SERVIÇO A SER REALIZADO FORA DA UNIDADE</t>
  </si>
  <si>
    <t>phds 656</t>
  </si>
  <si>
    <t>150 - 28/11/25</t>
  </si>
  <si>
    <t>TORNO - usinagem em placa de selagem F200.</t>
  </si>
  <si>
    <t>404 - VELOTANO 1.220,00</t>
  </si>
  <si>
    <t>TORNO - usinagem em placa de selagem F200 e teflonagem.</t>
  </si>
  <si>
    <t>405 - VELOTANO 1.640,00</t>
  </si>
  <si>
    <t>3994 - 27/11/25</t>
  </si>
  <si>
    <t xml:space="preserve">AVF </t>
  </si>
  <si>
    <t xml:space="preserve">TORNO - Usinagem em cantoneira de aço inox para fazer 2 oblongos e normalização do 
Comprimento.
</t>
  </si>
  <si>
    <t>10 - AVF 5.756,40</t>
  </si>
  <si>
    <t>2029 - 03/12/25</t>
  </si>
  <si>
    <t>SERVIÇO DE SUBSTITUIÇÃO DA JUNTA FRONTAL DO FILTRO DO GERADOR DE ENERGIA (SALA DE MÁQUINAS).</t>
  </si>
  <si>
    <t>20824895 - STEMAC</t>
  </si>
  <si>
    <t xml:space="preserve"> Orçamento para substituição da  junta frontal do filtro que está apresentando contaminação de água no óleo lubrificante do gerador de energia que fica ao lado da sala de máquinas, manutenção especializada será realizado pelo fabricante do equipamento.</t>
  </si>
  <si>
    <t>SERVIÇO DE SUBSTITUIÇÃO DE BOMBA INJETORA E SUBSTITUIÇÃO DE ÓLEO, FILTROS E LÍQUIDO DE ARREFECIMENTO.</t>
  </si>
  <si>
    <t>20823735/20853962 - STEMAC</t>
  </si>
  <si>
    <t>Orçamento para substituição da bomba injetora do gerador de energia do ADM, manutenção especializada será realizado pelo fabricante do equipamento.</t>
  </si>
  <si>
    <t>TORNO - fabricação de engrenagem para estágio 01 da Finity.</t>
  </si>
  <si>
    <t>566 - PHDS 695,00</t>
  </si>
  <si>
    <t>O motivo do retirado é devido ao fato de que a engrenagem em questão estava com um elevado desgaste nos dentes e na furação referente ao eixo. Dessa forma, a engrenagem ficava frouxa no eixo do rolo, aumentando significativamente o desgaste. Além disso, acabava gerando paradas devido ao escape da corrente.</t>
  </si>
  <si>
    <r>
      <rPr>
        <sz val="9"/>
        <color rgb="FFFF0000"/>
        <rFont val="Calibri"/>
        <scheme val="minor"/>
      </rPr>
      <t xml:space="preserve">934
</t>
    </r>
    <r>
      <rPr>
        <sz val="9"/>
        <color rgb="FF000000"/>
        <rFont val="Calibri"/>
        <scheme val="minor"/>
      </rPr>
      <t>957</t>
    </r>
  </si>
  <si>
    <r>
      <rPr>
        <sz val="9"/>
        <color rgb="FFFF0000"/>
        <rFont val="Calibri"/>
        <scheme val="minor"/>
      </rPr>
      <t xml:space="preserve">14/04/2026
</t>
    </r>
    <r>
      <rPr>
        <sz val="9"/>
        <color rgb="FF000000"/>
        <rFont val="Calibri"/>
        <scheme val="minor"/>
      </rPr>
      <t>17/04/2026</t>
    </r>
  </si>
  <si>
    <r>
      <rPr>
        <sz val="9"/>
        <color rgb="FFFF0000"/>
        <rFont val="Calibri"/>
        <scheme val="minor"/>
      </rPr>
      <t xml:space="preserve">14/04/2026
</t>
    </r>
    <r>
      <rPr>
        <sz val="9"/>
        <color rgb="FF000000"/>
        <rFont val="Calibri"/>
        <scheme val="minor"/>
      </rPr>
      <t>20/04/2026</t>
    </r>
  </si>
  <si>
    <t>SERVIÇO DE INSTALAÇÃO DE AR CONDICIONADO 24000 BTUS E 12000 BTUS.</t>
  </si>
  <si>
    <t>2101-2178</t>
  </si>
  <si>
    <t>3 orçamentos</t>
  </si>
  <si>
    <t>SERVIÇO DE MÃO DE OBRA E MATERIAIS PARA SUBSTITUIÇÃO DO CORRIMÃO EM AÇO CARBONO POR AÇO INOX 304 DA ESCADARIA DE ACESSO A GALERIA TÉCNICA. SERVIÇO A SER EXECUTADO DURANTE A SEMANA</t>
  </si>
  <si>
    <t>3 ORÇAMENTOS</t>
  </si>
  <si>
    <t>SERVIÇO DE MÃO DE OBRA E MATERIAIS PARA SUBSTITUIÇÃO DO CORRIMÃO EM AÇO CARBONO POR AÇO INOX 304 DA ESCADARIA DE ACESSO A SALGA. SERVIÇO A SER EXECUTADO EM FINAL DE SEMANA</t>
  </si>
  <si>
    <t>TORNO - conserto em algemas utilizadas na nórea aérea de pernil da X-ham, no setor de espostejamento</t>
  </si>
  <si>
    <t>437 - VELOTANO 9.200,00</t>
  </si>
  <si>
    <t>4015 - 16/12/25</t>
  </si>
  <si>
    <t>TORNO - usinagem em eixo central extratora de reto.</t>
  </si>
  <si>
    <t>417 - VELOTANO 2.020,00</t>
  </si>
  <si>
    <t>4027 - 06/01/26</t>
  </si>
  <si>
    <t>PHDS –
Metal C 
BALENA</t>
  </si>
  <si>
    <t>TORNO - usinagem em suporte pneumático extratora reto.</t>
  </si>
  <si>
    <t>436 - VELOTANO 1.350,00</t>
  </si>
  <si>
    <t>4000 - 03/12/25</t>
  </si>
  <si>
    <t>realizar o balanceamento de exaustor utilizado no sanfonamento de tripas do frescal.</t>
  </si>
  <si>
    <t>15204 - USIMEC 5.200,00</t>
  </si>
  <si>
    <t>4862 - 19/12/25</t>
  </si>
  <si>
    <t>TORNO - fabricação de eixo e chapas do conjunto de faca utilizada na Inox Meccanica.</t>
  </si>
  <si>
    <t>726 - PHDS 1.895,00</t>
  </si>
  <si>
    <t xml:space="preserve">O motivo do único orçamento e como emergencial é devido ao fato de que a Inox Meccanica ficou apresentando rasgo na tripa durante todo o processo no dia. No intuito de evitar a repetição para o dia sequente, houve-se a necessidade do serviço. </t>
  </si>
  <si>
    <t>129 - 20/11/25</t>
  </si>
  <si>
    <t>TORNO - fabricação em eixo da esteira de copa utilizada no espostejamento.</t>
  </si>
  <si>
    <t>727 - PHDS 3.880,00</t>
  </si>
  <si>
    <t>O motivo do emergencial é devido ao fato de o eixo em questão acabou quebrando durante o processo, tornando a esteira em questão inutilizada, prejudicando a produção. A fabricação veio também no intuito de adequar o eixo a equipamentos reservas que possuímos hoje, tornando-se mais viável e rápida manutenções futuras.</t>
  </si>
  <si>
    <t>131 - 19/11/25</t>
  </si>
  <si>
    <t>TORNO - usinagem em eixo agitador de lodo utilizado no tanque de lodo da tridecanter e decanter.</t>
  </si>
  <si>
    <t>735 - PHDS 2.820,00</t>
  </si>
  <si>
    <t>O motivo do emergencial com único orçamento é mediante ao fato de que o agitador é responsável por homogeneizar os efluentes do tanque de lodo da tridecanter e decanter. Tornou-se necessário o reparo imediato mediante o fato de que a não homogeneização poderia acarretar no entupimento das tubulações e bombas do processo, gerando um problema consequente ainda maior.</t>
  </si>
  <si>
    <t>138 - 24/11/25</t>
  </si>
  <si>
    <t>TORNO - reparo em conjunto engrenagem utilizado na máquina de tripas.</t>
  </si>
  <si>
    <t>741 - PHDS 830,00</t>
  </si>
  <si>
    <t>O motivo do emergencial e único orçamento é devido ao fato de que o equipamento estava com conjunto engrenagem com folga excessiva, gerando complicações durante a utilização no processo. </t>
  </si>
  <si>
    <t>137 - 24/11/25</t>
  </si>
  <si>
    <t>ABRIR POLIA DO SISTEMA DE TRANSMISSÃO DA NÓRIA DE DERRUBADA DE CARCAÇAS DO MEZANINO.</t>
  </si>
  <si>
    <t>755 - PHDS 950,00</t>
  </si>
  <si>
    <t>O serviço foi executado com a classificação 5 – SERVIÇO EMERGENCIAL SEM NF, em razão de avaria na polia do sistema de transmissão da nória responsável pela movimentação e derrubada de carcaças no mezanino. A falha ocorreu devido à queda da chaveta do eixo, ocasionando danos à polia e comprometendo a operação do equipamento.</t>
  </si>
  <si>
    <t>CLEDSON DE SOUZA BUENO</t>
  </si>
  <si>
    <t>Conserto emergencial realizado na câmara fria de congelados do refeitório.</t>
  </si>
  <si>
    <t xml:space="preserve">Justificativa: Foi necessário atendimento emergencial devido a câmara estar cheio de carnes e produtos que poderiam estragar se não fosse realizado a manutenção corretiva emergencial.
Foi realizado recarga de gás e conserto do sensor de temperatura que estavam danificados.
</t>
  </si>
  <si>
    <t>bermo</t>
  </si>
  <si>
    <t xml:space="preserve">SERVIÇO DE MANUTENÇÃO CORRETIVA VÁLVULA DESCARGA DE FUNDO DN50 CL300 C/ ALAVANCA
MODELO DFA40 MARCA BERMO.
</t>
  </si>
  <si>
    <t>Tiago T.</t>
  </si>
  <si>
    <t>Retrofit do comando das 
esteiras de recebimento de 
matéria prima da indústria</t>
  </si>
  <si>
    <t>4318841
4409363(aditivo)</t>
  </si>
  <si>
    <t>Mecânica Valenga</t>
  </si>
  <si>
    <t>SERVIÇO DE MANUTENÇÃO DO CILINDRO HIDRÁULICO DA DIREÇÃO HIDRÁULICA DA RETROESCAVADEIRA JOHNDEERE.</t>
  </si>
  <si>
    <t>Justificativa: Empresa responsável pelo serviço é a única representante da região autorizada pela john deere (fabricante da retroescavadeira) para realizar manutenções</t>
  </si>
  <si>
    <t>SERVIÇO DE MATERIAL E MÃO DE OBRA PARA REFORMA DE CILINDROS DO EQUIPAMENTO MÁQUINA DE TRIPAS</t>
  </si>
  <si>
    <t>BEMAG</t>
  </si>
  <si>
    <t>CONFECÇÃO E INSTALAÇÃO DE 7 METROS DE PROTEÇÃO TÉRMICA E ISOLAÇÃO PARA AS TUBULAÇÕES DEVAPOR DO ABATE AREA SUJA 5008IP
Serviço será realizado para adequação das isolações térmicas das tubulações de vapor do abate área suja.</t>
  </si>
  <si>
    <t>24216 - AGRINOX 10.608,00
9 - BEMAG 7.600,00
2199 - METAL C 8.900,00</t>
  </si>
  <si>
    <t>VENTARE IND. E COM. DE SISTEMAS DE VENT. EIRELI -EPP</t>
  </si>
  <si>
    <t>SISTEMA DE VENTILAÇÃO.</t>
  </si>
  <si>
    <t>Cristiano</t>
  </si>
  <si>
    <t>FLUXO</t>
  </si>
  <si>
    <t>INSTALAÇÃO DE SISTEMA DE INSENSIBILIZAÇÃO,
START-UP, TREINAMENTO DE EQUIPE,  ACOMPANHAMENTO TÉCNICO E CALIBRAÇÃO DE EQUIPAMENTOS.</t>
  </si>
  <si>
    <t>3952 - FLUXO 11.385,00</t>
  </si>
  <si>
    <t>se trata do fabricante do equipamento.</t>
  </si>
  <si>
    <t>predponta</t>
  </si>
  <si>
    <t>SERVIÇO DE ALINHAMENTO A LASER CONJUNTO PRENSA</t>
  </si>
  <si>
    <t>Justificativa: necessidade de alinhamento com urgência devido a substituição do motor do equipamento, sendo este de grande impotência no processo gerando impacto na produtividade da fábrica.</t>
  </si>
  <si>
    <t>TORNO - USINAGEM EM SUPORTE DO BRAÇO SERRRA AUTO SPLITTER</t>
  </si>
  <si>
    <t>442 - VELOTANO 930,00</t>
  </si>
  <si>
    <t>4009 - 10/12/25</t>
  </si>
  <si>
    <t>conserto eletrônico em controlador de temperatura ropex res-5007</t>
  </si>
  <si>
    <t>12474 - VOLT 2.152,00</t>
  </si>
  <si>
    <t>conserto eletrônico em inversor de frequência lenze 8400 2.4 A</t>
  </si>
  <si>
    <t>12481 - VOLT 2.693,25</t>
  </si>
  <si>
    <t>11906 - 12/12/25</t>
  </si>
  <si>
    <t>TORNO - USINAGEM EM RODA GUIA DA NÓREAS DO ABATE.</t>
  </si>
  <si>
    <t>441 - VELOTANO 700,00</t>
  </si>
  <si>
    <t>4007 - 10/12/25</t>
  </si>
  <si>
    <t>conserto eletrônico em controlador de temperatura ropex</t>
  </si>
  <si>
    <t>12484 - VOLT 1.865,22</t>
  </si>
  <si>
    <t>AFIAÇÃO LÂMINA DE CORTE V-CUT MAREL</t>
  </si>
  <si>
    <t>11 - VENZON 1.440,00</t>
  </si>
  <si>
    <t>8724 - 12/12/25</t>
  </si>
  <si>
    <t>TORNO - confecção de módulo de correia utilizada na extratora de escápula.</t>
  </si>
  <si>
    <t>442 - VELOTANO 510,00</t>
  </si>
  <si>
    <t>O motivo do emergencial com um único orçamento é devido ao fato de que a correia acabou quebrando durante o processo, prejudicando o funcionamento da extratora de escápula. A confecção de uma nova emergencialmente veio no intuito de retomar o processo correto o mais rápido possível.</t>
  </si>
  <si>
    <t>3975 - 06/11/25</t>
  </si>
  <si>
    <t>CONSERTO DE 102 CARRETILHAS, TROCA DE GANCHOS, TROCA DE ROLDANAS E TROCA DE PINOS. GANCHOS, ROLDANAS E PINOS FORNECIDOS PELA AURORA.</t>
  </si>
  <si>
    <t>94755 - BALENA 21.585,64</t>
  </si>
  <si>
    <t>dez/25
jan/26</t>
  </si>
  <si>
    <t>20551 - 18/12/25</t>
  </si>
  <si>
    <t>TORNO - USINAGEM DE PONTEIRA DE EIXO E AJUSTE</t>
  </si>
  <si>
    <t>749 - PHDS 2.000,00</t>
  </si>
  <si>
    <t>Foi preciso retirar a peça para conserto no Domingo dia 24/11, aproveitando máquina parada, serviço realizado preenchimento o eixo e realizar usinagem.</t>
  </si>
  <si>
    <t>139 - 23/11/25</t>
  </si>
  <si>
    <t xml:space="preserve">SENGER </t>
  </si>
  <si>
    <t xml:space="preserve">Conserto de 01 guincho hidráulico bovenal, 01 Jacaré hidráulico bovenau </t>
  </si>
  <si>
    <t>TORNO - SERVIÇO DE USINAGEM DAS ROLDANAS DO TOMBADOR DE CONTENTORES.</t>
  </si>
  <si>
    <t xml:space="preserve">Justificativa: Serviço emergencial de usinagem dos das roldanas do tombador de contentores, equipamento gera perca no processo produtivo. </t>
  </si>
  <si>
    <t>S P MANUTENÇÃO E SERVIÇOS</t>
  </si>
  <si>
    <t>SERVIÇO DE CONSERTO DE VÁLVULA DE GAVETA 4" DA CALDEIRA CONFORME NF DE SAÍDA Nº 40999</t>
  </si>
  <si>
    <t>SERVIÇOS DE MECÂNICA PARA SUBSTITUIÇÃO DE TUBULAÇÕES OXIDADES POR AÇO INOX, OS MATERIAIS SERÃO FORNECIDOS PELA UNIDADE. SERVIÇO DE SUBSTITUIÇÃO EM DIVERSOS PONTOS DO ABATE, CORTES PALETIZAÇÃO. A SER EXECUTADO DENTRO DA UNIDADE EM FINAIS DE SEMANA.</t>
  </si>
  <si>
    <t>2224 50%
2488</t>
  </si>
  <si>
    <t>francis</t>
  </si>
  <si>
    <t>93641
114
2202</t>
  </si>
  <si>
    <r>
      <rPr>
        <sz val="9"/>
        <color rgb="FFFF0000"/>
        <rFont val="Calibri"/>
        <scheme val="minor"/>
      </rPr>
      <t xml:space="preserve">762
</t>
    </r>
    <r>
      <rPr>
        <sz val="9"/>
        <color rgb="FF000000"/>
        <rFont val="Calibri"/>
        <scheme val="minor"/>
      </rPr>
      <t>765</t>
    </r>
  </si>
  <si>
    <t>debitado</t>
  </si>
  <si>
    <t>MONTAGENS INDUSTRIAIS CHAPECO</t>
  </si>
  <si>
    <t>Mão de Obra e material auxiliar para instalação de um evaporador para câmara de matéria prima fornecido pela Aurora conforme memorial descritivo anexo.</t>
  </si>
  <si>
    <t>TORNO - USINAGEM EM EIXO DO MOTOR DA MESA DE REPENDURA.</t>
  </si>
  <si>
    <t>444 - VELOTANO 1.420,00</t>
  </si>
  <si>
    <t>4029 - 06/01/26</t>
  </si>
  <si>
    <t>os tauras do ar</t>
  </si>
  <si>
    <t>SERVIÇO DE CONSERTO EM AR CONDICIONADO SPRINGER 18 BTUs / 30000 BTUs / 48000 BTUs / 18000 BTUs.</t>
  </si>
  <si>
    <t xml:space="preserve">2151– 400,00 reais
2054– 750,00 reais
1759– 920,00 reais
2208– 220,00 reais
</t>
  </si>
  <si>
    <t>Justificativa: Durante a manutenção PMOC foi constatado alguns equipamentos com falta de fluido e com problemas de funcionamento, solicitado a adequação afim de deixar os equipamentos em ótimo estado de conservação e de funcionamento. Necessidade desta manutenção haja visto o conforto térmico dos colaboradores na qual trabalha no local.</t>
  </si>
  <si>
    <t>conserto eletrônico em IHM handtmann vf630</t>
  </si>
  <si>
    <t>12475 - VOLT 6.889,25</t>
  </si>
  <si>
    <t>12476 - VOLT 6.368,23</t>
  </si>
  <si>
    <t>TORNO  -  USINAGEM ROSCA HELICOIDAL E REFORÇO NA PONTEIRA.</t>
  </si>
  <si>
    <t>170 - 18/12/25</t>
  </si>
  <si>
    <t xml:space="preserve">ATENAS </t>
  </si>
  <si>
    <t xml:space="preserve">MANUTENÇÃO EM BOMBA KSB 080-050-250, 6.500,00
COM OS SERVICOS DE;
- DESMONTAGEM;
- LIMPEZA E BANHO DE DECAPAGEM;
- ANALISE DE TROCA DE PECAS;
- RT;
- FABRICACAO DE ANEL DE DESGASTE;
- BUCHA PROTETORA;
- JG DE JUNTAS;
- SELO MECANICO;
- JG DE PARAFUSOS;
- JATEAMENTO DE CARCACA;
- JATEAMENTO DE TAMPA DE PRESSAO;
- MONTAGEM;
- TESTES;
- PINTURA;
</t>
  </si>
  <si>
    <r>
      <rPr>
        <sz val="9"/>
        <color rgb="FFFF0000"/>
        <rFont val="Calibri"/>
        <scheme val="minor"/>
      </rPr>
      <t xml:space="preserve">3200
</t>
    </r>
    <r>
      <rPr>
        <sz val="9"/>
        <color rgb="FF000000"/>
        <rFont val="Calibri"/>
        <scheme val="minor"/>
      </rPr>
      <t>3228</t>
    </r>
  </si>
  <si>
    <t>SERVIÇO DE MANUTENÇÃO CORRETIVA EM VÁLVULA DE CONTROLE E PILOTO CONTROLADOR.</t>
  </si>
  <si>
    <t>SERVIÇO DE CONSERTO DE MANGUEIRAS HIDRÁULICAS PRENSADA.</t>
  </si>
  <si>
    <t>marel</t>
  </si>
  <si>
    <t>MATERIAL E MÃO DE OBRA PARA MANUTENÇÃO PREVENTIVA DO NA FATIADORA V-CUT 240 MAREL</t>
  </si>
  <si>
    <t>209199
209212
: 209214</t>
  </si>
  <si>
    <t>Justificativa: Fornecedor das peças necessárias para o serviço tem data limite de faturamento dia 16 de Dezembro e retorno gradual de faturamento dia 06 de Janeiro. Devido a urgência da chegada das peças não podemos aguardar o período de retorno das atividades do fornecedor (SERVIÇO AINDA NÃO PRESTADO). </t>
  </si>
  <si>
    <t>phds</t>
  </si>
  <si>
    <t>ROMANEIO: 1778.</t>
  </si>
  <si>
    <t>TORNO - SERVIÇO DE USINAGEM ACOPLAMENTOS CONFORME AMOSTRAS / RECUPERAÇAO DE CONJUNTO DE ACOPLAMENTO / FABRICAÇÃO DE ACOPLAMENTO.</t>
  </si>
  <si>
    <t>JUSTIFICATIVA: Necessidade de usinagem de acoplamento da bomba do absorvedor, quebrou o acoplamento sendo necessário recuperar o mesmo, equipamento impacta na climatização da indústria.</t>
  </si>
  <si>
    <t>ROMANEIO: 1784.</t>
  </si>
  <si>
    <t>TORNO - SERVIÇO DE USINAGEM ABRIR ACOPLAMENTO BOMBA DE RESFRIAMENTO DA ABSORÇÃO (24MMX25MM) CHAVETA 8MM.</t>
  </si>
  <si>
    <t>TORNO - SERVIÇO DE USINAGEM ABRIR ACOPLAMENTO BOMBA CAPTAÇÃO ETE.</t>
  </si>
  <si>
    <t>JUSTIFICATIVA: Necessidade de usinagem de acoplamento da bomba de água da lagoa de água bruta, Equipamento de alta impacto no tratamento de água, podendo gerar impacto negativo no processo industrial.</t>
  </si>
  <si>
    <t>114 - 03/11/25</t>
  </si>
  <si>
    <t>MANUTENÇÃO PREVENTIVA DO NA FATIADORA V-CUT 240 MAREL</t>
  </si>
  <si>
    <t>210531 - MAREL 22.383,66</t>
  </si>
  <si>
    <t>Fornecedor das peças necessárias para o serviço tem data limite de faturamento dia 16 de Dezembro e retorno gradual de faturamento dia 06 de Janeiro. Devido a urgência da chegada das peças não podemos aguardar o período de retorno das atividades do fornecedor (SERVIÇO AINDA NÃO PRESTADO).</t>
  </si>
  <si>
    <t>Inicialmente seria pedido este orçamento para o equipamento V-CUT para solucionar as questões emergenciais, após o envio para digitação, feito uma análise melhor do orçamento e relatório enviado pela MAREL, foi decidido realizar a requisição conforme recomendação. Portanto, favor cancelar está requisição, pois se trata de materiais já inclusos na requisição N°4329978.</t>
  </si>
  <si>
    <t>CLEDSON</t>
  </si>
  <si>
    <t>SUBSTITUIÇÃO DO COMPRESSOR DO BEBEDOURO DA RECEPÇÃO DE SUÍNOS.</t>
  </si>
  <si>
    <t>0 - CLEDSON DE SOUZA 900,00</t>
  </si>
  <si>
    <t>7620441 - 23/12/25</t>
  </si>
  <si>
    <t>SERVIÇO DE TERCEIRO COM MÃO DE OBRA E MATERIAIS PARA REALIZAR A SUBSTITUIÇÃO DO PAINEL E ATUALIZAÇÃO DO SOFTWARE DO DETECTOR DE METAIS LOMA SYSTEMS IQ3+E SN QEU55-25-58124D.</t>
  </si>
  <si>
    <t>NF 6614 - 6.998,00</t>
  </si>
  <si>
    <t>AQUISIÇÃO EM CARÁTER DE URGÊNCIA DEVIDO AO DETECTOR DE METAIS DA LINHA DE MARINADOS DO SETOR DE FRESCAIS TER APRESENTADO FALHA FUNCIONAL TOTAL, PERMANECENDO INOPERANTE MESMO APÓS PROCEDIMENTOS DE RESET, INSPEÇÃO DE CABEAMENTO, VERIFICAÇÃO DA FONTE INTERNA E EXECUÇÃO DE TESTES DE DIAGNÓSTICO. A ANOMALIA EVIDENCIA UMA FALHA CRÍTICA NO MÓDULO ELETRÔNICO RESPONSÁVEL PELA LEITURA DO CAMPO ELETROMAGNÉTICO, COMPROMETENDO INTEGRALMENTE O PROCESSO DE DETECÇÃO. DIANTE DISSO, TORNA-SE NECESSÁRIA A SUBSTITUIÇÃO COMPLETA DO PAINEL DE CONTROLE E A ATUALIZAÇÃO DO SOFTWARE DO EQUIPAMENTO, EQUIPAMENTO ENCONTRA-SE PARADO, IMPACTANDO DIRETAMENTE AO SETOR DE PRODUÇÃO.</t>
  </si>
  <si>
    <t>AGUARDAR GERAR PEDIDO</t>
  </si>
  <si>
    <t>PREDPONTA</t>
  </si>
  <si>
    <t>517 - PREDPONTA 3.024,00</t>
  </si>
  <si>
    <t>NECESSIDADE DE ALINHAMENTO COM URGÊNCIA DEVIDO A SUBSTITUIÇÃO DO CONJUNTO MOTOR / REDUTOR DO EQUIPAMENTO, SENDO ESTE DE GRANDE IMPOTÊNCIA NO PROCESSO GERANDO IMPACTO NA PRODUTIVIDADE DA FÁBRICA.</t>
  </si>
  <si>
    <t>CLEDSON DE SOUZA</t>
  </si>
  <si>
    <t>CONSERTO DE 3 BEBEDOUROS DE COLUNA DA RECEPÇÃO DE SUÍNOS.</t>
  </si>
  <si>
    <t>0 - CLEDSON DE SOUZA 1.080,00</t>
  </si>
  <si>
    <t>serviço foi realizado com a classificação 5 - SERVIÇO EMERGENCIAL SEM NF devido a necessidade imediata de garantir a qualidade de abastecimento de água gelada no setor de recepção de suínos. Atualmente os 3 bebedouros do setor não fornecem uma boa condição ergonômica aos colaboradores do setor.</t>
  </si>
  <si>
    <t>ROMANEIO 1787</t>
  </si>
  <si>
    <t>TORNO - USINAGEM BUCHA FUSO ABERTURA DA TAMPA DO DIGESTOR DE PELOS.</t>
  </si>
  <si>
    <t>716 - PHDS 6.403,76</t>
  </si>
  <si>
    <t>Necessidade de usinagem de bucha de fuso em bronze do digestor de pelos devido ao equipamento não estar abrindo a comporta atrapalhando o processo produtivo e gerando risco aos colaboradores.</t>
  </si>
  <si>
    <t>TORNO - FABRICAÇÃO DE BUCHA EM AÇO INOX E USINAGEM EM FLANGE DO TUMBLER DE MASSAS 02 DA PRESUNTARIA.</t>
  </si>
  <si>
    <t>784 - PHDS 1.860,00</t>
  </si>
  <si>
    <t>O serviço foi executado sob a classificação 5 – Serviço Emergencial Sem NF, em razão da necessidade imediata de fabricação de uma bucha e usinagem do flange pertencente ao sistema de abertura da tampa do Tumbler de massas. A intervenção emergencial tornou-se imprescindível para restabelecer a funcionalidade mecânica do equipamento e evitar a paralisação prolongada do processo produtivo. O atendimento foi realizado em caráter emergencial no domingo, 30/11/2025.</t>
  </si>
  <si>
    <t>FAST</t>
  </si>
  <si>
    <t>REVISÃO PREVENTIVA DA CENTRIFUGA TRIDECANTER DCT SATURNO 3 (N° 3019).</t>
  </si>
  <si>
    <t>2058.25 - FAST 45.890,18</t>
  </si>
  <si>
    <t>Somente um orçamento por se tratar do fabricante do equipamento.</t>
  </si>
  <si>
    <t>REVISÃO PREVENTIVA DA CENTRIFUGA DECANTER DC MARTE 3 (N° 3019)</t>
  </si>
  <si>
    <t>2057.25 - FAST 20.502,08</t>
  </si>
  <si>
    <t>TORNO - USINAGEM EM CONJUNTO DE PEÇAS (ÊMBOLO E NAVALHAS) DO DOSADOR VOLUMÉTRICO.</t>
  </si>
  <si>
    <t>447 - VELOTANO 7.530,00</t>
  </si>
  <si>
    <t>4025 - 06/01/26</t>
  </si>
  <si>
    <t>GESTEC</t>
  </si>
  <si>
    <t>CONSERTO DE INTERFACE DE LEITURA DE TEMPERATURA DAS SONDAS UTILIZADAS PARA VALIDAÇÃO TÉRMICA. SERVIÇO EXECUTADO FORA DA UNIDADE NO EQUIPAMENTO ENVIADO PARA CONSERTO CONFORME 
PEDIDO DE FATURAMENTO 11883</t>
  </si>
  <si>
    <t>15417 - GESTEC 2.206,00</t>
  </si>
  <si>
    <t>ROMANEIO 253</t>
  </si>
  <si>
    <t>TORNO - , usinagem em guia da ponte rolante presuntaria</t>
  </si>
  <si>
    <t>717 - PHDS 1.400,00</t>
  </si>
  <si>
    <t>Local onde prende uma das partes do guia espanou e quebrou por trabalhar com folga, foi necessária enviar uma parte do guia com urgência para usinagem, pois estávamos com risco eminente de parada podendo desenrolar o cabo de aço.</t>
  </si>
  <si>
    <t>TORNO - usinagem em acoplamento bomba hidráulica tumbler.</t>
  </si>
  <si>
    <t>803 - PHDS 680,00</t>
  </si>
  <si>
    <t>Chaveta que trava o acoplamento na bomba gastou e estava trabalhando livre, o sistema e responsável por realizar o movimento de sobe e desce do tumbler, devido o desgaste o hidráulico estavam sem força para movimentar o tumbler, encontramos um acoplamento porem foi necessário abrir o canal de chaveta e o diâmetro interno.</t>
  </si>
  <si>
    <t>161 - 04/12/25</t>
  </si>
  <si>
    <t>TORNO - usinagem em eixo e polia embaladora tactap</t>
  </si>
  <si>
    <t>814 - PHDS 1.390,00</t>
  </si>
  <si>
    <t>Eixo da polia que traciona a correia que puxa as caixas para embalar gastou, assim não realizando a força mecânica necessária para puxar a caixa, foi necessário o envio com urgência para serviço de usinagem, pois equipamento esta parado.</t>
  </si>
  <si>
    <t>163 - 08/12/25</t>
  </si>
  <si>
    <t>atendimento realizado In-loco, assistência técnica no equipamento Textor.</t>
  </si>
  <si>
    <t>4025120947 - WEBER 2.305,80</t>
  </si>
  <si>
    <t>Durante inspeção foi identificado que o inversor de frequência de acionamento do motor da esteira Marking conveyor do conjunto CMB, apresentava falha de curto circuito na saída do inversor quando o inversor entrava em operação, devido a complexidade do problema, foi necessário solicitar  assistência técnica da weber para solucionar o problema.</t>
  </si>
  <si>
    <t>TORNO - usinagem em placa de selagem multivac CA:5345 uso(242).</t>
  </si>
  <si>
    <t>449 - VELOTANO 850,00</t>
  </si>
  <si>
    <t>4028 - 06/01/26</t>
  </si>
  <si>
    <t xml:space="preserve">TORNO - usinagem em placa de selagem multivac </t>
  </si>
  <si>
    <t>448 - VELOTANO 3.760,00</t>
  </si>
  <si>
    <t>ATENAS</t>
  </si>
  <si>
    <t xml:space="preserve">CONSERTO BOMBA ME BR 2250, COM
OS SERVICOS DE;
- DESMONTAGEM;
- LIMPEZA E BANHO DE DECAPAGEM;
- ANALISE DE TROCA DE PECAS;
- SMOT EM BRONZE;
- REJUVENESCIMENTO DO MOTOR;
- JG DE ROLAMENTOS;
- VENTOINHA;
- CAPA DEFLETORA;
- FABRICACAO DE PONTA DE EIXO;
- MONTAGEM;
- TESTES;
- PINTURA;
</t>
  </si>
  <si>
    <t>12123 - ATENAS 5.920,00</t>
  </si>
  <si>
    <t>TORNO - USINAGEM ROLO DE APOIO DAS ESTEIRAS DE ALIMENTACÃO DE CAVACO DA CALDEIRA.</t>
  </si>
  <si>
    <t>438 - VELOTANO 11.500,00</t>
  </si>
  <si>
    <t>4023 - 06/01/26</t>
  </si>
  <si>
    <t>ASSISTENCIA TECNICA EM IHM SIEMENS KTP 600 BASIC MONO.</t>
  </si>
  <si>
    <t>080261 - ATIVA PRO 2.821,40</t>
  </si>
  <si>
    <t>SERVIÇO DE TERCEIRO COM MÃO DE OBRA E MATERIAL PARA CONSERTO EM FONTE DE ALIMENTAÇÃO TDK-LAMBDA</t>
  </si>
  <si>
    <t>080262 - ATIVA PRO 885,10</t>
  </si>
  <si>
    <t>F F VALVULAS</t>
  </si>
  <si>
    <t>CONSERTO VÁLVULAS REDUTORAS DE PRESSÃO DE 2” POL E VÁLVULAS DE SEGURANÇA 1.1/2” POL.</t>
  </si>
  <si>
    <t>407 - F F VALVULAS 13.600,00</t>
  </si>
  <si>
    <t>612 - 08/01/26</t>
  </si>
  <si>
    <t>S&amp;V</t>
  </si>
  <si>
    <t>CONSERTO DE CADEIRAS , TROCA DE ESTOFADO, REVESTIMENTO, RODIZISO QUEBRADOS E REVISÃO GERAL DOS COMPONENTES DAS CADEIRAS. SERVIÇO A SER EFETUADO FORA DA UNIDADE</t>
  </si>
  <si>
    <t>10% 453
90% 1171</t>
  </si>
  <si>
    <t>7 - móveis</t>
  </si>
  <si>
    <t>9101472504 - S&amp;V 3.670,00</t>
  </si>
  <si>
    <t>TORNO - USINAGEM EM CILINDRO DA TESOURA DE DESNUCA</t>
  </si>
  <si>
    <t>454 - VELOTANO 4.300,00</t>
  </si>
  <si>
    <t>REALIZAR OS REPAROS E ACABAMENTOS EM ISOPAINEL E VISOR EM CARÁTER DE EMERGÊNCIA DO SETOR DE LAVAGEM DE CESTAS PARA VIABILIZAR A VISTORIA DO SETOR PELO SIF LOCAL. SERVIÇO A SER EXECUTADO DENTRO DA UNIDADE.</t>
  </si>
  <si>
    <t>809 - JOACIR 3.468,00</t>
  </si>
  <si>
    <t>Necessário realizar os reparos e acabamentos em isopainel e visor em caráter de emergência do setor de lavagem de cestas para viabilizar a vistoria do setor pelo SIF local.</t>
  </si>
  <si>
    <t xml:space="preserve">ADEQUAÇÃO DE ESTEIRA QUE ESTAVA NO DEPÓSITO  PARA INSTALAÇÃO NA SAÍDA DO TUMBLER DE TEMPERADOS PARA REDUZIR RISCOS ERGONÔMICOS DEVIDO A SAÍDA DO TUMBLER SER MUITO BAIXA. MELHORIA DEFINIDA NO COMITE DE MELHORIAS. SERVIÇO A SER EXECUTADO FORA DA UNIDADE. </t>
  </si>
  <si>
    <t>95062 - BALENA 9.916,20</t>
  </si>
  <si>
    <t>SAD-25 Nº0254</t>
  </si>
  <si>
    <t>TORNO - USINAGEM NO CONJUNTO DO SUPORTE DO SISTEMA DE ABERTURA DA TAMPA DO TUMBLER DE MASSAS 02 DA PRESUNTARIA</t>
  </si>
  <si>
    <t>815 - PHDS 3.687,00</t>
  </si>
  <si>
    <t>O serviço foi executado sob a classificação 5 – Serviço Emergencial Sem NF, em razão da necessidade imediata de usinagem para conserto no conjunto do suporte do sistema de abertura da tampa pertencente ao tumbler de massas 02. A intervenção emergencial tornou-se necessária para restabelecer a funcionalidade mecânica do equipamento e evitar a paralisação prolongada do processo produtivo na segunda-feira. O atendimento foi realizado em caráter emergencial no domingo, 07/12/2025, único momento possível para execução sem impacto operacional.</t>
  </si>
  <si>
    <t>HELIBOMBAS</t>
  </si>
  <si>
    <t>CONSERTO EM AERADOR HM-15CV PLQ: 5550022294.</t>
  </si>
  <si>
    <t>225.0256 - HELIOBOMBAS 30.655,00</t>
  </si>
  <si>
    <t xml:space="preserve">Aerador do setor da ETE danificado, necessidade de reparo diretamente com o fabricante do equipamento.
</t>
  </si>
  <si>
    <t>CONSERTO DA MOTOBOMBA DE VÁCUO BUSCH RA 0302 D 5H3 SN C1743000176.</t>
  </si>
  <si>
    <t>456000198 - BUSCH 42.268,78</t>
  </si>
  <si>
    <t>DE PAULA SOLUÇÕES LTDA</t>
  </si>
  <si>
    <t>2488 25%
4588 25%
5345 25%
2283 25%</t>
  </si>
  <si>
    <t>3456 - J ORTIZ 73.550,00
61 - FINISSIMA 59.500,00
41201 - DE PAULA 69.672,30</t>
  </si>
  <si>
    <t>SUBSTITUIÇÃO DO CORRIMÃO EM AÇO CARBONO POR AÇO INOX 304 DA ESCADARIA DE ACESSO PASSARELA DE VISITAÇÃO E VESTIÁRIOS</t>
  </si>
  <si>
    <t>94946 - BALENA 22.551,26
2219 - METAL C 12.300,00
886 - USICASTRO 22.258,35</t>
  </si>
  <si>
    <t>DETECT NET</t>
  </si>
  <si>
    <t>CALIBRAÇÃO DO SISTEMA DE DETECÇÃO DE NH3.</t>
  </si>
  <si>
    <t>10899 - DETECT NET 167.100,00</t>
  </si>
  <si>
    <t>Somente um orçamento pois o fornecedor realizou a instalação dos equipamentos de detecção de amônia na unidade. E os mesmos tem o histórico dos pontos aonde estão instalados. Assim será mantido o padrão na unidade.</t>
  </si>
  <si>
    <t>TORNO - Usinagem em flanges para tubulação acelerador vácuo VC999</t>
  </si>
  <si>
    <t>453 - VELOTANO 2.100,00</t>
  </si>
  <si>
    <t>4022 - 05/01/26</t>
  </si>
  <si>
    <t>MANUTENÇÃO PREVENTIVA DE 4.000H COMPRESSOR DE AR G110 VSD Nº DE SÉRIE BQR145481.</t>
  </si>
  <si>
    <t>213491684 - ATLAS COPCO 42.181,08</t>
  </si>
  <si>
    <t>Somente um orçamento devido fornecedor ser fabricante do equipamento</t>
  </si>
  <si>
    <t>TORNO - USINAGEM EM CONJUNTO CUBO MOEDOR / TROCAR PARAFUSO DA 
CARCAÇA/ TROCAR ROLAMENTO 30209 ROLOS CONICO, TROCAR 
RETENTOR 45/60-7 ROLOS CONICOS/ VERIFICAR EIXO COM DESGASTE 
JATEAR E PINTAR RODA E CX REDUTORA</t>
  </si>
  <si>
    <t>847 - PHDS 3.768,00</t>
  </si>
  <si>
    <t>Foi preciso retirar o conjunto no domingo devido rolamento danificado e vazamento de óleo, onde precisou de usinagem, retornado a peça na segunda-feira para montagem e atendendo da produção.</t>
  </si>
  <si>
    <t>167 - 15/12/2025</t>
  </si>
  <si>
    <t>fabricação de guia em UHMW para a Inox Meccanica, que apresenta danos, podendo ocasionar a trava ou movimentação indevida do cilindro da máquina.
TORNO COM CLASS 1 E 3 ORÇAMENTO - TORNO SEM DIVISÃO.</t>
  </si>
  <si>
    <t>861 - PHDS 3.837,00
11 - AVF 3.689,90
440 - VELOTANO 2.900,00</t>
  </si>
  <si>
    <r>
      <rPr>
        <sz val="9"/>
        <color rgb="FFFF0000"/>
        <rFont val="Calibri"/>
        <scheme val="minor"/>
      </rPr>
      <t xml:space="preserve">3371
</t>
    </r>
    <r>
      <rPr>
        <sz val="9"/>
        <color rgb="FF000000"/>
        <rFont val="Calibri"/>
        <scheme val="minor"/>
      </rPr>
      <t>3382</t>
    </r>
  </si>
  <si>
    <r>
      <rPr>
        <sz val="9"/>
        <color rgb="FFFF0000"/>
        <rFont val="Calibri"/>
        <scheme val="minor"/>
      </rPr>
      <t xml:space="preserve">20/04/2026
</t>
    </r>
    <r>
      <rPr>
        <sz val="9"/>
        <color rgb="FF000000"/>
        <rFont val="Calibri"/>
        <scheme val="minor"/>
      </rPr>
      <t>01/05/2026</t>
    </r>
  </si>
  <si>
    <t xml:space="preserve">MAO DE OBRA PARA ADEQUAÇÃO EM TRÊS LIMPADORES DE PÉS SENDO REDUÇÃO DA BANDEJA, ALTERAR POSIÇÃO DOS PÉS E BACIA DE COLETA DE ESGOTO. REALIZAR CORTE E SOLDA DA ESTRUTURA PARA DEIXAR O QUADRO DE COMANDO NO MENOR ESPAÇO PSOSSIVEL.  RETIRAR O QUADRO SUPORTE PARA BACIAS DE MONOBLOCO CONFORME SOLICITADO PARA VIABILIZAR ESPAÇO NO SETOR.
REALIZAR ACABAMENTO COM JATEAMENTO NO INOX. SERVIÇO A SER EXECUTADO FORA DA UNIDADE. </t>
  </si>
  <si>
    <t>95100 - BALENA 17.500,00</t>
  </si>
  <si>
    <t xml:space="preserve">20537 - 15/12/25
</t>
  </si>
  <si>
    <t>SERVIÇO DE MANUTENÇÃO E ADEQUAÇÃO DA ESTEIRA QUE ESTAVA NO DEPÓSITO PARA COLOCAÇÃO NA SALA DE LIMPEZA DE PÉS. REVISAR MANCAIS E REDUZIR COMPRIMENTO PARA 3.000 MM. REALIZAR REPARO NOS PÉS DA ESTEIRA E ADEQUAR PARA ALTURA ERGONÔMICA DE 900 MM. REALIZAR AJUSTE NOS ROLOS DE TRAÇÃO DA ESTEIRA E SEPARAÇÃO DA FITA REMOVENDO AS PARTES DE BORRACHA. REALIZAR JATEAMENTO DA ESTRUTURA APÓS ADEQUAÇÕES. SERVIÇO A SER EXECUTADO FORA DA UNIDADE</t>
  </si>
  <si>
    <t>95101 - BALENA 10.507,00</t>
  </si>
  <si>
    <t>TORNO - USINAGEM DE ENGRENAGEM ASA TRIPARIA MAQUINA FINITTY</t>
  </si>
  <si>
    <t>824 - PHDS 395,00</t>
  </si>
  <si>
    <t>Não temos esta engrenagem em espefico no almoxerifado, evitando parada de equipamento, foi preciso pedir para empresa cofeccionar a peça.</t>
  </si>
  <si>
    <t>165 - 08/12/25</t>
  </si>
  <si>
    <t>SOMASOLUTION</t>
  </si>
  <si>
    <t xml:space="preserve"> </t>
  </si>
  <si>
    <t>58.343 - SOMASOLUTION 8.259,89</t>
  </si>
  <si>
    <r>
      <rPr>
        <sz val="9"/>
        <color rgb="FFFF0000"/>
        <rFont val="Calibri"/>
        <scheme val="minor"/>
      </rPr>
      <t xml:space="preserve">38
</t>
    </r>
    <r>
      <rPr>
        <sz val="9"/>
        <color rgb="FF000000"/>
        <rFont val="Calibri"/>
        <scheme val="minor"/>
      </rPr>
      <t>112</t>
    </r>
  </si>
  <si>
    <t>conserto em bomba utilizada na tipificação do abate.</t>
  </si>
  <si>
    <t>12144 - ATENAS 5.800,00</t>
  </si>
  <si>
    <t>TORNO - conserto/usinagem em conjunto volante da serra Soffinox paleta.</t>
  </si>
  <si>
    <t>13 - AVF 4.259,90</t>
  </si>
  <si>
    <t>MÃO DE OBRA PARA DIA EXTRA DE ACOMPANHAMENTO DE UM TÉCNICO DA MAREL, PARA O EQUIPAMENTO V-CUT 240.</t>
  </si>
  <si>
    <t>210877 - MAREL 4.709,79</t>
  </si>
  <si>
    <t>Na primeira semana de Dezembro o equipamento Fatiadora V-CUT 240 começou a apresentar problemas persistentes, fazendo necessário a vinda de um técnico da fabricante para sanar o problema, inicialmente a vindo do técnico estava prevista para as datas 12/12 até 15/12, no entanto, durante reunião no dia 15/12 com coordenadores da Marel foi solicitado a permanência do técnico para um dia extra, visando acompanhar a produção e buscar outras possíveis soluções para os problemas.</t>
  </si>
  <si>
    <t>SERVIÇO DE MANUTENÇÃO E RECUPERAÇÃO DE ESTEIRA QUE ESTAVA GUARDADA NO DEPÓSITO SEM OS PÉS E SUPORTES PARA PODER INSTALAR NA LINHA DE TERMOFORMADOS DA FRESCAL. SERVIÇO DE MANUTENÇÃO E RECUPERAÇÃO DOS PÉS, MANCAIS E REDIMENSIONAMENTO DE EIXO PARA INSTALAÇAO DE MOTOR EXISTENTES NA LINHA. SERVIÇO A SER EXECUTADO FORA DA UNIDADE.CONFORME NF DE SAÍDA 42132</t>
  </si>
  <si>
    <t xml:space="preserve">19973
</t>
  </si>
  <si>
    <t>SERVIÇO DE ATENDIMENTO E ASSITÊNCIA VIA ACESSO REMOTO PARA DIAGNÓSTICO E MANUTENÇÃO DE MÁQUINA DA LINHA DO ABATE E INSENSIBILIZADOR VIA CO2 BUTINA</t>
  </si>
  <si>
    <t xml:space="preserve"> O292694BA01</t>
  </si>
  <si>
    <t>Justificativa: Trata-se de um serviço com apenas um orçamento por ser uma assistência de serviço remoto oferecido apenas pelo fornecedor e fabricante do equipamento, não podendo ser feito por outro tipo de empresa. </t>
  </si>
  <si>
    <t>CONSERTO EM IHM DA EMBUTIDEIRA HANDTMANN</t>
  </si>
  <si>
    <t>080272 - ATIVA PRO 5.929,10</t>
  </si>
  <si>
    <t>Startech Eletrônica Industria</t>
  </si>
  <si>
    <t>CONCERTO IHM DO SUPERVISORIO DO TANQUE 8</t>
  </si>
  <si>
    <t>DANLUZ COMÉRCIO DE MOTORES ELÉTRICOS LTDA</t>
  </si>
  <si>
    <t>REALIZAÇÃO DE ASSISTENCIA TECNICA REFERENTE A MÃO DE OBRA DE MANUTENÇÃO DOS PORTÕE S E CANCELAS DAS GUARITAS</t>
  </si>
  <si>
    <t>JUSTIFICATIVA: NECESSIDADE DE MANTER OS PORTÕES E CANCELAS EM PLENO FUNCIONAMENTO DEVIDO O CONTROLE ASSÍDUO DE ENTRADA DE PESSOAS VEÍCULOS E ANIMAIS</t>
  </si>
  <si>
    <r>
      <rPr>
        <sz val="9"/>
        <color rgb="FFFF0000"/>
        <rFont val="Calibri"/>
        <scheme val="minor"/>
      </rPr>
      <t xml:space="preserve">52
</t>
    </r>
    <r>
      <rPr>
        <sz val="9"/>
        <color rgb="FF000000"/>
        <rFont val="Calibri"/>
        <scheme val="minor"/>
      </rPr>
      <t>57</t>
    </r>
  </si>
  <si>
    <t>PHDS USINAGEM</t>
  </si>
  <si>
    <t>SAD025 N°0137</t>
  </si>
  <si>
    <t>TORNO- SERVIÇO PARA USINAGEM EM ACOPLAMENTO DA BOMBA HIDRAULICA DO TAMBLER</t>
  </si>
  <si>
    <t>justificativa: feita usinagem no acoplamento do tumbler pois o mesmo gerou desgaste no canal do eixo, impossibilitando o acionamento do equipamento. </t>
  </si>
  <si>
    <t>IN LOCO</t>
  </si>
  <si>
    <t>REVISÃO PREVENTIVA IN LOCO DA MOTOBOMBA DE VÁCUO BUSCH RA 0305 D 503 SN C1748000277</t>
  </si>
  <si>
    <t>455000092 - BUSCH 48.506,80</t>
  </si>
  <si>
    <t>Identificamos que a bomba de vácuo da termoformadora Multivac do setor da presuntaria está apresentando queima excessiva de óleo, caracterizando falha operacional crítica. Essa condição indica possível desgaste interno, superaquecimento e perda de eficiência do sistema de vácuo, podendo evoluir para travamento ou quebra total do equipamento a qualquer momento. Ressalta-se que não há equipamento reserva disponível para substituição imediata. A indisponibilidade dessa bomba implica parada total da termoformadora, impactando diretamente o processo produtivo do presunto, com risco de interrupção de produção, perdas de matéria-prima, não conformidade no processo de embalagem a vácuo e possíveis impactos na segurança e qualidade do produto final. Diante do cenário apresentado, torna-se imprescindível a execução imediata do serviço de manutenção preventiva, a fim de evitar falha do equipamento, reduzir riscos operacionais, garantir a continuidade da produção e preservar a integridade do processo.</t>
  </si>
  <si>
    <r>
      <rPr>
        <sz val="9"/>
        <color rgb="FFFF0000"/>
        <rFont val="Calibri"/>
        <scheme val="minor"/>
      </rPr>
      <t xml:space="preserve">140
</t>
    </r>
    <r>
      <rPr>
        <sz val="9"/>
        <color rgb="FF000000"/>
        <rFont val="Calibri"/>
        <scheme val="minor"/>
      </rPr>
      <t>146</t>
    </r>
  </si>
  <si>
    <t>TORNO- Usinagem em conj. De guia linear v-cut</t>
  </si>
  <si>
    <t>5013IP - MATERIAL E MÃO DE OBRA PARA A CONFECÇÃO DE 30 UNIDADES DE TRAVESSAS DA MESA DE DEPENDURA E 30 CHAPAS DE TRAÇÃO EM AÇO INOX 304</t>
  </si>
  <si>
    <t>CONSERTO DO INVERSOR DE FREQUÊNCIA DANFOSS SN 455619A354</t>
  </si>
  <si>
    <t>9303 - STARTECH 5.300,00</t>
  </si>
  <si>
    <t>CONSERTO DO INVERSOR DE FREQUÊNCIA SCHNEIDER ALTIVAR 320 20HP</t>
  </si>
  <si>
    <t>080275 - ATIVA PRO 3.898,20</t>
  </si>
  <si>
    <t>LOXAM</t>
  </si>
  <si>
    <t xml:space="preserve"> VISITA TÉCNICA PARA DIAGNÓSTICO EM EQUIPAMENTO PLATAFORMA DE TRABALHO AÉREO SKYJACK SJ4732</t>
  </si>
  <si>
    <t>13717 - LOXAM 2.209,37</t>
  </si>
  <si>
    <t>O serviço foi realizado por meio da classificação 5 – Retirado devido a Plataforma de Trabalho Aéreo (PTA), equipamento essencial para a execução segura das atividades realizadas em altura estar inoperante, o que comprometeu diretamente as rotinas da equipe de Higienização, especialmente nos serviços de limpeza de evaporadores e demais intervenções que exigem acesso em altura.</t>
  </si>
  <si>
    <t>electra</t>
  </si>
  <si>
    <t>SERVIÇO DE ASSISTENCIA TECNICA PARA AS MAQUINAS VC999, VEMAG E SEYDELMANN PARA INSPEÇAO DE PREVENTIVAS E LEVANTAMENTO DE PEÇAS</t>
  </si>
  <si>
    <t>CLASIÇÃO 29APENAS UM ORÇAMENTO POR SE TRATAR DO REPRESENTATE DAS MARCAS</t>
  </si>
  <si>
    <t>TORNO- Usinagem em guia da desossa debofleX</t>
  </si>
  <si>
    <t>cleiton</t>
  </si>
  <si>
    <t>mult-tec</t>
  </si>
  <si>
    <t>SERVIÇO DE ASSITENCIA TECNICA PARA AJUSTE NA PARTE DO CORTE E REGULAGEM DO CILINDRO DA F200 DO FARTIADOS</t>
  </si>
  <si>
    <t>CLASIÇÃO 29APENAS UM ORÇAMENTO POIS O FORNECEDOR JÁ REALIZOU ALTERAÇÃO NA MAQUINA</t>
  </si>
  <si>
    <t>TORNO - USINAGEM DE BUCHAS EM BRONZE PARA INJETORA DE BACON</t>
  </si>
  <si>
    <t>848 - PHDS 2.680,00</t>
  </si>
  <si>
    <t>Foi realizado o serviço de usinagem no eixo da injetora de bacon, pois além de não conseguirmos realizar o serviço interno, precisava montar o equipamento para produção.</t>
  </si>
  <si>
    <t>179 - 26/12/25</t>
  </si>
  <si>
    <t>SAD-025 0259</t>
  </si>
  <si>
    <t>TORNO - USINAGEM DO SUPORTE DOS PINOS GUIAS DAS ENGRENAGENS DO SISTEMA DE TRANSPORTE DE CARRINHOS DA ESTUFA 04</t>
  </si>
  <si>
    <t>941 - PHDS 3.560,00</t>
  </si>
  <si>
    <t xml:space="preserve">O serviço foi executado sob a classificação 5 – Serviço Emergencial sem NF, em razão da necessidade de intervenção imediata no suporte dos pinos-guia das engrenagens do sistema de transporte de carrinhos da Estufa 04. O conjunto apresentava elevado nível de desgaste, o que comprometia o alinhamento mecânico e a confiabilidade operacional do sistema, colocando em risco a continuidade do processo de transporte dos carrinhos da estufa de cozimento e podendo ocasionar danos adicionais aos componentes.
</t>
  </si>
  <si>
    <t>CONSERTO (ESQUADREJAR GAIOLAS TORTAS, REFAZER SOLDAS TRINCADAS, TROCAR METALON INOX 50 X 50 X # 2.0 DANIFICADOS, TROCAR 20 RODAS DE NYLON REFORÇADO COM FIBRA DE VIDRO) DE 16 GAIOLAS DE VARAS DO SETOR DE COZIDOS</t>
  </si>
  <si>
    <t>95216 - BALENA 25.810,69</t>
  </si>
  <si>
    <t>CONSERTO (REFAZER SOLDAS TRINCADAS, ENDIREITAR PARTES TORTAS, SOLDAR NERVURAS E CABOS FALTANTES E ACABAMENTO LAVADO COM GEL DECAPANTE) DE: 52 FORMAS DE PRESUNTO LOG, 43 FORMAS DE PRESUNTO OVAL E 09 FORMAS DE PRESUNTO QUADRADA</t>
  </si>
  <si>
    <t>95237 - BALENA 25.031,20</t>
  </si>
  <si>
    <t>CONSERTO DA MOTOBOMBA DE VÁCUO BUSCH RA 0250 D 503 SN C1520000162</t>
  </si>
  <si>
    <t>456000204 - BUSCH 46.224,83</t>
  </si>
  <si>
    <t xml:space="preserve">nao </t>
  </si>
  <si>
    <t xml:space="preserve">TORNO - usinagem em guia linear da serra do pernil no mezanino. </t>
  </si>
  <si>
    <t>459 - VELOTANO 2.800,00</t>
  </si>
  <si>
    <t>TORNO - USINAGEM EM CONJUNTO DE PLACAS DE SELAGEM DAS TERMOFORMADORAS À VÁCUO MULTIVAC</t>
  </si>
  <si>
    <t>458 - VELOTANO 6.150,00</t>
  </si>
  <si>
    <t xml:space="preserve">TORNO - Usinagem em batente faca reta multivac </t>
  </si>
  <si>
    <t>460 - VELOTANO 4.450,00</t>
  </si>
  <si>
    <t>FORTRESS</t>
  </si>
  <si>
    <t>realizar o reparo em detector de metal reserva da Fortress, utilizado na linha do LOG da presuntaria.</t>
  </si>
  <si>
    <t>15356 - FORTRESS 14.872,26</t>
  </si>
  <si>
    <t xml:space="preserve">ok </t>
  </si>
  <si>
    <t>TORNO - usinagem em eixos do riscador deboflex.</t>
  </si>
  <si>
    <t>984 - PHDS 2.888.00</t>
  </si>
  <si>
    <t>TORNO - usinagem em conjunto de engrenagens utilizada na linha Velati.</t>
  </si>
  <si>
    <t>0 - AVF 1.789,90</t>
  </si>
  <si>
    <t>TORNO - SERVIÇO DE TERCEIRO COM MÃO DE OBRA E MATERIAL PARA USINAGEM DA MOLA DO CILINDRO DA GRAMPEADEIRA MANUAL POLY-CLIP</t>
  </si>
  <si>
    <t xml:space="preserve"> 5 - AVF - 759,90</t>
  </si>
  <si>
    <t>TORNO - SERVIÇO DE TERCEIRO COM MÃO DE OBRA E MATERIAL PARA AFIAÇÃO DO CONJUNTO DE NAVALHAS DO TENDERIZADOR</t>
  </si>
  <si>
    <t>4 - AVF -  1.743,40</t>
  </si>
  <si>
    <t xml:space="preserve">TORNO - SERVIÇO DE TERCEIRO COM MÃO DE OBRA E MATERIAL PARA USINAGEM NO SUPORTE DO PISTÃO DO ELEVADOR DE CARGAS DO CURADOS
</t>
  </si>
  <si>
    <t>6 - AVF -  1.239,90_x000D_</t>
  </si>
  <si>
    <t>TORNO - Usinagem conserto em espigão inox</t>
  </si>
  <si>
    <t>465 - VELOTANO 1.720,00</t>
  </si>
  <si>
    <t>conserto em IHM handtmann VF 630</t>
  </si>
  <si>
    <t>12488 - VOLT 4.866,25</t>
  </si>
  <si>
    <t>TORNO - SERVIÇO DE TERCEIRO COM MÃO DE OBRA E MATERIAL PARA AFIAÇÃO DO DISCO DE CORTE DA SERRA DE CARRÉ/BARRIGA DO MEZANINO DO ESPOSTEJAMENTO</t>
  </si>
  <si>
    <t>7 - AVF - 7.159,90</t>
  </si>
  <si>
    <t>Mult-Tec</t>
  </si>
  <si>
    <t xml:space="preserve">SERVIÇO DE TERCEIRO DE ASSISTÊNCIA TÉCNICA PARA MANUTENÇÃO PREVENTIVA EM: 3 EQUIPAMENTOS F200, 1 EQUIPAMENTO R535 E
2 EQUIPAMENTOS R145. SENDO: 1 VISITA AO MÊS A SEREM REALIZADAS NO PERÍODO DE 12 MESES. INCLUINDO 1 TÉCNICO ESPECIALISTA, COM TODAS AS DESPESAS DE VIAGEM, HORAS DE TRABALHO E IMPOSTOS. OBS: APENAS SERVIÇO
 </t>
  </si>
  <si>
    <t>2025-41 -Mult-Tec - 98.619,33</t>
  </si>
  <si>
    <t>fornecedor que é local, tem muito conhecimento dos equipamentos MULTIVAC, com uma proposta de valor menor que o valor do serviço ofertados pelo fabricante.  Fornecedor disponível para atendimento na unidade em solicitações emergenciais.</t>
  </si>
  <si>
    <t>SAD-025 0258</t>
  </si>
  <si>
    <t>TORNO - fabricação de novo embolo da volterm que apresentou quebra na desmontagem operacional</t>
  </si>
  <si>
    <t>914 - PHDS 4.950,00</t>
  </si>
  <si>
    <t>O motivo do emergencial é devido ao fato de que, devido a quebra após a desmontagem pelo operador, a massa acabava vazando para fora do circuito, gerando imprecisão na dosagem de massa para as formas da Multivac. O único orçamento é mediante ao fato de que a empresa teve disponibilidade em nos atender durante a madrugada para não prejudicar no dia seguinte.</t>
  </si>
  <si>
    <t>Tec Frio</t>
  </si>
  <si>
    <t>SERVIÇOS REFERENTE À DE MÃO DE OBRA DE MANUTENÇÃO E RECUPERAÇÃO DE CONDIÇÃO DE TRABALHO DAS CAMARAS RESFRIADAS E DE CONGELAMENTO DO REFEITÓRIO</t>
  </si>
  <si>
    <t>Barbara</t>
  </si>
  <si>
    <t>Tec Frio - 41790,00</t>
  </si>
  <si>
    <t>JUSTIFICATIVA: ÚNICO FORNECEDOR DISPONÍVEL NA REGIÃO QUE TEM CONHECIMENTO, PARA REALIZAÇÃO DE SERVIÇO COM RESPALDO TÉCNICO, ATENTENDO AS NECESSIDADES REAIS DO PROCESSO</t>
  </si>
  <si>
    <r>
      <rPr>
        <sz val="9"/>
        <color rgb="FFFF0000"/>
        <rFont val="Calibri"/>
        <scheme val="minor"/>
      </rPr>
      <t xml:space="preserve">4359791
 4376634
</t>
    </r>
    <r>
      <rPr>
        <sz val="9"/>
        <color rgb="FF000000"/>
        <rFont val="Calibri"/>
        <scheme val="minor"/>
      </rPr>
      <t>4381958</t>
    </r>
  </si>
  <si>
    <t>95264
2231
0153</t>
  </si>
  <si>
    <t>SERVIÇO URGENTE REFERENTE À ALINHAMENTO DA PRENSA DE VICERAS</t>
  </si>
  <si>
    <t>FOI NECESSÁRIO REALIZAR SERVIÇO URGENTE DE ALINHAMENTO DA PRENSA DEVIDO GARANTIR FUNCIONAMENTO CORRETO DO EQUIPAMENTO, PODENDO HAVER RISCO DE QUEBRA, IMPACTANDO NO PROCESSO PRODUTIVO</t>
  </si>
  <si>
    <t>DePaula
Finissima
J Ortiz</t>
  </si>
  <si>
    <t xml:space="preserve">2488 20% 4588 20%
4472 20% 2283 20%
2291 20%
</t>
  </si>
  <si>
    <t>2026070103
64
3455</t>
  </si>
  <si>
    <t xml:space="preserve"> NECESSIDADE DE SERVIÇO DE REPARO EM PISO MEDIANTE A ATENDER AUTO CONTROLE E ATIVIDADES EM A MANUTENÇÃO DOS MESMOS</t>
  </si>
  <si>
    <t>Fluxo</t>
  </si>
  <si>
    <t>SERVIÇO DE TERCEIRO: MATERIAL E MÃO DE OBRA PARA CONSERTO DO MODULO FLUXO FX 6.0S</t>
  </si>
  <si>
    <t>SERVIÇO DE MATERIAL E MÃO DE OBRA PARA REFORMA DE CILINDROS DO EQUIPAMENTO MÁQUINA DE TRIPAS.</t>
  </si>
  <si>
    <t>SAD-025 18</t>
  </si>
  <si>
    <t>TORNO - usinagem e instalação de roscas postiças na placa de selagem da F200.</t>
  </si>
  <si>
    <t>777 - PHDS 2.260,00</t>
  </si>
  <si>
    <t>O motivo do emergencial é devido ao fato de que sem as roscas postiças instaladas na placa de selagem, não é possível realizar a devida fixação no equipamento pelos parafusos. Consequentemente, acabava gerando perca de eficiência no vácuo e selagem incorreta, mediante a subida torta do equipamento. O único orçamento é mediante ao fato de que a empresa teve disponibilidade em nos atender durante a madrugada para não prejudicar no dia seguinte</t>
  </si>
  <si>
    <t>TORNO - usinagem em eixo de rolo liso do beneficiamento de tripas que apresentou desgaste.</t>
  </si>
  <si>
    <t>778 - PHDS 3.280,00</t>
  </si>
  <si>
    <t>O motivo do emergencial é devido ao fato de que o eixo em questão apresentou desgaste, tornando-se necessário sua usinagem para que pudéssemos finalizar a revisão do módulo da triparia durante final de semana. O único orçamento é mediante ao fato de que a empresa teve disponibilidade em nos atender durante a madrugada para não prejudicar no dia seguinte.</t>
  </si>
  <si>
    <t>151 - 01/12/25</t>
  </si>
  <si>
    <t>TORNO - fabricação em peça do embolo da cubetiadeira Treiff, utilizada para realizar o corte de bacon em cubos para os frescais.</t>
  </si>
  <si>
    <t>983 - PHDS 1.850,00</t>
  </si>
  <si>
    <t>O motivo do emergencial é devido ao fato de que a peça em questão é responsável em realizar o alinhamento do eixo e pressionar proporcionalmente o bacon contra as lâminas. Sem ela, o equipamento em questão acaba não funcionando. O único orçamento é mediante ao fato de que a empresa teve disponibilidade em nos atender durante a madrugada para não prejudicar a produção nos dias seguintes.</t>
  </si>
  <si>
    <t>189 - 07/01/26</t>
  </si>
  <si>
    <t>982 - PHDS 1.850,00</t>
  </si>
  <si>
    <t>O motivo do emergencial é devido ao fato de que a peça em questão é responsável em realizar o alinhamento do eixo e pressionar proporcionalmente o bacon contra as lâminas. Mediante a indevida instalação da peça 01, a mesma acabou quebrando e sem ela, o equipamento em questão acaba não funcionando. Foi realizada a confecção de uma peça provisória até a chegada da original. Porém, caso não venha a funcionar, deve-se ter uma peça reserva para a instalação. O único orçamento é mediante ao fato de que a empresa teve disponibilidade em nos atender durante a madrugada para não prejudicar a produção nos dias seguintes.</t>
  </si>
  <si>
    <t>192 - 09/01/26</t>
  </si>
  <si>
    <t>TORNO - usinagem em eixo com bucha de nylon</t>
  </si>
  <si>
    <t>966 - PHDS 1.080,00</t>
  </si>
  <si>
    <t xml:space="preserve"> EIXO GUIA DO ELEVADOR DA TOLVA QUEBROU, EQUIPAMENTO PARADO COMPROMETENDO FLUXO DE PRODUÇÃO DO PRESUNTO, NECESSITANDO CONFECÇÃO DA PEÇA COM URGÊNCIA</t>
  </si>
  <si>
    <t>191 - 09/01/26</t>
  </si>
  <si>
    <t xml:space="preserve">conserto em IHM handtmann VF 630 </t>
  </si>
  <si>
    <t>12489 - VOLT 5.098,00</t>
  </si>
  <si>
    <t>Moldes Brasil</t>
  </si>
  <si>
    <t>SERIÇO PARA RECUPERAÇÃO DA CAIXA DE SELAGEM DA R145</t>
  </si>
  <si>
    <t>PolyClip</t>
  </si>
  <si>
    <t xml:space="preserve">SERVIÇO DE ASSITENCIA TECNICA PARA INSPEÇÃO NA GRAMPEADEIRA DO LOG DA PRESUNTARIA </t>
  </si>
  <si>
    <t>PAENAS 1 ORÇAMENTO POR SE TRATAR DO REPRESNTENTE DA MARCA</t>
  </si>
  <si>
    <t>Gratt</t>
  </si>
  <si>
    <t>SERVIÇO DE TERCEIRO: MATERIAL E MÃO DE OBRA PARA REVISÃO PREVENTIVA DA CENTRIFUGA DECANTER GRATT MODELO GMT 230S N/S D230S 61A (REDUTOR 301).</t>
  </si>
  <si>
    <t>100-2026</t>
  </si>
  <si>
    <t xml:space="preserve">4361035
4362040
</t>
  </si>
  <si>
    <t>Balena</t>
  </si>
  <si>
    <t>MÃO DE OBRA PARA CONSERTO DE 25 MANEIAS UTILIZADAS NO ABATE AREA SUJA</t>
  </si>
  <si>
    <t>95128 -  Balena - 16250,00</t>
  </si>
  <si>
    <t xml:space="preserve">
  99301
</t>
  </si>
  <si>
    <t>SERVIÇO DE TERCEIRO COM MÃO DE OBRA E MATERIAL PARA REALIZAR O CONSERTO DO TANQUE AGITADOR DE SALMOURA</t>
  </si>
  <si>
    <t>95330 - Balena - 38.687,68</t>
  </si>
  <si>
    <t>TORNO - usinagem em guia/suporte utilizado nos discos dos riscadores das deboflex.</t>
  </si>
  <si>
    <t>2 - AVF 1.459,90</t>
  </si>
  <si>
    <t>TORNO - usinagem em módulos/flanges utilizados nos riscadores das deboflex.</t>
  </si>
  <si>
    <t>3 - AVF 5.503,20</t>
  </si>
  <si>
    <t>CONSERTO DE IHM PARA EMBUTIDEIRA HANDTMANN</t>
  </si>
  <si>
    <t>80264 - ATIVA PRO 7.675,80</t>
  </si>
  <si>
    <t>THAIS</t>
  </si>
  <si>
    <t>080265 - ATIVA PRO 7.678,40</t>
  </si>
  <si>
    <t xml:space="preserve">4362716
4374300
</t>
  </si>
  <si>
    <t>080270 - ATIVA PRO 7.694,10</t>
  </si>
  <si>
    <t>PMP</t>
  </si>
  <si>
    <t>SERVIÇO COM MATERIAL E MÃO DE OBRA PARA CONFECÇÃO DE 20 
UNIDADES DE PLACAS DE IDENTIFICAÇÃO PARA ALGEMAS DA MÁQUINA DE DESOSSA DE PERNIL AÉREO X-HAM CONFORME DESENHO</t>
  </si>
  <si>
    <t>7187- PMP 338,20</t>
  </si>
  <si>
    <t xml:space="preserve"> Apresenta-se apenas um orçamento pois o fabricante atual das algemas possui o projeto e as dimensões corretas para fabricação das placas de identificação.</t>
  </si>
  <si>
    <r>
      <rPr>
        <sz val="9"/>
        <color rgb="FFFF0000"/>
        <rFont val="Calibri"/>
        <scheme val="minor"/>
      </rPr>
      <t xml:space="preserve">4167693
4169863
</t>
    </r>
    <r>
      <rPr>
        <sz val="9"/>
        <color rgb="FF000000"/>
        <rFont val="Calibri"/>
        <scheme val="minor"/>
      </rPr>
      <t>4170793</t>
    </r>
  </si>
  <si>
    <t>MULTIVAC</t>
  </si>
  <si>
    <t>SERVIÇO DE MÃO DE OBRA PARA INSPEÇÃO TÉCNICA DOS EQUIPAMENTOS MULTIVAC EXISTENTES NOS SETORES: SEI, SFT, CUR, STP, SFR, PRU. SENDO 3X F200, DE N° SERIE: #324887, #195021, #258094. 1X B625, DE N° SERIE: #337945. 2X R145, DE N° SERIE: #196492, #196494. 1X R535, DE N° SERIE: #196490.</t>
  </si>
  <si>
    <t>62 - MULTIVAC 34.350,00</t>
  </si>
  <si>
    <t>A contratação de mão de obra especializada para a realização de inspeção nos equipamentos, é imprescindível para assegurar a eficiência operacional, a integridade mecânica e a conformidade sanitária das embaladoras. Dada a relevância desses equipamentos no processo produtivo e o risco de impacto direto à linha de produção em caso de falha, a contratação se configura como urgente e estratégica para garantir a continuidade e a segurança da operação.</t>
  </si>
  <si>
    <r>
      <rPr>
        <sz val="9"/>
        <color rgb="FFFF0000"/>
        <rFont val="Calibri"/>
        <scheme val="minor"/>
      </rPr>
      <t xml:space="preserve">4190648
</t>
    </r>
    <r>
      <rPr>
        <sz val="9"/>
        <color rgb="FF000000"/>
        <rFont val="Calibri"/>
        <scheme val="minor"/>
      </rPr>
      <t>4190926</t>
    </r>
  </si>
  <si>
    <t>TORNO -  conserto em eixo e rotor da bomba lavadora de monoblocos.</t>
  </si>
  <si>
    <t>220 - USICASTRO 6.456,00</t>
  </si>
  <si>
    <t>4250302
4261100
4269348
4275222
4286249</t>
  </si>
  <si>
    <t>SALVA 30/10 - Gieferson Junior Bosa:
novamente não recebemos retorno desta empresa...
a empresa criou vários cnpjs, mas precisamos definir apenas 1 como padrão</t>
  </si>
  <si>
    <t>TORNO - fabricação, envolvendo usinagem, de eixo para motoredutor e engrenagem.</t>
  </si>
  <si>
    <t>700 - PHDS 1.850,00</t>
  </si>
  <si>
    <t>Encaminhado com um único orçamento e como retirado/emergencial mediante ao fato de que o serviço foi executado e entregue. O atraso no envio da proposta é mediante ao fato do esquecimento na abertura por colaborador que hoje não integra mais o corpo técnico da manutenção.</t>
  </si>
  <si>
    <r>
      <rPr>
        <sz val="9"/>
        <color rgb="FFFF0000"/>
        <rFont val="Calibri"/>
        <scheme val="minor"/>
      </rPr>
      <t xml:space="preserve">4257953
4266448
</t>
    </r>
    <r>
      <rPr>
        <sz val="9"/>
        <color rgb="FF000000"/>
        <rFont val="Calibri"/>
        <scheme val="minor"/>
      </rPr>
      <t>4305931</t>
    </r>
  </si>
  <si>
    <t>6143 - 09/05/25</t>
  </si>
  <si>
    <t>TORNO - fabricação, envolvendo usinagem, de bucha para máquina desossa de cabeça PHD.</t>
  </si>
  <si>
    <r>
      <rPr>
        <sz val="9"/>
        <color rgb="FFFF0000"/>
        <rFont val="Calibri"/>
        <scheme val="minor"/>
      </rPr>
      <t xml:space="preserve">301031 - USICASTRO 725,00
</t>
    </r>
    <r>
      <rPr>
        <sz val="9"/>
        <color rgb="FF000000"/>
        <rFont val="Calibri"/>
        <scheme val="minor"/>
      </rPr>
      <t>701 - PHDS 725,00</t>
    </r>
  </si>
  <si>
    <t>retirado/emergencial mediante ao fato de que o serviço foi executado e entregue dia 05/05. O atraso no envio da proposta é mediante ao fato do esquecimento na abertura por colaborador que hoje não integra mais o corpo técnico da manutenção. Requisição aberta inicialmente 10/10 porém fornecedor não estava conseguindo responder cotação no portal, devido a isso gerou atraso.</t>
  </si>
  <si>
    <r>
      <rPr>
        <sz val="9"/>
        <color rgb="FFFF0000"/>
        <rFont val="Calibri"/>
        <scheme val="minor"/>
      </rPr>
      <t xml:space="preserve">4267061
4275334
4289274
</t>
    </r>
    <r>
      <rPr>
        <sz val="9"/>
        <color rgb="FF000000"/>
        <rFont val="Calibri"/>
        <scheme val="minor"/>
      </rPr>
      <t>4310530</t>
    </r>
  </si>
  <si>
    <t>144 - 06/05/25</t>
  </si>
  <si>
    <t>Torbim</t>
  </si>
  <si>
    <t xml:space="preserve"> ELO SCIENTIFIC</t>
  </si>
  <si>
    <t>ASSISTÊNCIA TÉCNICA MUFLA DO BIODIGESTOR-CONCERTO CONTROLADOR DE TEMPERATURA, CONJUNTO COMPLETO DE REFRATARIO P/FORNO</t>
  </si>
  <si>
    <t>1222 - ELO SCIENTIFIC</t>
  </si>
  <si>
    <t>Orçamento único devido ser a fabricante do aparelho.</t>
  </si>
  <si>
    <r>
      <rPr>
        <sz val="9"/>
        <color rgb="FFFF0000"/>
        <rFont val="Calibri"/>
        <scheme val="minor"/>
      </rPr>
      <t xml:space="preserve">4270433 </t>
    </r>
    <r>
      <rPr>
        <sz val="9"/>
        <color rgb="FF000000"/>
        <rFont val="Calibri"/>
        <scheme val="minor"/>
      </rPr>
      <t>- 4281983</t>
    </r>
  </si>
  <si>
    <t>TORNO - USINAGEM COM EMBUCHAMENTO DE PONTEIRAS DE ENGRENAGENS DO REDUTOR.</t>
  </si>
  <si>
    <t>407 - VELOTANO</t>
  </si>
  <si>
    <r>
      <rPr>
        <sz val="9"/>
        <color rgb="FFFF0000"/>
        <rFont val="Calibri"/>
        <scheme val="minor"/>
      </rPr>
      <t xml:space="preserve">4273101
</t>
    </r>
    <r>
      <rPr>
        <sz val="9"/>
        <color rgb="FF000000"/>
        <rFont val="Calibri"/>
        <scheme val="minor"/>
      </rPr>
      <t>4274382</t>
    </r>
  </si>
  <si>
    <t>3953 - 29/10/25</t>
  </si>
  <si>
    <r>
      <rPr>
        <sz val="9"/>
        <color rgb="FFFF0000"/>
        <rFont val="Calibri"/>
        <scheme val="minor"/>
      </rPr>
      <t xml:space="preserve">4273120 </t>
    </r>
    <r>
      <rPr>
        <sz val="9"/>
        <color rgb="FF000000"/>
        <rFont val="Calibri"/>
        <scheme val="minor"/>
      </rPr>
      <t xml:space="preserve">- </t>
    </r>
    <r>
      <rPr>
        <sz val="9"/>
        <color rgb="FFFF0000"/>
        <rFont val="Calibri"/>
        <scheme val="minor"/>
      </rPr>
      <t xml:space="preserve">4284997 </t>
    </r>
  </si>
  <si>
    <t xml:space="preserve">RC CANCELADA PORQUE FOI ABERTA INCORRETAMENTE. </t>
  </si>
  <si>
    <t>85188 (ADITIVO)</t>
  </si>
  <si>
    <t>4279802 - 4286503</t>
  </si>
  <si>
    <t>aberta nova RC, pois o comprador não aceitou pedido de aditivo</t>
  </si>
  <si>
    <t>CONSERTO DO MOTOREDUTOR SEW SA77 DRE90L4 SN 
70.0241778806.0004.14</t>
  </si>
  <si>
    <t>4837226 - SEW 10.103,40</t>
  </si>
  <si>
    <r>
      <rPr>
        <sz val="9"/>
        <color rgb="FFFF0000"/>
        <rFont val="Calibri"/>
        <scheme val="minor"/>
      </rPr>
      <t xml:space="preserve">4281804
4294860
</t>
    </r>
    <r>
      <rPr>
        <sz val="9"/>
        <color rgb="FF000000"/>
        <rFont val="Calibri"/>
        <scheme val="minor"/>
      </rPr>
      <t>4306425</t>
    </r>
  </si>
  <si>
    <r>
      <rPr>
        <sz val="9"/>
        <color rgb="FFFF0000"/>
        <rFont val="Calibri"/>
        <scheme val="minor"/>
      </rPr>
      <t xml:space="preserve">27/10/2025
</t>
    </r>
    <r>
      <rPr>
        <sz val="9"/>
        <color rgb="FF000000"/>
        <rFont val="Calibri"/>
        <scheme val="minor"/>
      </rPr>
      <t>20/11/2025</t>
    </r>
  </si>
  <si>
    <t>TORNO - conserto/usinagem das algemas utilizadas na nórea aérea de pernil.</t>
  </si>
  <si>
    <t>406 - VELOTANO 16.320,00</t>
  </si>
  <si>
    <t>O motivo da urgência é devido ao fato de que as algemas estão com um elevado desgaste na composição que agarra e prende os pernis. Dessa forma, acaba acarretando em diversos problemas como o não travamento da algema e liberação da peça no meio do processo. Os problemas citados acabam gerando um grande retrabalho recorrente para a produção.</t>
  </si>
  <si>
    <r>
      <rPr>
        <sz val="9"/>
        <color rgb="FFFF0000"/>
        <rFont val="Calibri"/>
        <scheme val="minor"/>
      </rPr>
      <t xml:space="preserve">4281809
</t>
    </r>
    <r>
      <rPr>
        <sz val="9"/>
        <color rgb="FF000000"/>
        <rFont val="Calibri"/>
        <scheme val="minor"/>
      </rPr>
      <t>4286337</t>
    </r>
  </si>
  <si>
    <r>
      <rPr>
        <sz val="9"/>
        <color rgb="FFFF0000"/>
        <rFont val="Calibri"/>
        <scheme val="minor"/>
      </rPr>
      <t xml:space="preserve">27/10/2025
</t>
    </r>
    <r>
      <rPr>
        <sz val="9"/>
        <color rgb="FF000000"/>
        <rFont val="Calibri"/>
        <scheme val="minor"/>
      </rPr>
      <t>30/10/2025</t>
    </r>
  </si>
  <si>
    <t>CONSERTO DA MOTOBOMBA DE LAMELAS EQUIPARE 19 M³/H BRE-19 30CV 02</t>
  </si>
  <si>
    <t>7100 - EQUIPARE 56.000,00</t>
  </si>
  <si>
    <r>
      <rPr>
        <sz val="9"/>
        <color rgb="FFFF0000"/>
        <rFont val="Calibri"/>
        <scheme val="minor"/>
      </rPr>
      <t xml:space="preserve">4281822
4289724
</t>
    </r>
    <r>
      <rPr>
        <sz val="9"/>
        <color rgb="FF000000"/>
        <rFont val="Calibri"/>
        <scheme val="minor"/>
      </rPr>
      <t>4310675</t>
    </r>
  </si>
  <si>
    <t>AKTUAL SERVICE LTDA</t>
  </si>
  <si>
    <t>MÃO DE OBRA TÉCNICA ESPECIALIZADA A DEVIDO AO DETECTOR DE METAIS DO TRITURADOR DE VÍSCERAS DA GALERIA TÉCNICA NÃO APRESENTAR LEITURA ADEQUADA INTERVINDO DIRETO NA QUALIDADE DO PRODUTO E CONSEQUENTEMENTE POSSÍVEL QUEBRA DO TRITURADOR</t>
  </si>
  <si>
    <t xml:space="preserve">181004182 - AKTUAL SERVICE </t>
  </si>
  <si>
    <t>Necessidade de mão de obra técnica especializada a devido ao detector de metais do triturador de vísceras da galeria técnica não apresentar leitura adequada intervindo direto na qualidade do produto e consequentemente possível quebra do triturador.</t>
  </si>
  <si>
    <r>
      <rPr>
        <sz val="9"/>
        <color rgb="FFFF0000"/>
        <rFont val="Calibri"/>
        <scheme val="minor"/>
      </rPr>
      <t>4281931 -</t>
    </r>
    <r>
      <rPr>
        <sz val="9"/>
        <color rgb="FF000000"/>
        <rFont val="Calibri"/>
        <scheme val="minor"/>
      </rPr>
      <t xml:space="preserve"> </t>
    </r>
    <r>
      <rPr>
        <sz val="9"/>
        <color rgb="FFFF0000"/>
        <rFont val="Calibri"/>
        <scheme val="minor"/>
      </rPr>
      <t>4282587 -</t>
    </r>
    <r>
      <rPr>
        <sz val="9"/>
        <color rgb="FF000000"/>
        <rFont val="Calibri"/>
        <scheme val="minor"/>
      </rPr>
      <t xml:space="preserve"> </t>
    </r>
    <r>
      <rPr>
        <sz val="9"/>
        <color rgb="FFFF0000"/>
        <rFont val="Calibri"/>
        <scheme val="minor"/>
      </rPr>
      <t>4283107 -</t>
    </r>
    <r>
      <rPr>
        <sz val="9"/>
        <color rgb="FF000000"/>
        <rFont val="Calibri"/>
        <scheme val="minor"/>
      </rPr>
      <t xml:space="preserve"> 4289582</t>
    </r>
  </si>
  <si>
    <t>AWITE SISTEMAS DE ANALISE DE GASES LTDA</t>
  </si>
  <si>
    <t>ASSISTÊNCIA TÉCNICA MANUTENÇÃO E CALIBRAÇÃO DO MEDIDOR DE GASES DO BIODIGESTOR</t>
  </si>
  <si>
    <t>627/1606 - AWITE SISTEMAS DE ANALISE DE GASES</t>
  </si>
  <si>
    <t>Orçamento único devido ser a fabricante do aparelho</t>
  </si>
  <si>
    <r>
      <rPr>
        <sz val="9"/>
        <color rgb="FFFF0000"/>
        <rFont val="Calibri"/>
        <scheme val="minor"/>
      </rPr>
      <t xml:space="preserve">4285178 </t>
    </r>
    <r>
      <rPr>
        <sz val="9"/>
        <color rgb="FF000000"/>
        <rFont val="Calibri"/>
        <scheme val="minor"/>
      </rPr>
      <t>- 4295754</t>
    </r>
  </si>
  <si>
    <t>Pedido com duas notas fiscais.</t>
  </si>
  <si>
    <t>MULT-TEC ASSISTÊNCIA ESPECIALIZADA LTDA</t>
  </si>
  <si>
    <t>Serviço para a revisão do conjunto de blocos do vácuo da R145 da embalagem e curados</t>
  </si>
  <si>
    <t>250 - MULTTEC</t>
  </si>
  <si>
    <t>Requisição com apenas um orçamento em anexo pois é um serviço que requer uma mão de obra especializada e em contato com outros fornecedores seria o único disponível no momento.</t>
  </si>
  <si>
    <r>
      <rPr>
        <sz val="9"/>
        <color rgb="FFFF0000"/>
        <rFont val="Calibri"/>
        <scheme val="minor"/>
      </rPr>
      <t xml:space="preserve">4285255 - </t>
    </r>
    <r>
      <rPr>
        <sz val="9"/>
        <color rgb="FF000000"/>
        <rFont val="Calibri"/>
        <scheme val="minor"/>
      </rPr>
      <t>4285510</t>
    </r>
  </si>
  <si>
    <t>MACROMAQ</t>
  </si>
  <si>
    <t>SERVIÇO DE MANUTENÇÃO NO CONJUNTO DE FREIO DA TRANSPALETEIRA YALE LIFT TRUCK MODEL MPE060LFN24T2748.</t>
  </si>
  <si>
    <t>233758 - MACROMAQ</t>
  </si>
  <si>
    <t xml:space="preserve"> Transpaleteira do setor de Controle de Materiais está com o sistema de freio danificado, impossibilitando o uso seguro do equipamento. Não possuímos o conjunto de freio para substituição. Conforme informado pelo encarregado, a ausência da transpaleteira tem impactado a agilidade na movimentação de cargas do setor, sendo necessária a priorização do conserto para restabelecimento imediato do equipamento e continuidade das operações. </t>
  </si>
  <si>
    <t>4294337 - 4297520</t>
  </si>
  <si>
    <t>RC EXPIRADA POR FALTA DE AJUSTE</t>
  </si>
  <si>
    <t>GP DA LUZ</t>
  </si>
  <si>
    <t xml:space="preserve">2488 – 50%
2313 – 50%
</t>
  </si>
  <si>
    <t xml:space="preserve">Justificativa: Foi necessária a locação de uma plataforma para realizar a adequação da iluminação no setor, que se encontrava fora dos padrões mínimos de luminosidade estabelecidos pela norma interna da Aurora. A plataforma foi utilizada especificamente na entrada e saída das câmeras de equalização — área de difícil acesso à parte inferior do forro, devido ao espaço reduzido e à presença das estruturas de fixação da noréia e da própria noréia.
Em razão dessas restrições, o equipamento disponível internamente não conseguia alcançar o local, tornando indispensável a locação de uma plataforma compatível com o espaço. Foi possível apresentar apenas um orçamento, pois, no momento da solicitação via WhatsApp, apenas uma empresa possuía disponibilidade de entrega do equipamento dentro do prazo necessário para execução do serviço.
</t>
  </si>
  <si>
    <r>
      <rPr>
        <sz val="9"/>
        <color rgb="FFFF0000"/>
        <rFont val="Calibri"/>
        <scheme val="minor"/>
      </rPr>
      <t xml:space="preserve">4297853
</t>
    </r>
    <r>
      <rPr>
        <sz val="9"/>
        <color rgb="FF000000"/>
        <rFont val="Calibri"/>
        <scheme val="minor"/>
      </rPr>
      <t xml:space="preserve">4299287
</t>
    </r>
  </si>
  <si>
    <t>EXPIRADA</t>
  </si>
  <si>
    <t>MATERIAL PARA CONSERTO DO DETECTOR DE METAIS UTILIZADO PELO TÉCNICO DA PRESTADORA, DURANTE SERVIÇO DE CONSERTO</t>
  </si>
  <si>
    <t>180011490 - AKTUAL SERVICE LTDA 5.094,38</t>
  </si>
  <si>
    <t>Foi realizado a compra urgente de serviço de técnico com mão de obra especializada, para realizar conserto do detector de metais da Galeria Técnica, equipamento de grande importância, devido a detecção de contaminantes metálicos garantindo a segurança e qualidade do produto, e também a segurança dos equipamentos. Durante o conserto, foi necessário a utilização de algumas peças trazidas pelo técnico, devido serem peças especificas do equipamento e não termos em estoque. </t>
  </si>
  <si>
    <r>
      <rPr>
        <sz val="9"/>
        <color rgb="FFFF0000"/>
        <rFont val="Calibri"/>
        <scheme val="minor"/>
      </rPr>
      <t xml:space="preserve">4304349
</t>
    </r>
    <r>
      <rPr>
        <sz val="9"/>
        <color rgb="FF000000"/>
        <rFont val="Calibri"/>
        <scheme val="minor"/>
      </rPr>
      <t>4317377</t>
    </r>
  </si>
  <si>
    <r>
      <rPr>
        <sz val="9"/>
        <color rgb="FFFF0000"/>
        <rFont val="Calibri"/>
        <scheme val="minor"/>
      </rPr>
      <t xml:space="preserve">18/11/2025
</t>
    </r>
    <r>
      <rPr>
        <sz val="9"/>
        <color rgb="FF000000"/>
        <rFont val="Calibri"/>
        <scheme val="minor"/>
      </rPr>
      <t>01/12</t>
    </r>
  </si>
  <si>
    <t>THOMAZ &amp; BARONI
METALURGICA AGRIINOX
METALÚRGICA EDINOX</t>
  </si>
  <si>
    <t>Serviço Recuperação Estrutural da Niveladora Doca Condimentaria 01</t>
  </si>
  <si>
    <t>4305012
4313038</t>
  </si>
  <si>
    <t>Cancelamento solicitado pelo Marcos.</t>
  </si>
  <si>
    <t>CONSERTO DA MOTOBOMBA DE VÁCUO BUSCH RA 0302 D 563 DLXX SN C1347000591</t>
  </si>
  <si>
    <t>456000167 - BUSCH 35.530,24</t>
  </si>
  <si>
    <r>
      <rPr>
        <sz val="9"/>
        <color rgb="FFFF0000"/>
        <rFont val="Calibri"/>
        <scheme val="minor"/>
      </rPr>
      <t xml:space="preserve">4306774
</t>
    </r>
    <r>
      <rPr>
        <sz val="9"/>
        <color rgb="FF000000"/>
        <rFont val="Calibri"/>
        <scheme val="minor"/>
      </rPr>
      <t>4320200</t>
    </r>
  </si>
  <si>
    <t>20/11/2025
04/12/2025</t>
  </si>
  <si>
    <t>REWEFLON</t>
  </si>
  <si>
    <t>RECABELAMENTO EM EIXO PARA ESCOVA LAVA BOTAS</t>
  </si>
  <si>
    <t>24748 - REWEFLON 1.164,00</t>
  </si>
  <si>
    <r>
      <rPr>
        <sz val="9"/>
        <color rgb="FFFF0000"/>
        <rFont val="Calibri"/>
        <scheme val="minor"/>
      </rPr>
      <t xml:space="preserve">4308395
</t>
    </r>
    <r>
      <rPr>
        <sz val="9"/>
        <color rgb="FF000000"/>
        <rFont val="Calibri"/>
        <scheme val="minor"/>
      </rPr>
      <t>4324119</t>
    </r>
  </si>
  <si>
    <r>
      <rPr>
        <sz val="9"/>
        <color rgb="FFFF0000"/>
        <rFont val="Calibri"/>
        <scheme val="minor"/>
      </rPr>
      <t xml:space="preserve">4429857
</t>
    </r>
    <r>
      <rPr>
        <sz val="9"/>
        <color rgb="FF000000"/>
        <rFont val="Calibri"/>
        <scheme val="minor"/>
      </rPr>
      <t>4441295</t>
    </r>
  </si>
  <si>
    <t xml:space="preserve">conserto em IHM utilizada na Multivac presuntaria. </t>
  </si>
  <si>
    <t>12490 - VOLT 4.866,25</t>
  </si>
  <si>
    <r>
      <rPr>
        <sz val="9"/>
        <color rgb="FFFF0000"/>
        <rFont val="Calibri"/>
        <scheme val="minor"/>
      </rPr>
      <t xml:space="preserve">4315837
4318473
</t>
    </r>
    <r>
      <rPr>
        <sz val="9"/>
        <color rgb="FF000000"/>
        <rFont val="Calibri"/>
        <scheme val="minor"/>
      </rPr>
      <t>4318609</t>
    </r>
  </si>
  <si>
    <t>11907 - 12/12/25</t>
  </si>
  <si>
    <t>AKTUAL</t>
  </si>
  <si>
    <t>ASSISTENCIA TÉCNICA DO DETECTORR DE METAIS</t>
  </si>
  <si>
    <t>181004265 - AKTUAL 7.903,91</t>
  </si>
  <si>
    <t>NECESSIDADE EMERGENCIAL DE ACOMPANHAMENTO TÉCNICO DO DETECTOR DE METAIS DO TRITURADOR DE VÍSCERAS, COM O RISCO DE QUEBRA DO TRITURADOR DEVIDO A FALHA DO SISTEMA DE DETECÇÃO, GERANDO PERCA E DANOS AO PROCESSO PRODUTIVO. SERVIÇO AINDA NÃO REALIZADO.</t>
  </si>
  <si>
    <r>
      <rPr>
        <sz val="9"/>
        <color rgb="FFFF0000"/>
        <rFont val="Calibri"/>
        <scheme val="minor"/>
      </rPr>
      <t xml:space="preserve">4322178
</t>
    </r>
    <r>
      <rPr>
        <sz val="9"/>
        <color rgb="FF000000"/>
        <rFont val="Calibri"/>
        <scheme val="minor"/>
      </rPr>
      <t>4335421</t>
    </r>
  </si>
  <si>
    <r>
      <rPr>
        <sz val="9"/>
        <color rgb="FFFF0000"/>
        <rFont val="Calibri"/>
        <scheme val="minor"/>
      </rPr>
      <t xml:space="preserve">05/12/2025
</t>
    </r>
    <r>
      <rPr>
        <sz val="9"/>
        <color rgb="FF000000"/>
        <rFont val="Calibri"/>
        <scheme val="minor"/>
      </rPr>
      <t>19/12/2025</t>
    </r>
  </si>
  <si>
    <r>
      <rPr>
        <sz val="9"/>
        <color rgb="FFFF0000"/>
        <rFont val="Calibri"/>
        <scheme val="minor"/>
      </rPr>
      <t xml:space="preserve">2388
</t>
    </r>
    <r>
      <rPr>
        <sz val="9"/>
        <color rgb="FF000000"/>
        <rFont val="Calibri"/>
        <scheme val="minor"/>
      </rPr>
      <t>2403</t>
    </r>
  </si>
  <si>
    <r>
      <rPr>
        <sz val="9"/>
        <color rgb="FFFF0000"/>
        <rFont val="Calibri"/>
        <scheme val="minor"/>
      </rPr>
      <t xml:space="preserve">22/04/2026
</t>
    </r>
    <r>
      <rPr>
        <sz val="9"/>
        <color rgb="FF000000"/>
        <rFont val="Calibri"/>
        <scheme val="minor"/>
      </rPr>
      <t>29/04/2026</t>
    </r>
  </si>
  <si>
    <r>
      <rPr>
        <sz val="9"/>
        <color rgb="FFFF0000"/>
        <rFont val="Calibri"/>
        <scheme val="minor"/>
      </rPr>
      <t xml:space="preserve">27/04/2026
</t>
    </r>
    <r>
      <rPr>
        <sz val="9"/>
        <color rgb="FF000000"/>
        <rFont val="Calibri"/>
        <scheme val="minor"/>
      </rPr>
      <t>29/04/2026</t>
    </r>
  </si>
  <si>
    <t>MACROMAQ EQUIPAMENTOS LTDA</t>
  </si>
  <si>
    <t>conserto da transpaleteira Yale do setor de Controle de Materiais.</t>
  </si>
  <si>
    <r>
      <rPr>
        <sz val="9"/>
        <color rgb="FFFF0000"/>
        <rFont val="Calibri"/>
        <scheme val="minor"/>
      </rPr>
      <t xml:space="preserve">4322864
4337564
4341688
</t>
    </r>
    <r>
      <rPr>
        <sz val="9"/>
        <color rgb="FF000000"/>
        <rFont val="Calibri"/>
        <scheme val="minor"/>
      </rPr>
      <t>4348837</t>
    </r>
  </si>
  <si>
    <t>SERVIÇO DE TERCEIRO COM MÃO DE OBRA E MATERIAIS PARA REALIZAR A SUBSTITUIÇÃO DO PAINEL E ATUALIZAÇÃO DO SOFTWARE DO DETECTOR DE METAIS LOMA SYSTEMS IQ3+E SN QEU55-25-58124D</t>
  </si>
  <si>
    <t>OTECCT251213-01.BM
251205-01.bm/</t>
  </si>
  <si>
    <t>USTIFICATIVA: SOLICITA-SE A AQUISIÇÃO EM CARÁTER DE URGÊNCIA DEVIDO AO DETECTOR DE METAIS DA LINHA DE MARINADOS DO SETOR DE FRESCAIS TER APRESENTADO FALHA FUNCIONAL TOTAL, PERMANECENDO INOPERANTE MESMO APÓS PROCEDIMENTOS DE RESET, INSPEÇÃO DE CABEAMENTO, VERIFICAÇÃO DA FONTE INTERNA E EXECUÇÃO DE TESTES DE DIAGNÓSTICO. A ANOMALIA EVIDENCIA UMA FALHA CRÍTICA NO MÓDULO ELETRÔNICO RESPONSÁVEL PELA LEITURA DO CAMPO ELETROMAGNÉTICO, COMPROMETENDO INTEGRALMENTE O PROCESSO DE DETECÇÃO. DIANTE DISSO, TORNA-SE NECESSÁRIA A SUBSTITUIÇÃO COMPLETA DO PAINEL DE CONTROLE E A ATUALIZAÇÃO DO SOFTWARE DO EQUIPAMENTO.</t>
  </si>
  <si>
    <r>
      <rPr>
        <sz val="9"/>
        <color rgb="FFFF0000"/>
        <rFont val="Calibri"/>
        <scheme val="minor"/>
      </rPr>
      <t xml:space="preserve">4323115
</t>
    </r>
    <r>
      <rPr>
        <sz val="9"/>
        <color rgb="FF000000"/>
        <rFont val="Calibri"/>
        <scheme val="minor"/>
      </rPr>
      <t>4330599</t>
    </r>
  </si>
  <si>
    <t>1. RC - AGUARDANDO RETORNO DO SOLICITANTE</t>
  </si>
  <si>
    <t xml:space="preserve">os tauras do ar </t>
  </si>
  <si>
    <t>SERVIÇO DE CONSERTO EM AR CONDICIONADO DA SALA DA CALDEIRA SPRINGER 12000 BTUs/ SALA DE EPI SPRINGER 9000 BTUs/ ALMOXARIFADO MATERIAIS SPRINGER 22000 BTUs.</t>
  </si>
  <si>
    <t xml:space="preserve">1236– 2.244,00 reais
2101– 1.779,00 reais
2089– 2.919,00 reais
</t>
  </si>
  <si>
    <t>JUSTIFICATIVA: REALIZADO PMOC NO SISTEMA DE AR CONDICIONADO DA FÁBRICA E LEVANTADO NECESSIDADE DE REPARO NO AR CONDICIONADO DA SALA DA CALDEIRA, SALA DE EPI E SALA DO ALMOXARIFADO MATERIAIS.</t>
  </si>
  <si>
    <r>
      <rPr>
        <sz val="9"/>
        <color rgb="FFFF0000"/>
        <rFont val="Calibri"/>
        <scheme val="minor"/>
      </rPr>
      <t xml:space="preserve">4330091
4336438
</t>
    </r>
    <r>
      <rPr>
        <sz val="9"/>
        <color rgb="FF000000"/>
        <rFont val="Calibri"/>
        <scheme val="minor"/>
      </rPr>
      <t>4346135</t>
    </r>
  </si>
  <si>
    <t>PEROLA TAPEÇARIA</t>
  </si>
  <si>
    <t>SERVIÇO DE CONSERTO DE POLTRONAS.</t>
  </si>
  <si>
    <t>0 - PEROLA TAPEÇARIA - 900</t>
  </si>
  <si>
    <r>
      <rPr>
        <sz val="9"/>
        <color rgb="FFFF0000"/>
        <rFont val="Calibri"/>
        <scheme val="minor"/>
      </rPr>
      <t xml:space="preserve">4330441
4342926
</t>
    </r>
    <r>
      <rPr>
        <sz val="9"/>
        <color rgb="FF000000"/>
        <rFont val="Calibri"/>
        <scheme val="minor"/>
      </rPr>
      <t>4370410</t>
    </r>
  </si>
  <si>
    <t>SERVIÇO DE TERCEIRO DE ASSISTÊNCIA TÉCNICA PARA MANUTENÇÃO PREVENTIVA EM: 3 EQUIPAMENTOS F200, 1 EQUIPAMENTO R535 E 2 EQUIPAMENTOS R145. SENDO: 12 VISITAS A SEREM REALIZADAS NO PERÍODO DE 12 MESES. INCLUINDO 1 TÉCNICO ESPECIALISTA, COM TODAS AS DESPESAS DE VIAGEM, HORAS DE TRABALHO E IMPOSTOS</t>
  </si>
  <si>
    <t>41 - MULT-TEC 98.619,33</t>
  </si>
  <si>
    <t>Estamos encaminhando com apenas um orçamento, uma vez que o fornecedor Mult-Tec é o único da região com capacidade comprovada para atender às nossas necessidades no formato de visitas mensais programadas, realizando acompanhamento contínuo e inspeções técnicas especializadas em nossas termoformadoras.</t>
  </si>
  <si>
    <r>
      <rPr>
        <sz val="9"/>
        <color rgb="FFFF0000"/>
        <rFont val="Calibri"/>
        <scheme val="minor"/>
      </rPr>
      <t xml:space="preserve">4330850
</t>
    </r>
    <r>
      <rPr>
        <sz val="9"/>
        <color rgb="FF000000"/>
        <rFont val="Calibri"/>
        <scheme val="minor"/>
      </rPr>
      <t>4331600</t>
    </r>
  </si>
  <si>
    <t>Observação do autorizador Adriano Tomalok:
PARA APROVAÇAÕ PRECISO DE MAIS INFORMAÇÕES:
CADA VISITA SÃO QUANTOS DIAS?
SÓ SERVIÇO?
ETC..
ABERTO NOVA RC PARA SUBSTITUIR</t>
  </si>
  <si>
    <t>SERVIÇO DE TERCEIRO DE ASSISTÊNCIA TÉCNICA PARA MANUTENÇÃO PREVENTIVA EM: 3 EQUIPAMENTOS F200, 1 EQUIPAMENTO R535 E
2 EQUIPAMENTOS R145. SENDO: 1 VISITA AO MÊS A SEREM REALIZADAS NO PERÍODO DE 12 MESES. INCLUINDO 1 TÉCNICO ESPECIALISTA,
COM TODAS AS DESPESAS DE VIAGEM, HORAS DE TRABALHO E IMPOSTOS. OBS: APENAS SERVIÇO</t>
  </si>
  <si>
    <t>4335957
4340627</t>
  </si>
  <si>
    <t>Observação do comprador Mateus Wolfart:
ESSE TIPO DE DEMANDA DEVE SER CARACTERIZADA COMO CONTRATO;
PARA ESSA AVALIAÇÃO DE CLASSIFICAR OU NÃO COMO CONTRATO, A DEMANDA DEVE PARTIR DA COORDENAÇÃO CORPORATIVA DE MANUTENÇÃO, SR JOEMAR VAROTTO;
OS COMPRADORES RESPONSAVEIS PELA NEGOCIAÇÃO DESSE TIPO DE CONTRATO SÃO OS SRS. MATHEUS QUADROS E EDUARDO SIMON</t>
  </si>
  <si>
    <t xml:space="preserve">MEGA GUINDASTE </t>
  </si>
  <si>
    <t>SERVIÇO DE LOCAÇÃO DE GUINDASTE 70T.</t>
  </si>
  <si>
    <t>JUSTIFICATIVA: Locação de guindaste para a substituição do trocador de calor da água 90 °C do setor do abate, pois estava apresentando vazamento e baixa eficiência com dificuldade de atendimento a necessidade de operação para produção. O fornecedor foi escolhido por possuir o equipamento adequado para a execução do serviço, além de ser o mais próximo da unidade, garantindo agilidade e redução de custos logísticos.</t>
  </si>
  <si>
    <r>
      <rPr>
        <sz val="9"/>
        <color rgb="FFFF0000"/>
        <rFont val="Calibri"/>
        <scheme val="minor"/>
      </rPr>
      <t xml:space="preserve">4350103
</t>
    </r>
    <r>
      <rPr>
        <sz val="9"/>
        <color rgb="FF000000"/>
        <rFont val="Calibri"/>
        <scheme val="minor"/>
      </rPr>
      <t>4350432</t>
    </r>
  </si>
  <si>
    <t>TORNO- Usinagem em conk. Redutor servo v-cut (engrenagem)</t>
  </si>
  <si>
    <r>
      <rPr>
        <sz val="9"/>
        <color rgb="FFFF0000"/>
        <rFont val="Calibri"/>
        <scheme val="minor"/>
      </rPr>
      <t xml:space="preserve">4354976
4355404
</t>
    </r>
    <r>
      <rPr>
        <sz val="9"/>
        <color rgb="FF000000"/>
        <rFont val="Calibri"/>
        <scheme val="minor"/>
      </rPr>
      <t>4355433</t>
    </r>
  </si>
  <si>
    <t>.</t>
  </si>
  <si>
    <t>TORNO -Usinagem suporte placa de selagem corte reto F200</t>
  </si>
  <si>
    <t>WECO</t>
  </si>
  <si>
    <t xml:space="preserve">substituição do sistema finity da máquina de tripas de correntes para correias. </t>
  </si>
  <si>
    <t>26886 - WECO 13,716.60</t>
  </si>
  <si>
    <t>O motivo por trás do envio da proposta do serviço é devido ao fato de possuirmos um elevado gasto em manutenção nos últimos estágios, mediante desgaste prematuro de engrenagem e eixos. O intuito do projeto piloto é de eliminar o sistema por correntes, que exige um constante monitoramento e lubrificação assídua. Está sendo enviado um único orçamento devido ao fato de que a empresa possui o know-how, apresentou disponibilidade em vir em campo e realizar as medições, levantamentos e instalação do novo sistema.</t>
  </si>
  <si>
    <t>Cristiano pediu ao Thales e Alex para procurarem ele para tratar desse assunto.</t>
  </si>
  <si>
    <t>CONFECÇÃO DE 10
QUADROS DE ENERGIA DE 400X350X150 EM INOX 304 COM TAMPA, VEDAÇÃO, FUROS E TRILHO DIN.</t>
  </si>
  <si>
    <t>8613 - METALURGICA CIPRIANO 23.748,20
94958 - BALENA 32.849,08
24246. - AGRINOX 22.000,00
32 - BEMAG 20.890,00
2213 - METAL C 22.800,00</t>
  </si>
  <si>
    <t xml:space="preserve">vou ver o Eder aprova, por ser elétrica ele precisa aprovar tecnicamente. </t>
  </si>
  <si>
    <t>TORNO - Usinagem em eixo fatiadora de bisteca</t>
  </si>
  <si>
    <t>456 - VELOTANO 2.000,00</t>
  </si>
  <si>
    <t>REGISTRO DE PORTARIA</t>
  </si>
  <si>
    <t>CONSERTO DA MOTOBOMBA DE VÁCUO BUSCH KB 0040 D IZO SN DEM121340429</t>
  </si>
  <si>
    <t>456000205 - BUSCH 13.049,95</t>
  </si>
  <si>
    <t>ERIC:  Iremos comprar um equipamento novo.</t>
  </si>
  <si>
    <t>moldes brasil</t>
  </si>
  <si>
    <t xml:space="preserve">Recuperação molde em alumínio aeronáutico para solda com uma face </t>
  </si>
  <si>
    <t>9 - AVF 7.178,90</t>
  </si>
  <si>
    <t>nf ja voltou abrir como retirado
justificativa e aprovação</t>
  </si>
  <si>
    <t>Filtrat
Environ</t>
  </si>
  <si>
    <t>MANUTENÇÃO ABRANDADOR CALDEIRA.</t>
  </si>
  <si>
    <t>2 orç</t>
  </si>
  <si>
    <t>SOMENTE DUAS EMPRESAS ENCAMINHARAM PROPOSTA PARA MANUTENÇÃO.</t>
  </si>
  <si>
    <t>GP Da Luz
CE Service
Danluz</t>
  </si>
  <si>
    <t>2488 -25%
5345 - 25%
2071 - 25%
2291 - 25%</t>
  </si>
  <si>
    <t>NECESSIDADE DE SERVIÇO DE SUBSTITUIÇÃO DE ELETRICA NA ILUMINAÇÃO DA UNIDADE.</t>
  </si>
  <si>
    <r>
      <rPr>
        <sz val="9"/>
        <color rgb="FFFF0000"/>
        <rFont val="Calibri"/>
        <scheme val="minor"/>
      </rPr>
      <t xml:space="preserve">4363606
4363878
</t>
    </r>
    <r>
      <rPr>
        <sz val="9"/>
        <color rgb="FF000000"/>
        <rFont val="Calibri"/>
        <scheme val="minor"/>
      </rPr>
      <t>4381415</t>
    </r>
  </si>
  <si>
    <t>TORNO - SERVIÇO TERCEIRO: MATERIAL E MÃO DE OBRA PARA RETIFICAR 24 FUROS ACPLAMENTO / FAZER FURAÇÃO DE BASE REDUTOR E PINTURA / USINAGEM DE POLIA 310 MM 5 CANAL C E USINAGEM DE BUCHA CONICA / USINAGEM DE 6 PINOS E 12 ARRUELAS / USINGEM DE BUCHAS DE NYLON PARA O DIGESTOR DE PELOS.</t>
  </si>
  <si>
    <t>940 - PHDS - 26.890,00</t>
  </si>
  <si>
    <t xml:space="preserve">Serviço de usinagem emergencial referente a confecção de polia movida devido a mesma não sair integra na desmontagem, somando ao serviço de adequação dos furos do acoplamento devido apresentar ovalização  na furação,  e fabricação de pinos  de ligação e buchas novos, devido o mesmos apresentarem desgastes.
</t>
  </si>
  <si>
    <r>
      <rPr>
        <sz val="9"/>
        <color rgb="FFFF0000"/>
        <rFont val="Calibri"/>
        <scheme val="minor"/>
      </rPr>
      <t xml:space="preserve">4363661
</t>
    </r>
    <r>
      <rPr>
        <sz val="9"/>
        <color rgb="FF000000"/>
        <rFont val="Calibri"/>
        <scheme val="minor"/>
      </rPr>
      <t>4363885</t>
    </r>
  </si>
  <si>
    <t>SERVIÇO DE TERCEIRO COM MATERIAL E MÃO DE OBRA PARA REFORMA (ESQUADREJAR GAIOLAS TORTAS, REFAZER SOLDAS TRINCADAS, TROCAR METALON INOX 50 X 50 X # 2.0 EM 10 GAIOLAS E TROCAR 24 RODAS DE NYLON REFORÇADO COM FIBRA DE VIDRO) DE 11 GAIOLAS DE VARAS</t>
  </si>
  <si>
    <t>95381 - Balena - 19.514,04</t>
  </si>
  <si>
    <t>SteamPrime</t>
  </si>
  <si>
    <t xml:space="preserve">SERVIÇO DE CONSERTO EM VÁLVULAS:
- VALVULA DE SEGURANÇA 2.1/2";
- VALVULA DE SEGURANÇA 1";
- VALVULA GLOBO 6";
- VALVULA GLOBO 3/4";
</t>
  </si>
  <si>
    <t>11993 - SteamPrime - 10.660,00</t>
  </si>
  <si>
    <t xml:space="preserve">Simples Nacional </t>
  </si>
  <si>
    <t>Finissima</t>
  </si>
  <si>
    <t xml:space="preserve">• MOBILIZAÇÃO / DESMOBILIZAÇÃO.
• TRANSPORTE E ALIMENTAÇÃO EQUIPE. 
• FORNECIMENTO DE ROLOS, PINCÉIS E FITAS. 
• PINTURA EM TINTA EPÓXI– 520 M2. 
• PINTURA EM TINTA EPÓXI CINZA EM RODAPÉS – 110 M. 
• LIMPEZA FINAL DA OBRA.
</t>
  </si>
  <si>
    <t xml:space="preserve">2488 50%
 2224 50%
</t>
  </si>
  <si>
    <t>68 - Finissima -  53.600,00</t>
  </si>
  <si>
    <t>NECESSIDADE DE SERVIÇO DE PINTURA URGENTE REFERENTE A MISSÃO MALÁSIA.</t>
  </si>
  <si>
    <r>
      <rPr>
        <sz val="9"/>
        <color rgb="FFFF0000"/>
        <rFont val="Calibri"/>
        <scheme val="minor"/>
      </rPr>
      <t xml:space="preserve">4365666
</t>
    </r>
    <r>
      <rPr>
        <sz val="9"/>
        <color rgb="FF000000"/>
        <rFont val="Calibri"/>
        <scheme val="minor"/>
      </rPr>
      <t xml:space="preserve">4365696
</t>
    </r>
  </si>
  <si>
    <t>EngelPro
CE Service
Energia
A1 Service</t>
  </si>
  <si>
    <t>Troca de chave 
seccionadora de mé</t>
  </si>
  <si>
    <t>4 orç</t>
  </si>
  <si>
    <r>
      <rPr>
        <sz val="9"/>
        <color rgb="FFFF0000"/>
        <rFont val="Calibri"/>
        <scheme val="minor"/>
      </rPr>
      <t xml:space="preserve">4365687
</t>
    </r>
    <r>
      <rPr>
        <sz val="9"/>
        <color rgb="FF000000"/>
        <rFont val="Calibri"/>
        <scheme val="minor"/>
      </rPr>
      <t xml:space="preserve">4401154
</t>
    </r>
  </si>
  <si>
    <t xml:space="preserve">TORNO -  
  Recuperação molde em alumínio aeronáutico para solda com uma face teflonada Multivac </t>
  </si>
  <si>
    <t xml:space="preserve">9 - avf - 7.178,90
</t>
  </si>
  <si>
    <t>TECFRIO</t>
  </si>
  <si>
    <t>SERVIÇO REFERENTE À MÃO DE OBRA TÉCNICA, DEVIDO A CÂMARA DE CONGELAMENTO ESTAR COM MÁS CONDIÇÕES DE FUNCINAMENTO, GERANDO PERCA DE ALIMENTOS.</t>
  </si>
  <si>
    <t>1 - TECFRIO 2700,00</t>
  </si>
  <si>
    <t>NECESSIDADE URGENTE DE MÃO DE OBRA TÉCNICA E ESPECIALIZADA PAR CONCERO DO EQUIPAMENTO, POIS ESTAGERANDO PECA DE ALIMENTOS.</t>
  </si>
  <si>
    <r>
      <rPr>
        <sz val="9"/>
        <color rgb="FFFF0000"/>
        <rFont val="Calibri"/>
        <scheme val="minor"/>
      </rPr>
      <t xml:space="preserve">4366758
</t>
    </r>
    <r>
      <rPr>
        <sz val="9"/>
        <color rgb="FF000000"/>
        <rFont val="Calibri"/>
        <scheme val="minor"/>
      </rPr>
      <t>4383832</t>
    </r>
  </si>
  <si>
    <t>Badan</t>
  </si>
  <si>
    <t>CONSERTO TRAVO VC999 REBOBINAMENTO COMPLETO DO ESTATOR</t>
  </si>
  <si>
    <t>2884 - Badan - 4800,00</t>
  </si>
  <si>
    <t>SERVIÇO DE CONSERTO INVERSOR SIEMENS SINAMICS POWER MODULE PM240-2 (6SL3210-1PE23-8UL0)</t>
  </si>
  <si>
    <t>15684 - RGM - 3.830,20</t>
  </si>
  <si>
    <t xml:space="preserve">TORNO - SERVIÇO DE REFORMA DE ROSCAS 
TRANSPORTADORAS
</t>
  </si>
  <si>
    <t>1017 - USICASTRO - 17.700,00</t>
  </si>
  <si>
    <t>SERVIÇO DE CONSERTO VALVULA DE BLOQUEIO GLOBO AQUECIMENTO 6" CLASSE 300 E VALVULA DE BLOQUEIO GLOBO REFRIGERAÇÃO 6";</t>
  </si>
  <si>
    <t>1236 - 63,17
1210 - 36,83</t>
  </si>
  <si>
    <t xml:space="preserve">11932 - SteamPrime - 34.378,00
</t>
  </si>
  <si>
    <t>MetalC
Balena
UsiCastro</t>
  </si>
  <si>
    <t>SERVIÇOS MECÂNICOS EM GERAL;
CORREÇÃO DE SOLDAS EM ESTRUTURAS DE ESTEIRAS;
CORREÇÃO DE SOLDAS EM CHAPAS E PROTEÇÕES DA LINHA DE EVISCERAÇÃO E ESPOTEJAMENTO;
CONSERTO DE GAIOLAS;
CONSERTO CARRINHO DE MIÚDOS;
CONSERTO CARRINHO DE COZIMENTO DAS ESTUFAS;</t>
  </si>
  <si>
    <t>Velotano</t>
  </si>
  <si>
    <t>SERVIÇO DE TERCEIRO COM MÃO DE OBRA E MATERIAL PARA USINAGEM EM EIXO PRINCIPAL V-CUT (SOMENTE AS BUCHAS)</t>
  </si>
  <si>
    <t xml:space="preserve">467 - Velotano - 4.800,00 
</t>
  </si>
  <si>
    <t>CEFEQ</t>
  </si>
  <si>
    <t>SERVIÇO TERCEIRO: MATERIAL E MÃO DE OBRA PARA CONSERTO DE FURADEIRA DE IMPACTO BOSCH</t>
  </si>
  <si>
    <t>97.326 - CEFEQ - 406,9</t>
  </si>
  <si>
    <t>2. RC - ABRIR RC</t>
  </si>
  <si>
    <t>SERVIÇO TERCEIRO: MATERIAL E MÃO DE OBRA PARA CONSERTO DE ESMIRILHADEIRA BOSCH.</t>
  </si>
  <si>
    <t xml:space="preserve"> 97.328
- CEFEQ - 555,12</t>
  </si>
  <si>
    <t xml:space="preserve">BIO TER </t>
  </si>
  <si>
    <t>Reforma do tanque de equalização do biodigestor, onde o mesmo sofreu com infiltrações na geomembrana, fazendo com que sua estrutura ficasse comprometida com risco de erosão Obra contempla realização Geomembrana 1,25 mm (cobertura do biodigestor)/ Geomembrana 2,00 mm (fundo do biodigestor)/Infladora simples, Sistema de fixação/ Limpeza e descontaminação do solo / Instalação de agitadores existentes/ Reconstrução de viga existente e Base para agitadores</t>
  </si>
  <si>
    <r>
      <rPr>
        <sz val="9"/>
        <color rgb="FFFF0000"/>
        <rFont val="Calibri"/>
        <scheme val="minor"/>
      </rPr>
      <t xml:space="preserve">4371919
</t>
    </r>
    <r>
      <rPr>
        <sz val="9"/>
        <color rgb="FF000000"/>
        <rFont val="Calibri"/>
        <scheme val="minor"/>
      </rPr>
      <t>4375183</t>
    </r>
  </si>
  <si>
    <t xml:space="preserve">MUELLER </t>
  </si>
  <si>
    <t>SERVIÇO DE CONSERTO BOMBA KSB HYDROBLOC C1000NT.</t>
  </si>
  <si>
    <t>MUELLER 2399</t>
  </si>
  <si>
    <t>SERTEC SERVIÇOS TÉCNICO</t>
  </si>
  <si>
    <t>SERVIÇO DE TERCEIRO COM MÃO DE OBRA E MATERIAL PARA CONSERTO DO PAINEL DE GERENCIAMENTO DE MEDIÇÕES DE GÁS DO BIODIGESTOR.</t>
  </si>
  <si>
    <t>1623
673
661</t>
  </si>
  <si>
    <t xml:space="preserve">*SERVIÇO DE MÃO DE OBRA TERCEIRIZADA REFERENTE À RECUPERAÇÃO DE 06 (SEIS) EXAUSTORES EXISTENTES: NA RECUPERAÇÃO FOI CONSIDERADA APENAS A REMOÇÃO DAS CHAPAS DO COLARINHO E BASE EM AÇO GALVANIZADO PARA A CONFECÇÃO DE NOVAS EM AÇO INOX. 
*MONTAGEM EM LOCO.
</t>
  </si>
  <si>
    <t>PROPOSTA N°:2220
PROPOSTA TECNICA COMERCIAL Nº. 95147
0865/ 26 – REV01</t>
  </si>
  <si>
    <r>
      <rPr>
        <sz val="9"/>
        <color rgb="FFFF0000"/>
        <rFont val="Calibri"/>
        <scheme val="minor"/>
      </rPr>
      <t xml:space="preserve">4374541
</t>
    </r>
    <r>
      <rPr>
        <sz val="9"/>
        <color rgb="FF000000"/>
        <rFont val="Calibri"/>
        <scheme val="minor"/>
      </rPr>
      <t>4374947</t>
    </r>
  </si>
  <si>
    <t>MS REFRIGERAÇÃO INDUSTRIAL E COMERCIAL LTDA</t>
  </si>
  <si>
    <t>SERVIÇO DE TERCEIRO COM MÃO DE OBRA E MATERIAL PARA REVISÃO PREVENTIVA GERAL DOS 4 RESFRIADORES DE GASES.</t>
  </si>
  <si>
    <r>
      <rPr>
        <sz val="9"/>
        <color rgb="FFFF0000"/>
        <rFont val="Calibri"/>
        <scheme val="minor"/>
      </rPr>
      <t xml:space="preserve">4374555
</t>
    </r>
    <r>
      <rPr>
        <sz val="9"/>
        <color rgb="FF000000"/>
        <rFont val="Calibri"/>
        <scheme val="minor"/>
      </rPr>
      <t>4387259</t>
    </r>
  </si>
  <si>
    <t>engevolt
c&amp;e service
manutec</t>
  </si>
  <si>
    <t>Instalação de QTA da 
Stemac na cabine de elétrica 
ADM</t>
  </si>
  <si>
    <t>3ORÇ</t>
  </si>
  <si>
    <t>HEXIS CIENTIFICA LTDA</t>
  </si>
  <si>
    <t>ASSISTÊNCIAS TÉCNICA- CALIBRAÇÃO DO TITULADOR AUTOMATICO APARELHO UTILIZADO PARA MEDIÇÃO DE FOSTAC BIODIGESTOR</t>
  </si>
  <si>
    <t>manutec
engvolt
c&amp;e service</t>
  </si>
  <si>
    <t>Manutenção corretiva Banca 
de capacitores SM</t>
  </si>
  <si>
    <t>3orç</t>
  </si>
  <si>
    <t>crow</t>
  </si>
  <si>
    <t>: NF 50 E 51 REFERENTE A MANUTENCAO REALIZADA NO EQUIPAMENTO WK0244 /  WK0243, NA DATA 28/11/2025 , CONFORME ORCAMENTO 60553, APROVADA ATRAVES DO E-MAIL</t>
  </si>
  <si>
    <t>Justificativa: necessidade de conserto de baterias CROWN danificadas sem segurar carga afetando o processo.</t>
  </si>
  <si>
    <t>50
51</t>
  </si>
  <si>
    <t xml:space="preserve">ativa pro service </t>
  </si>
  <si>
    <t>SERVIÇO DE TERCEIRO COM MÃO DE OBRA E MATERIAL PARA CONSERTO DE PLACA ELETRÔNICA DA GRAMPEADEIRA AUTOMÁTICA POLY-CLIP FCA80</t>
  </si>
  <si>
    <t>SERVIÇO DE TERCEIRO COM MÃO DE OBRA E MATERIAL PARA CONSERTO DE IHM DA EMBUTIDEIRA HANDTMANN.</t>
  </si>
  <si>
    <t>Torno - USINAGEM CONJUNTO DE MOLAS DA BALANÇA DA TIPIFICAÇÃO.</t>
  </si>
  <si>
    <t>6. NF - AGUARDANDO APROVAÇÃO PARA LANÇAMENTO</t>
  </si>
  <si>
    <t>TORNO - SERVIÇO DE TERCEIRO COM MÃO DE OBRA E MATERIAL PARA USINAGEM DO EIXO E BUCHAS DA ESTEIRA DO TENDERIZADOR</t>
  </si>
  <si>
    <t>1034 - PHDS - 1862,5</t>
  </si>
  <si>
    <t>Foi necessário realizar serviço com a classificação 5 - SERVIÇO EMERGENCIAL SEM NF, devido ao alto nível de desgaste identificado durante a inspeção da esteira do tenderizador. O desgaste excessivo já estava comprometendo o correto funcionamento do conjunto, gerando folgas acima do aceitável, risco de travamento, quebra do eixo, desalinhamento da esteira e consequente parada não programada do equipamento.</t>
  </si>
  <si>
    <t xml:space="preserve">
Torno - Usinagem em algemas do pernil aéreo x-ham
</t>
  </si>
  <si>
    <t>Thais</t>
  </si>
  <si>
    <t>Torno - USINAGEM EM EIXO DA LAVADORA MONOBLOCO KUCMAQ</t>
  </si>
  <si>
    <t>Torno - USINAGEM EM CONJUNTO DE CASTANHA DA RODA DE TRAÇÃO X-HAM</t>
  </si>
  <si>
    <t>Torno - Usinagem em polias da faca Multivac</t>
  </si>
  <si>
    <t xml:space="preserve">SERVICO DE MANUTENCAO REFERENTE
A ALINHAMENTO A LASER MOTOR X
COMPRESSOR, EM VOSSA UNIDADE
EM FINAL DE SEMANA (DOMINGO)
08:00 AS 17:00.
</t>
  </si>
  <si>
    <t>174045 - Mayekawa - 5.821,09</t>
  </si>
  <si>
    <t>Necessidade de vinda da empresa de forma urgente para alinhamento do compressor x motor do equipamento. Houve a substituição do motor que voltou do conserto e apos o alinhamento foi colocado em operação para atender as demandas de refrigeração da unidade.</t>
  </si>
  <si>
    <t>Ativa Pro</t>
  </si>
  <si>
    <t>SERVIÇO DE TERCEIRO COM MÃO DE OBRA E MATERIAL PARA CONSERTO DE IHM PARA EMBUTIDEIRA HANDTMANN</t>
  </si>
  <si>
    <t>080265/25A - AtivaPro - 7.678,40</t>
  </si>
  <si>
    <t>4382543
4388699
4426750
4434593</t>
  </si>
  <si>
    <t>TORNO - SERVIÇO DE TERCEIRO COM MÃO DE OBRA E MATERIAL PARA USINAGEM EM CONJUNTO DE BUCHAS DO EIXO DA FATIADORA MAREL V-CUT 240.</t>
  </si>
  <si>
    <t>468 - Velotano - 4800,00</t>
  </si>
  <si>
    <t xml:space="preserve">PHDS </t>
  </si>
  <si>
    <t>TORNO - SERVIÇO DE TERCEIRO COM MÃO DE OBRA E MATERIAL PARA USINAGEM DO EIXO E ENGRENAGEM DO SISTEMA DE TRAÇÃO DA FECHADORA DE CAIXAS</t>
  </si>
  <si>
    <t>1105 -  PHDS - 3.955,00</t>
  </si>
  <si>
    <t>O eixo e a engrenagem do sistema de tração da fechadora de caixas apresentavam desgaste acentuado, comprometendo o correto funcionamento do equipamento e ocasionando sua parada operacional. Diante do risco de prolongamento da indisponibilidade do equipamento e impactos no processo produtivo, foi necessária a realização de manutenção corretiva em caráter emergencial.</t>
  </si>
  <si>
    <t>Hansen</t>
  </si>
  <si>
    <t>SERVIÇO DE TERCEIRO COM MÃO DE OBRA ESPECIALIZADA COM ATENDIMENTO EMERGÊNCIAL PARA REALIZAÇÃO DE INSPEÇÃO E AJUSTES NO TÚNEL DE CONGELAMENTO GEA I-VRT</t>
  </si>
  <si>
    <t>025 - Hansen - 17.450,00</t>
  </si>
  <si>
    <t>O túnel de congelamento apresentou uma série de não conformidades operacionais, caracterizadas por desalinhamentos mecânicos nos conjuntos de transporte e falhas recorrentes nos sensores de monitoramento e segurança. Os desalinhamentos comprometiam a estabilidade do sistema, ocasionando vibrações, risco de danos estruturais aos componentes mecânicos e possibilidade de paradas não programadas. Paralelamente, as falhas nos sensores inviabilizavam a correta leitura e controle dos parâmetros operacionais, afetando diretamente a confiabilidade do processo e a segurança da operação. Diante do risco iminente de interrupção da produção, perda de eficiência do congelamento, não atendimento aos requisitos de qualidade do produto e potencial comprometimento da integridade do equipamento, tornou-se necessário o atendimento emergencial para correção imediata dos desalinhamentos, ajuste dos sensores, restabelecendo as condições normais e seguras de operação do túnel de congelamento.</t>
  </si>
  <si>
    <t>TORNO - Serviço para mão de obra, usinagem em engrenagem para esteira de saída multivac r535.</t>
  </si>
  <si>
    <t xml:space="preserve">318 - PHDS - 1.120,00
</t>
  </si>
  <si>
    <t>Engrenagem da esteira de saída da multivac R535 gastou e não estava tracionando a esteira, tentamos outro tipo de engrenagem porem não tivemos sucesso, dessa forma necessitamos da usinagem com urgência da engrenagem, equipamento estava parado.</t>
  </si>
  <si>
    <t>TORNO - SERVIÇO DE TERCEIRO COM MÃO DE OBRA E MATERIAL PARA USINAGEM EM CONJUNOT DE ÊMBOLOS DO DISPOSITIVO VOLUMÉTRICO DE DOSAGEM.</t>
  </si>
  <si>
    <t>474 - Velotano  - 10.080,00</t>
  </si>
  <si>
    <t>BRUNO</t>
  </si>
  <si>
    <t xml:space="preserve">SERVIÇOS DE AJUSTES E ADEQUAÇÃO DE INFRAS ELÉTRICAS DO ABATE E ESPOSTEJAMENTO, ADEQUAÇÃO DE INFRAS DE EQUIPAMENTOS QUE ESTÃO SOLTAS E DANIFICADAS, TROCA DE BOTOEIRAS QUEBRADAS NAS PASSARELAS E EQUIPAMENTOS. ADEQUAÇÃO DOS PONTOS E DESCIDAS PARA TOMADAS DE BALANÇAS QUE ESTÃO POR BAIXO DAS ESTEIRAS, REDIMENSIONAMENTO DOS CABOS PARA ATENDER A ALIMENTAÇÃO DOS EQUIPAMENTOS. 
TODOS OS SERVIÇOS SERÃO EXECUTADOS DENTRO DA UNIDADE EM DIAS UTEIS E FINAIS DE SEMANA CONFORME DEMANDA.
</t>
  </si>
  <si>
    <t xml:space="preserve">50% - ABATE 2488
50% - ESPOSTEJAMENTO 2224
</t>
  </si>
  <si>
    <t>FRANCIS</t>
  </si>
  <si>
    <t>Torno - USINAGEM DE TAMPA DO FILTRO DE VÁCUO DA MULTIVAC</t>
  </si>
  <si>
    <t>Foi enviado para empresa Usicastro fora do horário comercial, para confeccionar uma tampa para o filtro de vácuo que estava dando passagem, afetando o funcionamento da maquina F-200, Obs: Foi preciso mandar devido a falta de torneiro no turno.</t>
  </si>
  <si>
    <t xml:space="preserve">TORNO -  Usinagem conjunto de roldanas elevador caixas 
monobloco. 
</t>
  </si>
  <si>
    <t>479 - Velotano - 2800,00</t>
  </si>
  <si>
    <t>LE Soluções</t>
  </si>
  <si>
    <t xml:space="preserve">Serviço de manutenção de gerador de energia do Bio </t>
  </si>
  <si>
    <t>52-26 LE SOLUCOES - 6300,00</t>
  </si>
  <si>
    <t>ÚNICA ASSISTENCIA TECNICA ESPECIALIZADA NO CONSERTO E REVISÃO NOS MODELOS GERADORES HIMOINSA.A URGENCIO DO SERVIÇO A TER COMEÇO NO DIA 10/02 ESTAR COM OS 4 GERADORES PARADOS NÃO COMPRINDO O CONTRATO QUE TEMOS DE ENTREGA DE ENERGIA. SENDO QUE A ESSA É A ÚNICA DATA DISPONIVEL MAIS PROXIMA DO FORNECEDOR DE SERVIÇO.</t>
  </si>
  <si>
    <t>AtivaPro</t>
  </si>
  <si>
    <t>SERVIÇO DE TERCEIRO COM MÃO DE OBRA E MATERIAL PARA CONSERTO DE TECLADO ELETRÔNICO DA GRAMPEADEIRA AUTOMÁTICA POLY-CLIP FCA80.</t>
  </si>
  <si>
    <t>080008 - AtivaPro - 4.898,20</t>
  </si>
  <si>
    <t>Torno - USINAGEM EM EIXO CENTRAL DA TESOURA DE DESNUCA</t>
  </si>
  <si>
    <t>Torno - USINAGEM DE EIXO DE INOX FINITY 4, TRIPARIA</t>
  </si>
  <si>
    <t>No dia de ontem 04/02, quebrou o eixo da máquina Finity 4° estágio, foi preciso mandar para empresa Usicastro, com uma certa urgência, onde era preciso montar o equipamento para produção do dia 05/02 no primeiro horário. ( Equipamento rodando).</t>
  </si>
  <si>
    <t xml:space="preserve"> SERVIÇO TERCEIRO: MATERIAL E MÃO DE OBRA PARA CONSERTO DE CHAPA PARA NIVELAMENTO DE BALANÇA RODOVIÁRIA</t>
  </si>
  <si>
    <t>1099 - PHDS - 2.265,00</t>
  </si>
  <si>
    <t>TORNO - Serviço de usinagem para rebaixar 4 rodas da empilhadeira patolada  still.</t>
  </si>
  <si>
    <t>1057 - PHDS- 968,00</t>
  </si>
  <si>
    <t>TORNO - Serviço e usinagem em polia para tactape</t>
  </si>
  <si>
    <t>1100 - PHDS - 1.180,00</t>
  </si>
  <si>
    <t xml:space="preserve">item usado no seladoras de caixa TACTAP, onde o mesmo gerou um desgaste na polia parado a maquina.
</t>
  </si>
  <si>
    <t>SERVIÇO DE TERCEIRO COM MÃO DE OBRA E MATERIAL PARA CONSERTO DE SERVOMOTOR SCHNEIDER ELECTRIC FCE200524A200 SN 1010174.</t>
  </si>
  <si>
    <t>15687 - RGM - 7.694,50</t>
  </si>
  <si>
    <t>TORNO - Serviço para mão de obra, usinagem em porcas para travamento da tolva da embutideira meltalquimia presunto.</t>
  </si>
  <si>
    <t>976 - PHDS - 5.840,00</t>
  </si>
  <si>
    <t>SERVIÇO DE TERCEIRO COM MÃO DE OBRA E MATERIAL PARA CONSERTO DE SERVOMOTOR SCHNEIDER ELECTRIC FCE200524A200 SN 19862867.</t>
  </si>
  <si>
    <t>15686 - RGM - 17.776,00</t>
  </si>
  <si>
    <r>
      <rPr>
        <sz val="9"/>
        <color rgb="FFFF0000"/>
        <rFont val="Calibri"/>
        <scheme val="minor"/>
      </rPr>
      <t xml:space="preserve">2799
</t>
    </r>
    <r>
      <rPr>
        <sz val="9"/>
        <color rgb="FF000000"/>
        <rFont val="Calibri"/>
        <scheme val="minor"/>
      </rPr>
      <t>2848</t>
    </r>
  </si>
  <si>
    <r>
      <rPr>
        <sz val="9"/>
        <color rgb="FFFF0000"/>
        <rFont val="Calibri"/>
        <scheme val="minor"/>
      </rPr>
      <t xml:space="preserve">20/04/2026
</t>
    </r>
    <r>
      <rPr>
        <sz val="9"/>
        <color rgb="FF000000"/>
        <rFont val="Calibri"/>
        <scheme val="minor"/>
      </rPr>
      <t>04/05/2026</t>
    </r>
  </si>
  <si>
    <t>Torno - USINAGEM DE EIXO FATIADORA V-CUT CORTES ESPECIAIS</t>
  </si>
  <si>
    <t xml:space="preserve"> Devido a complexidade da usinagem se fez preciso enviar para empresa Usicastro, após horário ADM.
</t>
  </si>
  <si>
    <t>Marel</t>
  </si>
  <si>
    <t xml:space="preserve">SERVIÇO TERCEIRO: MATERIAL E MÃO DE OBRA PARA REVISÃO DO EQUIPAMENTO DEBOFLEX LINHA 1.
SERVIÇO REALIZADO NA UNIDADE
</t>
  </si>
  <si>
    <t xml:space="preserve">Marel - 210236 - 210237 - 210238 - 210239- 210240 - 210241 - EUR 7.484,31 </t>
  </si>
  <si>
    <t>EURO</t>
  </si>
  <si>
    <t>Torno - Conserto Usinagem bloco de inox multivac CA:5345 USO:242</t>
  </si>
  <si>
    <t xml:space="preserve">Torno -  Serviço de usinagem conserto em 08 engrenagens do cubo da maq. 
Tectape embalagensCA:5345 uso(242).Pedido:12702.
</t>
  </si>
  <si>
    <t>SERVIÇO DE TERCEIRO COM MATERIAL E MÃO DE OBRA PARA REFORMA (ESQUADREJAR GAIOLAS TORTAS, REFAZER SOLDAS TRINCADAS, TROCAR METALON INOX 50 X 50 X # 2.0 EM 10 GAIOLAS E TROCAR 24 RODAS DE NYLON REFORÇADO COM FIBRA DE VIDRO) DE 9 GAIOLAS DE VARAS.</t>
  </si>
  <si>
    <t>95485 - Balena - 11.757,00</t>
  </si>
  <si>
    <t>datec</t>
  </si>
  <si>
    <t>Serviço de terceiro para treinamento nos movimentadores datec</t>
  </si>
  <si>
    <t>francis'</t>
  </si>
  <si>
    <t>Justificativa: serviço urgente pois temos uma alta demanda em treinar os operadores nos movimentadores, pois os mesmos não tem muito noção da operação e regulagem, e isso acaba impactando no processo.</t>
  </si>
  <si>
    <t>TORNO - Usinagem em ganchos da norea de carretilha</t>
  </si>
  <si>
    <t>481 - VELOTANO - 950,00</t>
  </si>
  <si>
    <t xml:space="preserve"> 2026-100-001
- GRATT - 64.194,40</t>
  </si>
  <si>
    <r>
      <rPr>
        <sz val="9"/>
        <color rgb="FFFF0000"/>
        <rFont val="Calibri"/>
        <scheme val="minor"/>
      </rPr>
      <t xml:space="preserve">4391324
</t>
    </r>
    <r>
      <rPr>
        <sz val="9"/>
        <color rgb="FF000000"/>
        <rFont val="Calibri"/>
        <scheme val="minor"/>
      </rPr>
      <t>4400814</t>
    </r>
  </si>
  <si>
    <t>484 - Usinagem em gatilhos da pistola reto
485 - Usinagem em porcas pistola reto
487 - Usinagem parafuso central da pistola reto</t>
  </si>
  <si>
    <t>484 / 485 / 487 - VELOTANO - 6150,00</t>
  </si>
  <si>
    <r>
      <rPr>
        <sz val="9"/>
        <color rgb="FFFF0000"/>
        <rFont val="Calibri"/>
        <scheme val="minor"/>
      </rPr>
      <t xml:space="preserve">3354
</t>
    </r>
    <r>
      <rPr>
        <sz val="9"/>
        <color rgb="FF000000"/>
        <rFont val="Calibri"/>
        <scheme val="minor"/>
      </rPr>
      <t>3381</t>
    </r>
  </si>
  <si>
    <r>
      <rPr>
        <sz val="9"/>
        <color rgb="FFFF0000"/>
        <rFont val="Calibri"/>
        <scheme val="minor"/>
      </rPr>
      <t xml:space="preserve">15/04/2026
</t>
    </r>
    <r>
      <rPr>
        <sz val="9"/>
        <color rgb="FF000000"/>
        <rFont val="Calibri"/>
        <scheme val="minor"/>
      </rPr>
      <t>01/05/2026</t>
    </r>
  </si>
  <si>
    <t>GP DA LUZ - 4.800,00</t>
  </si>
  <si>
    <t>Justificativa: Foi necessário alugar a plataforma como retirado, pois, havíamos alinhado a substituição da camisa do chamuscador e para isso vieram dois técnicos da Marel avaliar o local e como fazer um dia antes do início da troca. Nesta averiguação foi pedido uma plataforma elevatória que conseguisse acessar dentro do setor, para isso teve de ser alugada esta. Porém o valor da sua diária e da sua mensalidade eram muito próximos, então como existem outros serviços que podem ser utilizadas a plataforma, foi alocada por 30 dias.</t>
  </si>
  <si>
    <r>
      <rPr>
        <sz val="9"/>
        <color rgb="FFFF0000"/>
        <rFont val="Calibri"/>
        <scheme val="minor"/>
      </rPr>
      <t xml:space="preserve">516
</t>
    </r>
    <r>
      <rPr>
        <sz val="9"/>
        <color rgb="FF000000"/>
        <rFont val="Calibri"/>
        <scheme val="minor"/>
      </rPr>
      <t>517</t>
    </r>
  </si>
  <si>
    <t>Velotano
BALENA
 LGP SUL</t>
  </si>
  <si>
    <t>GANCHO DA NÓREA DE CAIXA BRANCA</t>
  </si>
  <si>
    <t>480 / 95533 / 20250278</t>
  </si>
  <si>
    <t>Esta faltando os ganchos na linha, onde o equipamento não esta entregando sua eficiência correta.</t>
  </si>
  <si>
    <t>cancelada comprador pediu para comprar  como material</t>
  </si>
  <si>
    <t xml:space="preserve">TORNO SERVIÇO USINAGEM EM GUI LINEAR </t>
  </si>
  <si>
    <t>486 - Velotano - 3.000,00</t>
  </si>
  <si>
    <t>105988 </t>
  </si>
  <si>
    <t>Valenga</t>
  </si>
  <si>
    <t>SERVIÇO DE MANUTENÇÃO PREVENTIVA DE 250H MÁQUINA PÁ CARREGADEIRA BRUTO.</t>
  </si>
  <si>
    <t>ENCAMINHADO UM ÚNICO ORÇAMENTO, POIS A MECÂNICA VALENGA É AUTORIZADA ASSISTENCIA TÉCNICA BRUTO PARA PRESTAR A CORRETA E EFICIENTE MANUTENÇÃO PREVENTIVA.</t>
  </si>
  <si>
    <t xml:space="preserve">Os Tauras do Ar </t>
  </si>
  <si>
    <t xml:space="preserve">SERVIÇO DE CONSERTO EM AR CONDICIONADO SPRINGER 18000BTUS/ REABASTECIMENTO DE GÁS R22/ REPARO DE VAZAMENTO EM TUBULAÇÃO/ REPARO E TROCA DE VÁLVULA SCHRADER.  </t>
  </si>
  <si>
    <t>1228 - 73,05%
3591 - 14,61
2151 - 12,33</t>
  </si>
  <si>
    <t>Durante a manutenção PMOC foi constatado alguns equipamentos com falta de fluido e com problemas de funcionamento, solicitado a adequação afim de deixar os equipamentos em ótimo estado de conservação e de funcionamento. Necessidade desta manutenção haja visto o conforto térmico dos colaboradores na qual trabalha no local.</t>
  </si>
  <si>
    <t xml:space="preserve">- MÃO DE OBRA PARA REALIZAR SERVIÇOS PREVISTOS NA VOEC DO SIF E AUTOCONTROLE COMO SERVIÇO DE INSTALAÇÃO
DE PROTETORES DE RODAPÉ INOX SCH 40 NAS CÂMARAS DA LOGISTICA E CONGELADOS;
- INSTALAÇÃO DE PERFIL DE ALUMINIO DAS QUINAS DAS PORTAS E PAREDES DE ISOPAINEL;
- SUBSTITUIÇÃO DE PROTETORES RODAPES INOX SCH 40 NA DESENFORMAGEM DA PRESUNTARIA;
- ADEQUAÇÃO DE PLATAFORMAS DE ALTURA PARA EMBALAGEM SECUNDÁRIA DO CORTES E PARA EMBALAGEM SECUNDÁRIA
DO INDUSTRIALIZADOS;
- SUBSTITUIÇÃO DE CHAPAS AÇO CARBONO POR AÇO INOX DOS PORTÕES DA POCILGA;
- SUBSTITUIÇÃO DOS PÉS DE SUSTENTAÇÃO DA TUBULAÇÃO DE AMONIA DOS CONDENSADORES DA SALA DE MÁQUINAS;
- SUBSTITUIÇÃO DE TUBULAÇÕES SOBRE O PISO TÉCNICO QUE ESTÃO DETETIORADAS POR AÇO INOX SCH 40 SOBRE A
EMBALAGEM SECUNDÁRIA, PALETIZAÇÃO E SOBRE O ABATE ZONA SUJA E LIMPA;
- SERVIÇO DE ADEQUAÇÃO DO TROCADOR DE CALOR AGUA 90ºc SOBRE O PISO TÉCNICO DO ABATE E NIVELAMENTO DOS PIPE
RACK;
- SERVIÇO DE SUBSTITUIÇÃO DA TUBULAÇÃO DE HIGIENIZAÇÃO DA SALA DE MÁQUINAS ATÉ A FFG DEVIDO INCRUSTAÇÕES
INTERNAS NA TUBULAÇÃO DE AÇO CARBONO.
SERVIÇOS A SEREM EXECUTADO SDENTRO DA UNIDADE.
</t>
  </si>
  <si>
    <t xml:space="preserve">10% - ABATE 2488
20% - ESPOSTEJAMENTO 2224
20% - 4413 - EMBALAGEM
20% - 2348 LOGISTICA
10% - PRESUNTARIA
15 % - 2216
5% - 1210
</t>
  </si>
  <si>
    <t>2288
95786
164</t>
  </si>
  <si>
    <t>Atenas Bombas</t>
  </si>
  <si>
    <t xml:space="preserve">MANUTENÇÃO EM BOMBA SCHNEIDER, COM 2.650,00
OS SERVICOS DE:
- RETIRADA;
- DESMONTAGEM;
- LIMPEZA E DECAPAGEM;
- ANALISE DE TROCA DE PECAS;
- FABRICACAO DE PONTA DE EIXO;
- BUCHA PROTETORA;
- JG DE JUNTAS;
- SELO MECANICO;
- JG DE ROLAMENTOS;
- SELO MECANICO;
- MONTAGEM;
- TESTES;
- PINTURA. 
</t>
  </si>
  <si>
    <t>12316 - Atenas Bombas - 2.650,00</t>
  </si>
  <si>
    <r>
      <rPr>
        <sz val="9"/>
        <color rgb="FFFF0000"/>
        <rFont val="Calibri"/>
        <scheme val="minor"/>
      </rPr>
      <t xml:space="preserve">4393078
4394716
</t>
    </r>
    <r>
      <rPr>
        <sz val="9"/>
        <color rgb="FF000000"/>
        <rFont val="Calibri"/>
        <scheme val="minor"/>
      </rPr>
      <t>4397057</t>
    </r>
  </si>
  <si>
    <t>SERVIÇO RECUPERAÇÃO DE MOLDE INFERIOR ESTAÇÃO SELAGEM F200 SEI</t>
  </si>
  <si>
    <t>21.846 - Moldes Brasil - 4200,00</t>
  </si>
  <si>
    <t>Torno - Usinagem em conjunto de molas para ponte rolante</t>
  </si>
  <si>
    <t xml:space="preserve">Foi preciso pedir confecção da mola da ponte, pois o equipamento venho a danificar o componente, e para que o equipamento não venha a dar parada de processo de fez preciso pedir as peças.
</t>
  </si>
  <si>
    <r>
      <rPr>
        <sz val="9"/>
        <color rgb="FFFF0000"/>
        <rFont val="Calibri"/>
        <scheme val="minor"/>
      </rPr>
      <t xml:space="preserve">4406263
</t>
    </r>
    <r>
      <rPr>
        <sz val="9"/>
        <color rgb="FF000000"/>
        <rFont val="Calibri"/>
        <scheme val="minor"/>
      </rPr>
      <t>4425055</t>
    </r>
  </si>
  <si>
    <t>Stemac</t>
  </si>
  <si>
    <t>SERVIÇO DE MANUTENÇÃO E REPARO BOMBA INJETORA DE DIESEL</t>
  </si>
  <si>
    <t>Usicastro</t>
  </si>
  <si>
    <t>TORNO - SERVIÇO DE USINAGEM DE PONTEIRAS DE AÇO INOX SCH40 PARA PARA USO INTERNO DA MANUTENÇÃO - UTILIZADO PARA INTERLIGAÇÃO DE VÁLVULAS E UTILIDADES. SERVIÇO A SER EXECUTADO FORA DA UNIDADE - CLASSIFICAÇÃO DE USINAGEM</t>
  </si>
  <si>
    <t>1197 - USICASTRO - 4.846,00</t>
  </si>
  <si>
    <t>j.e.s motosseras</t>
  </si>
  <si>
    <t>Conserto de furadeira a bosch profissional gsb16</t>
  </si>
  <si>
    <t>j.e.s motoserras</t>
  </si>
  <si>
    <t>SERVIÇO DE MANUTENÇÃO PREVETIVA MÁQUINA RETROESCAVADEIRA JOHN DEERE.</t>
  </si>
  <si>
    <t>EMPRESA RESPONSÁVEL PELO SERVIÇO É A ÚNICA REPRESENTANTE DA REGIÃO AUTORIZADA PARA REALIZAR MANUTENÇÕES.</t>
  </si>
  <si>
    <t>Servos Repair</t>
  </si>
  <si>
    <t>SERVIÇO DE TERCEIRO COM MÃO DE OBRA E MATERIAL PARA REALIZAR O CONSERTO DO SERVOMOTOR DO SISTEMA DE CORTE OVAL DA TERMOFORMADORA MULTIVAC R535.</t>
  </si>
  <si>
    <t>1200 - ServosRepair - 3.300,00</t>
  </si>
  <si>
    <r>
      <rPr>
        <sz val="9"/>
        <color rgb="FFFF0000"/>
        <rFont val="Calibri"/>
        <scheme val="minor"/>
      </rPr>
      <t xml:space="preserve">4394789
4398321
</t>
    </r>
    <r>
      <rPr>
        <sz val="9"/>
        <color rgb="FF000000"/>
        <rFont val="Calibri"/>
        <scheme val="minor"/>
      </rPr>
      <t>4455355</t>
    </r>
  </si>
  <si>
    <t>677
690</t>
  </si>
  <si>
    <r>
      <rPr>
        <sz val="9"/>
        <color rgb="FFFF0000"/>
        <rFont val="Calibri"/>
        <scheme val="minor"/>
      </rPr>
      <t xml:space="preserve">22/04/2026
</t>
    </r>
    <r>
      <rPr>
        <sz val="9"/>
        <color rgb="FF000000"/>
        <rFont val="Calibri"/>
        <scheme val="minor"/>
      </rPr>
      <t>04/05/2026</t>
    </r>
  </si>
  <si>
    <t>CONSERTO Martelete Dewalt 025133-b2</t>
  </si>
  <si>
    <t>Fiedler</t>
  </si>
  <si>
    <t>SERVIÇO DE CONSERTO EM BOMBA GRUNDFOS CR32-5-2 A-F-A-E-HQQE/ MOTOR MG160 15KW 3X220/380V 50/60Hz CÓDIGO: A-96122183 P1 1345 S-0001/85U07526</t>
  </si>
  <si>
    <t>Fiedler - PRO-409205/1 -  46.558,88</t>
  </si>
  <si>
    <t>JUSTIFICATIVA: BOMBA DA ÁGUA 45°C ENVIADA PARA REVISÃO/CONSERTO.</t>
  </si>
  <si>
    <t>Venzon</t>
  </si>
  <si>
    <t>45375  e 45376</t>
  </si>
  <si>
    <t>SERVIÇO DE TERCEIRO COM MÃO DE OBRA E MATERIAL PARA REALIZAR AFIAÇÃO DE: 04 LÂMINAS DE CORTE V-CUT MAREL, 01 DISCO SERRA MEZANINO LISO 700MM E 08 DISCOS SERRA 440MM.</t>
  </si>
  <si>
    <t>Venzon - 001_2026 - 6.120,00</t>
  </si>
  <si>
    <r>
      <rPr>
        <sz val="9"/>
        <color rgb="FFFF0000"/>
        <rFont val="Calibri"/>
        <scheme val="minor"/>
      </rPr>
      <t xml:space="preserve">4431
</t>
    </r>
    <r>
      <rPr>
        <sz val="9"/>
        <color rgb="FF000000"/>
        <rFont val="Calibri"/>
        <scheme val="minor"/>
      </rPr>
      <t>4479</t>
    </r>
  </si>
  <si>
    <t>SERVIÇO DE TERCEIRO COM MÃO DE OBRA E MATERIAL PARA REALIZAR CONSERTO DE 2 SERVOS DA GRAMPEADEIRA AUTOMÁTICA POLY-CLIP (ESTEIRA DE SAÍDA).</t>
  </si>
  <si>
    <t>Servos Repair - 1185 e 1187 - 7.700,00</t>
  </si>
  <si>
    <t xml:space="preserve">4396923
4398320
</t>
  </si>
  <si>
    <t>Serviço de mão de obra e material para realizar o conserto em inversor de frequência da Danfoss.</t>
  </si>
  <si>
    <t>Mainger Electric - 1104 - 2.800,00</t>
  </si>
  <si>
    <t>OS TAURAS DO AR</t>
  </si>
  <si>
    <t>SERVIÇO DE CONSERTO DE AR CONDICIONADO 24000 BTUS/ 12000 BTUS/ 48000 BTUS.</t>
  </si>
  <si>
    <t xml:space="preserve">2101- 2.361,66 reais;
2330- 2.546,67 reais;
1236- 7.046,67 reais;
</t>
  </si>
  <si>
    <t>BARBARA</t>
  </si>
  <si>
    <t>OS TAURAS DO AR - 914 - 11955,00</t>
  </si>
  <si>
    <t>Foi realizada manutenção no motor do ventilador da unidade condensadora do ar-condicionado da sala de recepção do ambulatório. Também foram efetuados serviços de solda na serpentina, pressurização do sistema, inserção de gás R32 e a mudança de local do climatizador de ar da sala do encarregado da fábrica de farinha, visando proporcionar melhor conforto térmico às pessoas que acessam e frequentam o ambiente.
Além disso, foi realizada manutenção no climatizador de ar do CCM da caldeira, com o objetivo de garantir um ambiente adequadamente climatizado, contribuindo para a conservação e durabilidade dos componentes elétricos instalados, incluindo a manutenção do compressor, inserção de gás R410A, troca da contatora, substituição do cano de cobre e execução do respectivo isolamento.</t>
  </si>
  <si>
    <t>SERVIÇO DE TERCEIRO COM MÃO DE OBRA E MATERIAL PARA REVISÃO PREVENTIVA DO CONJUNTO DO EIXO DA PRENSA EXPELLER PEX-3000.</t>
  </si>
  <si>
    <t>EQUIPARE - 7641 - 32400,00</t>
  </si>
  <si>
    <t xml:space="preserve">4397005
4398454
4402983
</t>
  </si>
  <si>
    <t>SERVIÇO DE TERCEIRO COM MÃO DE OBRA E MATERIAL PARA REALIZAR O CONSERTO DO CONJUNTO DE APÁS DO FLOTADOR.</t>
  </si>
  <si>
    <t>BALENA - 95794 - 3.507,00</t>
  </si>
  <si>
    <t>TORNO - SERVIÇO DE TERCEIRO COM MÃO DE OBRA E MATERIAL PARA USINAGEM DA BUCHA DO EIXO DA LÂMINA DA FATIADORA DE BISTECA V-CUT MAREL</t>
  </si>
  <si>
    <t>PHDS - 1165 - 586,00</t>
  </si>
  <si>
    <t>Serviço para mão de obra mais itens necessários para conserto em impressora Markem-Imaje CN24300163</t>
  </si>
  <si>
    <t>SOMASOLUTION - 60959 / 60958 / 61101 - 7.513,05</t>
  </si>
  <si>
    <r>
      <rPr>
        <sz val="9"/>
        <color rgb="FFFF0000"/>
        <rFont val="Calibri"/>
        <scheme val="minor"/>
      </rPr>
      <t xml:space="preserve">4398654
4430249
</t>
    </r>
    <r>
      <rPr>
        <sz val="9"/>
        <color rgb="FF000000"/>
        <rFont val="Calibri"/>
        <scheme val="minor"/>
      </rPr>
      <t>4437748</t>
    </r>
  </si>
  <si>
    <t>SAD - 0138</t>
  </si>
  <si>
    <t>RECUPERAÇÃO DE EIXO TENDERIZADOR GUNTHER</t>
  </si>
  <si>
    <t>PHDS - 1196 - 4.325,00</t>
  </si>
  <si>
    <t>eixos usados na esteira de saída do tenderizador onde o mesmo estava com desgaste nas pontas fazendo a esteira parar no meio do processo.</t>
  </si>
  <si>
    <t>SAD0138</t>
  </si>
  <si>
    <t xml:space="preserve">TORNO: SERVIÇO DE USINAGEM PARA PONTEIRAS DE ROSCAS DE DIAMETROS 1/2, 3/4 E 2" PARA INSTALAÇÃO EM REDES DE UTILIDADES DO ABATE.
SERVIÇO A SER REALIZADO FORA DA UNIDADE.
NF DE SAÍDA Nº 45640
</t>
  </si>
  <si>
    <t>TORNO - USINAGEM EM PORCAS PISTOLA RETO</t>
  </si>
  <si>
    <t>VELOTANO - 485 - 1.100,00</t>
  </si>
  <si>
    <t>TORNO - Serviço de usinagem em buchas para máquina Textor.</t>
  </si>
  <si>
    <t>Velotano - 491 - 1100,00</t>
  </si>
  <si>
    <t>SERVIÇO DE TERCEIRO COM MÃO DE OBRA E MATERIAL PARA CONSERTO DE: 05 FORMAS DE PRESUNTO OVAL, 05 FORMAS DE PRESUNTO QUADRADA E 30 FORMAS DE PRESUNTO LOG. SENDO: REFAZER SOLDAS TRINCADAS, ENDIREITAR PARTES TORTAS, SOLDAR NERVURAS E CABOS FALTANTES E ACABAMENTO LAVADO COM GEL DECAPANTE.</t>
  </si>
  <si>
    <t>Balena - 95850 - 8.779,24</t>
  </si>
  <si>
    <t xml:space="preserve">SERVIÇO DE TERCEIRO COM MÃO DE OBRA E MATERIAL PARA CONSERTO DE 5 GAIOLAS DE VARA, SENDO: TROCA DE CONJUNTOS DE TRAVESSA INFERIOR + PEDAÇO DA COLUNA QUE ESTIVEREM TORTOS OU DEFEITUOSOS, TROCA DE RODÍZIOS ONDE FOR NECESSÁRIO
REFORÇO DE SOLDAS TRINCADAS ONDE FOR NECESSÁRIO, AJUSTES MECÂNICOS SIMPLES: DESENTORTAR ALÇA, ACERTAR ESQUADRO (DESVIOS LEVES), NECESSÁRIO DESENTORTAR ALÇAS EM TODOS OS PRODUTOS COM ACABAMENTO INOX ESCOVADO.
</t>
  </si>
  <si>
    <t>Balena - 95846 - 5.909,45</t>
  </si>
  <si>
    <t xml:space="preserve">SERVIÇO DE ADEQUAÇÃO DE CORTE E SOLDA DE PONTALETES DE AÇO INOX SCH 40 DIAMETRO DE 4" PARA REALIZAR A PROTEÇÃO DOS RODAPÉS E PORTAS PARA EVITAR BATIDA DE PALETEIRAS E CARRINHOS. SERVIÇO A SER EXECUTADO FORA DA UNIDADE.
CONFORME NF DE SAÍDA Nº 45968
</t>
  </si>
  <si>
    <t>SERVIÇO DE TERCEIRO COM MÃO DE OBRA E MATERIAL PARA CONSERTO DE 2 CARRINHOS GALVANIZADOS, SENDO: NA ESTRUTURA CORTAR E REFAZER SOLDAS EM ALGUNS PONTOS NOS DOIS PRODUTOS, NA BASE: REFAZER BASE DE UM PRODUTO E AJUSTAR A BASE NO OUTRO. COM ACABAMENTO: GALVANIZAÇÃO ELETROSTÁTICA.</t>
  </si>
  <si>
    <t>Balena - 95757 - 5.907,11</t>
  </si>
  <si>
    <t xml:space="preserve">metal c </t>
  </si>
  <si>
    <t xml:space="preserve">Descrição
SERVIÇO DE REPARO E RECUPERAÇÃO DE PROTEÇÕES DE RODAPÉ EM AÇO INOX. ADEQUAÇÃO DOS PÉS E CURVAS QUE ESTÃO DANIFICADOS. REPOSICIONAMENTO DAS SAPATAS PARA CHUMBADORES. SUBSTITUIÇÃO DE PONTEIRAS DANIFICADAS E TRECHOS DANIFICADOS. SERVIÇO A SER EXECUTADO FORA DA UNIDADE CONFORME NF DE SAÍDA 46339
</t>
  </si>
  <si>
    <t>Serviço de atendimento realizado In-loco, revisão e manutenção nas impressoras Markem-Imaje.</t>
  </si>
  <si>
    <t>SOMASOLUTION - 61.180 - 3850,00</t>
  </si>
  <si>
    <t>Foi solicitado manutenção in loco na impressora Markem-Imaje que estava apresentando falha e não conseguimos retirar, gerando risco iminente de parada, como não havia equipamento reserva disponível, pois a mesma estava com a falha, tivemos que optar pela intervenção imediata no local para garantir a continuidade operacional, foi também feito a verificação nas demais impressoras da linha, reforçando a confiabilidade dos equipamentos e reduzindo o risco de novas ocorrências.</t>
  </si>
  <si>
    <t xml:space="preserve">DE PAULA </t>
  </si>
  <si>
    <t>REALIZAR REPAROS COM PRODUTO ESPECIFICO PARA CÂMARA DE CONGELADOS ESTOCAGEM (-28°C) , CONGELADOS DE TERCEIROS E RESFRIADOS SENDO O FORNECEDOR ESPECIALIZADO E COM EQUIPE INTEGRADA PARA APLICAÇÃO DO URETANO EM BAIXAS TEMPERATURAS. SERVIÇO DE REPAROS CIVIS CONFORME AUTOCONTROLE E VOEC. TODOS OS SERVIÇOS SERÃO EXECUTADOS DENTRO DA UNIDADE.</t>
  </si>
  <si>
    <t xml:space="preserve">70% 2348
10% 4472
10% 2291
10% 2224
</t>
  </si>
  <si>
    <t>Justificativa de apenas um orçamento: Necessidade de realizar reparos com produto especifico para câmara de congelados (-28°C) sendo o fornecedor especializado e com equipe integrada para aplicação do uretano em baixas temperaturas. Para atendimento dos prazos de autocontrole e VOEC pontuado pelo SIF local, se faz necessário contratação da empresa para podermos atender o plano de ação protocolado.</t>
  </si>
  <si>
    <t>SERVIÇO DE SUBSTITUIÇÃO DO SUPORTE DE FILTRO DE AR DA MÁQUINA RETROESCAVADEIRA JOHN DEERE.</t>
  </si>
  <si>
    <t>Mecanica Valenga - 223 - 2.725,92</t>
  </si>
  <si>
    <t>JUSTIFICATIVA: TIVEMOS UM INCIDENTE COM A MÁQUINA RETROESCAVADEIRA JOHN DEERE 310K NA SEXTA-FEIRA, 13/02, QUANDO OCORREU UM PRINCÍPIO DE INCÊNDIO NO FILTRO DE AR, OCASIONANDO A QUEIMA DO FILTRO E, CONSEQUENTEMENTE, DANIFICANDO O SUPORTE ONDE ELE É ALOJADO. FOI NECESSÁRIO A SUBSTITUIÇÃO DO CONJUNTO DE FORMA EMERGÊNCIAL PARA QUE PUDESSEMOS RETORNAR COM O FUNCIONAMENTO DO MÁQUINARIO DANDO CONTINUIDADE AS ATIVIDADES OPERACIONAIS.</t>
  </si>
  <si>
    <r>
      <rPr>
        <sz val="9"/>
        <color rgb="FFFF0000"/>
        <rFont val="Calibri"/>
        <scheme val="minor"/>
      </rPr>
      <t xml:space="preserve">4400126
4403127
</t>
    </r>
    <r>
      <rPr>
        <sz val="9"/>
        <color rgb="FF000000"/>
        <rFont val="Calibri"/>
        <scheme val="minor"/>
      </rPr>
      <t>4422262</t>
    </r>
  </si>
  <si>
    <t>TORNO - SERVIÇO DE USINAGEM EM ACOPLAMENTO E ENGRENAGEM.</t>
  </si>
  <si>
    <t xml:space="preserve">1236 – 1.730,00 reais
1210 – 1.532,00 reais
</t>
  </si>
  <si>
    <t xml:space="preserve">USICASTRO - 1210 - 3.262,00 </t>
  </si>
  <si>
    <t>PRESYS</t>
  </si>
  <si>
    <t>SERVIÇO DE MATERIAL E MÃO DE OBRA PARA MANUTENÇÃO DE BOMBA PNEUMÁTICA DE PRESSÃO PRESYS</t>
  </si>
  <si>
    <t>PRESYS - 055518 - 290,00</t>
  </si>
  <si>
    <r>
      <rPr>
        <sz val="9"/>
        <color rgb="FFFF0000"/>
        <rFont val="Calibri"/>
        <scheme val="minor"/>
      </rPr>
      <t xml:space="preserve">4400164
</t>
    </r>
    <r>
      <rPr>
        <sz val="9"/>
        <color rgb="FF000000"/>
        <rFont val="Calibri"/>
        <scheme val="minor"/>
      </rPr>
      <t>4401122</t>
    </r>
  </si>
  <si>
    <t>TORNO - Usinagem parafuso central da pistola reto</t>
  </si>
  <si>
    <t>Velotano - 487 - 1100,00</t>
  </si>
  <si>
    <t xml:space="preserve">4400189
4411623
</t>
  </si>
  <si>
    <t>SERVIÇO DE REVISÃO/ CALIBRAÇÃO DOS BICOS INJETORES DE DIESEL DO MOTOR A COMBUSTÃO DA BOMBA DE COMBATE A INCÊNDIO.</t>
  </si>
  <si>
    <t>Mecanica Valenga - 224 - 550,00</t>
  </si>
  <si>
    <t>JUSTIFICATIVA: O motor a combustão da bomba de combate a incêndio não está funcionando na primeira partida. Foi acionada manutenção especializada para avaliação, e o diagnóstico identificado foi a necessidade de revisão e calibração dos bicos injetores de diesel. Trata-se de um equipamento de alta criticidade para a segurança da unidade, pois é a bomba reserva de combate a incêndio, devendo estar plenamente operante em caso de sinistro.</t>
  </si>
  <si>
    <r>
      <rPr>
        <sz val="9"/>
        <color rgb="FFFF0000"/>
        <rFont val="Calibri"/>
        <scheme val="minor"/>
      </rPr>
      <t xml:space="preserve">4409585
</t>
    </r>
    <r>
      <rPr>
        <sz val="9"/>
        <color rgb="FF000000"/>
        <rFont val="Calibri"/>
        <scheme val="minor"/>
      </rPr>
      <t>4422376</t>
    </r>
  </si>
  <si>
    <t>SITENSUL</t>
  </si>
  <si>
    <t xml:space="preserve"> SERVIÇO DE MATERIAL E MÃO DE OBRA PARA CALIBRAÇÃO DE AUTOCLAVE</t>
  </si>
  <si>
    <t>SITENSUL - 21665 - 490,00</t>
  </si>
  <si>
    <r>
      <rPr>
        <sz val="9"/>
        <color rgb="FFFF0000"/>
        <rFont val="Calibri"/>
        <scheme val="minor"/>
      </rPr>
      <t xml:space="preserve">4400258
4401113
4411630
</t>
    </r>
    <r>
      <rPr>
        <sz val="9"/>
        <color rgb="FF000000"/>
        <rFont val="Calibri"/>
        <scheme val="minor"/>
      </rPr>
      <t>4411709</t>
    </r>
  </si>
  <si>
    <t>TORNO - Usinagem em conjunto suporte macaco hidráulico</t>
  </si>
  <si>
    <t>VELOTANO - 482 - 9.980,00</t>
  </si>
  <si>
    <t>LE SOLUÇÕES</t>
  </si>
  <si>
    <t>LE SOLUÇÕES - 0052/26 - 13.300,00</t>
  </si>
  <si>
    <t>ÚNICA ASSISTENCIA TECNICA ESPECIALIZADA NO CONSERTO E REVISÃO NOS MODELOS GERADORES HIMOINSA.A URGENCIO DO SERVIÇO A TER COMEÇO NO DIA 10/02 ESTAR COM OS 4 GERADORES PARADOS NÃO COMPRINDO O CONTRATO QUE TEMOS DE ENTREGA DE ENERGIA. SENDO QUE  ESSA FOI  A ÚNICA DATA DISPONIVEL MAIS PROXIMA DO FORNECEDOR DE SERVIÇO.</t>
  </si>
  <si>
    <t xml:space="preserve">202600000005851
</t>
  </si>
  <si>
    <t>JBT MAREL</t>
  </si>
  <si>
    <t>SERVIÇO DE TERCEIRO PARA: MÃO DE OBRA PARA DIA EXTRA DE UM TÉCNICO DA MAREL, PARA A REVISÃO DO EQUIPAMENTO SERRA AUTO. SPLITTER.</t>
  </si>
  <si>
    <t>JBT MAREL -  26003217 - 4.945,28</t>
  </si>
  <si>
    <t>Segue apenas um orçamento, por se tratar do fabricante do equipamento.</t>
  </si>
  <si>
    <t>TORNO - Serviço de usinagem em buchas fixação do eixo da maquina Velatti</t>
  </si>
  <si>
    <t>VELOTANO - 492 - 2200,00</t>
  </si>
  <si>
    <t>RETENLINS</t>
  </si>
  <si>
    <t>Material e mão de obra para instalaçõa de 02 ramais de aeração, ramais composto por sistema de difusão de ar por membranas, considerar instalar os ramais na Lagoa do ETE que está sendo Reformada.</t>
  </si>
  <si>
    <t xml:space="preserve">RETENLINS </t>
  </si>
  <si>
    <t xml:space="preserve">MOBILIZAÇÃO E DESMOBILIZAÇÃO (SERVIÇO DEVE SER REALIZADO NO FINAL DE SEMANA);
LIMPAR, PREPARAR E APLICAR TINTA RESISTENTE A UMIDADE EM 483,30 MTS² DE PAREDE;
LIMPEZA, DESCARTE DE MATERIAIS E ENTREGA DA OBRA;
</t>
  </si>
  <si>
    <t>J ORTIZ - 3788 -   26.565,00
DE PAULA - 2026170202 - 18.204,00
FINISSIMA - 1 - 108.256,00</t>
  </si>
  <si>
    <t>MEGA GUINDASTES</t>
  </si>
  <si>
    <t>SERVIÇO DE LOCAÇÃO DE GUINDASTE 40T.</t>
  </si>
  <si>
    <t>MEGA GUINDASTES - 12963 - 17.250,00</t>
  </si>
  <si>
    <t>Locação de guindaste para a substituição do filtro multiciclone do setor da caldeira. O fornecedor foi escolhido por possuir o equipamento adequado para a execução do serviço, além de ser o mais próximo da unidade, garantindo agilidade e redução de custos logísticos.</t>
  </si>
  <si>
    <r>
      <rPr>
        <sz val="9"/>
        <color rgb="FFFF0000"/>
        <rFont val="Calibri"/>
        <scheme val="minor"/>
      </rPr>
      <t xml:space="preserve">4405828
</t>
    </r>
    <r>
      <rPr>
        <sz val="9"/>
        <color rgb="FF000000"/>
        <rFont val="Calibri"/>
        <scheme val="minor"/>
      </rPr>
      <t>4407092</t>
    </r>
  </si>
  <si>
    <t>SERVIÇO DE TERCEIRO COM MÃO DE OBRA E MATERIAL PARA CONSERTO DE 13 GAIOLAS DE VARA, SENDO: TROCA DE CONJUNTOS DE TRAVESSA INFERIOR + PEDAÇO DA COLUNA QUE ESTIVEREM TORTOS OU DEFEITUOSOS, TROCA DE RODÍZIOS ONDE FOR NECESSÁRIO REFORÇO DE SOLDAS TRINCADAS ONDE FOR NECESSÁRIO, AJUSTES MECÂNICOS SIMPLES: DESENTORTAR ALÇA, ACERTAR ESQUADRO (DESVIOS LEVES), NECESSÁRIO DESENTORTAR ALÇAS EM TODOS OS PRODUTOS COM ACABAMENTO EM INOX ESCOVADO.</t>
  </si>
  <si>
    <t>BALENA - 95847 - 15.364,57</t>
  </si>
  <si>
    <t xml:space="preserve">TORNO - Usinagem em eixo fatiadora de bisteca
</t>
  </si>
  <si>
    <t>VELOTANO - 465 - 2000,00</t>
  </si>
  <si>
    <t>SERVIÇO DE RETIRADA/ MONTAGEM DO TELHADO E DESMONTAGEM/ MONTAGEM DOS DUTOS DO MULTICICLONE DA CALDEIRA DE 15T.</t>
  </si>
  <si>
    <t>BALENA - 95885 - 49.016,00
METAL C - 2308 - 14.400,00
MATOS MONTEIRO - 11.448,00</t>
  </si>
  <si>
    <t>-Substituição do multiciclone da caldeira de 15T.</t>
  </si>
  <si>
    <t>TORNO - SERVIÇO DE USINAGEM EM POLIAS.</t>
  </si>
  <si>
    <t>USICASTRO - 1254 - 8.245</t>
  </si>
  <si>
    <t>Usinagem em polias do ar secundário da caldeira de 15T.</t>
  </si>
  <si>
    <t>SERVIÇO DE INSTALAÇÃO DE SISTEMA DE RECIRCULAÇÃO DE ÁGUA GELADA PARA PREPARO DA SALMOURA.</t>
  </si>
  <si>
    <t>METAL C- 2302 - 42.600,00
BALENA - 95834 - 80.739,11
MATOS MONTEIRO - 30.714,00</t>
  </si>
  <si>
    <t>Instalação de sistema de recirculação de água gelada para atendimento da temperatura no sistema de água de preparo da salmoura.</t>
  </si>
  <si>
    <t>PLASMETAL</t>
  </si>
  <si>
    <t xml:space="preserve">
SERVIÇO DE TERCEIRO: CONSERTO DE DOIS MÓDULOS DE LINHA CP 916X X001 E UM ALIMENTADOR AUTOMÁTICO C8.
</t>
  </si>
  <si>
    <t>PLASMETAL - 3798 - 7.783,00</t>
  </si>
  <si>
    <t>GANCHO DA NÓREA DE CAIXA BRANCA, CONFORME DESENHO ABAIXO</t>
  </si>
  <si>
    <t>LGP Sul - 20250278 - 3.500,00
BALENA - 95533 - 10.631,48
VELOTANO - 480 - 11.250,00</t>
  </si>
  <si>
    <t>BALENA - 95885 - 49.016,00
MATOS MONTEIRO - 11.448,00
METAL C - 2308 - 14400,00</t>
  </si>
  <si>
    <t>Substituição do multiciclone da caldeira de 15T.</t>
  </si>
  <si>
    <t>MÃO DE OBRA PARA INSTALAÇÃO DE TUBULAÇÕES DE DRENOS NOS EVAPORADORES DO ESPOSTEJAMENTO COM ISOLAMENTO TÉRMICO.
SERVIÇO EM  3 DRENOS DE ESGOTO DE EVAPORADORES COM TUBULAÇÃO DE 2¿ SCH5 EM AÇO INOX 304 (APROXIMADAMENTE 38 METROS DE TUBULAÇÃO COM CURVAS PARA CADA EVAPORADOR)
CONSIDERAR ISOLAMENTO EM POLIURETANO 40 MM DE ESPESSURA COM REVESTIMENTO EM CHAPA AÇO INOX 0,4 MM DE ESPESSURA.
SERVIÇO A SER EXECUTADO EM FINAL DE SEMANA.</t>
  </si>
  <si>
    <t>ENGETREINE
CCPG</t>
  </si>
  <si>
    <t xml:space="preserve">erviço: Teste Dielétricos e 
calibração de Multímetros,
amperímetros e Megômetros
</t>
  </si>
  <si>
    <t>ENGETREINE - 002358 - 13.675,00
CCPG - 26/039  -  com calibração de alicates 19.769,00 
sem calibração de alicates 14.819,00</t>
  </si>
  <si>
    <t xml:space="preserve"> Estamos com 
uma não conformidade Grave 
no Prontuário PIE precisamos 
executar serviço e gerar 
laudos com urgência!
Também optamos por duas 
empresas já que não 
encontramos outra que faça os 
testes e calibração por 
laboratório móvel!
</t>
  </si>
  <si>
    <t>BARBARA - AGUARDANDO SIMPLES NACIONAL</t>
  </si>
  <si>
    <t xml:space="preserve">A1 SERVICE
DPM
</t>
  </si>
  <si>
    <t>Serviço: Revisão preventiva 
Rede aérea de Média Tensão</t>
  </si>
  <si>
    <t>A1 SERVICE - 8548 - 15940,00
DPM - 5459 - 30.100,00</t>
  </si>
  <si>
    <t>: Foram realizadas 
cotações com três empresas 
especializadas; porém, apenas 
duas possuem disponibilidade 
para execução do serviço na 
data prevista de desligamento 
(29/03/2026). Considerando a 
proximidade da data e a 
necessidade de realização do 
serviço neste período, a 
requisição está sendo 
encaminhada em caráter de 
urgência com as duas 
empresas que possuem 
disponibilidade</t>
  </si>
  <si>
    <t>Revisão geral de motosserra STHIL MS</t>
  </si>
  <si>
    <t xml:space="preserve"> SIMPLES NACIONAL</t>
  </si>
  <si>
    <t>SERVIÇO DE TERCEIRO COM MÃO DE OBRA E MATERIAL PARA CONSERTO DE APARELHO DE SOLDA ESAB ROGUE LHN242I SN HA94621480376.</t>
  </si>
  <si>
    <t>STARTECH - 10039 - 850,00</t>
  </si>
  <si>
    <t xml:space="preserve">Descrição
INSULFILM PARA USO  NA PORTA DA RECEPÇÃO DO LABORATÓRIO QUE FOI TROCADA APÓS TER SIDO QUEBRADA.
</t>
  </si>
  <si>
    <r>
      <rPr>
        <sz val="9"/>
        <color rgb="FFFF0000"/>
        <rFont val="Calibri"/>
        <scheme val="minor"/>
      </rPr>
      <t xml:space="preserve">4411314
</t>
    </r>
    <r>
      <rPr>
        <sz val="9"/>
        <color rgb="FF000000"/>
        <rFont val="Calibri"/>
        <scheme val="minor"/>
      </rPr>
      <t>4413323</t>
    </r>
  </si>
  <si>
    <t>PHDS (USICASTRO)</t>
  </si>
  <si>
    <t>TORNO - USINAGEM DE EIXO E MONTAGEM DE BOMBA MÁQUINA DE LAVAR DO MONOBLOCO</t>
  </si>
  <si>
    <t>USICASTRO - 1265 - 3.240,00</t>
  </si>
  <si>
    <t>SERVOS REPAIR</t>
  </si>
  <si>
    <t xml:space="preserve">SERVOS REPAIR - 1185 - 1187 - 7700,00 </t>
  </si>
  <si>
    <t>TORNO - SERVIÇO DE TERCEIRO COM MÃO DE OBRA E MATERIAL PARA REFORMA DO ROTOR DO MOINHO DE MARTELOS, SENDO: TROCA DOS MARTELOS, SEPARADORES, RECUPERAÇÃO DO EIXO E BALANCEAMENTO.</t>
  </si>
  <si>
    <t>AVF - 011 - 32.796,90</t>
  </si>
  <si>
    <t>SERVIÇO DE TERCEIRO COM MÃO DE OBRA E MATERIAL PARA CONSERTO DE 02 INVERSORES DE FREQUÊNCIA LENZE 8400 3,2A.</t>
  </si>
  <si>
    <t>ATIVA PRO - 080021 - 3.662,80
ATIVA PRO - 080020 - 3.958,30</t>
  </si>
  <si>
    <t>Substituição do corrimão de aço carbono por aço inox na escadaria de acesso aos banheiros e vestiários.</t>
  </si>
  <si>
    <t xml:space="preserve">METALURGICA BALENA LTDA94946
cipriano 8791
2277 metal c </t>
  </si>
  <si>
    <t>Usinagem em furo quadrado esteira detector metais</t>
  </si>
  <si>
    <t>Startech</t>
  </si>
  <si>
    <t>SERVIÇO DE TERCEIRO COM MÃO DE OBRA E MATERIAL PARA CONSERTO DE FONTE DE ALIMENTAÇÃO SIEMENS SITOP PSU100S.</t>
  </si>
  <si>
    <r>
      <rPr>
        <sz val="9"/>
        <color rgb="FFFF0000"/>
        <rFont val="Calibri"/>
        <scheme val="minor"/>
      </rPr>
      <t xml:space="preserve">4413689
</t>
    </r>
    <r>
      <rPr>
        <sz val="9"/>
        <color rgb="FF000000"/>
        <rFont val="Calibri"/>
        <scheme val="minor"/>
      </rPr>
      <t>4419843</t>
    </r>
  </si>
  <si>
    <t>SERVIÇO DE TERCEIRO COM MÃO DE OBRA E MATERIAL PARA CONSERTO DE INVERSOR DE FREQUÊNCIA WEG CFW500.</t>
  </si>
  <si>
    <t>Usinagem em grid de selagem multivac</t>
  </si>
  <si>
    <t>Usinagem em grid de selagem multivac R145</t>
  </si>
  <si>
    <t>Usinagem de tampão do molde de selagem da Multivac</t>
  </si>
  <si>
    <t>SERVIÇO DE TERCEIRO COM MÃO DE OBRA E MATERIAL PARA CONSERTO DO CONJUNTO EXAUSTOR E BATERIA DE RESISTÊNCIAS DO SECADOR DE LUVAS DO ESPOSTEJAMENTO.</t>
  </si>
  <si>
    <t>ATIVA PRO SERVICE LTDA</t>
  </si>
  <si>
    <t>TORNO - SERVIÇO DE USINAGEM PONTEIRA E ROLO DE TRAÇÃO DO MOTOREDUTOR</t>
  </si>
  <si>
    <t>PHDS - 1262 - 1.986,00</t>
  </si>
  <si>
    <t>Serviço de mão de obra e material para realizar o conserto de 06 algemas utilizadas em nórea aérea de pernil X-ham, no espostejamento.</t>
  </si>
  <si>
    <t>VELOTANO - 495 - 4.800,00</t>
  </si>
  <si>
    <t>BRAPENTA LOMA</t>
  </si>
  <si>
    <t>SERVIÇO DE TERCEIRO COM MÃO DE OBRA TÉCNICA ESPECIALIZADA PARA ATUALIZAÇÃO DO PROGRAMA E PARAMETRIZAÇÃO DO PAINEL DE CONTROLE DO DETECTOR DE METAIS IQ3+E SN QEU55-25-59617D.</t>
  </si>
  <si>
    <t>BRAPENTA   13.553,00</t>
  </si>
  <si>
    <t>A presente solicitação de compra em caráter urgente refere-se à contratação de serviço técnico especializado para atualização do software do detector de metais, equipamento crítico no processo produtivo e diretamente relacionado à segurança dos alimentos e conformidade com os requisitos de qualidade. Atualmente, o equipamento opera com versão de software desatualizada, o que pode comprometer a sensibilidade de detecção e a estabilidade operacional.</t>
  </si>
  <si>
    <t>Fabricação e instalação da tubulação do chute para o DIF.</t>
  </si>
  <si>
    <t>METAL C - 781 - 23.500,00</t>
  </si>
  <si>
    <t>RI 57089</t>
  </si>
  <si>
    <t>PLASTIMETAL</t>
  </si>
  <si>
    <t>Mão de obra e material para instalação de 02 compressores Mycom N250 VSD 550 CV, sendo os dois em regime de -5ºC e um deles também para -15ºC,  um vaso separador conforme projeto com bomba ZM-2 para interligação com o sistema de absorção, tubulações, válvulas, controles, tudo conforme fluxograma anexado.</t>
  </si>
  <si>
    <t>PLASTIMETAL - 30 - 390.262,94</t>
  </si>
  <si>
    <t>10. NF CANCELADA</t>
  </si>
  <si>
    <t>SERVIÇO DE CONSERTO SOFT STARTER SIEMENS 3RW4434-6BC44.</t>
  </si>
  <si>
    <t>RGM - 15914 - 5.567,10</t>
  </si>
  <si>
    <t>ajs</t>
  </si>
  <si>
    <t>Conserto de alternador nfs saída 46703</t>
  </si>
  <si>
    <t>AJS</t>
  </si>
  <si>
    <t xml:space="preserve">SERVIÇO DE CONSERTO BOMBA GRUNDFOS CR5-16 A-FGJ-A-E-HQQE Q=6.9M³/H, H=119,7M
N=3520MIN.
</t>
  </si>
  <si>
    <t>FIEDLER - 411215/1 - 10.807,48</t>
  </si>
  <si>
    <r>
      <rPr>
        <sz val="9"/>
        <color rgb="FFFF0000"/>
        <rFont val="Calibri"/>
        <scheme val="minor"/>
      </rPr>
      <t xml:space="preserve">4417299
</t>
    </r>
    <r>
      <rPr>
        <sz val="9"/>
        <color rgb="FF000000"/>
        <rFont val="Calibri"/>
        <scheme val="minor"/>
      </rPr>
      <t>4429837</t>
    </r>
  </si>
  <si>
    <t>RETENLINS - 72 - 50.000,00</t>
  </si>
  <si>
    <t>RI 46451</t>
  </si>
  <si>
    <t xml:space="preserve">SERVIÇO DE CONSERTO EM BOMBA SUBMERSÍVEL SULZER 
SC925WCD0A0 / 380V / M³/H34/ 
3450RPM.
</t>
  </si>
  <si>
    <t>ATENAS - 12315 - 21.300,00</t>
  </si>
  <si>
    <t xml:space="preserve">SERVIÇO DE TERCEIRO COM MÃO DE OBRA E MATERIAL PARA SUBSTITUIÇÃO DE BASES DE TRÊS CARRINHOS DE COZIMENTO DO PADRÃO ANTIGO (RETO) PARA O PADRÃO NOVO (COM DOBRA), MEDIDAS DE CADA BASE: (L) 1000 X (P) 77,5 X (A) 111 MM, (2 BASES POR CARRINHO)
MATERIAL: CHAPAS DE INOX #3 MM. OBSERVAÇÕES: RODÍZIOS, EIXOS E CUPILHAS SERÃO REAPROVEITADOS DOS CARRINHOS EXISTENTES, SE EM BOAS CONDIÇÕES DE USO. DEMAIS PEÇAS DA ESTRUTURA TAMBÉM SERÃO REAPROVEITADAS DOS CARRINHSO EXISTENTE, SE EM BOAS CONDIÇÕES. ENTREGA EM DIAS ÚTEIS, HORÁRIO COMERCIAL E ACABAMENTO JATEADO.
</t>
  </si>
  <si>
    <t>Serviço de usinagem em eixo da esteira de saída da termoformadora 145</t>
  </si>
  <si>
    <t>VELOTANO - 499 - 315,00</t>
  </si>
  <si>
    <t>DE PAULA - 2026070103 - 71.815,00
FINISSIMA - 72 - 70.200,00
J ORTIZ - 3840 - 55.000,00</t>
  </si>
  <si>
    <t>JUSTIFICATIVA: NECESSIDADE DE SERVIÇO DE REPARO EM PISO MEDIANTE A ATENDER AUTO CONTROLE E ATIVIDADES EM A MANUTENÇÃO DOS MESMOS</t>
  </si>
  <si>
    <t>Phds</t>
  </si>
  <si>
    <t xml:space="preserve">
Usinagem da caixa Redutora da Skinner
</t>
  </si>
  <si>
    <t xml:space="preserve"> Devido desgaste no equipamento, se fez necessário enviar para realizar solda em alumínio e usinagem na peça.</t>
  </si>
  <si>
    <t>DE PAULA - 2026170201 - 73.366,50
J ORTIZ - 3839 - 62.300,00
FINISSIMA - 71 - 63.500,00</t>
  </si>
  <si>
    <t xml:space="preserve">JUSTIFICATIVA:
NECESSIDADE DE CONTRATAÇÃO URGENTE DE MÃO OBRA REFERENTE SERVIÇO DE AUTO CONTROLE COM PRAZO DE AÇÕES, PODENDO GERAR NÃO CONFORMIDADES COM O SIF
</t>
  </si>
  <si>
    <t>SERVIÇO DE TERCEIRO PARA CALIBRAÇÃO DE 12 MEDIDORES DE VAZÃO LOCALIZADOS NOS SETORES DE ETA E ETE</t>
  </si>
  <si>
    <t>GESTEC - 8.640,00
ERFLOW - 084 - 7.282,44
CHAPECALI - 797 - 11.900,00</t>
  </si>
  <si>
    <t>Trata-se de um tipo de equipamento que o laboratório interno não possui capacidade técnica de executar a calibração. Logo, faz-se necessária contratação de serviço externo. </t>
  </si>
  <si>
    <t>MATERIAL E MÃO DE OBRA PARA A ADEQUAÇÃO DA CORRENTE DE FIXAÇÃO DOS NYLONS DE 35 ESTERILIZADORES DE FACAS E CHAIRAS DO ABATE AREA LIMPA E AREA SUJA.</t>
  </si>
  <si>
    <t>8734 - cipriano  - 5.969,20
74 - bemag - 3.890,00</t>
  </si>
  <si>
    <t>Estão sendo enviados apenas 02 orçamentos pois foi enviado para orçar dia 07/02/2026 com prazo de envio dos orçamentos até dia 17/02/2026, porém foi aguardado até o dia de hoje e só foram recebidos 02 orçamentos. Como se trata de um serviço solicitado pela segurança do trabalho devido a um acidente de trabalho, temos que cumprir com o prazo e assegurar os colaboradores.</t>
  </si>
  <si>
    <t>4420633
4422529</t>
  </si>
  <si>
    <t>_</t>
  </si>
  <si>
    <t>SERVIÇO DE TERCEIRO COM MÃO DE OBRA E MATERIAL PARA SUBSTITUIÇÃO DE 11 KITS DE FILTROS DAS DATADORAS MARKEM-IMAJE</t>
  </si>
  <si>
    <t xml:space="preserve">CUR - 5525 (20%)
PRU - 2291 (20%)
SEI - 5345 (20%)
SFR - 4057 (20%)
SFT - 4600 (20%)
</t>
  </si>
  <si>
    <t>61.952 - 11.960,00
61854 - 22.940,50</t>
  </si>
  <si>
    <t>estamos enviando o serviço com a classificação 2 - COMPRA URGENTE devido à saturação de 11 kits de filtros utilizados nas datadoras Markem‑Imaje. A condição atual dos componentes compromete o desempenho operacional dos equipamentos e representa risco iminente de parada não programada, o que pode impactar diretamente a continuidade do processo produtivo. Diante disso, a reposição imediata dos kits é essencial para evitar falhas e assegurar a disponibilidade das máquinas.</t>
  </si>
  <si>
    <t>MÃO DE OBRA PARA CONSERTO DE 66 CARRETILHAS UTILIZADAS NO ABATE</t>
  </si>
  <si>
    <t>USINAGEM EIXO MOTO REDUTOR DO FLOTADOR DE LODO DA ETE ZONA</t>
  </si>
  <si>
    <t xml:space="preserve">Durante a madrugada do dia 10 uma das pás arrastadoras de lodo do flotador enroscou onde desce o lodo e continuou trabalhando, oque fez com que o redutor tivesse seu eixo entortado e suas engrenagens internas danificadas e teve de ser consertado. Porém o eixo das pás arrastadoras também teve de ser consertado devido a empenamento e desgaste gerados pelo enrosco. 
O mesmo não teve sua digitação realizada anteriormente devido ao orçamento ter sido enviado no dia 10/02 e como sai de férias dia 12/02 acabou ficando pendente a requisição em minha caixa de email.
</t>
  </si>
  <si>
    <t>USINAGEM DO EIXO DO ROTOR DA BOMBA</t>
  </si>
  <si>
    <t>Serviço foi realizado e enviado para mim no dia 17/02/26, porém era o período que eu me encontrava de férias, e o orçamento so foi enviado para mim, então por este motivo não foi realizada a digitação dentro do mesmo mês. Teve de ser um retirado devido a bomba ser de extrema importância para o correto funcionamento da máquina de lavar cestas, e a mesma não funciona sem seu conjunto de motobomba, fazendo com que o processo fique estagnado e que as cestas não sejam limpas . Segue e-mail contendo a comprovação da data de envio do orçamento.</t>
  </si>
  <si>
    <t>SERVIÇO DE TERCEIRO COM MÃO DE OBRA TÉCNICA MECÂNICA ESPECIALIZADA PARA MANUTENÇÃO (INSPEÇÃO E AJUSTES) NO TÚNEL DE CONGELAMENTO GEA. OBS.: SERÃO REALIZADAS 03 MANUTENÇÕES COM 2 TÉCNICOS ESPECIALIZADOS.</t>
  </si>
  <si>
    <t xml:space="preserve"> O fornecedor Hansen Manutenção Industrial possui know-how técnico comprovado, equipe qualificada e experiência específica em manutenção mecânica especializada de equipamentos industriais de alta complexidade, como o Túnel de Congelamento GEA. O serviço contempla mão de obra técnica mecânica especializada para manutenção preventiva e corretiva, incluindo inspeções detalhadas, ajustes mecânicos e verificação das condições operacionais do equipamento, garantindo sua confiabilidade, desempenho e segurança operacional. Ressalta-se que o Túnel de Congelamento GEA é um equipamento crítico para o processo produtivo, e sua correta manutenção é fundamental para evitar falhas inesperadas, paradas não programadas e possíveis impactos na qualidade do produto e na produtividade da planta. Estão previstas a realização de 03 manutenções, cada uma executada por 02 técnicos especializados, assegurando a correta execução dos serviços conforme as especificações técnicas do fabricante e as boas práticas de manutenção industrial. A contratação do fornecedor mencionado visa, portanto, assegurar a continuidade operacional, a confiabilidade do equipamento e a mitigação de riscos operacionais, justificando plenamente a execução do serviço conforme descrito.</t>
  </si>
  <si>
    <t>SERVIÇO DE FIXAÇÃO, CARGA E COMISSIONAMENTO DE TRÊS AR CONDICIONADOS (FORNECIDOS PELA AURORA) NO SETOR DA SAÚDE (AMBULATÓRIO).</t>
  </si>
  <si>
    <t>Justificativa apenas uma orçamento: O fornecedor é homologado pela Aurora e possui um contrato ativo dentro da unidade para realizar a manutenção e PMOC, com isto possui conhecimento do local, equipe integrada e especializada em climatizadores para o serviço solicitado.</t>
  </si>
  <si>
    <r>
      <rPr>
        <sz val="9"/>
        <color rgb="FFFF0000"/>
        <rFont val="Calibri"/>
        <scheme val="minor"/>
      </rPr>
      <t xml:space="preserve">4420376
</t>
    </r>
    <r>
      <rPr>
        <sz val="9"/>
        <color rgb="FF000000"/>
        <rFont val="Calibri"/>
        <scheme val="minor"/>
      </rPr>
      <t>4421066</t>
    </r>
  </si>
  <si>
    <t xml:space="preserve">
Usinagem de eixo esteira de Barriga, envolvendo desenhista, corte a laser, torno e fresa 
</t>
  </si>
  <si>
    <t xml:space="preserve"> Foi realizado algumas melhorias, mas nenhuma atendeu as expectativas, se fez necessário instalar o sistemas completo com eixo e motor, na esteira, deixando de dar impacto direto a produção.</t>
  </si>
  <si>
    <r>
      <rPr>
        <sz val="9"/>
        <color rgb="FFFF0000"/>
        <rFont val="Calibri"/>
        <scheme val="minor"/>
      </rPr>
      <t xml:space="preserve">4422055
4422502
</t>
    </r>
    <r>
      <rPr>
        <sz val="9"/>
        <color rgb="FF000000"/>
        <rFont val="Calibri"/>
        <scheme val="minor"/>
      </rPr>
      <t>4463184</t>
    </r>
  </si>
  <si>
    <r>
      <rPr>
        <sz val="9"/>
        <color rgb="FFFF0000"/>
        <rFont val="Calibri"/>
        <scheme val="minor"/>
      </rPr>
      <t xml:space="preserve">13/03/2026
</t>
    </r>
    <r>
      <rPr>
        <sz val="9"/>
        <color rgb="FF000000"/>
        <rFont val="Calibri"/>
        <scheme val="minor"/>
      </rPr>
      <t>20/04/2026</t>
    </r>
  </si>
  <si>
    <t xml:space="preserve">atenas </t>
  </si>
  <si>
    <t>SERVIÇO DE MÃO DE OBRA PARA MANUTENÇÃO NO SISTEMA DE COMBATE A INCÊNDIO DA UNIDADE, SUBSTITUIÇÃO DAS VÁLVULAS E BOMBA (FORNECIDOS PELA AURORA) E RECUPERAÇÃO DO CONJUNTO DE SUCÇÃO E RECALQUE.</t>
  </si>
  <si>
    <t>APENAS UM ORÇAMENTO: O FORNECEDOR É HOMOLOGADO PELA UNIDADE E POSSUI CONHECIMENTO TÉCNICO REFERENTE A SISTEMAS DE COMBATE A INCÊNDIO, DEVIDO SER UM EQUIPAMENTO CRÍTICO, DEVE SER REALIZADO O MAIS BREVE POSSÍVEL E RESTABELECERMOS AS CONDIÇÕES NORMAIS DE OPERAÇÃO.</t>
  </si>
  <si>
    <t>4420496
4421090
4427858
4430251</t>
  </si>
  <si>
    <t>Serviço de mão de obra e material para realizar o conserto de algemas utilizada em nórea aérea de pernil X-ham, no espostejamento.</t>
  </si>
  <si>
    <t>SERVIÇO DE TERCEIRO COM MÃO DE OBRA E MATERIAL PARA CONSERTO DE PLACA ELETRÔNICA DOMEL.</t>
  </si>
  <si>
    <t>INOVADOOR PORTAS INDUSTRIAIS</t>
  </si>
  <si>
    <t>SERVIÇO DE TERCEIRO COM MÃO DE OBRA E MATERIAL PARA CONSERTO DA PORTA RÁPIDA DA EXPEDIÇÃO DE TRIPAS DO BET.</t>
  </si>
  <si>
    <t xml:space="preserve">Estamos encaminhando a solicitação com apenas um orçamento, considerando que a empresa Inovadoor é a fabricante da porta, sendo, portanto, a responsável técnica pelo equipamento e a mais indicada para diagnóstico e intervenção. A aquisição está sendo classificada como 2 - COMPRA URGENTE, tendo em vista que a porta encontra-se inoperante em modo automático, possivelmente em decorrência de falha de configuração no servomotor responsável pelo acionamento de abertura e fechamento. Atualmente, o acionamento está sendo realizado de forma manual, o que compromete o controle operacional e sanitário do ambiente, gerando risco potencial de contaminação e de entrada de pragas na área.
@Cristiano Rodeghiero Moreira, para conhecimento e aprovação.
</t>
  </si>
  <si>
    <t>Material e mão de obra para serviço de abertura do piso para instalação do chute do DIF.</t>
  </si>
  <si>
    <t>J ORTIZ - 2160 - 8.760,01</t>
  </si>
  <si>
    <t>Equipare</t>
  </si>
  <si>
    <t>SERVIÇO DE TERCEIRO COM MÃO DE OBRA E MATERIAL PARA REVISÃO PREVENTIVA DO CONJUNTO DO EIXO DA PRENSA EXPELLER PEX-3000</t>
  </si>
  <si>
    <t xml:space="preserve"> Fornecedor Equipare é o fabricante original do equipamento, detentor do conhecimento técnico especializado, engenharia aplicada e histórico construtivo do ativo. A empresa possui o know-how específico, acesso a peças originais, atualizações técnicas, boletins de melhoria e procedimentos padronizados de fábrica, garantindo que a revisão seja executada conforme as especificações técnicas do projeto.</t>
  </si>
  <si>
    <t>USINAGEM CONJUNTO ACIONADOR DO PISTAO INTERNO DA PRESUNTARIA</t>
  </si>
  <si>
    <t xml:space="preserve"> Ao realizar o serviço de corretiva no dosador volumétrico, foi detectado que a falha de perda de vácuo e geração de ar na massa estava provendo do desalinhamento entre as partes do acionador do pistão dosador, o qual teve que receber usinagem do domingo de manhã para que o processo rodasse normalmente na segunda feira.</t>
  </si>
  <si>
    <t>Serviço de mão de obra e material para realizar usinagem e conserto em peças das placas de selagem da F200.</t>
  </si>
  <si>
    <t>TORNO -USINAGEM DE EIXO, VEDAÇÃO, LUVA E DO TUBO DO PICADOR VELATTI</t>
  </si>
  <si>
    <t>Após avaliação técnica, o eixo foi encaminhado para a empresa Usicastro, para realizar as etapas de usinagem necessárias, garantindo conformidade dimensional e qualidade final do conjunto, onde foi preciso montar o equipamento domingo, entregando para produção na segunda pela manhã.</t>
  </si>
  <si>
    <t>4422083
4422501</t>
  </si>
  <si>
    <t>TORNO - SERVIÇO DE TERCEIRO COM MÃO DE OBRA E MATERIAL PARA USINAGEM EM ENGRENAGEM E EIXO EM AÇO INOX E BLOCO DE ALUMÍNIO DA FECHADORA DE CAIXAS TECTAPE.</t>
  </si>
  <si>
    <t xml:space="preserve"> Serviço foi realizado através da classificação 8 - MATERIAL/ACAB/SERV RET COM NF devido a fechadora de caixas Tectape ser um equipamento crítico para a continuidade do processo, sendo responsável direta pelo fechamento e liberação das embalagens. A falha mecânica identificada na engrenagem, eixo e bloco ocasionou a parada imediata do equipamento, comprometendo a produção.</t>
  </si>
  <si>
    <t>MATERIAL E MÃO DE OBRA PÁRA SUBSTITUIÇÃO DE GUARDA CORPO DANIFICADO E APOIO DA RAMPA DE DESCARGA DE SUINOS NA RECEPÇÃO DE SUINOS</t>
  </si>
  <si>
    <t>98 - Bemag - 22.300,00
2285 - Metal C - 25.200,00
24371 - agrinox - 23.560,00</t>
  </si>
  <si>
    <t>TORNO - Usinagem de tampa Esterilizador da Pistola do Reto</t>
  </si>
  <si>
    <t>Fast</t>
  </si>
  <si>
    <t>SERVIÇO DE TERCEIRO COM MÃO DE OBRA APLICADA EM VISITA TÉCNICA PARA AVALIÇÃO E AJUSTE (PROCESSO E EQUIPAMENTOS FAST).</t>
  </si>
  <si>
    <t>Fornecedor Fast é o fabricante dos equipamentos e possui o know-how para realizar as inspeções e pontuar os ajustes necessários no sistema.</t>
  </si>
  <si>
    <t>FABRICAÇÃO E INSTALAÇÃO DE PLATAFORMA/CAVALETE PARA ACESSO AO PAINÉL DE VÁLVULAS DE AMONIA NA SALA DE MÁQUINAS</t>
  </si>
  <si>
    <t xml:space="preserve">BARBARA </t>
  </si>
  <si>
    <t>METAL C - 784 - 25.200,00</t>
  </si>
  <si>
    <t>RI 51273</t>
  </si>
  <si>
    <t>ver linha 588</t>
  </si>
  <si>
    <t>Serviço de mão de obra e material para realizar a confecção de eixo para a esteira da saída da tolva do setor de frescais.</t>
  </si>
  <si>
    <t xml:space="preserve">
O motivo do retirado é devido a urgência que se deu visto a quebra do eixo durante a semana. Tratando-se de uma esteira crucial para o funcionamento do setor, houve a necessidade de fazer o serviço de imediato.
Demora na subida do pedido foi devido a complicações que a Usicastro teve internamente com troca de responsáveis.</t>
  </si>
  <si>
    <r>
      <rPr>
        <sz val="9"/>
        <color rgb="FFFF0000"/>
        <rFont val="Calibri"/>
        <scheme val="minor"/>
      </rPr>
      <t xml:space="preserve">4423102
</t>
    </r>
    <r>
      <rPr>
        <sz val="9"/>
        <color rgb="FF000000"/>
        <rFont val="Calibri"/>
        <scheme val="minor"/>
      </rPr>
      <t>4463225</t>
    </r>
  </si>
  <si>
    <r>
      <rPr>
        <sz val="9"/>
        <color rgb="FFFF0000"/>
        <rFont val="Calibri"/>
        <scheme val="minor"/>
      </rPr>
      <t xml:space="preserve">16/03/2026
</t>
    </r>
    <r>
      <rPr>
        <sz val="9"/>
        <color rgb="FF000000"/>
        <rFont val="Calibri"/>
        <scheme val="minor"/>
      </rPr>
      <t>20/04/2026</t>
    </r>
  </si>
  <si>
    <t>Serviço de mão de obra e material para realizar o conserto em engrenagem do módulo 04 da máquina de tripas.</t>
  </si>
  <si>
    <t>O motivo do retirado é devido a urgência que se deu no final de semana, não havendo tempo hábil para realizar a abertura do pedido. A ausência da engrenagem interrompe o funcionamento correto do equipamento.
Demora na subida do pedido foi devido a complicações que a Usicastro teve internamente com troca de responsáveis.</t>
  </si>
  <si>
    <t xml:space="preserve">
TORNO - USINAGEM DE EIXO, VEDAÇÃO, LUVA E DO TUBO DO PICADOR VELATTI
</t>
  </si>
  <si>
    <t>SERVIÇO DE TERCEIRO COM MÃO DE OBRA E MATERIAL PARA USINAGEM DE 02 CONJUNTOS COMPLETOS DE FACAS E EMBÔLOS PARA OS DISPOSITIVOS VOLUMÉTRICOS DE DOSAGEM DA PRESUNTARIA.</t>
  </si>
  <si>
    <t>ADITIVO PARA INSTALAÇÃO DO PAINEL QTA DO GERADOR DE ENERGIA DO ADM REFERENTE AO PEDIDO DE COMPRA 4348203.</t>
  </si>
  <si>
    <t>STEMAC - 20833310 - 6.988,64</t>
  </si>
  <si>
    <t xml:space="preserve">O aditivo se faz necessária em função da mudança de escopo operacional. Inicialmente, o comissionamento do painel de transferência estava previsto para execução em horário comercial, durante dia útil. Contudo, após reavaliação técnica e análise da disponibilidade operacional da planta, identificou-se inviabilidade de execução nesse período, considerando os impactos produtivos e restrições de parada.
Dessa forma, a atividade será reprogramada para horário extraordinário (final de semana), aproveitando a janela de desligamento de energia programada para o dia 29/03, garantindo maior segurança operacional e mitigação de riscos à continuidade do processo produtivo
</t>
  </si>
  <si>
    <t>4424014 (aditivo)</t>
  </si>
  <si>
    <t>Revisão preventiva 
Cabines elétricas de média e 
baixa tensão NR10</t>
  </si>
  <si>
    <t>A1 SERVICE - 8549 - 114.530,00
ENGELPRO  -  1152 - 191.943,03
DPM - 51.600,00</t>
  </si>
  <si>
    <t>torno - serviço de mão de obra e material para realizar usinagem em polia utilizada no motor da nórea de derrubada do mezanino.</t>
  </si>
  <si>
    <t>O motivo do retirado é devido ao fato de que a polia em questão estava com sua furação gasta, gerando uma folga no conjunto e tornando inviável seu funcionamento para o dia seguinte. Tratando-se de um equipamento crucial para o funcionamento da sala de cortes, houve a necessidade de fazer o serviço emergencial.</t>
  </si>
  <si>
    <t>G-Tech</t>
  </si>
  <si>
    <t>SERVIÇO DE TERCEIRO COM MÃO DE OBRA ESPECIALIZADA PARA INSPEÇÃO TÉCNICA PREVENTIVA DO DESUMIDIFICADOR G-TECH G-DRY 3000.</t>
  </si>
  <si>
    <t>O fornecedor G‑Tech foi selecionado para a execução do serviço por ser o fabricante do Desumidificador G‑TECH G‑DRY 3000 e, portanto, detentor exclusivo do conhecimento técnico, especificações de projeto e diretrizes de manutenção recomendadas para o equipamento.</t>
  </si>
  <si>
    <r>
      <rPr>
        <sz val="9"/>
        <color rgb="FFFF0000"/>
        <rFont val="Calibri"/>
        <scheme val="minor"/>
      </rPr>
      <t xml:space="preserve">41
</t>
    </r>
    <r>
      <rPr>
        <sz val="9"/>
        <color rgb="FF000000"/>
        <rFont val="Calibri"/>
        <scheme val="minor"/>
      </rPr>
      <t>45</t>
    </r>
  </si>
  <si>
    <r>
      <rPr>
        <sz val="9"/>
        <color rgb="FFFF0000"/>
        <rFont val="Calibri"/>
        <scheme val="minor"/>
      </rPr>
      <t xml:space="preserve">17/04/2026
</t>
    </r>
    <r>
      <rPr>
        <sz val="9"/>
        <color rgb="FF000000"/>
        <rFont val="Calibri"/>
        <scheme val="minor"/>
      </rPr>
      <t>30/04/2026</t>
    </r>
  </si>
  <si>
    <t>HAMTECH</t>
  </si>
  <si>
    <t>Serviço de assistência técnica para as máquinas da Inox Meccanica</t>
  </si>
  <si>
    <t>HAMTECH - 20261 - 6118,71</t>
  </si>
  <si>
    <t>Serviço de assistência técnica para as máquinas da Inox Meccanica, em contato com o @Alex Sandro de Jesus Dos Passos, o mesmo decidiu por chamar o técnico para avaliação dos equipamentos.</t>
  </si>
  <si>
    <t xml:space="preserve">4424628
4427843
</t>
  </si>
  <si>
    <t>isoblock</t>
  </si>
  <si>
    <t>OBRA - SUBSTITUIÇÃO PORTA DE SAÍDA DA CÂMARA DE MATÉRIA PRIMA - FAC</t>
  </si>
  <si>
    <t>nota 210255</t>
  </si>
  <si>
    <t>4383638
4532526</t>
  </si>
  <si>
    <t>Atenas</t>
  </si>
  <si>
    <t xml:space="preserve">SERVIÇO DE RECUPERAÇÃO DE BOMBA COMPLETOMANUTENÇÃO EM MOTOR DE 30 CV, COM OS 
SERVICOS DE:
- DESMOTAGEM;
- LIMPEZA E BANHO DE DECAPAGEM;
- ANALISE DE TROCA DE PECAS;
- BALANECAMENTO DO INDUZIDO;
- FABRICACAO DA PONTA DO EIXO;
- EMBUXAMENTO DA TAMPA TRASEIRA DO
MOTOR;
- JOGO DE ROLAMENTOS;
- JOGO DE V'RING;
- MONTAGEM;
- TESTES;
- PINTURA. 
</t>
  </si>
  <si>
    <t>SERVIÇO DE TERCEIRO COM MÃO DE OBRA E MATERIAL PARA USINAGEM NO ROTOR DA MOTOBOMBA DA MÁQUINA DE LAVAR CESTAS BRANCAS KUCMAQ DO LBM.</t>
  </si>
  <si>
    <t xml:space="preserve"> O serviço foi executado sob a classificação 8 – MATERIAL/ACAB/SERV RET COM NF, em razão da constatação de dano no rotor da motobomba responsável pela lavagem das cestas brancas. A falha ocasionou a paralisação do equipamento, comprometendo o processo de higienização das cestas utilizadas no setor de espostejamento. Considerando o impacto direto na rotina operacional e nos padrões de limpeza exigidos, tornou-se necessária a realização imediata do serviço para restabelecimento das condições adequadas de funcionamento do sistema.</t>
  </si>
  <si>
    <t>TORNO -SERVIÇO DE USINAGEM PARA ABERTURA DE FURO E REALIZAÇÃO DE CANAL DE CHAVETA EM 1 PAR DE ENGRENAGENS</t>
  </si>
  <si>
    <t>PHDS - 1272 - 920,00</t>
  </si>
  <si>
    <t xml:space="preserve">Realização de abertura de furo e usinagem de canal de chaveta em engrenagens de acionamento do classificador do sistema de alimentação de cavaco das caldeiras de 8T e 15T. O serviço foi executado em caráter de urgência para viabilizar a substituição do conjunto de engrenagens, visto que as engrenagens anteriormente instaladas apresentavam elevado nível de desgaste.
Diante dessa condição, a substituição tornou-se necessária para evitar falhas no equipamento e possíveis impactos na continuidade operacional do sistema de alimentação de cavaco das caldeiras.
</t>
  </si>
  <si>
    <t>J Ortiz Construtora</t>
  </si>
  <si>
    <t>REALIZAR REPAROS EM DIVERSOS PONTOS DE RODAPÉS BATIDOS E PONTOS QUE ESTÃO DESCASCANDO URETANO DO PISO. REPARO EM PONTOS DE RODAPÉ DA FRESCAL, PRESUNTARIA CONFORME PLANO DE AÇÕES DA AUDITORIA DA CERATTI E RODAPÉS DO RECEBIMENTO DE MATÉRIA PRIMA. REPARO NOS PISOS DAS ENTRADAS E SAÍDAS DO DEFUMADOS NOS FINAIS DE SEMANA E DOMINGO.</t>
  </si>
  <si>
    <t>25% 2291 25% 2470 25% 4057 25% 2224</t>
  </si>
  <si>
    <t>Justificativa de apenas um orçamento: Necessidade de realizar reparos com produto uretano com equipe especializada em aplicação de revestimento. Necessidade de contratação de empresa para manutenção de pontos auditados conforme plano de ação da Ceratti, com prazo curto para correção, sendo viável contratação o mais breve possível para atendimento do plano.</t>
  </si>
  <si>
    <t>2603 IP - MATERIAL E MÃO DE OBRA PARA A ADEQUAÇÃO DA CORRENTE DE FIXAÇÃO DOS NYLONS DE 35 ESTERILIZADORES DE FACAS E CHAIRAS DO ABATE AREA LIMPA E AREA SUJA.</t>
  </si>
  <si>
    <t>8734 - Cipriano - 5.969,20
74 - Bemag - 3.890,00</t>
  </si>
  <si>
    <t>: Estão sendo enviados apenas 02 orçamentos pois foi enviado para orçar dia 07/02/2026 com prazo de envio dos orçamentos até dia 17/02/2026, porém foi aguardado até o dia de hoje e só foram recebidos 02 orçamentos. Como se trata de um serviço solicitado pela segurança do trabalho devido a um acidente de trabalho, temos que cumprir com o prazo e assegurar os colaboradores.</t>
  </si>
  <si>
    <t>USINAGEM EM RODA GUIA DO ELEVADOR MONOBLOCO</t>
  </si>
  <si>
    <t>Volt Eletrônica</t>
  </si>
  <si>
    <t xml:space="preserve">SERVIÇO DE CONSERTO ELETRÔNICO-3RW4028-1BB14 - SOFT STARTER SIEMENS SIRIUS 3RW4028 38 A 
LBM-CA:2470 USO:242.
</t>
  </si>
  <si>
    <t>montsouza</t>
  </si>
  <si>
    <t>SERVIÇO DE TRANSPORTE DE MATERIAIS, PLATAFORMAS ELEVATÓRIAS, VIGAS E ESTRUTURAS METÁLICAS PARA O ABATE.</t>
  </si>
  <si>
    <t>Justificativa retirado: Como havia diversas frentes de serviço e manutenção em andamento na unidade, foi necessário acionar um munck da empresa Mountsouza (sem contrato), pois os dois muncks da empresa J. Ortiz (contrato) já estavam em utilização e a empresa Munkart (contrato) não tinha disponibilidade para atendimento durante o final de semana.</t>
  </si>
  <si>
    <t>SERVIÇO DE TERCEIRO COM MÃO DE OBRA E MATERIAL PARA CONSERTO DE INVERSOR DE FREQUENCIA 4,2A SEW EURODRIVE.</t>
  </si>
  <si>
    <t>SERVIÇO DE TERCEIRO COM MÃO DE OBRA E MATERIAL PARA CONSERTO DE INVERSOR DE FREQUENCIA F5 7,6A KEB.</t>
  </si>
  <si>
    <t>SERVIÇO DE TERCEIRO COM MÃO DE OBRA E MATERIAL PARA CONSERTO DE TECLADO ELETRÔNICO.</t>
  </si>
  <si>
    <t>PROMAQ</t>
  </si>
  <si>
    <t>Alterações e ampliações das instalações elétricas no setor do DIF da unidade de Castro.</t>
  </si>
  <si>
    <t xml:space="preserve">Usinagem de polia sanfonamento em aço inox 304 
Usinagem de polia de sanfonamento em alumínio 
Usinagem em polia sincronizadora em aço inox </t>
  </si>
  <si>
    <t xml:space="preserve">: Ao realizar a revisão no domingo das rebobinadeiras de tripas do setor da frescal, foram encontradas varias polias com desgaste, tanto as polias dos motores quanto as polias que tracionam o eixo do rolinho da máquina, então teve de ser enviada para conserto e retornada no mesmo dia, caso contrário não seria possível a realização das atividades de produção no dia seguinte, segunda feria.
Serviço foi realizado e enviado para mim no dia 19/02/26, porém era o período que eu me encontrava de férias, e orçamento só foi enviado para mim, então por este motivo não foi realizada a digitação dentro do mesmo mês. Segue e-mail contendo a comprovação da data de envio do orçamento.
</t>
  </si>
  <si>
    <t>USINAGEM DE POLIA SINCRONIZADA SANFONAMENTO E USINAGEM DE EIXOS DO REDUTOR / USINAGEM DE 8 PARAFUSO INOX CONFORME MODELO PARA PLACA F 200 / USINAGEM DE PLACA F 200 E (ROSCA POSTIÇA)</t>
  </si>
  <si>
    <t>Ao realizar a desmontagem das rebobinadeiras de tripas do frescal, para revisão preventiva devido ao grande número de falhas que haviam apresentando, foi constatado um desgaste prejudicial ao funcionamento da máquina. Esta intervenção ocorreu no domingo, único dia que o setor fica parado para este tipo de manutenção, e como o processo precisava funcionar normalmente na segunda, foi enviado com urgência para retorno no mesmo dia, gerando assim um retirado.</t>
  </si>
  <si>
    <t>METAL C - 2341 - 66560,00
USICASTRO - 174 - 78.840,00
BALENA - 96145 - 111.312,00</t>
  </si>
  <si>
    <t>Fornecimento de material e mão de obra para execução de pontos de utilidades conforme visto in loco</t>
  </si>
  <si>
    <t>ESTRELA</t>
  </si>
  <si>
    <t>Fornecimento de material e mão de obra para: adequação de trilhagem do DIF e câmara de sequestro; plataformas de trabalho; bandejas de vísceras; reposicionamento de balanças; lavatório de mão; esteiras para transporte de condena até chute. Todas alterações foram apresentadas mediante projeto e devem seguir exatamente como exposto no projeto.</t>
  </si>
  <si>
    <t>CONSTRUTORA PLENA</t>
  </si>
  <si>
    <t>Material, mão de obra e equipamentos necessários para realização do serviço de alteração do DIF da unidade na parada programada nos dias 19/03 a 22/03</t>
  </si>
  <si>
    <t>SERVIÇO DE ATENDIMENTO TÉCNICO EMERGENCIAL ATLAS COPCO.</t>
  </si>
  <si>
    <t>ATLAS COPCO - 161781919-  9.661,70</t>
  </si>
  <si>
    <t>O compressor de ar GA55 VSD FF175, nº de série BQD0102610, da indústria, apresentou falha no inversor. Não foi possível solucionar o problema com a manutenção interna, sendo necessário acionar o técnico da Atlas Copco para avaliação e reparo, a fim de garantir a continuidade operacional do equipamento.</t>
  </si>
  <si>
    <t>Retrofit do 
comando das esteiras de 
recebimento de matéria 
prima da indústria,
passagem de 200 mts de 
cabos que faltaram, foram 
necessários para retirada
cabos com emenda 
instalados provisoriamente</t>
  </si>
  <si>
    <t>gp da luz - nf 509 - 3704,00</t>
  </si>
  <si>
    <t>TORNO - SERVIÇO DE USINAGEM E REFORMA EM ROSCA HELICOIDAL.</t>
  </si>
  <si>
    <t>USICASTRO - 1037 - 6977,00</t>
  </si>
  <si>
    <t>JUSTIFICATIVA: Rosca helicoidal da caldeira de 8T com desgaste excessivo, enviado para substituição dos helicoides e usinagem da ponteira.</t>
  </si>
  <si>
    <t>TORNO - SERVIÇO DE USINAGEM ACOPLAMENTOS BOMBA DA COLUNA ABSORÇÃO.</t>
  </si>
  <si>
    <t>PHDS - 1366 - 1.720,00</t>
  </si>
  <si>
    <r>
      <rPr>
        <sz val="9"/>
        <color rgb="FFFF0000"/>
        <rFont val="Calibri"/>
        <scheme val="minor"/>
      </rPr>
      <t xml:space="preserve">112540
</t>
    </r>
    <r>
      <rPr>
        <sz val="9"/>
        <color rgb="FF000000"/>
        <rFont val="Calibri"/>
        <scheme val="minor"/>
      </rPr>
      <t>112503</t>
    </r>
  </si>
  <si>
    <t>JUSTIFICATIVA: Foi necessário usinar acoplamento da bomba da coluna de absorção, equipamento crítico para o processo, pois sem ele não é possível operar a absorção.</t>
  </si>
  <si>
    <r>
      <rPr>
        <sz val="9"/>
        <color rgb="FFFF0000"/>
        <rFont val="Calibri"/>
        <scheme val="minor"/>
      </rPr>
      <t xml:space="preserve">4437983
4474836
</t>
    </r>
    <r>
      <rPr>
        <sz val="9"/>
        <color rgb="FF000000"/>
        <rFont val="Calibri"/>
        <scheme val="minor"/>
      </rPr>
      <t>4575121</t>
    </r>
  </si>
  <si>
    <r>
      <rPr>
        <sz val="9"/>
        <color rgb="FFFF0000"/>
        <rFont val="Calibri"/>
        <scheme val="minor"/>
      </rPr>
      <t xml:space="preserve">920
</t>
    </r>
    <r>
      <rPr>
        <sz val="9"/>
        <color rgb="FF000000"/>
        <rFont val="Calibri"/>
        <scheme val="minor"/>
      </rPr>
      <t xml:space="preserve">997
</t>
    </r>
  </si>
  <si>
    <t>TORNO - SERVIÇO DE USINAGEM EM ROSCA HELICOIDAL.</t>
  </si>
  <si>
    <t>PHDS - 1359 - 5.265,00</t>
  </si>
  <si>
    <r>
      <rPr>
        <sz val="9"/>
        <color rgb="FFFF0000"/>
        <rFont val="Calibri"/>
        <scheme val="minor"/>
      </rPr>
      <t xml:space="preserve">112503
</t>
    </r>
    <r>
      <rPr>
        <sz val="9"/>
        <color rgb="FF000000"/>
        <rFont val="Calibri"/>
        <scheme val="minor"/>
      </rPr>
      <t>121743</t>
    </r>
  </si>
  <si>
    <t>JUSTIFICATIVA: A rosca de cinza do filtro multiciclone, após a desmontagem, apresentou desgaste acentuado nos helicoides, sendo necessária a substituição emergencial para dar sequência à montagem</t>
  </si>
  <si>
    <r>
      <rPr>
        <sz val="9"/>
        <color rgb="FFFF0000"/>
        <rFont val="Calibri"/>
        <scheme val="minor"/>
      </rPr>
      <t xml:space="preserve">4437993
</t>
    </r>
    <r>
      <rPr>
        <sz val="9"/>
        <color rgb="FF000000"/>
        <rFont val="Calibri"/>
        <scheme val="minor"/>
      </rPr>
      <t>4474832</t>
    </r>
  </si>
  <si>
    <r>
      <rPr>
        <sz val="9"/>
        <color rgb="FFFF0000"/>
        <rFont val="Calibri"/>
        <scheme val="minor"/>
      </rPr>
      <t xml:space="preserve">4552252
</t>
    </r>
    <r>
      <rPr>
        <sz val="9"/>
        <color rgb="FF000000"/>
        <rFont val="Calibri"/>
        <scheme val="minor"/>
      </rPr>
      <t>4575120</t>
    </r>
  </si>
  <si>
    <r>
      <rPr>
        <sz val="9"/>
        <color rgb="FFFF0000"/>
        <rFont val="Calibri"/>
        <scheme val="minor"/>
      </rPr>
      <t xml:space="preserve">921
</t>
    </r>
    <r>
      <rPr>
        <sz val="9"/>
        <color rgb="FF000000"/>
        <rFont val="Calibri"/>
        <scheme val="minor"/>
      </rPr>
      <t>998</t>
    </r>
  </si>
  <si>
    <r>
      <rPr>
        <sz val="9"/>
        <color rgb="FFFF0000"/>
        <rFont val="Calibri"/>
        <scheme val="minor"/>
      </rPr>
      <t xml:space="preserve">09/04/2026
</t>
    </r>
    <r>
      <rPr>
        <sz val="9"/>
        <color rgb="FF000000"/>
        <rFont val="Calibri"/>
        <scheme val="minor"/>
      </rPr>
      <t>27/04/26</t>
    </r>
  </si>
  <si>
    <t xml:space="preserve">Usinagem em espigão VC999
Referente a NFsa: 48211
Pedido:13338
</t>
  </si>
  <si>
    <t>USINAGEM DE BLOCO EM AÇO INOX CONF.AMOSTRA(SELADORA MONTEMIL)</t>
  </si>
  <si>
    <t>O corporativo solicitou que fosse aumentado a parte da mordaça e o primeiro estágio do túnel, para isso teve de ser usinado o calço da mordaça para que atingisse a altura necessária solicitada pelo pessoal do P e D. Dessa forma foi desmontada no fim de semana e enviada a peça para usinagem, para que retornasse no domingo e o processo pudesse ocorrer normalmente no dia seguinte</t>
  </si>
  <si>
    <r>
      <rPr>
        <sz val="9"/>
        <color rgb="FFFF0000"/>
        <rFont val="Calibri"/>
        <scheme val="minor"/>
      </rPr>
      <t xml:space="preserve">922
</t>
    </r>
    <r>
      <rPr>
        <sz val="9"/>
        <color rgb="FF000000"/>
        <rFont val="Calibri"/>
        <scheme val="minor"/>
      </rPr>
      <t>993</t>
    </r>
  </si>
  <si>
    <r>
      <rPr>
        <sz val="9"/>
        <color rgb="FFFF0000"/>
        <rFont val="Calibri"/>
        <scheme val="minor"/>
      </rPr>
      <t xml:space="preserve">09/04/2026
</t>
    </r>
    <r>
      <rPr>
        <sz val="9"/>
        <color rgb="FF000000"/>
        <rFont val="Calibri"/>
        <scheme val="minor"/>
      </rPr>
      <t>27/04/2026</t>
    </r>
  </si>
  <si>
    <r>
      <rPr>
        <sz val="9"/>
        <color rgb="FFFF0000"/>
        <rFont val="Calibri"/>
        <scheme val="minor"/>
      </rPr>
      <t xml:space="preserve">13/04/2026
</t>
    </r>
    <r>
      <rPr>
        <sz val="9"/>
        <color rgb="FF000000"/>
        <rFont val="Calibri"/>
        <scheme val="minor"/>
      </rPr>
      <t>29/04/2026</t>
    </r>
  </si>
  <si>
    <t>Serviço de mão de obra e material para realizar usinagem em eixos e buchas na finalização da revisão em misturadeira Montemil, utilizado no preparo de massas dos cozidos.</t>
  </si>
  <si>
    <t>O motivo do retirado é devido ao fato de que, na abertura do equipamento, foi constatado que os eixos estavam com canais/desgaste, permitindo a passagem de massa e água para fora do equipamento. Tratando-se de um equipamento importante para o setor, não haveria tempo hábil para abertura de um pedido de compra.</t>
  </si>
  <si>
    <r>
      <rPr>
        <sz val="9"/>
        <color rgb="FFFF0000"/>
        <rFont val="Calibri"/>
        <scheme val="minor"/>
      </rPr>
      <t xml:space="preserve">4438609
</t>
    </r>
    <r>
      <rPr>
        <sz val="9"/>
        <color rgb="FF000000"/>
        <rFont val="Calibri"/>
        <scheme val="minor"/>
      </rPr>
      <t>4474827</t>
    </r>
  </si>
  <si>
    <r>
      <rPr>
        <sz val="9"/>
        <color rgb="FFFF0000"/>
        <rFont val="Calibri"/>
        <scheme val="minor"/>
      </rPr>
      <t xml:space="preserve">919
</t>
    </r>
    <r>
      <rPr>
        <sz val="9"/>
        <color rgb="FF000000"/>
        <rFont val="Calibri"/>
        <scheme val="minor"/>
      </rPr>
      <t>995</t>
    </r>
  </si>
  <si>
    <r>
      <rPr>
        <sz val="9"/>
        <color rgb="FFFF0000"/>
        <rFont val="Calibri"/>
        <scheme val="minor"/>
      </rPr>
      <t xml:space="preserve">09/04/2006
</t>
    </r>
    <r>
      <rPr>
        <sz val="9"/>
        <color rgb="FF000000"/>
        <rFont val="Calibri"/>
        <scheme val="minor"/>
      </rPr>
      <t>27/04/2026</t>
    </r>
  </si>
  <si>
    <t>SERVIÇO DE TERCEIRO COM MÃO DE OBRA E MATERIAL PARA CONSERTO DE 2 IHM HANDTMANN.</t>
  </si>
  <si>
    <t xml:space="preserve">80042 - 7.859,40
80041 -  7.845,20
</t>
  </si>
  <si>
    <t>SERVIÇO DE TERCEIRO COM MÃO DE OBRA E MATERIAL PARA CONSERTO DE IHM ALLEN-BRADLEY PANEL VIEW PLUS 700.</t>
  </si>
  <si>
    <t>SERVIÇO DE TERCEIRO COM MÃO DE OBRA E MATERIAL PARA CONSERTO DE SERVO DRIVE AC24A10S03.00 ACD.</t>
  </si>
  <si>
    <t>Usicatro</t>
  </si>
  <si>
    <t>USINAGEM DE EIXO MAQUINA DE AFIAR FACA.</t>
  </si>
  <si>
    <r>
      <rPr>
        <sz val="9"/>
        <color rgb="FFFF0000"/>
        <rFont val="Calibri"/>
        <scheme val="minor"/>
      </rPr>
      <t xml:space="preserve">112316
</t>
    </r>
    <r>
      <rPr>
        <sz val="9"/>
        <color rgb="FF000000"/>
        <rFont val="Calibri"/>
        <scheme val="minor"/>
      </rPr>
      <t>121722</t>
    </r>
  </si>
  <si>
    <t>a execução do serviço foi realizada por empresa terceira, em virtude da indisponibilidade de material adequado em nosso estoque para a confecção do componente.
Ressaltamos ainda que a produção demandava urgência na reposição da peça, não sendo possível aguardar aquisição interna de insumos.</t>
  </si>
  <si>
    <r>
      <rPr>
        <sz val="9"/>
        <color rgb="FFFF0000"/>
        <rFont val="Calibri"/>
        <scheme val="minor"/>
      </rPr>
      <t xml:space="preserve">4438637
</t>
    </r>
    <r>
      <rPr>
        <sz val="9"/>
        <color rgb="FF000000"/>
        <rFont val="Calibri"/>
        <scheme val="minor"/>
      </rPr>
      <t xml:space="preserve">4474738 </t>
    </r>
  </si>
  <si>
    <r>
      <rPr>
        <sz val="9"/>
        <color rgb="FFFF0000"/>
        <rFont val="Calibri"/>
        <scheme val="minor"/>
      </rPr>
      <t xml:space="preserve">918
</t>
    </r>
    <r>
      <rPr>
        <sz val="9"/>
        <color rgb="FF000000"/>
        <rFont val="Calibri"/>
        <scheme val="minor"/>
      </rPr>
      <t>994</t>
    </r>
  </si>
  <si>
    <t xml:space="preserve">MANNES </t>
  </si>
  <si>
    <t>CONSERTO DE CABECOTE DE BOMBA ESTACIONARIA HIG-CA:2437 USO:242.</t>
  </si>
  <si>
    <t>BALENA 
METAL C 
CIPRIANO</t>
  </si>
  <si>
    <t>SERVIÇOS DE MECÂNICA  PARA REPOSICIONAMENTO DE PIAS E ESTERILIZADORES, SOLDA DE CANTONEIRAS PARA ADEQUAR SUPORTES DE CONTENTORES, REBAIXAMENTO DE PLATAFORMAS , ADEQUAÇÃO DA ESTRUTURA  E ALTURAS DE TRABALHO DE ESTEIRAS, CONFECÇÃO E AJUSTE DE TUBULAÇÃO E CALHA DE CONDUÇÃO DE CONDENA. INSTALAÇÃO DE PONTO DE AR PARA DESCOURADEIRA DO DIF, FABRICAÇÃO E INSTALAÇÃO DE SUPORTE PARA BACIAS PLASTICAS PARA IF . ATIVIDADES A SEREM EXECUTADAS DENTRO DA UNIDADE EM FINAIS DE SEMANA.</t>
  </si>
  <si>
    <t>96492
2348
8809</t>
  </si>
  <si>
    <t>BECKERS</t>
  </si>
  <si>
    <t>SERVIÇO DE CONSERTO VENTILADORES WEG 3CV.</t>
  </si>
  <si>
    <t>BECKERS - BK112-02-26 - 32.659,95</t>
  </si>
  <si>
    <t xml:space="preserve"> SERVIÇO DE MÃO DE OBRA E MATERIAL PARA CALIBRAÇÃO DE EQUIPAMENTOS DE AUDIOLOGIA IN LOCO</t>
  </si>
  <si>
    <t>MASTER - 1.950,00</t>
  </si>
  <si>
    <t>SERVIÇO DE TERCEIRO PARA MANUTENÇÃO DE EIXO (ROSCA INTERNA) DE CENTRÍFUGA DECANTER DC MARTE 3</t>
  </si>
  <si>
    <t>FAST - 517.26
 - 6.800,00</t>
  </si>
  <si>
    <t xml:space="preserve">Durante os dias 19 a 22 de Março foram realizadas manutenções preventivas nas máquinas FAST e foi constatada uma falha crítica no eixo do sistema de transporte da CENTRÍFUGA DECANTER DC MARTE 3 sendo necessário o envio do eixo junto com o técnico para manutenção.
O serviço é urgente pois sem esse eixo a máquina continuará inoperante e é preciso retomar o funcionamento correto o mais rápido possível. 
Em anexo apenas um orçamento pois o serviço só pode ser executado pelo fabricante da máquina. </t>
  </si>
  <si>
    <t>Ok</t>
  </si>
  <si>
    <t>SERVIÇO DE MANUTENÇÃO VALVULA DE CONTROLE DN40.</t>
  </si>
  <si>
    <t>STEAMPRIME - 12136 - 2980,00</t>
  </si>
  <si>
    <r>
      <rPr>
        <sz val="9"/>
        <color rgb="FFFF0000"/>
        <rFont val="Calibri"/>
        <scheme val="minor"/>
      </rPr>
      <t xml:space="preserve">4444778
</t>
    </r>
    <r>
      <rPr>
        <sz val="9"/>
        <color rgb="FF000000"/>
        <rFont val="Calibri"/>
        <scheme val="minor"/>
      </rPr>
      <t>4445246</t>
    </r>
  </si>
  <si>
    <t>SERVIÇO DE MANUTENÇÃO NO SECADOR DE AR DO COMPRESSOR ATLAS COPCO GA55VSD AFF / Nº SÉRIE BQD102610.</t>
  </si>
  <si>
    <t>ATLAS COPCO - 190848882 - 25.614,00</t>
  </si>
  <si>
    <t xml:space="preserve">-Compressor de ar está com o secador de ar sem funcionamento, sendo necessário o reestabelecimento operacional do mesmo, conforme relatório de visita elaborado pelo técnico da Atlas Copco. 
Utilizado um único orçamento devido ao fornecedor ser o fabricante do equipamento.
</t>
  </si>
  <si>
    <t>3. RC - AGUARDANDO APROVAÇÃO CRISTIANO</t>
  </si>
  <si>
    <t>TORNO - SERVIÇO DE USINAGEM EM ACOPLAMENTO.</t>
  </si>
  <si>
    <t>USICASTRO - 1387 - 825,00</t>
  </si>
  <si>
    <r>
      <rPr>
        <sz val="9"/>
        <color rgb="FFFF0000"/>
        <rFont val="Calibri"/>
        <scheme val="minor"/>
      </rPr>
      <t xml:space="preserve">933
</t>
    </r>
    <r>
      <rPr>
        <sz val="9"/>
        <color rgb="FF000000"/>
        <rFont val="Calibri"/>
        <scheme val="minor"/>
      </rPr>
      <t xml:space="preserve">956 </t>
    </r>
  </si>
  <si>
    <r>
      <rPr>
        <sz val="9"/>
        <color rgb="FFFF0000"/>
        <rFont val="Calibri"/>
        <scheme val="minor"/>
      </rPr>
      <t xml:space="preserve">13/04/2026
</t>
    </r>
    <r>
      <rPr>
        <sz val="9"/>
        <color rgb="FF000000"/>
        <rFont val="Calibri"/>
        <scheme val="minor"/>
      </rPr>
      <t>17/04/2026</t>
    </r>
  </si>
  <si>
    <t>Usinagem de mordaça motomil</t>
  </si>
  <si>
    <t xml:space="preserve">: Devido a ajustes solicitados pelo PeD para aumentar a altura da mordaça, foi desmontada e adequada a altura, porém ao retirar a mordaça foi detectado que as fixações da mesma estavam com sua base danificada e com muita folga, teve de ser usinada para atender os padrões solicitados. A alteração da mesma foi um sucesso! </t>
  </si>
  <si>
    <r>
      <rPr>
        <sz val="9"/>
        <color rgb="FFFF0000"/>
        <rFont val="Calibri"/>
        <scheme val="minor"/>
      </rPr>
      <t xml:space="preserve">931
</t>
    </r>
    <r>
      <rPr>
        <sz val="9"/>
        <color rgb="FF000000"/>
        <rFont val="Calibri"/>
        <scheme val="minor"/>
      </rPr>
      <t>955</t>
    </r>
  </si>
  <si>
    <t>Serviço de mão de obra e material para realizar usinagem e balanceamento em eixo e rotor de bomba injetora de salmoura do bacon, no defumados.</t>
  </si>
  <si>
    <t>O motivo do emergencial com único orçamento se deu devido ao fato de que, durante a manutenção, foi verificado seu empenamento e desgaste. Tratando-se de um equipamento que estava ocasionando muita perda de condimentos, além de não possuirmos material sobressalente para substituição imediata, fez-se necessário o serviço emergencial</t>
  </si>
  <si>
    <r>
      <rPr>
        <sz val="9"/>
        <color rgb="FFFF0000"/>
        <rFont val="Calibri"/>
        <scheme val="minor"/>
      </rPr>
      <t xml:space="preserve">930
</t>
    </r>
    <r>
      <rPr>
        <sz val="9"/>
        <color rgb="FF000000"/>
        <rFont val="Calibri"/>
        <scheme val="minor"/>
      </rPr>
      <t>954</t>
    </r>
  </si>
  <si>
    <r>
      <rPr>
        <sz val="9"/>
        <color rgb="FFFF0000"/>
        <rFont val="Calibri"/>
        <scheme val="minor"/>
      </rPr>
      <t xml:space="preserve">13/04/2026
</t>
    </r>
    <r>
      <rPr>
        <sz val="9"/>
        <color rgb="FF000000"/>
        <rFont val="Calibri"/>
        <scheme val="minor"/>
      </rPr>
      <t>20/04/2026</t>
    </r>
  </si>
  <si>
    <t xml:space="preserve">- Recuperação de molde em alumínio aeronáutico com inserção de placa para executar a 
pre-solda e a aplicação de teflonagem. 
SEI-CA:5345 USO:242.
</t>
  </si>
  <si>
    <t>Recuperação molde em alumínio aeronáutico para solda com uma face teflonada
 *Essa contém a pré-solda. F200 SEI-CA:5345 USO:242</t>
  </si>
  <si>
    <t>Usinagem de bucha mancal LBM em aço inox LBM-CA:2470 USO:242</t>
  </si>
  <si>
    <t xml:space="preserve">Velotano </t>
  </si>
  <si>
    <t>Serviço de mão de obra e material para realizar o conserto de 11 algemas utilizadas em nórea aérea de pernil X-ham, no espostejamento.</t>
  </si>
  <si>
    <t>Usinagem Haste 500mm 7/8” Esticador Mancal do arrastador da Depilador</t>
  </si>
  <si>
    <t>O componente apresentava ineficiência no esticamento da corrente, ocasionando a parada da máquina e impacto direto na produção. Ressaltamos ainda que não há disponibilidade das peças necessárias na unidade, inviabilizando a realização do reparo com recursos próprios.</t>
  </si>
  <si>
    <t>Não</t>
  </si>
  <si>
    <t>CONFECÇÃO DE PONTEIRAS DE ROSCA PARA USO NAS LINHAS DE AGUA, AR COMPRIMIDO E AGUA DE HIGIENIZAÇÃO DO ABATE.</t>
  </si>
  <si>
    <t>1392 - PHDS - 1920,00</t>
  </si>
  <si>
    <r>
      <rPr>
        <sz val="9"/>
        <color rgb="FFFF0000"/>
        <rFont val="Calibri"/>
        <scheme val="minor"/>
      </rPr>
      <t xml:space="preserve">894
</t>
    </r>
    <r>
      <rPr>
        <sz val="9"/>
        <color rgb="FF000000"/>
        <rFont val="Calibri"/>
        <scheme val="minor"/>
      </rPr>
      <t>992</t>
    </r>
  </si>
  <si>
    <t>SAD022</t>
  </si>
  <si>
    <t>SERVIÇO DE MÃO DE OBRA E MATERIAL CONSERTO DE BUCHA PARA EIXO DO DIGESTOR DE PELOS</t>
  </si>
  <si>
    <t>PHDS -  1404 - 3380,00</t>
  </si>
  <si>
    <r>
      <rPr>
        <sz val="9"/>
        <color rgb="FFFF0000"/>
        <rFont val="Calibri"/>
        <scheme val="minor"/>
      </rPr>
      <t xml:space="preserve">935
</t>
    </r>
    <r>
      <rPr>
        <sz val="9"/>
        <color rgb="FF000000"/>
        <rFont val="Calibri"/>
        <scheme val="minor"/>
      </rPr>
      <t xml:space="preserve">958 </t>
    </r>
  </si>
  <si>
    <r>
      <rPr>
        <sz val="9"/>
        <color rgb="FFFF0000"/>
        <rFont val="Calibri"/>
        <scheme val="minor"/>
      </rPr>
      <t xml:space="preserve">16/04/2026
</t>
    </r>
    <r>
      <rPr>
        <sz val="9"/>
        <color rgb="FF000000"/>
        <rFont val="Calibri"/>
        <scheme val="minor"/>
      </rPr>
      <t>20/04/2026</t>
    </r>
  </si>
  <si>
    <t>METAL FRANZ
NUTHERM
TIGER</t>
  </si>
  <si>
    <t>SERVIÇO DE REPARO NO REFRATÁRIO DA CALDEIRA DE 8T.</t>
  </si>
  <si>
    <t>METAL FRANZ - 777 - 107.000,00
NUTHERM - 83.000,00
TIGER - 25134 - 108.351,66</t>
  </si>
  <si>
    <t>Lucas Bueno</t>
  </si>
  <si>
    <t xml:space="preserve">TORNO - Usinagem e solda em espigão </t>
  </si>
  <si>
    <t>VELOTANO - 510 - 3098,00</t>
  </si>
  <si>
    <t xml:space="preserve">TESCH INSTALACOES ELETRICAS LTDA </t>
  </si>
  <si>
    <t>FORNECIMENTO DE MÃO-DE-OBRA E MATERIAL PARA INSTALAÇÃO ELÉTRICA DA NOVA TERMOFORMADORA PARA LINHA DOS FATIADOS.</t>
  </si>
  <si>
    <t xml:space="preserve">METAL C </t>
  </si>
  <si>
    <t xml:space="preserve">SERVIÇO DE ADEQUAÇÃO DOS PROTETORES DE AÇO INOX DE RODAPÉ PARA O SETOR DE RECEBIMENTO E CONDIMENTOS. SERVIÇO PARA ADEQUAR ALTURA, CONSERTO DE TRECHOS EMPENADOS E QUEBRADOS BEM COMO SUBSTITUIÇÃO DOS CHUMBADORES DANIFICADOS.
SERVIÇO A SER REALIZADO FORA DA UNIDADE CONFORME NF DE SAÍDA Nº 46774
</t>
  </si>
  <si>
    <t>balena</t>
  </si>
  <si>
    <t>SERVIÇO DE ADEQUAÇÃO DE MANUTENÇÃO DE NORIA DE DESVIO PARA RETORNO/ENTRADA DA CÂMARA DE SEQUESTRO DO DIF CONFORME NF SAIDA Nº 48383. SERVIÇO A SER EXECUTADO FORA DA UNIDADE.</t>
  </si>
  <si>
    <t xml:space="preserve">NF 20637 CANCELADA
aguardar nova nf </t>
  </si>
  <si>
    <t>SERVIÇO DE TERCEIRO COM MÃO DE OBRA E MATERIAL PARA CONSERTO DE 2 FONTES SIEMENS SITOP 24V 20A</t>
  </si>
  <si>
    <t>080035/26A 
080036/26A</t>
  </si>
  <si>
    <t>ULMA</t>
  </si>
  <si>
    <t xml:space="preserve">Serviço de mão de obra para verificação, manutenção e ajustes na termoformadora Ulma do fatiados junto ao técnico da empresa fabricante do equipamento ULMA.
 Serviço ser realizado dentro da unidade FAC.
</t>
  </si>
  <si>
    <t xml:space="preserve">FRANCIS </t>
  </si>
  <si>
    <t>NECESSIDADE DE UM MAIOR ACOMPANHAMENTO E ORIENTAÇÃO DOS OPERADORES E MANUTENTORES, DEVIDO A COMPLEXIDADE DO EQUIPAMENTO, LEMBRANDO QUE SÓ ESTA INDO UM ORÇAMENTO POR CONTA DO FORNECEDOR SER O FABRICANTE DO EQUIPAMENTO.</t>
  </si>
  <si>
    <t>devolvida nf a pedido do solicitante bruno</t>
  </si>
  <si>
    <t xml:space="preserve">FINISSIMA 
DE PAULA
J ORTIZ </t>
  </si>
  <si>
    <t xml:space="preserve">SERVIÇO DE ADEQUAÇÃO DO ACESSO AO DEPOSITO DE MATERIAIS. ADEQUAÇÃO DA RAMPA DE ACESSO E MANUTENÇÃO DO PISO E PAREDES EXISTENTES. SERVIÇO DE PINTURA DA PAREDE E TETO DO SETOR. LIXAMENTO E PINTURA DAS TUBULAÇÕES QUE ESTÃO OXIDADAS DA REDE DE HIDRANTE, AGUA POTAVEL E AR COMPRIMIDO. SERVIÇO DE CONSERTO DAS INFILTRAÇÕES E FECHAMENTO DOS BURACOS NAS PAREDES.
SERVIÇO A SER EXCUTADO DENTRO DA UNIDADE.
</t>
  </si>
  <si>
    <r>
      <rPr>
        <sz val="9"/>
        <color rgb="FFFF0000"/>
        <rFont val="Calibri"/>
        <scheme val="minor"/>
      </rPr>
      <t xml:space="preserve">4453494
</t>
    </r>
    <r>
      <rPr>
        <sz val="9"/>
        <color rgb="FF000000"/>
        <rFont val="Calibri"/>
        <scheme val="minor"/>
      </rPr>
      <t>4454182</t>
    </r>
  </si>
  <si>
    <t xml:space="preserve">MASTER 
DE PAULA
J ORTIZ </t>
  </si>
  <si>
    <t>SERVIÇO DE ADEQUAÇÃO DO ACESSO A RAMPA DA DOCA 4 DA EXPEDIÇÃO. ADEQUAÇÃO DO NIVELAMENTO PARA RECEBIMENTO DOS CAMINHÕES DE CONTAINERES. ADEQUAÇÃO DO ESGOTO PARA CAIMENTO CORRETO DA AGUA PLUVIAL. SERVIÇO A SER EXCUTADO DENTRO DA UNIDADE.</t>
  </si>
  <si>
    <t>STARTEC</t>
  </si>
  <si>
    <t>SERVIÇO DE TERCEIRO COM MÃO DE OBRA E MATERIAL PARA CONSERTO DE 10 PLACAS ELETRÔNICAS DE PORTAS RÁPIDAS</t>
  </si>
  <si>
    <t>SERVIÇO DE TERCEIRO COM MÃO DE OBRA E MATERIAL PARA CONSERTO DE IHM MC2-442 EA, SENDO: REPARO NO CIRCUITO DE COMUNICAÇÃO; MANUTENÇÃO PREVENTIVA NO CIRCUITO DE FONTE CHAVEADA; RETRABALHO EM ILHAS E TRILHAS OXIDADAS; RETRABALHO EM SOLDAS FRIAS; SUBSTITUIÇÃO DE COMPONENTES FADIGADOS; ENVERNIZAMENTO COM PRODUTOS APROPRIADOS; TESTES EM BANCADA; LIMPEZA E REVISÃO GERAL.</t>
  </si>
  <si>
    <t xml:space="preserve">ELECTRA </t>
  </si>
  <si>
    <t>SERVIÇO DE TERCEIRO COM MÃO DE OBRA E MATERIAL PARA CONSERTO DE 2 IHM SIEMENS TP900 COMFORT, SENDO: SUBSTITUIÇÃO DO TOUCH, PELÍCULA E LCD, LIMPEZA E TESTES GERAIS EM SIMULADOR.</t>
  </si>
  <si>
    <t xml:space="preserve">TECNOVITA </t>
  </si>
  <si>
    <t>SERVIÇO DE TERCEIRO COM MÃO DE OBRA E MATERIAL PARA CONSERTO DO COLEIRO VALCO MELTON NC8 SN 23345 REFERÊNCIA 946XX184</t>
  </si>
  <si>
    <t xml:space="preserve">20102 - 4.225,44
20046 - 7.358,00
</t>
  </si>
  <si>
    <t>SERVIÇO DE TERCEIRO COM MÃO DE OBRA E MATERIAL PARA CONSERTO DE IHM HANDTMANN, SENDO: SUBSTITUIÇÃO DA MEMBRANA ELETRÔNICA; MANUTENÇÃO PREVENTIVA NO CRCUITO DE FONTE; RETRABALHO EM ILHAS E TRILHAS OXIDADAS; RETRABALHO EM SOLDAS FRIAS; SUBSTITUIÇÃO DE COMPONENTES FADIGADOS; ENVERNIZAMENTO COM PRODUTOS APROPRIADOS; TESTES EM BANCADA; LIMPEZA E REVISÃO GERAL</t>
  </si>
  <si>
    <t xml:space="preserve">METALURGICA 
CIPRIANO </t>
  </si>
  <si>
    <t>46902 
48000</t>
  </si>
  <si>
    <t>SERVIÇO DE TERCEIRO COM MÃO DE OBRA E MATERIAL PARA CONSERTO DE 21 GAIOLAS DE VARA PARA CONZIMENTO, SENDO: TROCA DE METALON E PARTES ESTRUTURAIS DANIFICADAS; TROCA DE RODAS DANIFICADAS; REPASSE EM SOLDAS QUEBRADAS E TRINCAS; PADRONIZAÇÃO DE TAMANHOS E ACABAMENTO GERAL.</t>
  </si>
  <si>
    <t>SERVIÇO DE TERCEIRO COM MÃO DE OBRA E MATERIAL PARA CONSERTO DE 4 BANDEJAS DO TÚNEL DE CONGELAMENTO GEA I-VRT, SENDO: CORTE EM PARTE ESTRUTURAL DOS CANTOS PARA ACERTAR ESQUADRO DE FORMAS; ALINHAMENTO DE TRAVAS AMASSADAS; FABRICAÇÃO DE GUIAS EM NYLON PARA ELEVADOR DE FORMAS (12 UNIDADES DE 250MM X 90MM COM ESPESSURA DE 20MM / 7 UNIDADES DE 250MM X 70MM COM ESPESSURA DE 15MM / 3 UNIDADES DE 250MM X 50MM COM ESPESSURA DE 15MM); TROCA DE PERFIS AMASSADOS E MUITO DANIFICADOS; FABRICAÇÃO DE NOVOS GUIAS E PINTURA DE ESTRUTURA</t>
  </si>
  <si>
    <t xml:space="preserve">8935 - 9.594,00
8724 -  10.656,00
</t>
  </si>
  <si>
    <t>SERVIÇO DE TERCEIRO COM MÃO DE OBRA E MATERIAL PARA CONSERTO DE 2 GAIOLAS DO TÚNEL DE MIÚDOS, SENDO: TROCA DE CANTONEIRAS E VERGALHÕES QUEBRADOS E DANIFICADOS; REFORÇO EM PARTE ESTRUTURAL; SOLDA EM TRINCAS E PONTOS QUEBRADOS; FABRICAÇÃO DE GRADES; TROCA DE RODIZIOS E RODINHAS E GALVANIZAÇÃO.</t>
  </si>
  <si>
    <t>Serviço para mão de obra usinagem em placas de fixação das resistências da caixa de formação r535</t>
  </si>
  <si>
    <t>Serviço para mão de obra usinagem em buchas que faz o calço do suporte do torcedor</t>
  </si>
  <si>
    <t>MATERIAL E MÃO DE OBRA PARA CONSERTO DE 51 CARRETILHAS UTILIZADAS NO ABATE.</t>
  </si>
  <si>
    <t>SERVIÇOS DE ADEQUAÇÃO DOS PROTETORES DE RODAPÉS DO CORREDOR CAMARAS, MATERIA PRIMA E DOCA DA CONDIMENTARIA. SERVIÇO DE AJUSTE ENTRE ESPAÇAMENTO E NA ALTURA DOS PÉS. SUBSTITUIÇÃO DE PONTOS DANIFICADOS E TROCA DOS CHUMBADORES DE FIXAÇÃO. SERVIÇO DE JATEAMENTO PARA CORREÇÃO DE IMPERFEIÇÕES E REMOÇÃO DE PONTOS OXIDADOS. SERVIÇOS A SEREM EXECUTADOS FORA DA UNIDADE CONFORME NF DE SAÍDA Nº 48879.</t>
  </si>
  <si>
    <t>Rateio: 20 % 2313 30 % 2224 30 % 2348 20 % 4472</t>
  </si>
  <si>
    <t xml:space="preserve">Francis </t>
  </si>
  <si>
    <t>SERVIÇOS DE ADEQUAÇÃO DOS PROTETORES DE RODAPÉS DO CORREDOR ESQUERDO E DIREITO DA PRESUNTARIA E EM TORNO DOS PILARES. ADEQUAÇÃO DOS PROTETORES DE RODAPÉ EM AÇO INOX DO COZIMENTO DA PRESUNTARIA. SERVIÇO DE AJUSTE ENTRE ESPAÇAMENTO E NA ALTURA DOS PÉS. SUBSTITUIÇÃO DE PONTOS DANIFICADOS E TROCA DOS CHUMBADORES DE FIXAÇÃO. SERVIÇO DE JATEAMENTO PARA CORREÇÃO DE IMPERFEIÇÕES E REMOÇÃO DE PONTOS OXIDADOS. SERVIÇOS A SEREM EXECUTADOS FORA DA UNIDADE CONFORME NF DE SAÍDA Nº 48879.</t>
  </si>
  <si>
    <t>SERVIÇOS DE ADEQUAÇÃO DOS PROTETORES DE RODAPÉS DAS SALAS DE LAVAGEM E ARMAZENAMENTO DE CONTENTORES. SERVIÇO DE AJUSTE ENTRE ESPAÇAMENTO E NA ALTURA DOS PÉS. SUBSTITUIÇÃO DE PONTOS DANIFICADOS E TROCA DOS CHUMBADORES DE FIXAÇÃO. SERVIÇO DE JATEAMENTO PARA CORREÇÃO DE IMPERFEIÇÕES E REMOÇÃO DE PONTOS OXIDADOS. SERVIÇOS A SEREM EXECUTADOS FORA DA UNIDADE CONFORME NF DE SAÍDA Nº 48879.</t>
  </si>
  <si>
    <t>SERVIÇOS DE ADEQUAÇÃO DOS PROTETORES DE RODAPÉS DAS SALAS DE PREPARO DE MASSAS DE COZIDOS. SERVIÇO DE AJUSTE ENTRE ESPAÇAMENTO E NA ALTURA DOS PÉS. ADEQUAÇÃO DOS PÉS PARA DESVIAR A BALANÇA DE PISO E SUBSTITUIÇÃO DE PONTOS DANIFICADOS E TROCA DOS CHUMBADORES DE FIXAÇÃO. SERVIÇO DE JATEAMENTO PARA CORREÇÃO DE IMPERFEIÇÕES E REMOÇÃO DE PONTOS OXIDADOS. SERVIÇOS A SEREM EXECUTADOS FORA DA UNIDADE CONFORME NF DE SAÍDA Nº 48879.</t>
  </si>
  <si>
    <t>SERVIÇO DE FABRICAÇÃO DE TUBULAÇÃO PARA CHUTE DE CONDENA, ADEQUAÇÃO DE ESTEIRAS E FORNECIMENTO DAS MESAS DA DESOSSA DE CABEÇA CONFORME APROVADO EM PLANTA BAIXA.</t>
  </si>
  <si>
    <t>BALENA - 20551 - 51.000,00</t>
  </si>
  <si>
    <t>SERVIÇOS DE ADEQUAÇÃO DOS PROTETORES DE RODAPÉS DAS SALAS DE INJEÇÃO DE BACON. SERVIÇO DE AJUSTE ENTRE ESPAÇAMENTO E NA ALTURA DOS PÉS. ADEQUAÇÃO DAS CURVAS E SUBSTITUIÇÃO DE PONTOS DANIFICADOS E TROCA DOS CHUMBADORES DE FIXAÇÃO. SERVIÇO DE JATEAMENTO PARA CORREÇÃO DE IMPERFEIÇÕES E REMOÇÃO DE PONTOS OXIDADOS. SERVIÇOS A SEREM EXECUTADOS FORA DA UNIDADE CONFORME NF DE SAÍDA Nº 48879.</t>
  </si>
  <si>
    <t xml:space="preserve">MANLOG MANUTENCOES PLANEJADAS LTDA
</t>
  </si>
  <si>
    <t>Referente à instalação de equipamento Rayflex
O.S. 27754 – Proposta Rayflex nº 20716</t>
  </si>
  <si>
    <t>60% 2348 
40% 4472</t>
  </si>
  <si>
    <t>NF 71 
NF 72</t>
  </si>
  <si>
    <t>A Empresa entrou em contato para realização do serviço, o qual foi agendado e executado no dia 04/04.  Esta informação só tive conhecimento após cobrança da empresa MANLOG para faturamento do serviço já realizado, quando foi constatado que não havia sido gerado pedido de compras. Com isto, se faz necessário regularizarmos o lançamento das NF's em anexo.</t>
  </si>
  <si>
    <t>71
72</t>
  </si>
  <si>
    <t xml:space="preserve">- </t>
  </si>
  <si>
    <t xml:space="preserve">Calibrabem LTDA-ME
</t>
  </si>
  <si>
    <t xml:space="preserve">Calibração de balança antropométrica
Deslocamento técnico
</t>
  </si>
  <si>
    <t>1133444 - MEDIÇÃO SOLUÇÕES - 945,00</t>
  </si>
  <si>
    <t>Temos apenas essa empresa para realizar o serviço na região dos aparelhos em questão.</t>
  </si>
  <si>
    <t xml:space="preserve">GP DA LUZ </t>
  </si>
  <si>
    <t xml:space="preserve">REALIZAÇÃO DE ASSISTENCIA TECNICA REFERENTE A MÃO DE OBRA DE MANUTENÇÃO DOS PORTÕES DE ACESSO ALMOXARIFADO </t>
  </si>
  <si>
    <t>GP DA LUZ - 138 - 4200,00</t>
  </si>
  <si>
    <t>NECESSIDADE DE MANTER OS PORTÕES E CANCELAS EM PLENO FUNCIONAMENTO DEVIDO O CONTROLE ASSÍDUO DE ENTRADA DE PESSOAS VEÍCULOS E ANIMAIS</t>
  </si>
  <si>
    <t>REALIZAÇÃO DE ASSISTENCIA TECNICA REFERENTE A MÃO DE OBRA DE MANUTENÇÃO DOS PORTÕES DE ACESSO AMBULATÓRIO</t>
  </si>
  <si>
    <t>GP DA LUZ - 137 - 1.591,50</t>
  </si>
  <si>
    <t>TORNO -  SERVIÇO DE USINAGEM E TORNO PARA CONSERTO DE CHAPA LATERAL DE SKINNER MAREL</t>
  </si>
  <si>
    <t>BALENA - 96142 - 235,9</t>
  </si>
  <si>
    <t>TORNO</t>
  </si>
  <si>
    <t>Material e mão de obra para execução de base para separador de líquido (amônia).</t>
  </si>
  <si>
    <t>DE PAULA - 435 - 6.750,00</t>
  </si>
  <si>
    <t>ATLAS COPCO
FUSOMAQ</t>
  </si>
  <si>
    <t>ATLAS COPCO - 190848882 - 25.614,00
FUSOMAQ - 871 - 13.310,97</t>
  </si>
  <si>
    <t>Apenas dois orçamentos onde fornecedor Fusomaq atende compressores atlas e está com valor competitivo para atendimento e fornecedor atlas é o fabricando do equipamento. Sendo que podemos avaliar a qualidade do serviço desse fornecedor novo.</t>
  </si>
  <si>
    <t>CARAMCAR COM. DE AUTO PEÇASLTDA</t>
  </si>
  <si>
    <t>SERVIÇO DE CONSERTO MOTOR DE PARTIDA PERKINS Nº SÉRIE 2873K632</t>
  </si>
  <si>
    <t>CARAMCAR - 15835 - 382,50</t>
  </si>
  <si>
    <t>Necessidade de conserto em motor de partida do gerador de energia ADM, haja visto a necessidade devido à para programada de fornecimento de energia. Foi realizado teste no dia anterior e constatado motor de partida com defeito.</t>
  </si>
  <si>
    <t>4. RC - RC ABERTA, AGUARDANDO GERAR PEDIDO</t>
  </si>
  <si>
    <t>F&amp;F MANUTENÇÃO DE VÁLVULAS INDUSTRIAIS E PRODUTOS</t>
  </si>
  <si>
    <t>SERVIÇO DE CONSERTO VALVULAS REDUTORAS DE PRESSÃO 2”.</t>
  </si>
  <si>
    <t>F&amp;F - 0109 - 17100,00</t>
  </si>
  <si>
    <t>SERVIÇO DE CONSERTO VÁLVULA GLOBO DE 8POL.</t>
  </si>
  <si>
    <t>STEAM PRIME -  12251 - 15.836,00</t>
  </si>
  <si>
    <t xml:space="preserve">	SERVIÇO DE MANUTENÇÃO VALVULA DE CONTROLE DN40.</t>
  </si>
  <si>
    <t>STEAM PRIME - 12137 - 2.980,00</t>
  </si>
  <si>
    <t>BADAN</t>
  </si>
  <si>
    <t>SERVIÇO DE CONSERTO MOTOR WEG 650 CV 380/660V 3575RPM 315G/F.</t>
  </si>
  <si>
    <t>BADAN - 3153 - 149.900,00</t>
  </si>
  <si>
    <t>Motor do compressor NH3 da sala de máquinas apresentou queima, sendo necessário o envio emergencial para reparo. A indisponibilidade do equipamento impacta diretamente na geração de frio do regime -10ºC da unidade comprometendo o não atendimento do frio em vários ambientes.</t>
  </si>
  <si>
    <t>4459099
4460393
4471405</t>
  </si>
  <si>
    <t>Necessário realizar a substituição do cabo e descida da infra de alimentação do equipamento.
No escopo inicial para orçamentação, foi previsto manter o mesmo cabeamento (4x10 mm²) que estava alimentando a Termoformadora Multivac, visto que o documento da Ulma, consta potência de consumo de 25kW e corrente de 40A (pedido de compras 4536297) , porém, ao abrirmos a embalagem do equipamento na sexta-feira, dia 03/04, constava a mesma informação na placa da termoformadora porém sem considerar a bomba de vácuo da busch.
Com isto foi necessário passar outro cabo 4x16mm² para alimentação da termoformadora + bomba vácuo durante a instalação do equipamento.</t>
  </si>
  <si>
    <t>TESCH - 1.800,00</t>
  </si>
  <si>
    <t>SERVIÇO DE TERCEIRO COM MÃO DE OBRA E MATERIAL PARA CONSERTO DE INVERSOR DE FREQUÊNCIA POWERFLEX 525 240V REF.R25BA4P8N104, ROCKWELL, SENDO: REPARO DO CIRCUITO FONTE; REVISÃO GERAL DE SOLDAS E CONEXÕES; MONTAGEM E TESTES.</t>
  </si>
  <si>
    <t>SERVIÇO DE TERCEIRO COM MÃO DE OBRA E MATERIAL PARA CONSERTO DE INVERSOR DE FREQUENCIA SIEMENS G120 1P 6SL3210-1KE13-2AF2, SENDO: REPARO NO CIRCUITO DE COMUNICAÇÃO ETHERNET; MANUTENÇÃO PREVENTIVA NO CIRCUITO DE FONTE; RETRABALHO EM SOLDAS FRIAS; RETRABALHO EM ILHAS E TRILHAS OXIDADAS; SUBSTITUIÇÃO DE COMPONENTES FADIGADOS; ENVERNIZAMENTO COM PRODUTOS APROPRIADOS; TESTES EM BANCADA; LIMPEZA E REVISÃO GERAL.</t>
  </si>
  <si>
    <t>Metalurgica 
Cipriano</t>
  </si>
  <si>
    <t>SERVIÇO DE CONSERTO DE 02 SUPORTES PARA TURBOMISTURADORES, SENDO: MATERIAL AÇO INOXIDÁVEL AISI 304; ESTRUTURA EM CANTONEIRAS COM ESPESSURA DE 7 MM; CHAPA DA BASE COM ESPESSURA DE 3/8¿; ACABAMENTO ESCOVADO E INCLUSÃO DE 04 (QUATRO) OLHAIS PARA FIXAÇÃO DE CABOS DE AÇO EM CADA SUPORTE</t>
  </si>
  <si>
    <t>SERVIÇO DE TERCEIRO COM MÃO DE OBRA E MATERIAL PARA CONSERTO DE 19 GAIOLAS DE VARA PARA COZIMENTO, SENDO: TROCA DE CONJUNTOS DE TRAVESSA INFERIOR + PEDAÇO DA COLUNA QUE ESTIVEREM TORTOS OU DEFEITUOSOS; TROCA DE 27 RODAS; REFORÇO DE SOLDAS TRINCADAS ONDE FOR NECESSÁRIO; AJUSTES MECÂNICOS SIMPLES: DESENTORTAR ALÇA, ACERTAR ESQUADRO (DESVIOS LEVES); NECESSÁRIO DESENTORTAR ALÇAS EM TODOS OS PRODUTOS COM ACABAMENTO: INOX ESCOVADO EM 18 GAIOLAS. MANUTENÇÕES PARA 01 GAIOLA DE VARA AÇO GALVANIZADA COM SOLDA NAS CANTONEIRAS. SERVIÇO DE SUBSTITUIÇÃO DE BASES DE DOIS CARRINHOS DE COZIMENTO DO PADRÃO ANTIGO (RETO) PARA O PADRÃO NOVO (COM DOBRA); MEDIDAS DE CADA BASE: (L) 1000 X (P) 77,5 X (A) 111 MM (2 BASES POR CARRINHO).</t>
  </si>
  <si>
    <t xml:space="preserve"> Compra urgente é devido à falta de gaiolas para cozimento de produtos no setor de Estufas. A falta das mesmas está comprometendo diretamente na produção.</t>
  </si>
  <si>
    <t>MANUTENÇÃO EM MOTOBOMBA BC-23 DE 2" 7.160,00 MOTOR DE 25 CV, COM OS SERVICOS DE: - RETIRADA; - DESMONTAGEM; - LIMPEZA E BANHO DE DECAPAGEM; - ANALISE DE TROCA DE PECAS; - CJ ROTOR; - ORING DA CARCACA; - BUCHA DE BRONZE; - SELO MECANICO; - REBOBINAMENTO DO MOTOR; - JG DE ROLAMENTOS; - OLHAL; - JG DE VRING; - FABRICACAO DE PONTA DE EIXO; - MONTAGEM; - TESTES; - PINTURA.</t>
  </si>
  <si>
    <t>SERVIÇO DE TERCEIRO COM MÃO DE OBRA E MATERIAL PARA GRAVAÇÃO DE SIGLA AD EM 99 PLAQUETAS EM AÇO INOX E REFORMA EM GANCHOS DE FIXAÇÃO DAS PLAQUETAS.</t>
  </si>
  <si>
    <t>Serviço foi realizado antes da emissão do pedido de compra devido à falta de placas de identificação AD no SIF. Solicitação feita com urgência pelo Dr. do SIF.</t>
  </si>
  <si>
    <t>Serviço para mão de obra usinagem em 12 bicos aspersor + hastes das estufas de cozimento</t>
  </si>
  <si>
    <t>Serviço para mão de obra usinagem em conjunto de fusos dos dispositivos volumétricos de dosagem, Volterm</t>
  </si>
  <si>
    <t>SERVIÇO DE TERCEIRO COM MÃO DE OBRA E MATERIAL PARA CONSERTO DE SERVOMOTOR HANDTMANN DSD 100 SM 64 U 20 P SN 21404000, SENDO: DESCONTAMINAÇÃO POR COMPLETO; SUBSTITUIÇÃO DO ROLAMENTO DIANTEIRO; SUBSTITUIÇÃO DO ROLAMENTO TRASEIRO; FABRICAÇÃO DO ACENTO DO ROLAMENTO DIANTEIRO; FABRICAÇÃO DO ACENTO DO ROLAMENTO TRASEIRO; FABRICAÇÃO DA CHAVETA E EIXO DO ROTOR E AJUSTE DO RESOLVER.</t>
  </si>
  <si>
    <t>SERVIÇO DE TERCEIRO COM MÃO DE OBRA E MATERIAL PARA CONSERTO DE SERVOMOTOR HANDTMANN DSD 100 SM 64 U 20 P SN 21933967, SENDO: DESCONTAMINAÇÃO POR COMPLETO; SUBSTITUIÇÃO DO ROLAMENTO DIANTEIRO; SUBSTITUIÇÃO DO ROLAMENTO TRASEIRO; REBOBINAMENTO DO ESTATOR; SUBSTITUIÇÃO E AJUSTE DO RESOLVE</t>
  </si>
  <si>
    <t>SERVIÇO DE CONSERTO INVERSOR WEG CFW700E0142T4NB20C3Y1/ MAT: 11876986/ OP: 1104067707/ SERIAL: 1026960699.</t>
  </si>
  <si>
    <t>47453124 - ATLAS COPCO - 10.329,86</t>
  </si>
  <si>
    <t>JUSTIFICATIVA: Inversor do compressor de ar enviado para realização de conserto em posse de terceiros.</t>
  </si>
  <si>
    <r>
      <rPr>
        <sz val="9"/>
        <color rgb="FFFF0000"/>
        <rFont val="Calibri"/>
        <scheme val="minor"/>
      </rPr>
      <t xml:space="preserve">4463075
</t>
    </r>
    <r>
      <rPr>
        <sz val="9"/>
        <color rgb="FF000000"/>
        <rFont val="Calibri"/>
        <scheme val="minor"/>
      </rPr>
      <t xml:space="preserve">4470275 </t>
    </r>
  </si>
  <si>
    <t>SERVIÇO DE CONSERTO E CALIBRAÇÃO EM 5 SENSORES DETECTORES NH3.</t>
  </si>
  <si>
    <t>12121 - DETECT NET - 19.119,00</t>
  </si>
  <si>
    <t>JUSTIFICATIVA: Sensores detectores NH3 enviados para realização de manutenção e calibração.</t>
  </si>
  <si>
    <t>CCPG
ENGELPRO
NEWENG
DPM</t>
  </si>
  <si>
    <t xml:space="preserve">Revisão preventiva, atualização de 
laudos de aterramento, máquinas e SPDA. </t>
  </si>
  <si>
    <t>4 ORÇAMENTOS</t>
  </si>
  <si>
    <t>Justificativa para Requisição 
Urgente – Atualização/Emissão de Laudos
A presente solicitação tem caráter urgente devido à 
necessidade de garantir a segurança das 
instalações elétricas, a integridade dos 
colaboradores e a conformidade com as normas 
regulamentadoras vigentes.
Atualmente, não possuímos laudos atualizados 
de SPDA (Sistema de Proteção contra Descargas 
Atmosféricas), bem como não há laudos de 
aterramento das instalações e do aterramento de 
máquinas/equipamentos. Essa ausência 
representa um risco significativo, uma vez que 
impossibilita a comprovação das condições 
adequadas de proteção contra choques elétricos, 
sobretensões e descargas atmosféricas.
Além disso, a falta desses documentos pode 
resultar em:
• Não conformidade com a NR10 e NBRs 
aplicáveis (como NBR 5410 e NBR 
5419); 
• Riscos à segurança dos colaboradores, 
especialmente em atividades de 
manutenção elétrica; 
• Implicações legais e trabalhistas em 
caso de incidentes; 
• Possíveis penalidades em auditorias e 
fiscalizações; 
• Dificuldades na obtenção ou 
manutenção de certificações e 
seguros. 
Dessa forma, torna-se indispensável a contratação 
imediata de empresa especializada para 
realização das medições, inspeções e emissão dos 
laudos de:
• SPDA; 
• Aterramento das instalações elétricas; 
• Aterramento de máquinas e 
equipamentos. 
A regularização desses laudos é essencial para 
assegurar condições seguras de operação, atender 
às exigências legais e mitigar riscos operacionais e 
financeiros para a empresa</t>
  </si>
  <si>
    <t>4 ORÇ</t>
  </si>
  <si>
    <t>SERVIÇO DE ATENDIMENTO EMERGENCIAL NO INVERSOR SIEMENS 6SL3310-1GE41-0AA3 DO COMPRESSOR NH3 5.</t>
  </si>
  <si>
    <t>RGM - 31305,64</t>
  </si>
  <si>
    <t>JUSTIFICATIVA: Inversor do compressor NH3 5 apresentou falha sendo necessário o atendimento emergencial para conserto. A indisponibilidade do equipamento impacta diretamente na geração de frio do regime -10ºC da unidade.</t>
  </si>
  <si>
    <r>
      <rPr>
        <sz val="9"/>
        <color rgb="FFFF0000"/>
        <rFont val="Calibri"/>
        <scheme val="minor"/>
      </rPr>
      <t xml:space="preserve">4464686
</t>
    </r>
    <r>
      <rPr>
        <sz val="9"/>
        <color rgb="FF000000"/>
        <rFont val="Calibri"/>
        <scheme val="minor"/>
      </rPr>
      <t>4464734</t>
    </r>
  </si>
  <si>
    <t>Q INSPEÇOES</t>
  </si>
  <si>
    <t>SERVIÇO DE INSPEÇÃO EM VASOS DE PRESSÃO E CALIBRAÇÃO DE VÁLVULA DE SEGURANÇA DOS COMPRESSORES NH3 NOVOS DA SALA DE MÁQUINAS.</t>
  </si>
  <si>
    <t>Q INSPEÇOES - 64 - 6.500,00</t>
  </si>
  <si>
    <t xml:space="preserve">JUSTIFICATIVA: Serviço para atendimento e inspeção extraordinária NR13 para liberação do equipamento compressores Mycom no dia 16/04. </t>
  </si>
  <si>
    <t>4463133
4467742
4474326</t>
  </si>
  <si>
    <t>ENERGIA</t>
  </si>
  <si>
    <t>Ampliação da rede área 13,8 kV, necessária para a ampliação da Sala de Máquinas.</t>
  </si>
  <si>
    <t>SERVIÇO DE TERCEIRO COM MÃO DE OBRA E MATERIAL PARA CONSERTO DE 60 FORMAS DE PRESUNTO LOG 01 FORMA DE PRESUNTO OVAL, SENDO: REFAZER SOLDAS TRINCADAS; ENDIREITAR PARTES TORTAS; SOLDAR NERVURAS E CABOS FALTANTES E ACABAMENTO LAVADO COM GEL DECAPANTE.</t>
  </si>
  <si>
    <t>Compra urgente é devido à falta de formas para cozimento de produtos no setor de Presuntaria. A falta das mesmas está comprometendo diretamente na produção.</t>
  </si>
  <si>
    <t xml:space="preserve">VENZON </t>
  </si>
  <si>
    <t>AFIAÇÃO E DESBASTE DISCO SERRA MEZANINO LISO 700mm</t>
  </si>
  <si>
    <t>MATERIAL E MÃO DE OBRA PARA REVISÃO EM CONJUNTO EXAUSTOR COM MOTOR DO CHAMUSCADOR DO ABAT</t>
  </si>
  <si>
    <t xml:space="preserve">DE PAULA SOLUCOES LTDA </t>
  </si>
  <si>
    <t>SERVIÇO DE ABERTURA DE VALETAS PARA PASSAGEM DE CABOS DA SUBESTAÇÃO PARA INTERLIGAMENTO DOS COMPRESSORES DE AMONIA.</t>
  </si>
  <si>
    <t>USINAGEM EM RODA NOREA, CONFECÇÃO DO PASSO PELA CORRENT</t>
  </si>
  <si>
    <t xml:space="preserve"> A execução deste serviço é necessária para evitar que o equipamento opere sob esforço excessivo, condição que pode ocasionar sobrecarga e queima de motores, bem como danos e quebra de redutores, atualmente, a roda encontra-se com desgaste no passe da corrente, o que compromete o desempenho do sistema. A substituição/adequação permitirá que o conjunto opere de forma mais leve, eficiente e segura, garantindo melhor funcionamento do equipamento e maior vida útil dos componentes.</t>
  </si>
  <si>
    <t>USINAGEM DE OITO ALGEMAS X-HAM</t>
  </si>
  <si>
    <t>Usinagem em cilindro da tesoura da desnuca</t>
  </si>
  <si>
    <t>Laboratório de Metrologia Peso Exato</t>
  </si>
  <si>
    <t xml:space="preserve"> SERVIÇO DE MÃO DE OBRA E MATERIAL MANUTENÇÃO EM BALANÇAS, INSPEÇÃO DE INTEGRIDADE DE BALANÇAS DE PISO E ORIENTAÇÃO
DE EQUIPE DE MANUTENÇÃO INTERNA
</t>
  </si>
  <si>
    <t>326 - Laboratório de Metrologia Peso Exato - 6900,00</t>
  </si>
  <si>
    <t>Serviço orçado com a única empresa que atende os critério de emissão de certificado do serviço realizado, data da execução do serviço e capacidade técnica para atendimento dos diferentes tipos e modelos de balanças presentes na unidade. </t>
  </si>
  <si>
    <t>K&amp;L LABORATORIOS DE METROLOGIA</t>
  </si>
  <si>
    <t xml:space="preserve"> SERVIÇO DE MÃO DE OBRA PARA CALIBRAÇÃO DE PT100 PADRÃO PARA USO EM CALIBRAÇÕES</t>
  </si>
  <si>
    <t>K&amp;L - C00821 - 226,00</t>
  </si>
  <si>
    <t>120764 </t>
  </si>
  <si>
    <t>Orçamento emitido pelo fornecedor solicitado pelo Enc. Laboratório Metrologia devido a ser o único com disponibilidade de execução do serviço, emissão dos certificados desejados e utilização de procedimento técnico adequado para os critérios exigidos pelos procedimentos internos da empresa.</t>
  </si>
  <si>
    <t>VEETIL ELETRO MOTORES LTDA</t>
  </si>
  <si>
    <t>SERVIÇO DE LOCAÇÃO DE MOTOR WEG W40 PREMIUM / 315 G-F / 550CV / 380-660V / 3575RPM / Nº SÉRIE: 10288227434.</t>
  </si>
  <si>
    <t>232 - VEETIL - 12.000,00</t>
  </si>
  <si>
    <t>Motor do compressor NH3 da sala de máquinas apresentou queima, sendo necessário o envio emergencial para reparo. A indisponibilidade do equipamento impacta diretamente na geração de frio do regime -10ºC da unidade, sendo necessário a locação de um motor para instalação na posição.</t>
  </si>
  <si>
    <t>UNIMED</t>
  </si>
  <si>
    <t xml:space="preserve">Serviço de quantificação de agentes de risco (vibração de mãos e braços; vibração de corpo inteiro; calor, frio e ruído) e quantificação de agentes químicos. As quantificações serão realizadas em diversos pontos da fábrica.  </t>
  </si>
  <si>
    <t>UNIMED - 5726 E 5626</t>
  </si>
  <si>
    <t xml:space="preserve">Apenas um orçamento da empresa Unimed, pois foi a única que nos retornou com orçamento das empresas que são homologadas pelo corporativo para realização do serviço, conforme o DC-SRH - 021 - 00. Temos urgência na realização devido necessidade de regularização de NCC de auditorias. </t>
  </si>
  <si>
    <t>BREMER</t>
  </si>
  <si>
    <t xml:space="preserve"> MATERIAIS E MÃO DE OBRA PARA REFORMA DE MULTICICLONE E EXAUSTOR DA CALDEIRA DE 15 TONELADAS</t>
  </si>
  <si>
    <t>RI 62163</t>
  </si>
  <si>
    <t>BARBARA - AGUARDANDO RESOLUÇÃO DO CONTRATO CONTABIL</t>
  </si>
  <si>
    <t>Serviço de mão de obra e material para realizar a usinagem em módulo de fixação do detector de metal.</t>
  </si>
  <si>
    <t>UNIMED - 52.410,39</t>
  </si>
  <si>
    <r>
      <rPr>
        <sz val="9"/>
        <color rgb="FFFF0000"/>
        <rFont val="Calibri"/>
        <scheme val="minor"/>
      </rPr>
      <t xml:space="preserve">4470828
</t>
    </r>
    <r>
      <rPr>
        <sz val="9"/>
        <color rgb="FF000000"/>
        <rFont val="Calibri"/>
        <scheme val="minor"/>
      </rPr>
      <t>4471621</t>
    </r>
  </si>
  <si>
    <t>Eletro Motor</t>
  </si>
  <si>
    <t>SERVIÇO DE TERCEIRO COM MÃO DE OBRA E MATERIAL PARA CONSERTO DE TRANSFORMADOR MONOFÁSICO EA, CÓDIGO L108374934, POTÊNCIA 4 KVA, ISOLAÇÃO 1,1 KVA, FREQUÊNCIA 60 HZ, CLASSE TÉRMICA B, TENSÃO DE ENTRADA 380 V, 400 V, 420 V, TENSÃO DE SAÍDA 60 V, 70 V, CÓDIGO 11-17008-0215, NÚMERO DE SÉRIE 62762/2, MARCA WISE TRANSFORMADORES</t>
  </si>
  <si>
    <t xml:space="preserve"> estamos com a embaladora à vácuo Multivac B625 parada devido a queima do transformador. Sendo necessário o conserto imediato do mesmo.</t>
  </si>
  <si>
    <t>G-TECH</t>
  </si>
  <si>
    <t>SERVIÇO DE TERCEIRO COM MÃO DE OBRA E MATERIAL PARA SUBSTITUIÇÃO DO BANCO DE BATERIAS QUEIMADO E HIGIENIZAÇÃO DO FILTRO DO CILINDRO DO DESUMIDIFICADOR G-DRY 3000.</t>
  </si>
  <si>
    <t xml:space="preserve"> estamos enviando a solicitação com a classificação 2 - COMPRA URGENTE devido estarmos com um banco de baterias queimado, impactando diretamente no correto funcionamento de desumidificação do ar na entrada do túnel de congelamento.</t>
  </si>
  <si>
    <t>SERVIÇO DE TERCEIRO COM MÃO DE OBRA E MATERIAL PARA CONSERTO DE INVERSOR DE FREQUÊNCIA SCHNEIDER ELETRIC ALTIVAR ATV32HU40N4 SN 8B1605740055, SENDO: REPARO COM TROCA DE PEÇAS AVARIADAS E QUE APRESENTAM VALORES DE MEDIÇÕES FORA DA FAIXA DE TOLERÂNCIA PERMITIDA, REVISÃO GERAL, AJUSTES NO CIRCUITO DE COMUNICAÇÃO ENTRE POTÊNCIA/CONTROLE, LIMPEZA DEVIDO AO ACÚMULO DE IMPUREZAS EM CIRCUITOS ELETRÔNICOS, APLICAÇÃO DE VERNIZ DE PROTEÇÃO E TESTES DE FUNCIONALIDADE COM CARGA E COM SUPERVISÃO DE SOFTWARE COMPUTACIONAL.</t>
  </si>
  <si>
    <t>Tech Art</t>
  </si>
  <si>
    <t>Atualização dos estudos de proteção junto a COPEL, elaboração dos estudos, parametrização dos relés e ensaios das proteções das subestações da unidade.</t>
  </si>
  <si>
    <t>THDS USINAGEM</t>
  </si>
  <si>
    <t>SUBSTITUIR CAIXA DAS CALHAS PARSHALL DA ENTRADA DAS ETAS</t>
  </si>
  <si>
    <t>CONTRATAÇÃO DE SERVIÇO E MATERIAL PARA REFAZER E INSTALAR DUAS CAIXAS DE SAÍDA DE ÁGUA DAS ETAS</t>
  </si>
  <si>
    <t>MECANICA VALENGA</t>
  </si>
  <si>
    <t>SERVIÇO DE MANUTENÇÃO PREVENTIVA MÁQUINA BRUTO.</t>
  </si>
  <si>
    <t>MECANICA VALENGA - 230 - 6.048,46</t>
  </si>
  <si>
    <t>Manutenção preventiva na máquina Bruto usada para alimentar cavaco na moega das caldeiras de 8T e 15T. Encaminhado um único orçamento, pois a mecânica Valenga é autorizada Bruto para prestar a correta e eficiente manutenção preventiva.</t>
  </si>
  <si>
    <t>SERVIÇO DE CONSERTO BOMBA SUBMERSÍVEL HCP PUMP.</t>
  </si>
  <si>
    <t>ATENAS - 12435 - 6.700,00</t>
  </si>
  <si>
    <t>Q INSPEÇÕES</t>
  </si>
  <si>
    <t>SERVIÇO DE INSPEÇÃO EM VASOS DE PRESSÃO DA UNIDADE (INSPEÇÃO NAS CALDEIRAS, INSPEÇÃO EM VASOS DE PRESSÃO, CALIBRAÇÃO DE VÁLVULAS DE SEGURANÇA E CALIBRAÇÃO DE MANÔMETROS).</t>
  </si>
  <si>
    <t>Q INSPEÇÕES - 70 - 54960,00</t>
  </si>
  <si>
    <t>Somente um orçamento para fins de padronização e mantermos histórico e organização da documentação conforme pede a Norma NR13. Empresa já realizou inspeção no ano de 2025.</t>
  </si>
  <si>
    <t>BARBARA
VERIFICAR USO CONTÁBIL</t>
  </si>
  <si>
    <t>Web Service Automação</t>
  </si>
  <si>
    <t xml:space="preserve">49043 
49044 
49045 </t>
  </si>
  <si>
    <t xml:space="preserve">NF 49043 – Envio para conserto
Remessa de equipamento para conserto conforme orçamento aprovado.
Item: Módulo eletrônico / equipamento industrial
Defeito apresentado: Falha de funcionamento (a ser avaliado em bancada técnica)
Observação: Equipamento enviado sem valor comercial, destinado exclusivamente para reparo e posterior retorno.
ESPOTEJAMENTO
NF 49044 – Envio para conserto
Remessa de equipamento para conserto conforme orçamento aprovado.
Item: Controlador / módulo eletrônico industrial
Defeito apresentado: Equipamento inoperante (necessita diagnóstico e reparo)
Observação: Remessa para conserto, sem transferência de propriedade.
BIODIGESTOR
NF 49045 – Envio para conserto (múltiplos itens)
Remessa de equipamentos para conserto conforme orçamento aprovado.
Itens enviados:
•	Controlador / CLP industrial 
•	Módulos eletrônicos diversos 
Defeitos apresentados:
•	Falhas de operação 
•	Possível defeito eletrônico interno 
Observação: Equipamentos enviados para análise e reparo, sem valor comercial, com retorno previsto após manutenção.
ESPOTEJAMENTO
</t>
  </si>
  <si>
    <t xml:space="preserve">WS - 24746 - </t>
  </si>
  <si>
    <t>Serviço de mão de obra e material para realizar usinagem em eixos, rótulas e buchas da dosadora de carcaças câmara de resfriamento 05.</t>
  </si>
  <si>
    <t>O motivo do emergencial é devido ao fato do equipamento estava apresentando elevadas folgas, falta de ajuste na barra das rótulas e chaves, apresentando interrupções durante o processo de descarga da câmara. Devido à grande quantidade de tarefas a serem executadas envolvendo usinagem, no qual a grande parte só pode ser vista após a desmontagem, houve a necessidade de terceirização.</t>
  </si>
  <si>
    <t>Metalurgica
Balena</t>
  </si>
  <si>
    <t>SERVIÇO DE TERCEIRO COM MÃO DE OBRA E MATERIAL PARA REALIZAR SOLDA INTERNA NO CASCO DO DIGESTOR DE VÍSCERAS E SUBSTITUIÇÃO DOS PARAFUSOS DO PESCADOR.</t>
  </si>
  <si>
    <t xml:space="preserve"> Serviço foi realizado através da classificação 5 - SERVIÇO EMERGENCIAL SEM NF devido estarmos com inúmeros pontos de ruptura no casco interno do digestor de vísceras 01 comprometendo significativamente o tempo de cozimento, além disso os parafusos do pescador também estavam danificados comprometendo a posição correta do mesmo.</t>
  </si>
  <si>
    <t>49096 
49377</t>
  </si>
  <si>
    <t>SERVIÇO DE TERCEIRO COM MÃO DE OBRA E MATERIAL PARA CONSERTO DE 02 TECLADOS ELETRÔNICOS DA GRAMPEADEIRA AUTOMÁTICA POLY-CLIP FCA80, SENDO: SUBSTITUIÇÃO DA MEMBRANA FRONTAL; REPARO NO CIRCUITO DE PROCESSAMENTO; TESTES EM BANCADA; LIMPEZA E REVISÃO GERAL.</t>
  </si>
  <si>
    <t>80054 -  5.380,40
80057 - 5.248,10</t>
  </si>
  <si>
    <t>USINAGEM EIXO ELEVADOR COSTELINHA/USINAGEM DE FLANGE NOVA PARAFUSO ALEN M12X30 INOX E GAVANIZADO</t>
  </si>
  <si>
    <t>O componente foi encaminhado para empresa terceira em razão da indisponibilidade de material e recursos internos necessários para a confecção do eixo. Considerando que se trata do elevador responsável pelo levantamento dos carrinhos de massa, equipamento essencial para a continuidade do processo de embutimento, a execução deste serviço externo foi necessária para evitar a parada do equipamento e consequentes impactos na produção.</t>
  </si>
  <si>
    <t>CHROMPACK INSTRUMENTOS CIENTIFICOS LTDA</t>
  </si>
  <si>
    <t>CALIBRAÇÃO DOS EQUIPAMENTOS DE SEGURANÇA  TRÊS MEDIDORES DE RUÍDO.</t>
  </si>
  <si>
    <t>Serviço de mão de obra e material para realizar usinagem em polia para redutor utilizado na nórea de derrubada do mezanino</t>
  </si>
  <si>
    <t xml:space="preserve">- MÃO DE OBRA PARA REALIZAR SERVIÇOS PREVISTOS NA VOEC DO SIF E AUTOCONTROLE COMO SERVIÇO DE INSTALAÇÃO
DE PROTETORES DE RODAPÉ INOX SCH 40 NAS CÂMARAS DA LOGISTICA E CONGELADOS;
- INSTALAÇÃO DE PERFIL DE ALUMINIO DAS QUINAS DAS PORTAS E PAREDES DE ISOPAINEL;
- SUBSTITUIÇÃO DE PROTETORES RODAPES INOX SCH 40 NA DESENFORMAGEM DA PRESUNTARIA;
- ADEQUAÇÃO DE PLATAFORMAS DE ALTURA PARA EMBALAGEM SECUNDÁRIA DO CORTES E PARA EMBALAGEM SECUNDÁRIA
DO INDUSTRIALIZADOS;
- SUBSTITUIÇÃO DE CHAPAS AÇO CARBONO POR AÇO INOX DOS PORTÕES DA POCILGA;
- SUBSTITUIÇÃO DOS PÉS DE SUSTENTAÇÃO DA TUBULAÇÃO DE AMONIA DOS CONDENSADORES DA SALA DE MÁQUINAS;
- SUBSTITUIÇÃO DE TUBULAÇÕES SOBRE O PISO TÉCNICO QUE ESTÃO DETETIORADAS POR AÇO INOX SCH 40 SOBRE A
EMBALAGEM SECUNDÁRIA, PALETIZAÇÃO E SOBRE O ABATE ZONA SUJA E LIMPA;
- SERVIÇO DE ADEQUAÇÃO DO TROCADOR DE CALOR AGUA 90ºc SOBRE O PISO TÉCNICO DO ABATE E NIVELAMENTO DOS PIPE
RACK;
SERVIÇOS A SEREM EXECUTADO SDENTRO DA UNIDADE.
</t>
  </si>
  <si>
    <t>2 ORÇ.</t>
  </si>
  <si>
    <t>- MATERIAL E MÃO DE OBRA PARA CONFECÇÃO E SUBSTITUIÇÃO DE 50 METROS DE CORRENTE ZINCADA A QUENTE DE 1/2" COM 50 SUPORTES DE FIXAÇÃO PARA ARRASTADORES, 25 ARRASTADORES DE 990MM DE COMPRIMENTO, 1 EIXO DE TRAÇÃO, 1 EIXO GUIA, 2 ENGRENAGEN DE TRAÇÃO, 4 GUIAS DE CORRENTE PARA OS EIXOS, 4 ROLAMENTOS E 4 MANCAIS.G786</t>
  </si>
  <si>
    <t>Balena - 96809 - 88.132,38
Bemag - 111 - 43.500,00</t>
  </si>
  <si>
    <t>Serviço deve ser realizado de forma urgente devido a quantidade de paradas e chamados que vem acontecendo no arrastador de pelos. É indispensável que este equipamento tenha seu funcionamento pleno, pois qualquer falha pode parar a processo de abate de suínos, pois prejudica o funcionamento da Depiladora Continua deixando assim os suínos mal depilados, problematizando o processo. Foi orçado com 4 empresas, porém existem apenas dois orçamentos pois foram os que enviaram até a data de hoje dia 05/05/2026, como é possível verificar na sequência do Email, a data limite era dia 01/05/2026, justificando assim a compra com dois orçamentos</t>
  </si>
  <si>
    <t>Serviço referente à mão de obra de substituição de bate rodas do estacionamento externo dos caminhões</t>
  </si>
  <si>
    <t>DE PAULA - 2026280401 - 4640,00
J ORTIZ - 3886 - 4950,00
FINISSIMA - 73 - 11.256,00</t>
  </si>
  <si>
    <t>ELETROMOTORES BADAN LIMITADA</t>
  </si>
  <si>
    <t>ELETROMOTORES BADAN - 1554 - 127.400,00</t>
  </si>
  <si>
    <t>Weber</t>
  </si>
  <si>
    <t>SERVIÇO DE ATENDIMENTO REMOTO</t>
  </si>
  <si>
    <t>weber - 562,10</t>
  </si>
  <si>
    <t>ACESSO REMOTO</t>
  </si>
  <si>
    <t>Fornecedor</t>
  </si>
  <si>
    <t>Status</t>
  </si>
  <si>
    <t>Nº Aurora</t>
  </si>
  <si>
    <t>Seq. Aurora</t>
  </si>
  <si>
    <t>Valor</t>
  </si>
  <si>
    <t>Requisição</t>
  </si>
  <si>
    <t>Pedido</t>
  </si>
  <si>
    <t>C.A</t>
  </si>
  <si>
    <t>Responsável</t>
  </si>
  <si>
    <t>Inicio</t>
  </si>
  <si>
    <t>Fim</t>
  </si>
  <si>
    <t>Comprador</t>
  </si>
  <si>
    <t>Descrição do Contrato</t>
  </si>
  <si>
    <t>Crown</t>
  </si>
  <si>
    <t>VIGENTE</t>
  </si>
  <si>
    <t>Rateio</t>
  </si>
  <si>
    <t>Sara</t>
  </si>
  <si>
    <t>Locação de paleteira e transpaleteira</t>
  </si>
  <si>
    <t>ENCERRADO 16/10/2024</t>
  </si>
  <si>
    <t>EUR 26.916.99</t>
  </si>
  <si>
    <t>CRISTIANO</t>
  </si>
  <si>
    <t>Serviço de TI e informática</t>
  </si>
  <si>
    <t>Soma</t>
  </si>
  <si>
    <t>LEONARDO</t>
  </si>
  <si>
    <t>Locação de impressora</t>
  </si>
  <si>
    <t>Disktran</t>
  </si>
  <si>
    <t>Joel Moises</t>
  </si>
  <si>
    <t>Locação de transpaleteira</t>
  </si>
  <si>
    <t>Toledo</t>
  </si>
  <si>
    <t>VIGENTE (MATRIZ)</t>
  </si>
  <si>
    <t>PAULO ROBERTO</t>
  </si>
  <si>
    <t>Vlademir Lourenço</t>
  </si>
  <si>
    <t>Contrato de Manutenção de Software</t>
  </si>
  <si>
    <t>ok - lançado pela matriz de acordo com a Rebecca Stter Scalvi Macharett</t>
  </si>
  <si>
    <t>VERIFICAR</t>
  </si>
  <si>
    <t>Messer</t>
  </si>
  <si>
    <t>espostejamento</t>
  </si>
  <si>
    <t>ERIC</t>
  </si>
  <si>
    <t>Locação do Tanque de CO2</t>
  </si>
  <si>
    <t>Serviço assistencia técnica no tanque de C.O</t>
  </si>
  <si>
    <t>Cricom</t>
  </si>
  <si>
    <t xml:space="preserve">
440,00 </t>
  </si>
  <si>
    <t>Sem data definida.</t>
  </si>
  <si>
    <t>Serviço de legalização e licenciamento dos comunicadores radiofrequência junto a Anatel.</t>
  </si>
  <si>
    <t>Abix</t>
  </si>
  <si>
    <t>CA 2054:  406,73 (todos CA do ADM)
CA 2208: 2.672,78 (todos os CA que envolve dep. manutenção).
CA 1155: 2.730,89 (todos os CA da produção).</t>
  </si>
  <si>
    <t>Serviço de locação de radiotransmissores e central, composta por um sistema de repetidoras e baterias estacionárias, para a planta.
88 unidades - PD506 - Rádio Portátil em UHF
(Kit contém: Rádio, Transformador, Base e Bateria)
88 unidades - PD506 - Bateria Extra (1500mAh)
2 unidades  - Estação Base - Repetidora Digital
(Cada Repetidora permite a conversação de 2 grupos
simultâneos, duas repetidoras devem atender à demanda dessa
unidade)</t>
  </si>
  <si>
    <t>ELECTRA ENERGIA</t>
  </si>
  <si>
    <t>UNIDADE</t>
  </si>
  <si>
    <t>REFERENTE A ENERGIA ELETRICA DA SUBESTAÇÃO</t>
  </si>
  <si>
    <t>VIDALAR</t>
  </si>
  <si>
    <t>ENCERRADO 30/11/2025</t>
  </si>
  <si>
    <t>SERVIÇO DE MÃO DE OBRA ESPECIALIZADA PARA MANUTENÇÃO DO SISTEMA DE CLIMATIZAÇÃO COM ELABORAÇÃO E GESTÃO DO PMOC (PLANO DE MANUTENÇÃO, OPERAÇÃO E CONTROLE) COM EMISSÃO E RECOLHIMENTO DA ART (ANOTAÇÃO DE RESPONSABILIDADE TÉCNICA ¿ CREA), CONFORME CONTRATO SEQ. AURORA Nº 15713, NÚMERO AURORA 119738.</t>
  </si>
  <si>
    <t>GATO AR CONDICIONADO (OS TAURAS DO AR)</t>
  </si>
  <si>
    <t>JEVERSON</t>
  </si>
  <si>
    <t>DELTA</t>
  </si>
  <si>
    <t xml:space="preserve">CA 2488 – ABT
R$ 275,00
CA 1236 - GEV
R$ 275,00
CA 1244 - ETA
R$ 275,00
CA 1228 - ETE
R$ 275,00
CA 2330 - FFG
R$ 275,00
CA 1210 - GEF
R$ 275,00
CA 2283 - CEB
R$ 275,00
CA 4057 - SRF
R$ 275,00
CA 2291 - PRU
R$ 275,00
CA 4588 - EST
R$ 275,00
</t>
  </si>
  <si>
    <t>serviços 
especializados de manutenção preventiva mensal de 143 (cento e quarenta e três) conjuntos de 
equipamentos industriais, monitoramento e análise de vibração para análises preditivas e emissão do 
relatório/laudo técnico</t>
  </si>
  <si>
    <t>2224 - 25%
2488 - 75%</t>
  </si>
  <si>
    <t>CORPORATIVO</t>
  </si>
  <si>
    <t>VINICIUS BECHER</t>
  </si>
  <si>
    <t>referente a parcela da proposta O291631 de Contrato para prestação de serviços.</t>
  </si>
  <si>
    <t>VARIÁVEL</t>
  </si>
  <si>
    <r>
      <rPr>
        <sz val="11"/>
        <color rgb="FF000000"/>
        <rFont val="Calibri"/>
        <scheme val="minor"/>
      </rPr>
      <t xml:space="preserve">CONTRATO PARA SERVIÇO DE MUNK  
MUNCK MODELO ATÉ 12 TON </t>
    </r>
    <r>
      <rPr>
        <b/>
        <sz val="11"/>
        <color rgb="FFFF0000"/>
        <rFont val="Calibri"/>
        <scheme val="minor"/>
      </rPr>
      <t xml:space="preserve">SEM </t>
    </r>
    <r>
      <rPr>
        <sz val="11"/>
        <color rgb="FF000000"/>
        <rFont val="Calibri"/>
        <scheme val="minor"/>
      </rPr>
      <t>CESTO AEREO OU PORTA PALET</t>
    </r>
  </si>
  <si>
    <r>
      <rPr>
        <sz val="11"/>
        <color rgb="FF000000"/>
        <rFont val="Calibri"/>
        <scheme val="minor"/>
      </rPr>
      <t xml:space="preserve">CONTRATO PARA SERVIÇO DE MUNK  
MUNCK MODELO ATÉ 12 TON </t>
    </r>
    <r>
      <rPr>
        <b/>
        <sz val="11"/>
        <color rgb="FFFF0000"/>
        <rFont val="Calibri"/>
        <scheme val="minor"/>
      </rPr>
      <t xml:space="preserve">COM </t>
    </r>
    <r>
      <rPr>
        <sz val="11"/>
        <color rgb="FF000000"/>
        <rFont val="Calibri"/>
        <scheme val="minor"/>
      </rPr>
      <t>CESTO AEREO OU PORTA PALET</t>
    </r>
  </si>
  <si>
    <r>
      <rPr>
        <sz val="11"/>
        <color rgb="FF000000"/>
        <rFont val="Calibri"/>
        <scheme val="minor"/>
      </rPr>
      <t xml:space="preserve">CONTRATO PARA SERVIÇO DE MUNK  
MUNCK MODELO ATÉ 12 TON </t>
    </r>
    <r>
      <rPr>
        <b/>
        <sz val="11"/>
        <color rgb="FFFF0000"/>
        <rFont val="Calibri"/>
        <scheme val="minor"/>
      </rPr>
      <t>PARA PEFURAÇÃO</t>
    </r>
    <r>
      <rPr>
        <sz val="11"/>
        <color rgb="FF000000"/>
        <rFont val="Calibri"/>
        <scheme val="minor"/>
      </rPr>
      <t xml:space="preserve"> DE ESTACAS ATÉ 6 METROS</t>
    </r>
  </si>
  <si>
    <t>z</t>
  </si>
  <si>
    <t>ALEXANDRE ROSSETTO</t>
  </si>
  <si>
    <t>Manutenção preventiva nos compressores de amônia.</t>
  </si>
  <si>
    <t>DR AMBIENTAL</t>
  </si>
  <si>
    <t>GIOVANA</t>
  </si>
  <si>
    <r>
      <rPr>
        <sz val="11"/>
        <color rgb="FF000000"/>
        <rFont val="Calibri"/>
        <scheme val="minor"/>
      </rPr>
      <t xml:space="preserve">LIMPEZA COM CAMINHÕES DE HIDROVACUO E HIDROJATEAMENTO
</t>
    </r>
    <r>
      <rPr>
        <b/>
        <sz val="11"/>
        <color rgb="FFFF0000"/>
        <rFont val="Calibri"/>
        <scheme val="minor"/>
      </rPr>
      <t>MEIA DIÁRIA</t>
    </r>
  </si>
  <si>
    <r>
      <rPr>
        <sz val="11"/>
        <color rgb="FF000000"/>
        <rFont val="Calibri"/>
        <scheme val="minor"/>
      </rPr>
      <t xml:space="preserve">LIMPEZA COM CAMINHÕES DE HIDROVACUO E HIDROJATEAMENTO
</t>
    </r>
    <r>
      <rPr>
        <b/>
        <sz val="11"/>
        <color rgb="FFFF0000"/>
        <rFont val="Calibri"/>
        <scheme val="minor"/>
      </rPr>
      <t>DIÁRIA</t>
    </r>
  </si>
  <si>
    <t>850 A HORA 
550 MOBILIZAÇÃO COM CONTRATAÇÃO MINIMA DE 2 HORAS
14,16667 reais por minuto</t>
  </si>
  <si>
    <r>
      <rPr>
        <sz val="11"/>
        <color rgb="FF000000"/>
        <rFont val="Calibri"/>
        <scheme val="minor"/>
      </rPr>
      <t xml:space="preserve">LIMPEZA COM CAMINHÕES DE HIDROVACUO E HIDROJATEAMENTO
</t>
    </r>
    <r>
      <rPr>
        <b/>
        <sz val="11"/>
        <color rgb="FFFF0000"/>
        <rFont val="Calibri"/>
        <scheme val="minor"/>
      </rPr>
      <t>POR HORA</t>
    </r>
  </si>
  <si>
    <r>
      <rPr>
        <sz val="11"/>
        <color rgb="FF000000"/>
        <rFont val="Calibri"/>
        <scheme val="minor"/>
      </rPr>
      <t xml:space="preserve">variaveis com os </t>
    </r>
    <r>
      <rPr>
        <b/>
        <sz val="11"/>
        <color rgb="FFFF0000"/>
        <rFont val="Calibri"/>
        <scheme val="minor"/>
      </rPr>
      <t xml:space="preserve">25 % </t>
    </r>
    <r>
      <rPr>
        <sz val="11"/>
        <color rgb="FF000000"/>
        <rFont val="Calibri"/>
        <scheme val="minor"/>
      </rPr>
      <t xml:space="preserve">e adiconal por hora </t>
    </r>
  </si>
  <si>
    <t>MUNKART</t>
  </si>
  <si>
    <t>R$190,00 por hora (seg a sex)
R$210,00 por hora (sáb, dom, feriados)</t>
  </si>
  <si>
    <t>Mínimo 3 horas de permanência</t>
  </si>
  <si>
    <t>CONTRATO</t>
  </si>
  <si>
    <t>FORNECEDOR</t>
  </si>
  <si>
    <t>OPTANTE SIMPLES NACIONAL</t>
  </si>
  <si>
    <t>VALOR TOTAL/VALOR BRUTO</t>
  </si>
  <si>
    <t>EMISSÃO DA NF</t>
  </si>
  <si>
    <t>INCLUSÃO NA 198</t>
  </si>
  <si>
    <t>NF</t>
  </si>
  <si>
    <t>USO CONT.</t>
  </si>
  <si>
    <t>LANÇAMENTO REALIZADO POR</t>
  </si>
  <si>
    <t>RCS (teste)</t>
  </si>
  <si>
    <t>OBS. DE INRREGULARIDADES</t>
  </si>
  <si>
    <t>LOCAÇÃO DE EQUIPAMENTOS UTILIZADOS PARA MOVIMENTAÇÃO DE
 CARGAS PALETIZADAS REFERENTE AO CONTRATO SEQUENCIA AURORA:3624 - Nº AURORA 111657</t>
  </si>
  <si>
    <t>Sequencia Aurora:3624
nº aurora 111657</t>
  </si>
  <si>
    <t>DISKTRANS</t>
  </si>
  <si>
    <t>RATEIO</t>
  </si>
  <si>
    <t>NF LANÇADA</t>
  </si>
  <si>
    <t>CAMILA</t>
  </si>
  <si>
    <t>TAYANE</t>
  </si>
  <si>
    <t xml:space="preserve">NF LANÇADA </t>
  </si>
  <si>
    <t>LOCAÇÃO TANQUE C.O2</t>
  </si>
  <si>
    <t>112582
14441</t>
  </si>
  <si>
    <t>MESSER</t>
  </si>
  <si>
    <t>ASSISTENCIA TÉCNICA DO TANQUE DE CO2.</t>
  </si>
  <si>
    <t xml:space="preserve">ASSISTENCIA TÉCNICA DO TANQUE DE CO2. - 112582 - 14441
</t>
  </si>
  <si>
    <t>114403	9655</t>
  </si>
  <si>
    <t>CRICOM</t>
  </si>
  <si>
    <t xml:space="preserve">Operação Tratamento de Efluentes	1228	3	3,75%	 R$ 15,00 
Operação de Frio	1210	3	3,75%	 R$ 15,00 
Operação de Calor	1236	2	2,50%	 R$ 10,00 
Abate/Resfriamento	2488	4	5,00%	 R$ 20,00 
Recepção de Suínos	2216	3	3,75%	 R$ 15,00 
Espostejamento	2224	8	10,00%	 R$ 40,00 
Higienização	2437	2	2,50%	 R$ 10,00 
Túneis e Câmaras	2313	2	2,50%	 R$ 10,00 
Embalagem (Cortes)	4413	1	1,25%	 R$ 5,00 
Logística	2348	2	2,50%	 R$ 10,00 
Fábrica de Farinha	2330	2	2,50%	 R$ 10,00 
Produção	2208	3	3,75%	 R$ 15,00 
Frescais	4057	1	1,25%	 R$ 5,00 
Presuntaria 	2291	1	1,25%	 R$ 5,00 
Cozidos	2283	1	1,25%	 R$ 5,00 
Embalagem secundária (Ind)	5345	1	1,25%	 R$ 5,00 
Fatiados	4600	1	1,25%	 R$ 5,00 
Curados	5525	1	1,25%	 R$ 5,00 
SESMT	2101	4	5,00%	 R$ 20,00 
Manut. Elétrica	1163	13	16,25%	 R$ 65,00 
Manut. Mecanica	1171	16	20,00%	 R$ 80,00 
Manut. Civil	1180	1	1,25%	 R$ 5,00 
Engenharia e Manutenção	1155	3	3,75%	 R$ 15,00 
Adm	2054	1	1,25%	 R$ 5,00 
Controle de Materiais	2089	1	1,25%	 R$ 5,00 
</t>
  </si>
  <si>
    <t>59 conta
81 USO</t>
  </si>
  <si>
    <r>
      <rPr>
        <sz val="11"/>
        <color rgb="FFFF0000"/>
        <rFont val="Calibri"/>
        <scheme val="minor"/>
      </rPr>
      <t xml:space="preserve">152
</t>
    </r>
    <r>
      <rPr>
        <sz val="11"/>
        <color rgb="FF000000"/>
        <rFont val="Calibri"/>
        <scheme val="minor"/>
      </rPr>
      <t>619</t>
    </r>
  </si>
  <si>
    <t>3796497
3799643</t>
  </si>
  <si>
    <t>"Serviço de locação de radiotransmissores e central, composta por um sistema de repetidoras e baterias estacionárias, para a planta.
CONTRATO 114402 - 9654"</t>
  </si>
  <si>
    <t>114402	9654</t>
  </si>
  <si>
    <t>ABIX</t>
  </si>
  <si>
    <t xml:space="preserve">Operação Tratamento de Efluentes	1228	3	3,75%	 R$ 239,68 
Operação de Frio	1210	3	3,75%	 R$ 239,68 
Operação de Calor	1236	2	2,50%	 R$ 159,79 
Abate/Resfriamento	2488	4	5,00%	 R$ 319,57 
Recepção de Suínos	2216	3	3,75%	 R$ 239,68 
Espostejamento	2224	8	10,00%	 R$ 639,14 
Higienização	2437	2	2,50%	 R$ 159,79 
Túneis e Câmaras	2313	2	2,50%	 R$ 159,79 
Embalagem (Cortes)	4413	1	1,25%	 R$ 79,89 
Logística	2348	2	2,50%	 R$ 159,79 
Fábrica de Farinha	2330	2	2,50%	 R$ 159,79 
Produção	2208	3	3,75%	 R$ 239,68 
Frescais	4057	1	1,25%	 R$ 79,89 
Presuntaria 	2291	1	1,25%	 R$ 79,89 
Cozidos	2283	1	1,25%	 R$ 79,89 
Embalagem secundária (Ind)	5345	1	1,25%	 R$ 79,89 
Fatiados	4600	1	1,25%	 R$ 79,89 
Curados	5525	1	1,25%	 R$ 79,89 
SESMT	2101	4	5,00%	 R$ 319,57 
Manut. Elétrica	1163	13	16,25%	 R$ 1.038,61 
Manut. Mecanica	1171	16	20,00%	 R$ 1.278,29 
Manut. Civil	1180	1	1,25%	 R$ 79,89 
Engenharia e Manutenção	1155	3	3,75%	 R$ 239,68 
Adm	2054	1	1,25%	 R$ 79,89 
Controle de Materiais	2089	1	1,25%	 R$ 79,89 
</t>
  </si>
  <si>
    <t>Operação Tratamento de Efluentes	1228	3,75%	217,89
Operação de Frio	1210	3,75%	217,89
Operação de Calor	1236	2,50%	145,26
Abate/Resfriamento	2488	5,00%	290,52
Recepção de Suínos	2216	3,75%	217,89
Espostejamento	2224	10,00%	581,04
Higienização	2437	2,50%	145,26
Túneis e Câmaras	2313	2,50%	145,26
Embalagem (Cortes)	4413	1,25%	72,63
Logística	2348	2,50%	145,26
Fábrica de Farinha	2330	2,50%	145,26
Produção	2208	3,75%	217,89
Frescais	4057	1,25%	72,63
Presuntaria 	2291	1,25%	72,63
Cozidos	2283	1,25%	72,63
Embalagem secundária (Ind)	5345	1,25%	72,63
Fatiados	4600	1,25%	72,63
Curados	5525	1,25%	72,63
SESMT	2101	5,00%	290,52
Manut. Elétrica	1163	16,25%	944,19
Manut. Mecanica	1171	20,00%	1162,08
Manut. Civil	1180	1,25%	72,63
Engenharia e Manutenção	1155	3,75%	217,89
Adm	2054	1,25%	72,63
Controle de Materiais	2089	1,25%	72,63</t>
  </si>
  <si>
    <t>CA 2054:  406,73 (todos CA do ADM)
CA 2208: 2.672,78 (todos os CA que envolve dep. manutenção).
CA 1163: 2.730,89 (todos os CA da produção).</t>
  </si>
  <si>
    <t>354 conta
262 USO</t>
  </si>
  <si>
    <r>
      <rPr>
        <sz val="11"/>
        <color rgb="FFFF0000"/>
        <rFont val="Calibri"/>
        <scheme val="minor"/>
      </rPr>
      <t xml:space="preserve">1004
</t>
    </r>
    <r>
      <rPr>
        <sz val="11"/>
        <color rgb="FF000000"/>
        <rFont val="Calibri"/>
        <scheme val="minor"/>
      </rPr>
      <t>1004</t>
    </r>
  </si>
  <si>
    <t>2054:  426,11(todos CA do ADM)
2208: 2.800,16 (todos os CA que envolve dep. manutenção).
1163: 2.861,03 (todos os CA da produção).</t>
  </si>
  <si>
    <r>
      <rPr>
        <sz val="11"/>
        <color rgb="FF000000"/>
        <rFont val="Calibri"/>
        <scheme val="minor"/>
      </rPr>
      <t>262</t>
    </r>
    <r>
      <rPr>
        <b/>
        <sz val="11"/>
        <color rgb="FF000000"/>
        <rFont val="Calibri"/>
        <scheme val="minor"/>
      </rPr>
      <t xml:space="preserve"> </t>
    </r>
    <r>
      <rPr>
        <b/>
        <sz val="11"/>
        <color rgb="FFFF0000"/>
        <rFont val="Calibri"/>
        <scheme val="minor"/>
      </rPr>
      <t>- FATURA</t>
    </r>
  </si>
  <si>
    <r>
      <rPr>
        <sz val="11"/>
        <color rgb="FF000000"/>
        <rFont val="Calibri"/>
        <scheme val="minor"/>
      </rPr>
      <t xml:space="preserve">262 </t>
    </r>
    <r>
      <rPr>
        <b/>
        <sz val="11"/>
        <color rgb="FFFF0000"/>
        <rFont val="Calibri"/>
        <scheme val="minor"/>
      </rPr>
      <t>- FATURA</t>
    </r>
  </si>
  <si>
    <r>
      <rPr>
        <sz val="11"/>
        <color rgb="FF000000"/>
        <rFont val="Calibri"/>
        <scheme val="minor"/>
      </rPr>
      <t xml:space="preserve">262 - </t>
    </r>
    <r>
      <rPr>
        <b/>
        <sz val="11"/>
        <color rgb="FFFF0000"/>
        <rFont val="Calibri"/>
        <scheme val="minor"/>
      </rPr>
      <t>FATURA</t>
    </r>
  </si>
  <si>
    <t>ELECTRA</t>
  </si>
  <si>
    <t>ADRIANA</t>
  </si>
  <si>
    <t>91230	316</t>
  </si>
  <si>
    <t>3547890 - 
3550014 - 3557528</t>
  </si>
  <si>
    <t>Mão de obra terceira para realizar a aferição da vibração nas máquinas, verificando a vida útil dos rolamentos de motores e caixas redutoras. 
Confeccionar um relatório após as análises e apresentar assim que finalizado.</t>
  </si>
  <si>
    <t>NF CANCELADA - EMITIDA APÓS O PRAZO</t>
  </si>
  <si>
    <t>"Mão de obra terceira para realizar a aferição da vibração nas máquinas, verificando a vida útil dos rolamentos de motores e caixas redutoras. 
Confeccionar um relatório após as análises e apresentar assim que finalizado."</t>
  </si>
  <si>
    <t xml:space="preserve">MÃO DE OBRA TERCEIRA PARA REALIZAR A AFERIÇÃO DA VIBRAÇÃO NAS MÁQUINAS, VERIFICANDO A VIDA ÚTIL DOS ROLAMENTOS DE MOTORES E CAIXAS REDUTORAS. 
CONFECCIONAR UM RELATÓRIO APÓS AS ANÁLISES E APRESENTAR ASSIM QUE FINALIZADO.
</t>
  </si>
  <si>
    <t>NF CANCELADA - EMITIDA APÓS O PRAZO PERMITIDO PARA LANÇAMENTO</t>
  </si>
  <si>
    <t>NOTA CANCELADA - EMITIDA APÓS PRAZO</t>
  </si>
  <si>
    <t xml:space="preserve">          FRANCIS </t>
  </si>
  <si>
    <t>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
Contrato Seq. Aurora nº 15839 e número Aurora 119950.</t>
  </si>
  <si>
    <t>119950 - 15839</t>
  </si>
  <si>
    <r>
      <rPr>
        <sz val="11"/>
        <color rgb="FFFF0000"/>
        <rFont val="Calibri"/>
        <scheme val="minor"/>
      </rPr>
      <t xml:space="preserve">1559
</t>
    </r>
    <r>
      <rPr>
        <sz val="11"/>
        <color rgb="FF000000"/>
        <rFont val="Calibri"/>
        <scheme val="minor"/>
      </rPr>
      <t>1560</t>
    </r>
  </si>
  <si>
    <t xml:space="preserve">CA 2488 – ABT
R$ 275,00
CA 1236 - GEV
R$ 275,00
CA 1244 - ETA
R$ 275,00
CA 1228 - ETE
R$ 275,00
CA 2330 - FFG
R$ 275,00
CA 1210 - GEF
R$ 275,00
CA 2283 - CEB
R$ 275,00
CA 4057 - SRF
R$ 275,00
CA 2291 - PRU
R$ 275,00
CA 4588 - EST
R$ 275,00
</t>
  </si>
  <si>
    <t>NF CANCELADA - EMITIDA EM DUPLICIDADE COM A NOTA 1560 DO CONTRATO</t>
  </si>
  <si>
    <t>CA 2488 – ABT
R$ 275,00
CA 1236 - GEV
R$ 275,00
CA 1244 - ETA
R$ 275,00
CA 1228 - ETE
R$ 275,00
CA 2330 - FFG
R$ 275,00
CA 1210 - GEF
R$ 275,00
CA 2283 - CEB
R$ 275,00
CA 4057 - SRF
R$ 275,00
CA 2291 - PRU
R$ 275,00
CA 4588 - EST
R$ 275,00</t>
  </si>
  <si>
    <t xml:space="preserve">SERVIÇO DE 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
</t>
  </si>
  <si>
    <t xml:space="preserve">CA 2488 – 275,00
CA 1236 -  275,00
CA 1244 -  275,00
CA 1228 - 275,00
CA 2330 -  275,00
CA 1210 - 275,00
CA 2283 - 275,00
CA 4057 -  275,00
CA 2291 -  275,00
CA 4588 -  275,00
</t>
  </si>
  <si>
    <t>SERVIÇO DE 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t>
  </si>
  <si>
    <t xml:space="preserve">CA 2488 – 275,00
CA 1236 -  275,00
CA 1244 -  275,00
CA 1228 - 275,00
CA 2330 -  275,00
CA 1210 - 275,00
CA 2283 - 275,00
CA 4057 -  275,00
CA 2291 -  275,00
CA 4588 -  275,00
</t>
  </si>
  <si>
    <t>referente a 01ª parcela da proposta O291631 de Contrato para prestação de serviços.</t>
  </si>
  <si>
    <t>Nº Aurora 112762	- Seq. 14442</t>
  </si>
  <si>
    <r>
      <rPr>
        <sz val="11"/>
        <color rgb="FFFF0000"/>
        <rFont val="Calibri"/>
        <scheme val="minor"/>
      </rPr>
      <t xml:space="preserve">4227
</t>
    </r>
    <r>
      <rPr>
        <sz val="11"/>
        <color rgb="FF000000"/>
        <rFont val="Calibri"/>
        <scheme val="minor"/>
      </rPr>
      <t>4244</t>
    </r>
  </si>
  <si>
    <t>referente a 02ª parcela da proposta O291631 de Contrato para prestação de serviços.</t>
  </si>
  <si>
    <t>referente a 03ª parcela da proposta O291631 de Contrato para prestação de serviços.</t>
  </si>
  <si>
    <t>referente a 04ª parcela da proposta O291631 de Contrato para prestação de serviços.</t>
  </si>
  <si>
    <t>referente a 05ª parcela da proposta O291631 de Contrato para prestação de serviços.</t>
  </si>
  <si>
    <t>referente a 06ª parcela da proposta O291631 de Contrato para prestação de serviços.</t>
  </si>
  <si>
    <t>referente a 07ª parcela da proposta O291631 de Contrato para prestação de serviços.</t>
  </si>
  <si>
    <t>referente a 08ª parcela da proposta O291631 de Contrato para prestação de serviços.</t>
  </si>
  <si>
    <t>referente a 09ª parcela da proposta O291631 de Contrato para prestação de serviços.</t>
  </si>
  <si>
    <t>referente a 10ª parcela da proposta O291631 de Contrato para prestação de serviços.</t>
  </si>
  <si>
    <t>"2224 - 25% - 7.367,76
2488 - 75% - 22.103,26"</t>
  </si>
  <si>
    <t>contrato 112325
seq Aurora  14277</t>
  </si>
  <si>
    <t>NAVIER</t>
  </si>
  <si>
    <t>Manutenção preventiva nos compressores de amônia. PARCELA 1/36</t>
  </si>
  <si>
    <t>121666	- 16242</t>
  </si>
  <si>
    <t>Manutenção preventiva nos compressores de amônia. PARCELA 02/36</t>
  </si>
  <si>
    <t>Manutenção preventiva nos compressores de amônia. PARCELA 03/36</t>
  </si>
  <si>
    <t>Manutenção preventiva nos compressores de amônia. PARCELA 04/36</t>
  </si>
  <si>
    <t>Manutenção preventiva nos compressores de amônia. PARCELA 05/36</t>
  </si>
  <si>
    <t>CAMILA*</t>
  </si>
  <si>
    <t>Manutenção preventiva nos compressores de amônia. PARCELA 06/36</t>
  </si>
  <si>
    <t>FATURA CANCELADA POR COBRANÇAS DIVERGENTES</t>
  </si>
  <si>
    <t>"SERVIÇO DE CONSERTO ELÉTRICO DE EMPILHADEIRA A COMBUSTÃO REALIZADO DENTRO DA UNIDADE PELA EMPRESA ESPECIALIZADA NO EQUIPAMENTO. EQUIPAMENTO ESTAVA PARADO DEVIDO ROMPIMENTO DE MANGUEIRA E VAZAMENTO DE ÓLEO, SENDO NECESSÁRIO CHAMAR A EMPRESA PARA CONSERTO URGENTE DEVIDO EQUIPAMENTO SER USADO PARA TRANSPORTE DE MATERIAIS E CONDIMENTOS PARA ABASTECIMENTO DO FRIGORIFICO E INDUSTRIALIZADOS
NF 4743"</t>
  </si>
  <si>
    <t>SERVIÇO DE CONSERTO ELÉTRICO DE TRANSPALETEIRA REALIZADO DENTRO DA UNIDADE PELA EMPRESA ESPECIALIZADA NO EQUIPAMENTO. EQUIPAMENTO ESTAVA PARADO DEVIDO TEREM MOLHADO O EQUIPAMENTO COM ÁGUA, OCASIONANDO ATENDIMENTO POR MAU USO.
NOTA 4823</t>
  </si>
  <si>
    <t xml:space="preserve">FATURA REFERENTE A LOCAÇÃO DE EQUIPAMENTOS </t>
  </si>
  <si>
    <t>NF CANCELADA</t>
  </si>
  <si>
    <t>rateio</t>
  </si>
  <si>
    <t>valor errado</t>
  </si>
  <si>
    <t>NF CANCELADA - VALOR INCORRETO</t>
  </si>
  <si>
    <t>fatura cancelada</t>
  </si>
  <si>
    <t>2348/2313</t>
  </si>
  <si>
    <t>Serviços de munck com cesto para colocação de tubos ETE - O.S.778</t>
  </si>
  <si>
    <t>Serviços de munck normal para erguer tubos, retirada de esteira e troca de plataforma doca - o.s. 671-675-783-779</t>
  </si>
  <si>
    <t>1228 - 2224 - 4472 -  800</t>
  </si>
  <si>
    <t>Manutenção preventiva nos compressores de amônia. PARCELA 07/36</t>
  </si>
  <si>
    <r>
      <rPr>
        <sz val="11"/>
        <color rgb="FFFF0000"/>
        <rFont val="Calibri"/>
        <scheme val="minor"/>
      </rPr>
      <t xml:space="preserve">881001017
</t>
    </r>
    <r>
      <rPr>
        <sz val="11"/>
        <color rgb="FF000000"/>
        <rFont val="Calibri"/>
        <scheme val="minor"/>
      </rPr>
      <t>74504</t>
    </r>
  </si>
  <si>
    <t>2054:  437,52 (todos CA do ADM)
2208: 2.875,11  (todos os CA que envolve dep. manutenção).
1163: 2.937,60 (todos os CA da produção).</t>
  </si>
  <si>
    <t>francis
CAMILA</t>
  </si>
  <si>
    <r>
      <rPr>
        <sz val="11"/>
        <color rgb="FFFF0000"/>
        <rFont val="Calibri"/>
        <scheme val="minor"/>
      </rPr>
      <t xml:space="preserve">263
</t>
    </r>
    <r>
      <rPr>
        <sz val="11"/>
        <color rgb="FF000000"/>
        <rFont val="Calibri"/>
        <scheme val="minor"/>
      </rPr>
      <t>721</t>
    </r>
  </si>
  <si>
    <t>referente a 11ª parcela da proposta O291631 de Contrato para prestação de serviços.</t>
  </si>
  <si>
    <t>Serviços de munck para alocação e remoção da balsa na lagoa de aeração ETE - O.S. 702-791</t>
  </si>
  <si>
    <t>Serviços de munck para troca de motor lagoa, movimentação niveladora da doca contentores e troca de ventilador - O.S. 701-703-704</t>
  </si>
  <si>
    <t xml:space="preserve">34% ETE 1228
33% ABATE 2488
33% CONDIMENTARIA 4472
</t>
  </si>
  <si>
    <t xml:space="preserve">FOSSA, RALO, E LIMPEZA DA SANGRIA </t>
  </si>
  <si>
    <t xml:space="preserve">limpeza de ralo e caixa de passagem no faqueiro do espostejamento </t>
  </si>
  <si>
    <t>128247	
18060</t>
  </si>
  <si>
    <t>GATO AR</t>
  </si>
  <si>
    <r>
      <rPr>
        <sz val="11"/>
        <color rgb="FFFF0000"/>
        <rFont val="Calibri"/>
        <scheme val="minor"/>
      </rPr>
      <t xml:space="preserve">705
</t>
    </r>
    <r>
      <rPr>
        <sz val="11"/>
        <color rgb="FF000000"/>
        <rFont val="Calibri"/>
        <scheme val="minor"/>
      </rPr>
      <t>708</t>
    </r>
  </si>
  <si>
    <t>referente a 12ª parcela da proposta O291631 de Contrato para prestação de serviços.</t>
  </si>
  <si>
    <t>CA 2488 – 275,00
CA 1236 -  275,00
CA 1244 -  275,00
CA 1228 - 275,00
CA 2330 -  275,00
CA 1210 - 275,00
CA 2283 - 275,00
CA 4057 -  275,00
CA 2291 -  275,00
CA 4588 -  275,00</t>
  </si>
  <si>
    <t>Serviços de munck com cadeirinha, içamento de ventilador - O.S. 686</t>
  </si>
  <si>
    <t xml:space="preserve">
Serviços de munck para movimentação de container, colocação de platibanda, içamento ventilador, retirada de barca lagoa ETE, movimentação de maquinas e 
troca de platibanda - O.S. 706-707-795-797-798-799</t>
  </si>
  <si>
    <t xml:space="preserve"> 707                                                                                             R$   1.800,00
2071
1210
706
 R$   1.000,00
2071
1210
798
 R$      800,00
2071
1228
799
 R$   1.000,00
2071
2330
795
 R$      800,00
2071
4057
797
 R$      800,00
2071
4472</t>
  </si>
  <si>
    <t>Manutenção preventiva nos compressores de amônia. PARCELA 08/36</t>
  </si>
  <si>
    <t>Manutenção preventiva nos compressores de amônia. PARCELA 09/36</t>
  </si>
  <si>
    <t>569 (referente a jan)</t>
  </si>
  <si>
    <t>Manutenção preventiva nos compressores de amônia. PARCELA 10/36</t>
  </si>
  <si>
    <t>568 (referente a fev)</t>
  </si>
  <si>
    <t>Manutenção preventiva nos compressores de amônia. PARCELA 11/36</t>
  </si>
  <si>
    <t>802 (referente a mar)</t>
  </si>
  <si>
    <t>Serviços de munck com cadeirinha para medição de gases da caldeira e colocação de tela biodigestor</t>
  </si>
  <si>
    <t>1236 - 2.050,00
1228 - 1.470,00</t>
  </si>
  <si>
    <t>Serviços de munck normal para retirada de esteiras, montagem de ventilador, descarregamento de tanque, colocar boia na lagoa, movimentação de motor,
montagem de motor, retirada de motor com compressor sala de máquinas - O.S. 714-715-718-719-720-693-694</t>
  </si>
  <si>
    <t xml:space="preserve">BRUNO 714 - 2244 1550
BRUNO 715 - 2470 1800
JEVERSON 720 - 2488 800
RAFAEL 694 - 2488 1300
JEVERSON 719 - 1210 800
TIAGO 693 - 1228 1500
JEVERSON 718 - 1210 800
</t>
  </si>
  <si>
    <t>O.S 16780</t>
  </si>
  <si>
    <t>122708	16445</t>
  </si>
  <si>
    <t xml:space="preserve">
Seviços de munck normal - O.S. 697-721-801-802-803-804-806-808-813
Tirar motor da lagoa
Retirada de exaustores da sala de máquina
Manutenção lagoa
Descarregar geradores ETA
Manutenção do trocador de calor
Troca de filtro natural eta 
Carregar lonas lagoa e montar medidor no biodigestor
Colocação do mexidor do biodigestor</t>
  </si>
  <si>
    <t>1244 - 2500,00
1228 - 2450,00
1210 - 800,00
2488 - 1300,00
2321 - 5250,00</t>
  </si>
  <si>
    <t>referente a 1ª/2026 parcela da proposta O291631 de Contrato para prestação de serviços.</t>
  </si>
  <si>
    <t xml:space="preserve">0,25	2224	 8.552,51 
0,75	2488	 25.657,53 </t>
  </si>
  <si>
    <t xml:space="preserve">
Seviços de munck normal - O.S. 809 - 700
Munck com cadeirinha biodigestor
Munck com cadeirinha verificar lona biodigestor</t>
  </si>
  <si>
    <r>
      <rPr>
        <sz val="11"/>
        <color rgb="FF000000"/>
        <rFont val="Calibri"/>
        <scheme val="minor"/>
      </rPr>
      <t xml:space="preserve">2113
</t>
    </r>
    <r>
      <rPr>
        <sz val="11"/>
        <color rgb="FFFF0000"/>
        <rFont val="Calibri"/>
        <scheme val="minor"/>
      </rPr>
      <t>2109</t>
    </r>
  </si>
  <si>
    <t>2321 - 1680,00</t>
  </si>
  <si>
    <t xml:space="preserve">Serviços de munck Normal - OS 724 - 810
Tirar motor da lagoa e colocar outro
Colocar fresa na oficina, buscar grades no ferro velho e trazer na oficina </t>
  </si>
  <si>
    <t>2321 - 1050,00
1151 - 1100,00</t>
  </si>
  <si>
    <t>SERVIÇO DE MÃO DE OBRA PARA REALIZAÇÃO DE ANÁLISES DE VIBRAÇÃO EM EQUIPAMENTOS E MÁQUINAS, VERIFICANDO A VIDA ÚTIL DOS ROLAMENTOS DE BOMBAS, MOTORES E REDUTORES. OBS: SERVIÇO DEVERÁ SER REALIZADO 1X POR MÊS DE JANEIRO A DEZEMBRO DE 2026, A CADA VISITA DEVERÁ SER APRESENTADO RELATÓRIOS DE DIAGNÓSTICOS E DE ALARMES COM OS HISTÓRICOS DAS ANÁLISES.
SERVIÇO REALIZADO EM JANEIRO/26</t>
  </si>
  <si>
    <t>SERVIÇO DE MÃO DE OBRA PARA REALIZAÇÃO DE ANÁLISES DE VIBRAÇÃO EM EQUIPAMENTOS E MÁQUINAS, VERIFICANDO A VIDA ÚTIL DOS ROLAMENTOS DE BOMBAS, MOTORES E REDUTORES. OBS: SERVIÇO DEVERÁ SER REALIZADO 1X POR MÊS DE JANEIRO A DEZEMBRO DE 2026, A CADA VISITA DEVERÁ SER APRESENTADO RELATÓRIOS DE DIAGNÓSTICOS E DE ALARMES COM OS HISTÓRICOS DAS ANÁLISES.
SERVIÇO REALIZADO EM FEVEREIRO/26</t>
  </si>
  <si>
    <t>SERVIÇO DE MÃO DE OBRA PARA REALIZAÇÃO DE ANÁLISES DE VIBRAÇÃO EM EQUIPAMENTOS E MÁQUINAS, VERIFICANDO A VIDA ÚTIL DOS ROLAMENTOS DE BOMBAS, MOTORES E REDUTORES. OBS: SERVIÇO DEVERÁ SER REALIZADO 1X POR MÊS DE JANEIRO A DEZEMBRO DE 2026, A CADA VISITA DEVERÁ SER APRESENTADO RELATÓRIOS DE DIAGNÓSTICOS E DE ALARMES COM OS HISTÓRICOS DAS ANÁLISES.
SERVIÇO REALIZADO EM MARÇO/26</t>
  </si>
  <si>
    <t>O.S 16912 - desentupimentos de ralos na galeria técnica (FFG) e posterior limpezas.
Também foi realizado desentupimento nas calhas da pocilga (Recebimento Suinos) com posterior limpeza.</t>
  </si>
  <si>
    <t>30% 2330
70% 2216</t>
  </si>
  <si>
    <t>2054 /2208 e considerar 1155 pro proximo inves de 1163</t>
  </si>
  <si>
    <t>OS 16925 -  coleta de lodo na ETA</t>
  </si>
  <si>
    <t>SERVIÇOS DE MUNCK NORMAL:
OS 728 - içamento de tubos 
OS 729 - içamento de ventilador na sala de máquinas
OS 730 - tirar redutor da lagoa do ETA
OS 822 - transporte de bomba biodigestor de adequação de poste
OS 826 - erguer suporte de tubulação em cima sala de maquinas</t>
  </si>
  <si>
    <r>
      <rPr>
        <sz val="11"/>
        <color rgb="FFFF0000"/>
        <rFont val="Calibri"/>
        <scheme val="minor"/>
      </rPr>
      <t xml:space="preserve">2138
</t>
    </r>
    <r>
      <rPr>
        <sz val="11"/>
        <color rgb="FF000000"/>
        <rFont val="Calibri"/>
        <scheme val="minor"/>
      </rPr>
      <t>2147</t>
    </r>
  </si>
  <si>
    <t>BRUNO - OS 728 - 4138 - 1300,00
BRUNO - OS 729 - 1210 - 1400,00
IGOR - OS 730 - 1244 - 850,00
RAFAEL B - OS 822 - 2071/2321 - 900,00
RAFAEL T - OS 826 - 1210 - 800,00</t>
  </si>
  <si>
    <t xml:space="preserve">SERVIÇOS DE MUNCK COM CADEIRINHA:
OS 731 - colocação de passarinheiro em volta do frigorifico
OS 732 - colocação de telas de passarinheiro
OS 827 - manutenção de motor do biodigestor </t>
  </si>
  <si>
    <r>
      <rPr>
        <sz val="11"/>
        <color rgb="FFFF0000"/>
        <rFont val="Calibri"/>
        <scheme val="minor"/>
      </rPr>
      <t xml:space="preserve">2137
</t>
    </r>
    <r>
      <rPr>
        <sz val="11"/>
        <color rgb="FF000000"/>
        <rFont val="Calibri"/>
        <scheme val="minor"/>
      </rPr>
      <t>2146</t>
    </r>
  </si>
  <si>
    <t xml:space="preserve">BRUNO - OS 731 - 2488 - 1890,00
BRUNO - OS 732 - 2488 - 1470,00
ERIC - OS 827 - 2321 - 840,00 </t>
  </si>
  <si>
    <t>OS 16932 - coleta de mucosa</t>
  </si>
  <si>
    <t>2054:  437,52 (todos CA do ADM)
2208: 2.875,11  (todos os CA que envolve dep. manutenção).
1155: 2.937,60 (todos os CA da produção).</t>
  </si>
  <si>
    <t>6,337.36</t>
  </si>
  <si>
    <t>2054:  488,92  (todos CA do ADM)
2208: 2635,50 (todos os CA que envolve dep. manutenção).
1155: 3212,94 (todos os CA da produção).</t>
  </si>
  <si>
    <t>6,776.30</t>
  </si>
  <si>
    <t>2054:  539,02 (todos CA do ADM)
2208: 2695,12 (todos os CA que envolve dep. manutenção).
1155: 3542,16 (todos os CA da produção).</t>
  </si>
  <si>
    <t>referente a 02ª parcela da proposta O292894 de Contrato para prestação de serviços.</t>
  </si>
  <si>
    <t>"2224 - 25%
2488 - 75%"</t>
  </si>
  <si>
    <t>referente a 03ª parcela da proposta O292894 de Contrato para prestação de serviços.</t>
  </si>
  <si>
    <t>referente a 04ª parcela da proposta O292894 de Contrato para prestação de serviços.</t>
  </si>
  <si>
    <t>OS 16940 - desentupimento e limpeza da caixa da mucosa</t>
  </si>
  <si>
    <t>SERVIÇOS DE MUNCK COM CADEIRINHA:
OS 734 - verificação de furos na lona do biodigestor</t>
  </si>
  <si>
    <r>
      <rPr>
        <sz val="11"/>
        <color rgb="FFFF0000"/>
        <rFont val="Calibri"/>
        <scheme val="minor"/>
      </rPr>
      <t xml:space="preserve">2145
</t>
    </r>
    <r>
      <rPr>
        <sz val="11"/>
        <color rgb="FF000000"/>
        <rFont val="Calibri"/>
        <scheme val="minor"/>
      </rPr>
      <t>2149</t>
    </r>
  </si>
  <si>
    <t>BRUNO - OS 734 - 1228 - 840,00</t>
  </si>
  <si>
    <t xml:space="preserve">SERVIÇOS DE MUNCK NORMAL:
OS 735 - movimentação dosador de lodo
OS 736 - movimentação motores (solda) 
OS 737 - manutenção flotador de ar 
</t>
  </si>
  <si>
    <r>
      <rPr>
        <sz val="11"/>
        <color rgb="FFFF0000"/>
        <rFont val="Calibri"/>
        <scheme val="minor"/>
      </rPr>
      <t xml:space="preserve">2144
</t>
    </r>
    <r>
      <rPr>
        <sz val="11"/>
        <color rgb="FF000000"/>
        <rFont val="Calibri"/>
        <scheme val="minor"/>
      </rPr>
      <t>2148</t>
    </r>
  </si>
  <si>
    <t>BRUNO - OS 735 - 1228 - 800,00
BRUNO - OS 736 - 2330 - 1450,00
BRUNO - OS 737 - 1228 - 800,00</t>
  </si>
  <si>
    <t>SERVIÇOS DE MUNCK NORMAL:
OS 739 - organização da sala de máquinas 
OS 836 - colocar geradores na lagoa do ETE e manutenção de calhas almoxarifado</t>
  </si>
  <si>
    <t>BRUNO - OS 739 - 1210 - 900,00
OS 836 - 1228 - 900,00
2089 - 900,00</t>
  </si>
  <si>
    <t>SERVIÇO DE MUNCK NORMAL: 
OS 841 - colocar transformador na sala</t>
  </si>
  <si>
    <t>BRUNO - OS 841 - 1210 - 800,00</t>
  </si>
  <si>
    <t>SERVIÇOS DE MUNCK COM CADEIRINHA: 
OS 741 - içamento das plataformas Usicastro
OS 843 - troca de exaustores da fabrica de farinha FFO
OS 842 - erguer plataformas
OS 740 - pintura da tubulação de água absorção</t>
  </si>
  <si>
    <t>50% 2224
25% 2330 
25% 1210</t>
  </si>
  <si>
    <t>SERVIÇO DE MUNCK NORMAL: 
OS 742 - descarregamento de peças na caldeira
OS 743 - materiais elétricos para abrir compressores
OS 745 - descarregamento de máquinas e manutenção motor biodigestor
OS 746 - manutenção do tridecanter ETA
OS 747 - retirada de motor e estante e montagem do tridecanter ETA
OS 748 - montagem do tridecanter e boia lagoa 
OS 845 - deslocamento de gaiola para paletização 
OS 848 - descarregamento material Estrela/Metal
OS 852 - transporte de materiais Estrela/Metal
OS 853 - retirada de máquinas Estrela/Metal
OS 854 - içamento de peças para caldeira 
OS 855 - retirada de peças da caldeira e descarregar empilhadeira e máquinas
OS 856 - movimentação máquinas Estrela/Metal</t>
  </si>
  <si>
    <t xml:space="preserve">OS 742 - 1236 - 800,00
OS 743 - 1210 - 1250,00
OS 745 - 2321 - 1400,00
OS 746 - 1228 - 1800,00
OS 747 - 1228 - 1700,00
OS 748 - 1228 - 1700,00
OS 845 - 2313 - 800,00
OS 848 - 2488 - 800,00
OS 852 - 2488 - 800,00
OS 853 - 2488 - 800,00
OS 854 - 1236 - 2100,00
OS 855 - 1236 - 1800,00 
OS 856 - 2488 - 2700,00
</t>
  </si>
  <si>
    <t>SERVIÇO DE MUNCK COM CADEIRINHA:
OS 744 - içamento de tubos e plataforma
OS 850 - retirada telhado caldeira
OS 857 - fechamento de telhado da caldeira e carregamento de máquinas</t>
  </si>
  <si>
    <t>OS 744 - 2488 e 2224- 840,00
OS 850 - 1236 - 945,00
OS 857 - 1236 - 2625,00</t>
  </si>
  <si>
    <t xml:space="preserve">SERVIÇO DE MUNCK NORMAL:
OS 904 - movimentação de máquinas
</t>
  </si>
  <si>
    <t>OS 904 - 4669</t>
  </si>
  <si>
    <t>SERVIÇO DE MUNCK COM CADEIRINHA: 
OS 749 - troca das luminárias externas, próxima entrada do estacionamento de caminhões da portaria.
OS 902 - trocas das lâmpadas externas, próxima entrada do estacionamento de caminhões da portaria.
OS 903 - descarregamento de gerador e troca das luminárias do pátio.
OS 863 - troca de tubulação de calhas do FFO.
OS 865 - troca de telas do FFO.
OS 905 - colocação de cargas em cima do forro de fatiados.</t>
  </si>
  <si>
    <t xml:space="preserve">2071 - 3937,50
1236 - 892,50
2330 - 2572,00
4669 - 1680,00
</t>
  </si>
  <si>
    <t>SERVIÇO DE MUNCK NORMAL: 
OS 867 - troca de plataformas e retirada de máquinas
OS 870 - içamento de válvulas e colocação do refletor
OS 907 - troca de máquinas da sala de fatiados
OS 908 - troca das plataformas da DOCA
OS 911 - organização de pátio
OS 914 - levantar tubo no poste, rede de mídia</t>
  </si>
  <si>
    <t>2488 -  1.750,00 - 21%
2348 - 1.700,00 -20%
2348 - 1.700,00 - 20%
4600 - 1.700,00 - 20%
1210 - 1.600,00 -19%</t>
  </si>
  <si>
    <t>SERVIÇO DE MUNCK COM CADEIRINHA: 
OS 906 - troca de luminárias e instalação de refletores do pátio de carro
OS 910 - manutenção de rufos e cobertura
OS 912 - limpeza do patio e conserto do rufo</t>
  </si>
  <si>
    <t>OS 16968 - limpeza lava truck, limpeza da canaleta pocilga, limpeza das canaletas lava truck, limpeza dos ralos do abate</t>
  </si>
  <si>
    <t>80% 2216
20% 2488</t>
  </si>
  <si>
    <t>OS 17002 - Foi utilizadao hidrajato em 06 ponto
Coletado 3 fossas
Limpeza de lava truck.</t>
  </si>
  <si>
    <t>2488, 2224, 2216</t>
  </si>
  <si>
    <t>OS 17065 - Limpeza e sucção da fossa de elevador 3º piso.</t>
  </si>
  <si>
    <t>OS 17100 - Limpeza com hidrajato na tubulação</t>
  </si>
  <si>
    <t>OS 17049 - Limpeza técnica com hidrajato, sucção e transferência interna de resíduos</t>
  </si>
  <si>
    <t>OS 17138 - Limpeza e sucção da caixa de gordura</t>
  </si>
  <si>
    <t>OS 17122 - Desentupimento na cozinha e na caixa de gordura com hidrojato e sucção</t>
  </si>
  <si>
    <t>50% 2119
50% 4472</t>
  </si>
  <si>
    <t>OS 17203 - Sucção de óleo derramado na lagoa</t>
  </si>
  <si>
    <t>OS 17185 - Limpeza de sucção no tanque de água e coleta de fossa, sucção de gordura na lagoa</t>
  </si>
  <si>
    <r>
      <rPr>
        <sz val="11"/>
        <color rgb="FFFF0000"/>
        <rFont val="Calibri"/>
        <scheme val="minor"/>
      </rPr>
      <t xml:space="preserve">6723 CANCELADA
</t>
    </r>
    <r>
      <rPr>
        <sz val="11"/>
        <color rgb="FF000000"/>
        <rFont val="Calibri"/>
        <scheme val="minor"/>
      </rPr>
      <t xml:space="preserve">6740 </t>
    </r>
  </si>
  <si>
    <t>OS 17173 - Desentupimento com hidrojato</t>
  </si>
  <si>
    <t>OS 16815 - Coleta de fossa, contenção/ lavatruck
8 ralos preventiva abate e sangria</t>
  </si>
  <si>
    <t>50% 2224 
50% 2488</t>
  </si>
  <si>
    <t>OS 17241 - Limpeza com hidrojato, limpeza com sucção, desentupimento com hidrojato, transferência interna de resíduos.</t>
  </si>
  <si>
    <t>OS 14684 - Içamento de plataforma e guardacorpo na sala de cortes.
OS 14980 - Conserto tanque decantador do ETE.
OS 15017 - Içamento e transporte de máquinas.</t>
  </si>
  <si>
    <t xml:space="preserve"> 14684 - 2224 
14980 - 1228
 15017 - 2470</t>
  </si>
  <si>
    <t>LANÇADA</t>
  </si>
  <si>
    <t>OS 15159 - içamento de motor com acoplamento no biodigestor</t>
  </si>
  <si>
    <t>os 16089 - remoção de bomba no biodigestor</t>
  </si>
  <si>
    <t>OS 14610 - MÃO DE OBRA CAMINHÃO MUNCK</t>
  </si>
  <si>
    <t>SERVIÇO DE MÃO DE OBRA ESPECIALIZADA PARA MANUTENÇÃO DO SISTEMA DE CLIMATIZAÇÃO COM ELABORAÇÃO E GESTÃO DO PMOC (PLANO DE MANUTENÇÃO, OPERAÇÃO E CONTROLE) COM EMISSÃO E RECOLHIMENTO DA ART (ANOTAÇÃO DE RESPONSABILIDADE TÉCNICA CREA), CONFORME CONTRATO SEQ. AURORA Nº 15713, NÚMERO AURORA 119738.</t>
  </si>
  <si>
    <t>QUEM ABRIU RC</t>
  </si>
  <si>
    <t xml:space="preserve">6. NF - PENDENTE </t>
  </si>
  <si>
    <t>7. NF - APROVADO, LANÇAR</t>
  </si>
  <si>
    <t>Karine</t>
  </si>
  <si>
    <t>PREENCHER</t>
  </si>
  <si>
    <t>FORMULA</t>
  </si>
  <si>
    <t>%</t>
  </si>
  <si>
    <t>VALOR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</si>
</sst>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44" formatCode="_-&quot;R$&quot;\ * #,##0.00_-;\-&quot;R$&quot;\ * #,##0.00_-;_-&quot;R$&quot;\ * &quot;-&quot;??_-;_-@_-"/>
    <numFmt numFmtId="43" formatCode="_-* #,##0.00_-;\-* #,##0.00_-;_-* &quot;-&quot;??_-;_-@_-"/>
    <numFmt numFmtId="164" formatCode="[$-416]mmm\-yy;@"/>
    <numFmt numFmtId="165" formatCode="_-[$R$-416]\ * #,##0.00_-;\-[$R$-416]\ * #,##0.00_-;_-[$R$-416]\ * &quot;-&quot;??_-;_-@_-"/>
    <numFmt numFmtId="166" formatCode="_-[$€-2]\ * #,##0.00_-;\-[$€-2]\ * #,##0.00_-;_-[$€-2]\ * &quot;-&quot;??_-;_-@_-"/>
    <numFmt numFmtId="167" formatCode="&quot;R$&quot;\ #,##0.00"/>
  </numFmts>
  <fonts count="34">
    <font>
      <sz val="11"/>
      <color theme="1"/>
      <name val="Calibri"/>
      <family val="2"/>
      <scheme val="minor"/>
    </font>
    <font>
      <sz val="11"/>
      <color theme="1"/>
      <name val="Calibri"/>
      <scheme val="minor"/>
    </font>
    <font>
      <sz val="11"/>
      <color theme="1"/>
      <name val="Calibri"/>
      <family val="2"/>
      <scheme val="minor"/>
    </font>
    <font>
      <sz val="9"/>
      <color theme="1"/>
      <name val="Calibri"/>
      <family val="2"/>
      <scheme val="minor"/>
    </font>
    <font>
      <b/>
      <sz val="9"/>
      <color theme="1"/>
      <name val="Calibri"/>
      <family val="2"/>
      <scheme val="minor"/>
    </font>
    <font>
      <b/>
      <sz val="10"/>
      <color theme="0"/>
      <name val="Calibri"/>
      <family val="2"/>
      <scheme val="minor"/>
    </font>
    <font>
      <sz val="9"/>
      <color rgb="FF00B050"/>
      <name val="Calibri"/>
      <family val="2"/>
      <scheme val="minor"/>
    </font>
    <font>
      <sz val="9"/>
      <color rgb="FFFF0000"/>
      <name val="Calibri"/>
      <family val="2"/>
      <scheme val="minor"/>
    </font>
    <font>
      <sz val="9"/>
      <color rgb="FFFF0000"/>
      <name val="Calibri"/>
      <scheme val="minor"/>
    </font>
    <font>
      <sz val="9"/>
      <color rgb="FF000000"/>
      <name val="Calibri"/>
      <scheme val="minor"/>
    </font>
    <font>
      <sz val="9"/>
      <color theme="1"/>
      <name val="Calibri"/>
      <scheme val="minor"/>
    </font>
    <font>
      <sz val="9"/>
      <color rgb="FF000000"/>
      <name val="Calibri"/>
      <family val="2"/>
      <scheme val="minor"/>
    </font>
    <font>
      <sz val="11"/>
      <color rgb="FFFF0000"/>
      <name val="Calibri"/>
      <scheme val="minor"/>
    </font>
    <font>
      <b/>
      <sz val="11"/>
      <color theme="1"/>
      <name val="Calibri"/>
      <family val="2"/>
      <scheme val="minor"/>
    </font>
    <font>
      <sz val="11"/>
      <color rgb="FF000000"/>
      <name val="Calibri"/>
      <scheme val="minor"/>
    </font>
    <font>
      <sz val="11"/>
      <color rgb="FF000000"/>
      <name val="Calibri"/>
      <family val="2"/>
      <scheme val="minor"/>
    </font>
    <font>
      <b/>
      <sz val="11"/>
      <color rgb="FFFF0000"/>
      <name val="Calibri"/>
      <scheme val="minor"/>
    </font>
    <font>
      <sz val="11"/>
      <color rgb="FF00B050"/>
      <name val="Calibri"/>
      <family val="2"/>
      <scheme val="minor"/>
    </font>
    <font>
      <sz val="26"/>
      <color rgb="FFFF0000"/>
      <name val="Calibri"/>
      <family val="2"/>
      <scheme val="minor"/>
    </font>
    <font>
      <b/>
      <sz val="11"/>
      <color theme="0"/>
      <name val="Calibri"/>
      <family val="2"/>
      <scheme val="minor"/>
    </font>
    <font>
      <b/>
      <sz val="11"/>
      <color rgb="FF000000"/>
      <name val="Calibri"/>
      <scheme val="minor"/>
    </font>
    <font>
      <sz val="11"/>
      <color rgb="FFC00000"/>
      <name val="Calibri"/>
      <family val="2"/>
      <scheme val="minor"/>
    </font>
    <font>
      <sz val="11"/>
      <color rgb="FF9C0006"/>
      <name val="Calibri"/>
      <charset val="1"/>
    </font>
    <font>
      <sz val="10"/>
      <color theme="1"/>
      <name val="Calibri"/>
      <family val="2"/>
      <charset val="1"/>
    </font>
    <font>
      <sz val="9"/>
      <color rgb="FFC00000"/>
      <name val="Calibri"/>
      <scheme val="minor"/>
    </font>
    <font>
      <sz val="11"/>
      <color rgb="FF242424"/>
      <name val="Segoe UI"/>
      <charset val="1"/>
    </font>
    <font>
      <sz val="10"/>
      <color rgb="FF000000"/>
      <name val="Aptos"/>
      <charset val="1"/>
    </font>
    <font>
      <sz val="10"/>
      <color theme="1"/>
      <name val="Times New Roman"/>
      <family val="1"/>
      <charset val="1"/>
    </font>
    <font>
      <sz val="9"/>
      <color theme="1"/>
      <name val="Arial"/>
      <family val="2"/>
      <charset val="1"/>
    </font>
    <font>
      <sz val="11"/>
      <color rgb="FF00B050"/>
      <name val="Calibri"/>
      <scheme val="minor"/>
    </font>
    <font>
      <sz val="10"/>
      <color theme="1"/>
      <name val="Arial"/>
      <charset val="1"/>
    </font>
    <font>
      <b/>
      <i/>
      <sz val="10"/>
      <color theme="1"/>
      <name val="Arial"/>
      <charset val="1"/>
    </font>
    <font>
      <sz val="11"/>
      <color rgb="FF000000"/>
      <name val="Times New Roman"/>
      <charset val="1"/>
    </font>
    <font>
      <sz val="9"/>
      <color rgb="FF000000"/>
      <name val="Calibri"/>
      <family val="2"/>
      <charset val="1"/>
    </font>
  </fonts>
  <fills count="1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theme="7"/>
        <bgColor indexed="64"/>
      </patternFill>
    </fill>
    <fill>
      <patternFill patternType="solid">
        <fgColor theme="9" tint="0.59999389629810485"/>
        <bgColor indexed="64"/>
      </patternFill>
    </fill>
    <fill>
      <patternFill patternType="solid">
        <fgColor rgb="FFFFFFFF"/>
        <bgColor indexed="64"/>
      </patternFill>
    </fill>
    <fill>
      <patternFill patternType="solid">
        <fgColor theme="5" tint="0.59999389629810485"/>
        <bgColor indexed="64"/>
      </patternFill>
    </fill>
    <fill>
      <patternFill patternType="solid">
        <fgColor rgb="FFC00000"/>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s>
  <borders count="21">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s>
  <cellStyleXfs count="2">
    <xf numFmtId="0" fontId="0" fillId="0" borderId="0"/>
    <xf numFmtId="44" fontId="2" fillId="0" borderId="0" applyFont="0" applyFill="0" applyBorder="0" applyAlignment="0" applyProtection="0"/>
  </cellStyleXfs>
  <cellXfs count="290">
    <xf numFmtId="0" fontId="0" fillId="0" borderId="0" xfId="0"/>
    <xf numFmtId="0" fontId="0" fillId="0" borderId="0" xfId="0" applyAlignment="1">
      <alignment horizontal="center" vertical="center"/>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5" borderId="0" xfId="0" applyFill="1"/>
    <xf numFmtId="0" fontId="0" fillId="3" borderId="0" xfId="0" applyFill="1"/>
    <xf numFmtId="0" fontId="13" fillId="9" borderId="5" xfId="0" applyFont="1" applyFill="1" applyBorder="1" applyAlignment="1">
      <alignment horizontal="center" vertical="center"/>
    </xf>
    <xf numFmtId="165" fontId="13" fillId="9" borderId="5" xfId="0" applyNumberFormat="1" applyFont="1" applyFill="1" applyBorder="1" applyAlignment="1">
      <alignment horizontal="center" vertical="center"/>
    </xf>
    <xf numFmtId="14" fontId="13" fillId="9" borderId="5" xfId="0" applyNumberFormat="1" applyFont="1" applyFill="1" applyBorder="1" applyAlignment="1">
      <alignment horizontal="center" vertical="center"/>
    </xf>
    <xf numFmtId="0" fontId="13" fillId="9" borderId="5" xfId="0" applyFont="1" applyFill="1" applyBorder="1" applyAlignment="1">
      <alignment horizontal="left" vertical="center"/>
    </xf>
    <xf numFmtId="17" fontId="13" fillId="3" borderId="5" xfId="0" applyNumberFormat="1" applyFont="1" applyFill="1" applyBorder="1" applyAlignment="1">
      <alignment horizontal="center" vertical="center"/>
    </xf>
    <xf numFmtId="0" fontId="0" fillId="0" borderId="5" xfId="0" applyBorder="1" applyAlignment="1">
      <alignment vertical="center"/>
    </xf>
    <xf numFmtId="0" fontId="0" fillId="10" borderId="5" xfId="0" applyFill="1" applyBorder="1" applyAlignment="1">
      <alignment horizontal="center" vertical="center"/>
    </xf>
    <xf numFmtId="0" fontId="0" fillId="0" borderId="5" xfId="0" applyBorder="1" applyAlignment="1">
      <alignment horizontal="center" vertical="center"/>
    </xf>
    <xf numFmtId="165"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left" vertical="center"/>
    </xf>
    <xf numFmtId="0" fontId="0" fillId="2" borderId="5" xfId="0" applyFill="1" applyBorder="1" applyAlignment="1">
      <alignment vertical="center"/>
    </xf>
    <xf numFmtId="0" fontId="0" fillId="2" borderId="5" xfId="0" applyFill="1" applyBorder="1" applyAlignment="1">
      <alignment horizontal="center" vertical="center"/>
    </xf>
    <xf numFmtId="166" fontId="0" fillId="2" borderId="5" xfId="0" applyNumberFormat="1" applyFill="1" applyBorder="1" applyAlignment="1">
      <alignment horizontal="center" vertical="center"/>
    </xf>
    <xf numFmtId="14" fontId="0" fillId="2" borderId="5" xfId="0" applyNumberFormat="1" applyFill="1" applyBorder="1" applyAlignment="1">
      <alignment horizontal="center" vertical="center"/>
    </xf>
    <xf numFmtId="0" fontId="0" fillId="2" borderId="5" xfId="0" applyFill="1" applyBorder="1" applyAlignment="1">
      <alignment horizontal="left" vertical="center"/>
    </xf>
    <xf numFmtId="165" fontId="0" fillId="2" borderId="5" xfId="0" applyNumberFormat="1" applyFill="1" applyBorder="1" applyAlignment="1">
      <alignment horizontal="center" vertical="center"/>
    </xf>
    <xf numFmtId="0" fontId="14" fillId="0" borderId="5" xfId="0" applyFont="1" applyBorder="1" applyAlignment="1">
      <alignment horizontal="center" vertical="center" wrapText="1"/>
    </xf>
    <xf numFmtId="0" fontId="0" fillId="0" borderId="5" xfId="0" applyBorder="1" applyAlignment="1">
      <alignment horizontal="left" vertical="top" wrapText="1"/>
    </xf>
    <xf numFmtId="165" fontId="15" fillId="0" borderId="5" xfId="0" applyNumberFormat="1" applyFont="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165" fontId="0" fillId="0" borderId="7" xfId="0" applyNumberFormat="1" applyBorder="1" applyAlignment="1">
      <alignment horizontal="center" vertical="center"/>
    </xf>
    <xf numFmtId="14" fontId="0" fillId="0" borderId="8" xfId="0" applyNumberFormat="1" applyBorder="1" applyAlignment="1">
      <alignment horizontal="center" vertical="center"/>
    </xf>
    <xf numFmtId="0" fontId="0" fillId="11" borderId="5" xfId="0" applyFill="1" applyBorder="1" applyAlignment="1">
      <alignment horizontal="center" vertical="center"/>
    </xf>
    <xf numFmtId="165" fontId="0" fillId="0" borderId="5" xfId="0" applyNumberFormat="1" applyBorder="1" applyAlignment="1">
      <alignment horizontal="center" vertical="center" wrapText="1"/>
    </xf>
    <xf numFmtId="9" fontId="0" fillId="0" borderId="0" xfId="0" applyNumberFormat="1"/>
    <xf numFmtId="43" fontId="0" fillId="0" borderId="0" xfId="0" applyNumberFormat="1"/>
    <xf numFmtId="9" fontId="15" fillId="12" borderId="0" xfId="0" applyNumberFormat="1" applyFont="1" applyFill="1" applyAlignment="1">
      <alignment horizontal="center" vertical="center"/>
    </xf>
    <xf numFmtId="44" fontId="0" fillId="10" borderId="0" xfId="0" applyNumberFormat="1" applyFill="1" applyAlignment="1">
      <alignment horizontal="center" vertical="center"/>
    </xf>
    <xf numFmtId="0" fontId="17" fillId="0" borderId="5" xfId="0" applyFont="1" applyBorder="1" applyAlignment="1">
      <alignment horizontal="center" vertical="center" wrapText="1"/>
    </xf>
    <xf numFmtId="2" fontId="15" fillId="12" borderId="0" xfId="0" applyNumberFormat="1" applyFont="1" applyFill="1"/>
    <xf numFmtId="0" fontId="15" fillId="12" borderId="0" xfId="0" applyFont="1" applyFill="1"/>
    <xf numFmtId="43" fontId="0" fillId="10" borderId="0" xfId="0" applyNumberFormat="1" applyFill="1"/>
    <xf numFmtId="44" fontId="0" fillId="0" borderId="0" xfId="0" applyNumberFormat="1"/>
    <xf numFmtId="44" fontId="15" fillId="12" borderId="5" xfId="1" applyFont="1" applyFill="1" applyBorder="1" applyAlignment="1">
      <alignment wrapText="1"/>
    </xf>
    <xf numFmtId="9" fontId="15" fillId="12" borderId="0" xfId="0" applyNumberFormat="1" applyFont="1" applyFill="1"/>
    <xf numFmtId="9" fontId="13" fillId="0" borderId="6" xfId="0" applyNumberFormat="1" applyFont="1" applyBorder="1" applyAlignment="1">
      <alignment horizontal="center"/>
    </xf>
    <xf numFmtId="0" fontId="19" fillId="13" borderId="0" xfId="0" applyFont="1" applyFill="1" applyAlignment="1">
      <alignment horizontal="center" vertical="center" wrapText="1"/>
    </xf>
    <xf numFmtId="44" fontId="5" fillId="13" borderId="0" xfId="1" applyFont="1" applyFill="1" applyAlignment="1">
      <alignment horizontal="center" vertical="center" wrapText="1"/>
    </xf>
    <xf numFmtId="44" fontId="19" fillId="13" borderId="0" xfId="1" applyFont="1" applyFill="1" applyAlignment="1">
      <alignment horizontal="center" vertical="center" wrapText="1"/>
    </xf>
    <xf numFmtId="16" fontId="0" fillId="0" borderId="5" xfId="0" applyNumberFormat="1" applyBorder="1" applyAlignment="1">
      <alignment horizontal="center" vertical="center" wrapText="1"/>
    </xf>
    <xf numFmtId="16" fontId="0" fillId="14" borderId="5" xfId="0" applyNumberFormat="1" applyFill="1" applyBorder="1" applyAlignment="1">
      <alignment horizontal="center" vertical="center" wrapText="1"/>
    </xf>
    <xf numFmtId="0" fontId="0" fillId="10" borderId="5" xfId="0" applyFill="1" applyBorder="1" applyAlignment="1">
      <alignment horizontal="center" vertical="center" wrapText="1"/>
    </xf>
    <xf numFmtId="0" fontId="0" fillId="0" borderId="5" xfId="0" applyBorder="1" applyAlignment="1">
      <alignment wrapText="1"/>
    </xf>
    <xf numFmtId="0" fontId="0" fillId="2" borderId="5" xfId="0" applyFill="1" applyBorder="1" applyAlignment="1">
      <alignment horizontal="center" vertical="center" wrapText="1"/>
    </xf>
    <xf numFmtId="0" fontId="0" fillId="4" borderId="5" xfId="0" applyFill="1" applyBorder="1" applyAlignment="1">
      <alignment horizontal="center" vertical="center" wrapText="1"/>
    </xf>
    <xf numFmtId="44" fontId="17" fillId="0" borderId="5" xfId="1" applyFont="1" applyBorder="1" applyAlignment="1">
      <alignment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0" fillId="0" borderId="9" xfId="0" applyBorder="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xf>
    <xf numFmtId="3" fontId="0" fillId="0" borderId="5" xfId="0" applyNumberFormat="1" applyBorder="1" applyAlignment="1">
      <alignment horizontal="center" vertical="center" wrapText="1"/>
    </xf>
    <xf numFmtId="0" fontId="0" fillId="0" borderId="0" xfId="0" applyAlignment="1">
      <alignment horizontal="center" vertical="center" wrapText="1"/>
    </xf>
    <xf numFmtId="0" fontId="0" fillId="14" borderId="5" xfId="0" applyFill="1"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vertical="top" wrapText="1"/>
    </xf>
    <xf numFmtId="44" fontId="17" fillId="0" borderId="5" xfId="1" applyFont="1" applyBorder="1" applyAlignment="1">
      <alignment vertical="center" wrapText="1"/>
    </xf>
    <xf numFmtId="0" fontId="0" fillId="0" borderId="5" xfId="0" applyBorder="1" applyAlignment="1">
      <alignment vertical="center" wrapText="1"/>
    </xf>
    <xf numFmtId="44" fontId="17" fillId="0" borderId="6" xfId="1" applyFont="1" applyBorder="1" applyAlignment="1">
      <alignment vertical="center" wrapText="1"/>
    </xf>
    <xf numFmtId="165" fontId="17" fillId="0" borderId="5" xfId="0" applyNumberFormat="1" applyFont="1" applyBorder="1" applyAlignment="1">
      <alignment vertical="center" wrapText="1"/>
    </xf>
    <xf numFmtId="0" fontId="0" fillId="10" borderId="5" xfId="0" applyFill="1" applyBorder="1" applyAlignment="1">
      <alignment vertical="center" wrapText="1"/>
    </xf>
    <xf numFmtId="44" fontId="17" fillId="0" borderId="5" xfId="0" applyNumberFormat="1" applyFont="1" applyBorder="1" applyAlignment="1">
      <alignment vertical="center" wrapText="1"/>
    </xf>
    <xf numFmtId="0" fontId="0" fillId="4" borderId="5" xfId="0" applyFill="1" applyBorder="1" applyAlignment="1">
      <alignment vertical="center" wrapText="1"/>
    </xf>
    <xf numFmtId="0" fontId="0" fillId="15" borderId="5" xfId="0" applyFill="1" applyBorder="1" applyAlignment="1">
      <alignment vertical="center" wrapText="1"/>
    </xf>
    <xf numFmtId="0" fontId="0" fillId="2" borderId="5" xfId="0" applyFill="1" applyBorder="1" applyAlignment="1">
      <alignment vertical="center" wrapText="1"/>
    </xf>
    <xf numFmtId="165" fontId="0" fillId="0" borderId="5" xfId="0" applyNumberFormat="1" applyBorder="1" applyAlignment="1">
      <alignment vertical="center" wrapText="1"/>
    </xf>
    <xf numFmtId="44" fontId="0" fillId="0" borderId="5" xfId="1" applyFont="1" applyBorder="1" applyAlignment="1">
      <alignment vertical="center" wrapText="1"/>
    </xf>
    <xf numFmtId="44" fontId="15" fillId="0" borderId="5" xfId="1" applyFont="1" applyBorder="1" applyAlignment="1">
      <alignment vertical="center" wrapText="1"/>
    </xf>
    <xf numFmtId="0" fontId="0" fillId="16" borderId="5" xfId="0" applyFill="1" applyBorder="1" applyAlignment="1">
      <alignment vertical="center" wrapText="1"/>
    </xf>
    <xf numFmtId="16" fontId="0" fillId="0" borderId="5" xfId="0" applyNumberFormat="1" applyBorder="1" applyAlignment="1">
      <alignment horizontal="center" vertical="center"/>
    </xf>
    <xf numFmtId="0" fontId="0" fillId="0" borderId="8" xfId="0" applyBorder="1" applyAlignment="1">
      <alignment horizontal="left" vertical="center" wrapText="1"/>
    </xf>
    <xf numFmtId="165" fontId="0" fillId="0" borderId="5" xfId="0" applyNumberFormat="1" applyBorder="1" applyAlignment="1">
      <alignment horizontal="left" vertical="center" wrapText="1"/>
    </xf>
    <xf numFmtId="0" fontId="0" fillId="7" borderId="5" xfId="0" applyFill="1" applyBorder="1" applyAlignment="1">
      <alignment horizontal="center" vertical="center" wrapText="1"/>
    </xf>
    <xf numFmtId="44" fontId="0" fillId="0" borderId="5" xfId="1" applyFont="1" applyBorder="1" applyAlignment="1">
      <alignment wrapText="1"/>
    </xf>
    <xf numFmtId="0" fontId="0" fillId="0" borderId="6" xfId="0" applyBorder="1" applyAlignment="1">
      <alignment wrapText="1"/>
    </xf>
    <xf numFmtId="44" fontId="0" fillId="0" borderId="6" xfId="1" applyFont="1" applyBorder="1" applyAlignment="1">
      <alignment wrapText="1"/>
    </xf>
    <xf numFmtId="44" fontId="15" fillId="0" borderId="5" xfId="1" applyFont="1" applyBorder="1" applyAlignment="1">
      <alignment wrapText="1"/>
    </xf>
    <xf numFmtId="0" fontId="17" fillId="0" borderId="6" xfId="0" applyFont="1" applyBorder="1" applyAlignment="1">
      <alignment horizontal="center" vertical="center" wrapText="1"/>
    </xf>
    <xf numFmtId="0" fontId="21" fillId="5" borderId="5" xfId="0" applyFont="1" applyFill="1" applyBorder="1" applyAlignment="1">
      <alignment vertical="center" wrapText="1"/>
    </xf>
    <xf numFmtId="44" fontId="0" fillId="0" borderId="5" xfId="1" applyFont="1" applyFill="1" applyBorder="1" applyAlignment="1">
      <alignment wrapText="1"/>
    </xf>
    <xf numFmtId="44" fontId="15" fillId="0" borderId="5" xfId="1" applyFont="1" applyFill="1" applyBorder="1" applyAlignment="1">
      <alignment wrapText="1"/>
    </xf>
    <xf numFmtId="0" fontId="21" fillId="5" borderId="5" xfId="0" applyFont="1" applyFill="1" applyBorder="1" applyAlignment="1">
      <alignment horizontal="center" vertical="center" wrapText="1"/>
    </xf>
    <xf numFmtId="16" fontId="0" fillId="0" borderId="6" xfId="0" applyNumberFormat="1" applyBorder="1" applyAlignment="1">
      <alignment horizontal="center" vertical="center" wrapText="1"/>
    </xf>
    <xf numFmtId="0" fontId="0" fillId="10" borderId="6" xfId="0" applyFill="1" applyBorder="1" applyAlignment="1">
      <alignment horizontal="center" vertical="center" wrapText="1"/>
    </xf>
    <xf numFmtId="0" fontId="0" fillId="0" borderId="6" xfId="0" applyBorder="1" applyAlignment="1">
      <alignment vertical="top" wrapText="1"/>
    </xf>
    <xf numFmtId="44" fontId="15" fillId="0" borderId="6" xfId="1" applyFont="1" applyBorder="1" applyAlignment="1">
      <alignment wrapText="1"/>
    </xf>
    <xf numFmtId="0" fontId="15" fillId="0" borderId="6" xfId="0" applyFont="1" applyBorder="1" applyAlignment="1">
      <alignment horizontal="center" vertical="center" wrapText="1"/>
    </xf>
    <xf numFmtId="0" fontId="0" fillId="4" borderId="6" xfId="0" applyFill="1" applyBorder="1" applyAlignment="1">
      <alignment horizontal="center" vertical="center" wrapText="1"/>
    </xf>
    <xf numFmtId="0" fontId="21" fillId="0" borderId="5" xfId="0" applyFont="1" applyBorder="1" applyAlignment="1">
      <alignment horizontal="center" vertical="center" wrapText="1"/>
    </xf>
    <xf numFmtId="14" fontId="0" fillId="0" borderId="5" xfId="0" applyNumberFormat="1" applyBorder="1" applyAlignment="1">
      <alignment horizontal="center" vertical="center" wrapText="1"/>
    </xf>
    <xf numFmtId="0" fontId="3" fillId="0" borderId="0" xfId="0" applyFont="1" applyAlignment="1" applyProtection="1">
      <alignment vertical="center" wrapText="1"/>
      <protection locked="0"/>
    </xf>
    <xf numFmtId="14" fontId="3" fillId="0" borderId="0" xfId="0" applyNumberFormat="1" applyFont="1" applyAlignment="1" applyProtection="1">
      <alignment vertical="center" wrapText="1"/>
      <protection locked="0"/>
    </xf>
    <xf numFmtId="0" fontId="3" fillId="0" borderId="0" xfId="0" applyFont="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wrapText="1"/>
      <protection locked="0"/>
    </xf>
    <xf numFmtId="8" fontId="6" fillId="0" borderId="1" xfId="1" applyNumberFormat="1" applyFont="1" applyBorder="1" applyAlignment="1" applyProtection="1">
      <alignment horizontal="center" vertical="center" wrapText="1"/>
      <protection locked="0"/>
    </xf>
    <xf numFmtId="164" fontId="3" fillId="0" borderId="1" xfId="0" applyNumberFormat="1" applyFont="1" applyBorder="1" applyAlignment="1" applyProtection="1">
      <alignment horizontal="center" vertical="center" wrapText="1"/>
      <protection locked="0"/>
    </xf>
    <xf numFmtId="44" fontId="6" fillId="0" borderId="1" xfId="1" applyFont="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8" fontId="3" fillId="0" borderId="2" xfId="0" applyNumberFormat="1" applyFont="1" applyBorder="1" applyAlignment="1" applyProtection="1">
      <alignment horizontal="center" vertical="center" wrapText="1"/>
      <protection locked="0"/>
    </xf>
    <xf numFmtId="164" fontId="3" fillId="2" borderId="1" xfId="0" applyNumberFormat="1" applyFont="1" applyFill="1" applyBorder="1" applyAlignment="1" applyProtection="1">
      <alignment horizontal="center" vertical="center" wrapText="1"/>
      <protection locked="0"/>
    </xf>
    <xf numFmtId="44" fontId="3" fillId="0" borderId="1" xfId="1" applyFont="1" applyBorder="1" applyAlignment="1" applyProtection="1">
      <alignment horizontal="center" vertical="center" wrapText="1"/>
      <protection locked="0"/>
    </xf>
    <xf numFmtId="0" fontId="3" fillId="3" borderId="1" xfId="0" applyFont="1" applyFill="1" applyBorder="1" applyAlignment="1" applyProtection="1">
      <alignment horizontal="center" vertical="center" wrapText="1"/>
      <protection locked="0"/>
    </xf>
    <xf numFmtId="0" fontId="24" fillId="0" borderId="1"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14" fontId="10" fillId="0" borderId="1" xfId="0"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3" fillId="14" borderId="1" xfId="0" applyFont="1" applyFill="1" applyBorder="1" applyAlignment="1" applyProtection="1">
      <alignment horizontal="center" vertical="center" wrapText="1"/>
      <protection locked="0"/>
    </xf>
    <xf numFmtId="8" fontId="11" fillId="0" borderId="1" xfId="1" applyNumberFormat="1" applyFont="1" applyBorder="1" applyAlignment="1" applyProtection="1">
      <alignment horizontal="center" vertical="center" wrapText="1"/>
      <protection locked="0"/>
    </xf>
    <xf numFmtId="14" fontId="3" fillId="14" borderId="1" xfId="0" applyNumberFormat="1" applyFont="1" applyFill="1" applyBorder="1" applyAlignment="1" applyProtection="1">
      <alignment horizontal="center" vertical="center" wrapText="1"/>
      <protection locked="0"/>
    </xf>
    <xf numFmtId="14" fontId="7" fillId="0" borderId="1" xfId="0" applyNumberFormat="1" applyFont="1" applyBorder="1" applyAlignment="1" applyProtection="1">
      <alignment horizontal="center" vertical="center" wrapText="1"/>
      <protection locked="0"/>
    </xf>
    <xf numFmtId="8" fontId="6" fillId="0" borderId="1" xfId="1" applyNumberFormat="1" applyFont="1" applyFill="1" applyBorder="1" applyAlignment="1" applyProtection="1">
      <alignment horizontal="center" vertical="center" wrapText="1"/>
      <protection locked="0"/>
    </xf>
    <xf numFmtId="14" fontId="3" fillId="0" borderId="3" xfId="0" applyNumberFormat="1"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16" fontId="3" fillId="14" borderId="1" xfId="0" applyNumberFormat="1" applyFont="1" applyFill="1" applyBorder="1" applyAlignment="1" applyProtection="1">
      <alignment horizontal="center" vertical="center" wrapText="1"/>
      <protection locked="0"/>
    </xf>
    <xf numFmtId="0" fontId="3" fillId="0" borderId="1" xfId="0" applyFont="1" applyBorder="1" applyAlignment="1" applyProtection="1">
      <alignment vertical="center" wrapText="1"/>
      <protection locked="0"/>
    </xf>
    <xf numFmtId="44" fontId="11" fillId="0" borderId="1" xfId="1" applyFont="1" applyBorder="1" applyAlignment="1" applyProtection="1">
      <alignment horizontal="center" vertical="center" wrapText="1"/>
      <protection locked="0"/>
    </xf>
    <xf numFmtId="16" fontId="3" fillId="0" borderId="1" xfId="0" applyNumberFormat="1" applyFont="1" applyBorder="1" applyAlignment="1" applyProtection="1">
      <alignment horizontal="center" vertical="center" wrapText="1"/>
      <protection locked="0"/>
    </xf>
    <xf numFmtId="167" fontId="3" fillId="0" borderId="1" xfId="1" applyNumberFormat="1" applyFont="1" applyBorder="1" applyAlignment="1" applyProtection="1">
      <alignment horizontal="center" vertical="center" wrapText="1"/>
      <protection locked="0"/>
    </xf>
    <xf numFmtId="0" fontId="11" fillId="14" borderId="1" xfId="1" applyNumberFormat="1" applyFont="1" applyFill="1" applyBorder="1" applyAlignment="1" applyProtection="1">
      <alignment horizontal="center" vertical="center" wrapText="1"/>
      <protection locked="0"/>
    </xf>
    <xf numFmtId="44" fontId="11" fillId="14" borderId="1" xfId="1"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14" fontId="3" fillId="2" borderId="1" xfId="0" applyNumberFormat="1" applyFont="1" applyFill="1" applyBorder="1" applyAlignment="1" applyProtection="1">
      <alignment horizontal="center" vertical="center" wrapText="1"/>
      <protection locked="0"/>
    </xf>
    <xf numFmtId="14" fontId="3" fillId="0" borderId="10" xfId="0" applyNumberFormat="1" applyFont="1" applyBorder="1" applyAlignment="1" applyProtection="1">
      <alignment horizontal="center" vertical="center" wrapText="1"/>
      <protection locked="0"/>
    </xf>
    <xf numFmtId="44" fontId="11" fillId="0" borderId="10" xfId="1" applyFont="1" applyBorder="1" applyAlignment="1" applyProtection="1">
      <alignment horizontal="center" vertical="center" wrapText="1"/>
      <protection locked="0"/>
    </xf>
    <xf numFmtId="164" fontId="3" fillId="0" borderId="10" xfId="0" applyNumberFormat="1"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14" fontId="3" fillId="0" borderId="14"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44" fontId="7" fillId="0" borderId="1" xfId="1" applyFont="1" applyBorder="1" applyAlignment="1" applyProtection="1">
      <alignment horizontal="center" vertical="center" wrapText="1"/>
      <protection locked="0"/>
    </xf>
    <xf numFmtId="4" fontId="3" fillId="2" borderId="1" xfId="0" applyNumberFormat="1" applyFont="1" applyFill="1" applyBorder="1" applyAlignment="1" applyProtection="1">
      <alignment horizontal="center" vertical="center" wrapText="1"/>
      <protection locked="0"/>
    </xf>
    <xf numFmtId="3" fontId="3" fillId="0" borderId="1" xfId="0" applyNumberFormat="1" applyFont="1" applyBorder="1" applyAlignment="1" applyProtection="1">
      <alignment horizontal="center" vertical="center" wrapText="1"/>
      <protection locked="0"/>
    </xf>
    <xf numFmtId="4" fontId="3" fillId="0" borderId="1" xfId="0" applyNumberFormat="1" applyFont="1" applyBorder="1" applyAlignment="1" applyProtection="1">
      <alignment horizontal="center" vertical="center" wrapText="1"/>
      <protection locked="0"/>
    </xf>
    <xf numFmtId="0" fontId="0" fillId="0" borderId="5" xfId="0" applyBorder="1"/>
    <xf numFmtId="0" fontId="0" fillId="0" borderId="7" xfId="0" applyBorder="1" applyAlignment="1">
      <alignment horizontal="center" vertical="center" wrapText="1"/>
    </xf>
    <xf numFmtId="0" fontId="0" fillId="11" borderId="15" xfId="0" applyFill="1" applyBorder="1" applyAlignment="1">
      <alignment horizontal="center" vertical="center"/>
    </xf>
    <xf numFmtId="0" fontId="0" fillId="0" borderId="15" xfId="0" applyBorder="1" applyAlignment="1">
      <alignment vertical="top" wrapText="1"/>
    </xf>
    <xf numFmtId="0" fontId="0" fillId="0" borderId="15" xfId="0" applyBorder="1" applyAlignment="1">
      <alignment horizontal="center" vertical="center"/>
    </xf>
    <xf numFmtId="44" fontId="6" fillId="0" borderId="1" xfId="1" applyFont="1" applyFill="1" applyBorder="1" applyAlignment="1" applyProtection="1">
      <alignment horizontal="center" vertical="center" wrapText="1"/>
      <protection locked="0"/>
    </xf>
    <xf numFmtId="44" fontId="11" fillId="0" borderId="1" xfId="1" applyFont="1" applyFill="1" applyBorder="1" applyAlignment="1" applyProtection="1">
      <alignment horizontal="center" vertical="center" wrapText="1"/>
      <protection locked="0"/>
    </xf>
    <xf numFmtId="166" fontId="11" fillId="0" borderId="1" xfId="1" applyNumberFormat="1" applyFont="1" applyBorder="1" applyAlignment="1" applyProtection="1">
      <alignment horizontal="center" vertical="center" wrapText="1"/>
      <protection locked="0"/>
    </xf>
    <xf numFmtId="0" fontId="29" fillId="0" borderId="5" xfId="0" applyFont="1" applyBorder="1" applyAlignment="1">
      <alignment horizontal="center" vertical="center" wrapText="1"/>
    </xf>
    <xf numFmtId="0" fontId="3" fillId="2" borderId="10" xfId="0" applyFont="1" applyFill="1" applyBorder="1" applyAlignment="1" applyProtection="1">
      <alignment horizontal="center" vertical="center" wrapText="1"/>
      <protection locked="0"/>
    </xf>
    <xf numFmtId="44" fontId="7" fillId="0" borderId="1" xfId="1" applyFont="1" applyFill="1" applyBorder="1" applyAlignment="1" applyProtection="1">
      <alignment horizontal="center" vertical="center" wrapText="1"/>
      <protection locked="0"/>
    </xf>
    <xf numFmtId="0" fontId="0" fillId="2" borderId="5" xfId="0" applyFill="1" applyBorder="1" applyAlignment="1">
      <alignment horizontal="left" vertical="top" wrapText="1"/>
    </xf>
    <xf numFmtId="0" fontId="11" fillId="0" borderId="1" xfId="0" applyFon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26" fillId="0" borderId="1" xfId="0" applyFont="1" applyBorder="1" applyAlignment="1" applyProtection="1">
      <alignment horizontal="center" vertical="center"/>
      <protection locked="0"/>
    </xf>
    <xf numFmtId="0" fontId="8" fillId="0" borderId="10" xfId="0" applyFont="1" applyBorder="1" applyAlignment="1" applyProtection="1">
      <alignment horizontal="center" vertical="center" wrapText="1"/>
      <protection locked="0"/>
    </xf>
    <xf numFmtId="8" fontId="3" fillId="0" borderId="1" xfId="0" applyNumberFormat="1" applyFont="1" applyBorder="1" applyAlignment="1" applyProtection="1">
      <alignment horizontal="center" vertical="center" wrapText="1"/>
      <protection locked="0"/>
    </xf>
    <xf numFmtId="44" fontId="7" fillId="0" borderId="2" xfId="1" applyFont="1" applyFill="1" applyBorder="1" applyAlignment="1" applyProtection="1">
      <alignment horizontal="center" vertical="center" wrapText="1"/>
      <protection locked="0"/>
    </xf>
    <xf numFmtId="8" fontId="7" fillId="0" borderId="10" xfId="1" applyNumberFormat="1" applyFont="1" applyBorder="1" applyAlignment="1" applyProtection="1">
      <alignment horizontal="center" vertical="center" wrapText="1"/>
      <protection locked="0"/>
    </xf>
    <xf numFmtId="44" fontId="6" fillId="0" borderId="2" xfId="1" applyFont="1" applyBorder="1" applyAlignment="1" applyProtection="1">
      <alignment horizontal="center" vertical="center" wrapText="1"/>
      <protection locked="0"/>
    </xf>
    <xf numFmtId="44" fontId="3" fillId="0" borderId="0" xfId="1"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3" fillId="0" borderId="0" xfId="0" applyFont="1" applyAlignment="1">
      <alignment horizontal="center" vertical="center" wrapText="1"/>
    </xf>
    <xf numFmtId="0" fontId="4" fillId="3" borderId="4" xfId="0" applyFont="1" applyFill="1" applyBorder="1" applyAlignment="1">
      <alignment vertical="center" wrapText="1"/>
    </xf>
    <xf numFmtId="0" fontId="3" fillId="0" borderId="1" xfId="0" applyFont="1" applyBorder="1" applyAlignment="1">
      <alignment horizontal="center" vertical="center" wrapText="1"/>
    </xf>
    <xf numFmtId="0" fontId="5" fillId="8" borderId="2" xfId="0" applyFont="1" applyFill="1" applyBorder="1" applyAlignment="1">
      <alignment horizontal="center" vertical="center" wrapText="1"/>
    </xf>
    <xf numFmtId="0" fontId="3" fillId="0" borderId="0" xfId="0" applyFont="1" applyAlignment="1">
      <alignment vertical="center" wrapText="1"/>
    </xf>
    <xf numFmtId="0" fontId="3" fillId="7" borderId="1" xfId="0" applyFont="1" applyFill="1" applyBorder="1" applyAlignment="1">
      <alignment horizontal="center" vertical="center" wrapText="1"/>
    </xf>
    <xf numFmtId="14" fontId="3" fillId="7" borderId="1" xfId="0" applyNumberFormat="1" applyFont="1" applyFill="1" applyBorder="1" applyAlignment="1">
      <alignment horizontal="center" vertical="center" wrapText="1"/>
    </xf>
    <xf numFmtId="8" fontId="3" fillId="0" borderId="1" xfId="1" applyNumberFormat="1" applyFont="1" applyBorder="1" applyAlignment="1" applyProtection="1">
      <alignment horizontal="center" vertical="center" wrapText="1"/>
      <protection locked="0"/>
    </xf>
    <xf numFmtId="14" fontId="3" fillId="0" borderId="1" xfId="0" applyNumberFormat="1" applyFont="1" applyBorder="1" applyAlignment="1" applyProtection="1">
      <alignment horizontal="left" vertical="center" wrapText="1"/>
      <protection locked="0"/>
    </xf>
    <xf numFmtId="0" fontId="28" fillId="0" borderId="11" xfId="0" applyFont="1" applyBorder="1" applyAlignment="1" applyProtection="1">
      <alignment horizontal="center" vertical="center"/>
      <protection locked="0"/>
    </xf>
    <xf numFmtId="0" fontId="0" fillId="0" borderId="1" xfId="0" applyBorder="1" applyAlignment="1" applyProtection="1">
      <alignment horizontal="center" wrapText="1"/>
      <protection locked="0"/>
    </xf>
    <xf numFmtId="14" fontId="3" fillId="0" borderId="0" xfId="0" applyNumberFormat="1" applyFont="1" applyAlignment="1" applyProtection="1">
      <alignment horizontal="center" vertical="center" wrapText="1"/>
      <protection locked="0"/>
    </xf>
    <xf numFmtId="44" fontId="3" fillId="0" borderId="0" xfId="1" applyFont="1" applyFill="1" applyAlignment="1" applyProtection="1">
      <alignment horizontal="center" vertical="center" wrapText="1"/>
      <protection locked="0"/>
    </xf>
    <xf numFmtId="164" fontId="3" fillId="0" borderId="0" xfId="0" applyNumberFormat="1" applyFont="1" applyAlignment="1" applyProtection="1">
      <alignment horizontal="center" vertical="center" wrapText="1"/>
      <protection locked="0"/>
    </xf>
    <xf numFmtId="0" fontId="22" fillId="0" borderId="1" xfId="0" applyFont="1" applyBorder="1" applyAlignment="1" applyProtection="1">
      <alignment horizontal="center"/>
      <protection locked="0"/>
    </xf>
    <xf numFmtId="0" fontId="27" fillId="0" borderId="1" xfId="0" applyFont="1" applyBorder="1" applyAlignment="1" applyProtection="1">
      <alignment horizontal="center"/>
      <protection locked="0"/>
    </xf>
    <xf numFmtId="44" fontId="3" fillId="0" borderId="0" xfId="1" applyFont="1" applyAlignment="1" applyProtection="1">
      <alignment horizontal="center" vertical="center" wrapText="1"/>
      <protection locked="0"/>
    </xf>
    <xf numFmtId="0" fontId="0" fillId="0" borderId="7" xfId="0" applyBorder="1" applyAlignment="1">
      <alignment horizontal="center" vertical="center"/>
    </xf>
    <xf numFmtId="0" fontId="0" fillId="0" borderId="5" xfId="0" applyBorder="1" applyAlignment="1">
      <alignment horizontal="center" wrapText="1"/>
    </xf>
    <xf numFmtId="44" fontId="3" fillId="0" borderId="1" xfId="0" applyNumberFormat="1" applyFont="1" applyBorder="1" applyAlignment="1" applyProtection="1">
      <alignment horizontal="center" vertical="center" wrapText="1"/>
      <protection locked="0"/>
    </xf>
    <xf numFmtId="4" fontId="3" fillId="0" borderId="1" xfId="0" applyNumberFormat="1" applyFont="1" applyBorder="1" applyAlignment="1" applyProtection="1">
      <alignment horizontal="left" vertical="center" wrapText="1"/>
      <protection locked="0"/>
    </xf>
    <xf numFmtId="44" fontId="15" fillId="0" borderId="5" xfId="1" applyFont="1" applyFill="1" applyBorder="1" applyAlignment="1">
      <alignment horizontal="center" vertical="center" wrapText="1"/>
    </xf>
    <xf numFmtId="167" fontId="3" fillId="0" borderId="1" xfId="0" applyNumberFormat="1" applyFont="1" applyBorder="1" applyAlignment="1" applyProtection="1">
      <alignment horizontal="left" vertical="center" wrapText="1"/>
      <protection locked="0"/>
    </xf>
    <xf numFmtId="16" fontId="3" fillId="0" borderId="1" xfId="0" applyNumberFormat="1" applyFont="1" applyBorder="1" applyAlignment="1" applyProtection="1">
      <alignment horizontal="left" vertical="center" wrapText="1"/>
      <protection locked="0"/>
    </xf>
    <xf numFmtId="44" fontId="3" fillId="0" borderId="2" xfId="1" applyFont="1" applyBorder="1" applyAlignment="1" applyProtection="1">
      <alignment horizontal="center" vertical="center" wrapText="1"/>
      <protection locked="0"/>
    </xf>
    <xf numFmtId="0" fontId="0" fillId="0" borderId="0" xfId="0" applyAlignment="1">
      <alignment horizontal="left"/>
    </xf>
    <xf numFmtId="44" fontId="15" fillId="0" borderId="5" xfId="1" applyFont="1" applyFill="1" applyBorder="1" applyAlignment="1">
      <alignment horizontal="center" wrapText="1"/>
    </xf>
    <xf numFmtId="17" fontId="3" fillId="0" borderId="1" xfId="0" applyNumberFormat="1" applyFont="1" applyBorder="1" applyAlignment="1" applyProtection="1">
      <alignment horizontal="center" vertical="center" wrapText="1"/>
      <protection locked="0"/>
    </xf>
    <xf numFmtId="0" fontId="0" fillId="10" borderId="0" xfId="0" applyFill="1" applyAlignment="1">
      <alignment horizontal="center" vertical="center" wrapText="1"/>
    </xf>
    <xf numFmtId="0" fontId="0" fillId="4" borderId="0" xfId="0" applyFill="1" applyAlignment="1">
      <alignment horizontal="center" vertical="center" wrapText="1"/>
    </xf>
    <xf numFmtId="0" fontId="0" fillId="14" borderId="0" xfId="0" applyFill="1" applyAlignment="1">
      <alignment horizontal="center" vertical="center" wrapText="1"/>
    </xf>
    <xf numFmtId="0" fontId="0" fillId="0" borderId="15" xfId="0" applyBorder="1" applyAlignment="1">
      <alignment horizontal="left" vertical="top" wrapText="1"/>
    </xf>
    <xf numFmtId="0" fontId="32" fillId="0" borderId="16" xfId="0" applyFont="1" applyBorder="1" applyAlignment="1" applyProtection="1">
      <alignment horizontal="center" vertical="center"/>
      <protection locked="0"/>
    </xf>
    <xf numFmtId="0" fontId="9" fillId="0" borderId="1" xfId="0" applyFont="1" applyBorder="1" applyAlignment="1" applyProtection="1">
      <alignment horizontal="center" vertical="center" wrapText="1"/>
      <protection locked="0"/>
    </xf>
    <xf numFmtId="0" fontId="0" fillId="0" borderId="17" xfId="0" applyBorder="1"/>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vertical="top" wrapText="1"/>
    </xf>
    <xf numFmtId="0" fontId="0" fillId="0" borderId="18" xfId="0" applyBorder="1" applyAlignment="1">
      <alignment wrapText="1"/>
    </xf>
    <xf numFmtId="0" fontId="10" fillId="0" borderId="1" xfId="0" applyFont="1" applyBorder="1" applyAlignment="1" applyProtection="1">
      <alignment horizontal="left" vertical="center" wrapText="1"/>
      <protection locked="0"/>
    </xf>
    <xf numFmtId="0" fontId="3" fillId="0" borderId="18" xfId="0" applyFont="1" applyBorder="1" applyAlignment="1" applyProtection="1">
      <alignment horizontal="center" vertical="center" wrapText="1"/>
      <protection locked="0"/>
    </xf>
    <xf numFmtId="0" fontId="3" fillId="0" borderId="18" xfId="0" applyFont="1" applyBorder="1" applyAlignment="1" applyProtection="1">
      <alignment vertical="center" wrapText="1"/>
      <protection locked="0"/>
    </xf>
    <xf numFmtId="14" fontId="3" fillId="0" borderId="18" xfId="0" applyNumberFormat="1" applyFont="1" applyBorder="1" applyAlignment="1" applyProtection="1">
      <alignment vertical="center" wrapText="1"/>
      <protection locked="0"/>
    </xf>
    <xf numFmtId="167" fontId="3" fillId="7" borderId="1" xfId="1" applyNumberFormat="1" applyFont="1" applyFill="1" applyBorder="1" applyAlignment="1" applyProtection="1">
      <alignment horizontal="center" vertical="center" wrapText="1"/>
    </xf>
    <xf numFmtId="167" fontId="3" fillId="0" borderId="1" xfId="1" applyNumberFormat="1" applyFont="1" applyFill="1" applyBorder="1" applyAlignment="1" applyProtection="1">
      <alignment horizontal="center" vertical="center" wrapText="1"/>
      <protection locked="0"/>
    </xf>
    <xf numFmtId="167" fontId="3" fillId="0" borderId="0" xfId="1" applyNumberFormat="1" applyFont="1" applyFill="1" applyAlignment="1" applyProtection="1">
      <alignment horizontal="center" vertical="center" wrapText="1"/>
      <protection locked="0"/>
    </xf>
    <xf numFmtId="167" fontId="3" fillId="0" borderId="1" xfId="0" applyNumberFormat="1" applyFont="1" applyBorder="1" applyAlignment="1" applyProtection="1">
      <alignment horizontal="center" vertical="center" wrapText="1"/>
      <protection locked="0"/>
    </xf>
    <xf numFmtId="167" fontId="3" fillId="0" borderId="0" xfId="1" applyNumberFormat="1" applyFont="1" applyAlignment="1" applyProtection="1">
      <alignment horizontal="center" vertical="center" wrapText="1"/>
      <protection locked="0"/>
    </xf>
    <xf numFmtId="0" fontId="0" fillId="0" borderId="15" xfId="0" applyBorder="1" applyAlignment="1">
      <alignment horizontal="center" wrapText="1"/>
    </xf>
    <xf numFmtId="167" fontId="6" fillId="0" borderId="1" xfId="1" applyNumberFormat="1" applyFont="1" applyBorder="1" applyAlignment="1" applyProtection="1">
      <alignment horizontal="center" vertical="center" wrapText="1"/>
      <protection locked="0"/>
    </xf>
    <xf numFmtId="167" fontId="11" fillId="0" borderId="1" xfId="1" applyNumberFormat="1" applyFont="1" applyBorder="1" applyAlignment="1" applyProtection="1">
      <alignment horizontal="center" vertical="center" wrapText="1"/>
      <protection locked="0"/>
    </xf>
    <xf numFmtId="167" fontId="0" fillId="0" borderId="1" xfId="0" applyNumberFormat="1" applyBorder="1" applyProtection="1">
      <protection locked="0"/>
    </xf>
    <xf numFmtId="167" fontId="6" fillId="0" borderId="10" xfId="1" applyNumberFormat="1" applyFont="1" applyBorder="1" applyAlignment="1" applyProtection="1">
      <alignment horizontal="center" vertical="center" wrapText="1"/>
      <protection locked="0"/>
    </xf>
    <xf numFmtId="167" fontId="3" fillId="0" borderId="11" xfId="1" applyNumberFormat="1" applyFont="1" applyBorder="1" applyAlignment="1" applyProtection="1">
      <alignment horizontal="center" vertical="center" wrapText="1"/>
      <protection locked="0"/>
    </xf>
    <xf numFmtId="167" fontId="6" fillId="0" borderId="11" xfId="1" applyNumberFormat="1" applyFont="1" applyBorder="1" applyAlignment="1" applyProtection="1">
      <alignment horizontal="center" vertical="center" wrapText="1"/>
      <protection locked="0"/>
    </xf>
    <xf numFmtId="167" fontId="3" fillId="0" borderId="10" xfId="1" applyNumberFormat="1" applyFont="1" applyBorder="1" applyAlignment="1" applyProtection="1">
      <alignment horizontal="center" vertical="center" wrapText="1"/>
      <protection locked="0"/>
    </xf>
    <xf numFmtId="167" fontId="3" fillId="0" borderId="0" xfId="1" applyNumberFormat="1" applyFont="1" applyBorder="1" applyAlignment="1" applyProtection="1">
      <alignment horizontal="center" vertical="center" wrapText="1"/>
      <protection locked="0"/>
    </xf>
    <xf numFmtId="167" fontId="3" fillId="0" borderId="18" xfId="1" applyNumberFormat="1" applyFont="1" applyBorder="1" applyAlignment="1" applyProtection="1">
      <alignment vertical="center" wrapText="1"/>
      <protection locked="0"/>
    </xf>
    <xf numFmtId="167" fontId="3" fillId="0" borderId="0" xfId="1" applyNumberFormat="1" applyFont="1" applyAlignment="1" applyProtection="1">
      <alignment vertical="center" wrapText="1"/>
      <protection locked="0"/>
    </xf>
    <xf numFmtId="0" fontId="0" fillId="0" borderId="15" xfId="0" applyBorder="1" applyAlignment="1">
      <alignment wrapText="1"/>
    </xf>
    <xf numFmtId="44" fontId="15" fillId="0" borderId="15" xfId="1" applyFont="1" applyFill="1" applyBorder="1" applyAlignment="1">
      <alignment wrapText="1"/>
    </xf>
    <xf numFmtId="16" fontId="0" fillId="0" borderId="15" xfId="0" applyNumberFormat="1" applyBorder="1" applyAlignment="1">
      <alignment horizontal="center" vertical="center" wrapText="1"/>
    </xf>
    <xf numFmtId="0" fontId="15" fillId="0" borderId="15"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15" xfId="0" applyFont="1" applyBorder="1" applyAlignment="1">
      <alignment horizontal="center" vertical="center" wrapText="1"/>
    </xf>
    <xf numFmtId="17" fontId="13" fillId="2" borderId="5" xfId="0" applyNumberFormat="1" applyFont="1" applyFill="1" applyBorder="1" applyAlignment="1">
      <alignment horizontal="center" vertical="center"/>
    </xf>
    <xf numFmtId="167" fontId="0" fillId="2" borderId="5" xfId="0" applyNumberFormat="1" applyFill="1" applyBorder="1" applyAlignment="1">
      <alignment horizontal="center" vertical="center"/>
    </xf>
    <xf numFmtId="17" fontId="3" fillId="0" borderId="1" xfId="0" applyNumberFormat="1" applyFont="1" applyBorder="1" applyAlignment="1" applyProtection="1">
      <alignment horizontal="left" vertical="center" wrapText="1"/>
      <protection locked="0"/>
    </xf>
    <xf numFmtId="17" fontId="13" fillId="3" borderId="6" xfId="0" applyNumberFormat="1" applyFont="1" applyFill="1" applyBorder="1" applyAlignment="1">
      <alignment horizontal="center" vertical="center"/>
    </xf>
    <xf numFmtId="16" fontId="10" fillId="0" borderId="1" xfId="0" applyNumberFormat="1" applyFont="1" applyBorder="1" applyAlignment="1" applyProtection="1">
      <alignment horizontal="left" vertical="center" wrapText="1"/>
      <protection locked="0"/>
    </xf>
    <xf numFmtId="16" fontId="8" fillId="0" borderId="1" xfId="0" applyNumberFormat="1" applyFont="1" applyBorder="1" applyAlignment="1" applyProtection="1">
      <alignment horizontal="left" vertical="center" wrapText="1"/>
      <protection locked="0"/>
    </xf>
    <xf numFmtId="14" fontId="8" fillId="0" borderId="1" xfId="0"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center" wrapText="1"/>
      <protection locked="0"/>
    </xf>
    <xf numFmtId="14" fontId="8" fillId="0" borderId="1" xfId="0" applyNumberFormat="1" applyFont="1" applyBorder="1" applyAlignment="1" applyProtection="1">
      <alignment horizontal="left" vertical="center" wrapText="1"/>
      <protection locked="0"/>
    </xf>
    <xf numFmtId="0" fontId="0" fillId="0" borderId="15" xfId="0" applyBorder="1"/>
    <xf numFmtId="0" fontId="0" fillId="2" borderId="7" xfId="0" applyFill="1" applyBorder="1" applyAlignment="1">
      <alignment horizontal="center" vertical="center"/>
    </xf>
    <xf numFmtId="0" fontId="0" fillId="0" borderId="6" xfId="0" applyBorder="1"/>
    <xf numFmtId="0" fontId="0" fillId="0" borderId="20" xfId="0" applyBorder="1" applyAlignment="1">
      <alignment horizontal="center" vertical="center"/>
    </xf>
    <xf numFmtId="0" fontId="33" fillId="0" borderId="0" xfId="0" applyFont="1" applyAlignment="1" applyProtection="1">
      <alignment horizontal="center" vertical="center"/>
      <protection locked="0"/>
    </xf>
    <xf numFmtId="0" fontId="30" fillId="0" borderId="0" xfId="0" applyFont="1" applyProtection="1">
      <protection locked="0"/>
    </xf>
    <xf numFmtId="0" fontId="31" fillId="0" borderId="0" xfId="0" applyFont="1" applyProtection="1">
      <protection locked="0"/>
    </xf>
    <xf numFmtId="4" fontId="0" fillId="0" borderId="0" xfId="0" applyNumberFormat="1"/>
    <xf numFmtId="0" fontId="3" fillId="0" borderId="0" xfId="0" applyFont="1" applyAlignment="1" applyProtection="1">
      <alignment horizontal="left" vertical="center" wrapText="1"/>
      <protection locked="0"/>
    </xf>
    <xf numFmtId="0" fontId="3" fillId="0" borderId="1" xfId="0" applyFont="1" applyBorder="1" applyAlignment="1" applyProtection="1">
      <alignment horizontal="left" vertical="top" wrapText="1"/>
      <protection locked="0"/>
    </xf>
    <xf numFmtId="0" fontId="23" fillId="0" borderId="1" xfId="0" applyFont="1" applyBorder="1" applyAlignment="1" applyProtection="1">
      <alignment horizontal="left" wrapText="1"/>
      <protection locked="0"/>
    </xf>
    <xf numFmtId="0" fontId="3" fillId="0" borderId="1" xfId="0" quotePrefix="1" applyFont="1" applyBorder="1" applyAlignment="1" applyProtection="1">
      <alignment horizontal="left" vertical="center" wrapText="1"/>
      <protection locked="0"/>
    </xf>
    <xf numFmtId="0" fontId="3" fillId="0" borderId="11" xfId="0" applyFont="1" applyBorder="1" applyAlignment="1" applyProtection="1">
      <alignment horizontal="left" vertical="center" wrapText="1"/>
      <protection locked="0"/>
    </xf>
    <xf numFmtId="0" fontId="3" fillId="0" borderId="10" xfId="0" applyFont="1" applyBorder="1" applyAlignment="1" applyProtection="1">
      <alignment horizontal="left" vertical="top" wrapText="1"/>
      <protection locked="0"/>
    </xf>
    <xf numFmtId="0" fontId="3" fillId="0" borderId="1" xfId="0" applyFont="1" applyBorder="1" applyAlignment="1" applyProtection="1">
      <alignment horizontal="left" vertical="center"/>
      <protection locked="0"/>
    </xf>
    <xf numFmtId="0" fontId="0" fillId="0" borderId="0" xfId="0" applyProtection="1">
      <protection locked="0"/>
    </xf>
    <xf numFmtId="0" fontId="3" fillId="0" borderId="18" xfId="0" applyFont="1" applyBorder="1" applyAlignment="1" applyProtection="1">
      <alignment horizontal="left" vertical="center" wrapText="1"/>
      <protection locked="0"/>
    </xf>
    <xf numFmtId="0" fontId="25" fillId="11" borderId="1" xfId="0" applyFont="1" applyFill="1" applyBorder="1" applyAlignment="1" applyProtection="1">
      <alignment horizontal="center" vertical="center" wrapText="1"/>
      <protection locked="0"/>
    </xf>
    <xf numFmtId="0" fontId="3" fillId="0" borderId="19" xfId="0" applyFont="1" applyBorder="1" applyAlignment="1" applyProtection="1">
      <alignment horizontal="center" vertical="center" wrapText="1"/>
      <protection locked="0"/>
    </xf>
    <xf numFmtId="8" fontId="11" fillId="0" borderId="1" xfId="1" applyNumberFormat="1" applyFont="1" applyFill="1" applyBorder="1" applyAlignment="1" applyProtection="1">
      <alignment horizontal="center" vertical="center" wrapText="1"/>
      <protection locked="0"/>
    </xf>
    <xf numFmtId="8" fontId="3" fillId="0" borderId="1" xfId="1" applyNumberFormat="1" applyFont="1" applyFill="1" applyBorder="1" applyAlignment="1" applyProtection="1">
      <alignment horizontal="center" vertical="center" wrapText="1"/>
      <protection locked="0"/>
    </xf>
    <xf numFmtId="14" fontId="3" fillId="0" borderId="18" xfId="0" applyNumberFormat="1" applyFont="1" applyBorder="1" applyAlignment="1" applyProtection="1">
      <alignment horizontal="center" vertical="center" wrapText="1"/>
      <protection locked="0"/>
    </xf>
    <xf numFmtId="44" fontId="3" fillId="0" borderId="18" xfId="1" applyFont="1" applyFill="1" applyBorder="1" applyAlignment="1" applyProtection="1">
      <alignment horizontal="center" vertical="center" wrapText="1"/>
      <protection locked="0"/>
    </xf>
    <xf numFmtId="164" fontId="3" fillId="0" borderId="1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167" fontId="11" fillId="0" borderId="1" xfId="0" applyNumberFormat="1" applyFont="1" applyBorder="1" applyAlignment="1" applyProtection="1">
      <alignment horizontal="left" vertical="center" wrapText="1"/>
      <protection locked="0"/>
    </xf>
    <xf numFmtId="16" fontId="11" fillId="0" borderId="1" xfId="0" applyNumberFormat="1" applyFont="1" applyBorder="1" applyAlignment="1" applyProtection="1">
      <alignment horizontal="left" vertical="center" wrapText="1"/>
      <protection locked="0"/>
    </xf>
    <xf numFmtId="14" fontId="10" fillId="0" borderId="1" xfId="0" applyNumberFormat="1" applyFont="1" applyBorder="1" applyAlignment="1" applyProtection="1">
      <alignment horizontal="left" vertical="center" wrapText="1"/>
      <protection locked="0"/>
    </xf>
    <xf numFmtId="14" fontId="7" fillId="0" borderId="1" xfId="0" applyNumberFormat="1" applyFont="1" applyBorder="1" applyAlignment="1" applyProtection="1">
      <alignment horizontal="left" vertical="center" wrapText="1"/>
      <protection locked="0"/>
    </xf>
    <xf numFmtId="0" fontId="4" fillId="4" borderId="1" xfId="0" applyFont="1" applyFill="1" applyBorder="1" applyAlignment="1">
      <alignment horizontal="center" vertical="center" wrapText="1"/>
    </xf>
    <xf numFmtId="167" fontId="4" fillId="4" borderId="1" xfId="0" applyNumberFormat="1"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 fillId="0" borderId="5" xfId="0" applyFont="1" applyBorder="1" applyAlignment="1">
      <alignment horizontal="left" vertical="center" wrapText="1"/>
    </xf>
    <xf numFmtId="0" fontId="1" fillId="10" borderId="5" xfId="0" applyFont="1" applyFill="1" applyBorder="1" applyAlignment="1">
      <alignment horizontal="center" vertical="center" wrapText="1"/>
    </xf>
    <xf numFmtId="0" fontId="1" fillId="0" borderId="5" xfId="0" applyFont="1" applyBorder="1" applyAlignment="1">
      <alignment horizontal="center" vertical="center" wrapText="1"/>
    </xf>
  </cellXfs>
  <cellStyles count="2">
    <cellStyle name="Moeda" xfId="1" builtinId="4"/>
    <cellStyle name="Normal" xfId="0" builtinId="0"/>
  </cellStyles>
  <dxfs count="358">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rgb="FF9C0006"/>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FFC000"/>
        </patternFill>
      </fill>
    </dxf>
    <dxf>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FF00"/>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FF00"/>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amila Ramos" id="{65676D70-A01C-4580-BAA8-577C62D0D74D}" userId="S::camila-ramos@auroracoop.com.br::09f35383-dfed-4344-a276-787dc8481032" providerId="AD"/>
</personList>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147" dT="2025-12-17T13:20:15.06" personId="{65676D70-A01C-4580-BAA8-577C62D0D74D}" id="{12785C98-4EFE-4269-BE7C-CFFCD8A537C8}">
    <text>Nota enviada para o e-mail correto (nfserviçofac) porém Francilei não realizou a inclusão na 198 dentro do mês de emissão, solicitante Camila responsável pela abertura da rc estava de férias nesse período.</text>
  </threadedComment>
  <threadedComment ref="O293" dT="2025-12-13T14:39:20.48" personId="{65676D70-A01C-4580-BAA8-577C62D0D74D}" id="{30311ED5-2EA9-4645-94BE-B9B659B66EFF}">
    <text>SERVIÇO NÃO PRESTADO ANTES DO PEDIDO, APENAS ABERTO COMO 5 POR SER EMERGENCIAL.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1259"/>
  <sheetViews>
    <sheetView showGridLines="0" tabSelected="1" zoomScale="70" zoomScaleNormal="70" workbookViewId="0">
      <pane ySplit="3" topLeftCell="F621" activePane="bottomLeft" state="frozen"/>
      <selection pane="bottomLeft" activeCell="M3" sqref="M3"/>
    </sheetView>
  </sheetViews>
  <sheetFormatPr defaultColWidth="9.140625" defaultRowHeight="45" customHeight="1"/>
  <cols>
    <col min="1" max="1" width="9.140625" style="101" customWidth="1"/>
    <col min="2" max="2" width="9.140625" style="172" customWidth="1"/>
    <col min="3" max="3" width="13.85546875" style="103" customWidth="1"/>
    <col min="4" max="6" width="11.140625" style="103" customWidth="1"/>
    <col min="7" max="7" width="71.85546875" style="254" customWidth="1"/>
    <col min="8" max="8" width="11.28515625" style="103" customWidth="1"/>
    <col min="9" max="9" width="13.5703125" style="103" customWidth="1"/>
    <col min="10" max="10" width="8.85546875" style="103" customWidth="1"/>
    <col min="11" max="11" width="22.7109375" style="103" customWidth="1"/>
    <col min="12" max="12" width="13.5703125" style="103" customWidth="1"/>
    <col min="13" max="13" width="13.7109375" style="103" customWidth="1"/>
    <col min="14" max="14" width="26.42578125" style="103" customWidth="1"/>
    <col min="15" max="15" width="11.42578125" style="103" customWidth="1"/>
    <col min="16" max="16" width="16.85546875" style="103" customWidth="1"/>
    <col min="17" max="17" width="9.140625" style="183" customWidth="1"/>
    <col min="18" max="18" width="9.140625" style="103" customWidth="1"/>
    <col min="19" max="19" width="18.7109375" style="184" customWidth="1"/>
    <col min="20" max="20" width="14.28515625" style="185" customWidth="1"/>
    <col min="21" max="21" width="9.140625" style="103" customWidth="1"/>
    <col min="22" max="22" width="10.85546875" style="101" customWidth="1"/>
    <col min="23" max="23" width="9" style="103" customWidth="1"/>
    <col min="24" max="24" width="11.85546875" style="103" customWidth="1"/>
    <col min="25" max="25" width="11.28515625" style="219" customWidth="1"/>
    <col min="26" max="26" width="9.5703125" style="102" customWidth="1"/>
    <col min="27" max="27" width="9.140625" style="102" customWidth="1"/>
    <col min="28" max="28" width="17.7109375" style="101" customWidth="1"/>
    <col min="29" max="29" width="27.42578125" style="103" customWidth="1"/>
    <col min="30" max="30" width="13.28515625" style="103" customWidth="1"/>
    <col min="31" max="31" width="17" style="101" customWidth="1"/>
    <col min="32" max="34" width="9.140625" style="101" bestFit="1" customWidth="1"/>
    <col min="35" max="35" width="9.140625" style="101" customWidth="1"/>
    <col min="36" max="16384" width="9.140625" style="101"/>
  </cols>
  <sheetData>
    <row r="1" spans="2:30" ht="13.15" customHeight="1">
      <c r="Y1" s="217"/>
    </row>
    <row r="2" spans="2:30" s="176" customFormat="1" ht="21.6" customHeight="1">
      <c r="B2" s="173"/>
      <c r="C2" s="279" t="s">
        <v>0</v>
      </c>
      <c r="D2" s="280"/>
      <c r="E2" s="281"/>
      <c r="F2" s="282" t="s">
        <v>1</v>
      </c>
      <c r="G2" s="283"/>
      <c r="H2" s="284"/>
      <c r="I2" s="284"/>
      <c r="J2" s="284"/>
      <c r="K2" s="284"/>
      <c r="L2" s="284"/>
      <c r="M2" s="284"/>
      <c r="N2" s="284"/>
      <c r="O2" s="284"/>
      <c r="P2" s="284"/>
      <c r="Q2" s="284"/>
      <c r="R2" s="284"/>
      <c r="S2" s="284"/>
      <c r="T2" s="285"/>
      <c r="U2" s="275" t="s">
        <v>2</v>
      </c>
      <c r="V2" s="275"/>
      <c r="W2" s="275"/>
      <c r="X2" s="275"/>
      <c r="Y2" s="276"/>
      <c r="Z2" s="275"/>
      <c r="AA2" s="275"/>
      <c r="AB2" s="277" t="s">
        <v>3</v>
      </c>
      <c r="AC2" s="278"/>
      <c r="AD2" s="278"/>
    </row>
    <row r="3" spans="2:30" s="172" customFormat="1" ht="58.15" customHeight="1">
      <c r="B3" s="2" t="s">
        <v>4</v>
      </c>
      <c r="C3" s="2" t="s">
        <v>5</v>
      </c>
      <c r="D3" s="2" t="s">
        <v>6</v>
      </c>
      <c r="E3" s="2" t="s">
        <v>0</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177" t="s">
        <v>22</v>
      </c>
      <c r="V3" s="177" t="s">
        <v>23</v>
      </c>
      <c r="W3" s="177" t="s">
        <v>24</v>
      </c>
      <c r="X3" s="177" t="s">
        <v>25</v>
      </c>
      <c r="Y3" s="215" t="s">
        <v>26</v>
      </c>
      <c r="Z3" s="178" t="s">
        <v>27</v>
      </c>
      <c r="AA3" s="178" t="s">
        <v>28</v>
      </c>
      <c r="AB3" s="4" t="s">
        <v>29</v>
      </c>
      <c r="AC3" s="4" t="s">
        <v>30</v>
      </c>
      <c r="AD3" s="175" t="s">
        <v>31</v>
      </c>
    </row>
    <row r="4" spans="2:30" ht="45" hidden="1" customHeight="1">
      <c r="B4" s="174">
        <v>1</v>
      </c>
      <c r="C4" s="104" t="s">
        <v>32</v>
      </c>
      <c r="D4" s="104" t="s">
        <v>33</v>
      </c>
      <c r="E4" s="104" t="s">
        <v>34</v>
      </c>
      <c r="F4" s="104" t="s">
        <v>35</v>
      </c>
      <c r="G4" s="145" t="s">
        <v>36</v>
      </c>
      <c r="H4" s="104">
        <v>2216</v>
      </c>
      <c r="I4" s="104">
        <v>242</v>
      </c>
      <c r="J4" s="104" t="s">
        <v>37</v>
      </c>
      <c r="K4" s="104" t="s">
        <v>38</v>
      </c>
      <c r="L4" s="104">
        <v>7277</v>
      </c>
      <c r="M4" s="104">
        <v>1</v>
      </c>
      <c r="N4" s="104" t="s">
        <v>34</v>
      </c>
      <c r="O4" s="104" t="s">
        <v>34</v>
      </c>
      <c r="P4" s="104">
        <v>3625884</v>
      </c>
      <c r="Q4" s="106">
        <v>45320</v>
      </c>
      <c r="R4" s="104">
        <v>3781090</v>
      </c>
      <c r="S4" s="109">
        <v>54400.01</v>
      </c>
      <c r="T4" s="108"/>
      <c r="U4" s="116" t="s">
        <v>39</v>
      </c>
      <c r="V4" s="104" t="s">
        <v>34</v>
      </c>
      <c r="W4" s="104" t="s">
        <v>40</v>
      </c>
      <c r="X4" s="104" t="s">
        <v>25</v>
      </c>
      <c r="Y4" s="221">
        <v>20400</v>
      </c>
      <c r="Z4" s="106">
        <v>46023</v>
      </c>
      <c r="AA4" s="106">
        <v>46049</v>
      </c>
      <c r="AB4" s="104" t="s">
        <v>41</v>
      </c>
      <c r="AC4" s="104"/>
      <c r="AD4" s="113">
        <f>S4-Y4</f>
        <v>34000.01</v>
      </c>
    </row>
    <row r="5" spans="2:30" ht="45" hidden="1" customHeight="1">
      <c r="B5" s="174">
        <v>2</v>
      </c>
      <c r="C5" s="104" t="s">
        <v>42</v>
      </c>
      <c r="D5" s="104" t="s">
        <v>43</v>
      </c>
      <c r="E5" s="104" t="s">
        <v>34</v>
      </c>
      <c r="F5" s="104" t="s">
        <v>44</v>
      </c>
      <c r="G5" s="145" t="s">
        <v>45</v>
      </c>
      <c r="H5" s="104">
        <v>1295</v>
      </c>
      <c r="I5" s="104">
        <v>242</v>
      </c>
      <c r="J5" s="104" t="s">
        <v>46</v>
      </c>
      <c r="K5" s="104" t="s">
        <v>47</v>
      </c>
      <c r="L5" s="186">
        <v>23624</v>
      </c>
      <c r="M5" s="104">
        <v>1</v>
      </c>
      <c r="N5" s="104" t="s">
        <v>34</v>
      </c>
      <c r="O5" s="104" t="s">
        <v>34</v>
      </c>
      <c r="P5" s="104">
        <v>3845839</v>
      </c>
      <c r="Q5" s="106">
        <v>45525</v>
      </c>
      <c r="R5" s="104">
        <v>3985320</v>
      </c>
      <c r="S5" s="129">
        <v>132000</v>
      </c>
      <c r="T5" s="108" t="s">
        <v>34</v>
      </c>
      <c r="U5" s="104">
        <v>2956</v>
      </c>
      <c r="V5" s="104" t="s">
        <v>34</v>
      </c>
      <c r="W5" s="104" t="s">
        <v>48</v>
      </c>
      <c r="X5" s="104" t="s">
        <v>44</v>
      </c>
      <c r="Y5" s="131">
        <v>123990</v>
      </c>
      <c r="Z5" s="106">
        <v>45965</v>
      </c>
      <c r="AA5" s="106">
        <v>45965</v>
      </c>
      <c r="AB5" s="104" t="s">
        <v>49</v>
      </c>
      <c r="AC5" s="104" t="s">
        <v>50</v>
      </c>
      <c r="AD5" s="113">
        <f>S5-Y5</f>
        <v>8010</v>
      </c>
    </row>
    <row r="6" spans="2:30" ht="45" hidden="1" customHeight="1">
      <c r="B6" s="174">
        <v>3</v>
      </c>
      <c r="C6" s="104" t="s">
        <v>51</v>
      </c>
      <c r="D6" s="104" t="s">
        <v>52</v>
      </c>
      <c r="E6" s="104" t="s">
        <v>34</v>
      </c>
      <c r="F6" s="104" t="s">
        <v>44</v>
      </c>
      <c r="G6" s="145" t="s">
        <v>53</v>
      </c>
      <c r="H6" s="104">
        <v>5345</v>
      </c>
      <c r="I6" s="104">
        <v>242</v>
      </c>
      <c r="J6" s="104" t="s">
        <v>37</v>
      </c>
      <c r="K6" s="104">
        <v>22</v>
      </c>
      <c r="L6" s="104">
        <v>26751</v>
      </c>
      <c r="M6" s="104">
        <v>19</v>
      </c>
      <c r="N6" s="104" t="s">
        <v>34</v>
      </c>
      <c r="O6" s="104" t="s">
        <v>34</v>
      </c>
      <c r="P6" s="104">
        <v>3857992</v>
      </c>
      <c r="Q6" s="106">
        <v>45902</v>
      </c>
      <c r="R6" s="104">
        <v>3993405</v>
      </c>
      <c r="S6" s="129">
        <v>67000</v>
      </c>
      <c r="T6" s="108" t="s">
        <v>34</v>
      </c>
      <c r="U6" s="104">
        <v>327</v>
      </c>
      <c r="V6" s="104" t="s">
        <v>34</v>
      </c>
      <c r="W6" s="104" t="s">
        <v>48</v>
      </c>
      <c r="X6" s="104" t="s">
        <v>25</v>
      </c>
      <c r="Y6" s="131">
        <v>11166.66</v>
      </c>
      <c r="Z6" s="106">
        <v>45973</v>
      </c>
      <c r="AA6" s="106">
        <v>45975</v>
      </c>
      <c r="AB6" s="104" t="s">
        <v>54</v>
      </c>
      <c r="AC6" s="104"/>
      <c r="AD6" s="113">
        <v>2365.0300000000002</v>
      </c>
    </row>
    <row r="7" spans="2:30" ht="45" hidden="1" customHeight="1">
      <c r="B7" s="174">
        <v>4</v>
      </c>
      <c r="C7" s="104" t="s">
        <v>55</v>
      </c>
      <c r="D7" s="104" t="s">
        <v>56</v>
      </c>
      <c r="E7" s="104" t="s">
        <v>34</v>
      </c>
      <c r="F7" s="104" t="s">
        <v>44</v>
      </c>
      <c r="G7" s="255" t="s">
        <v>57</v>
      </c>
      <c r="H7" s="104">
        <v>2224</v>
      </c>
      <c r="I7" s="104">
        <v>242</v>
      </c>
      <c r="J7" s="104" t="s">
        <v>58</v>
      </c>
      <c r="K7" s="104" t="s">
        <v>59</v>
      </c>
      <c r="L7" s="104">
        <v>54394</v>
      </c>
      <c r="M7" s="104">
        <v>1</v>
      </c>
      <c r="N7" s="104" t="s">
        <v>34</v>
      </c>
      <c r="O7" s="104" t="s">
        <v>34</v>
      </c>
      <c r="P7" s="104">
        <v>4099059</v>
      </c>
      <c r="Q7" s="106">
        <v>45777</v>
      </c>
      <c r="R7" s="104">
        <v>4225251</v>
      </c>
      <c r="S7" s="107">
        <v>21000</v>
      </c>
      <c r="T7" s="112"/>
      <c r="U7" s="104">
        <v>1461</v>
      </c>
      <c r="V7" s="104" t="s">
        <v>34</v>
      </c>
      <c r="W7" s="104" t="s">
        <v>48</v>
      </c>
      <c r="X7" s="104" t="s">
        <v>35</v>
      </c>
      <c r="Y7" s="221">
        <v>21000</v>
      </c>
      <c r="Z7" s="106">
        <v>45980</v>
      </c>
      <c r="AA7" s="106">
        <v>45985</v>
      </c>
      <c r="AB7" s="104" t="s">
        <v>60</v>
      </c>
      <c r="AC7" s="104"/>
      <c r="AD7" s="113">
        <f>S7-Y7</f>
        <v>0</v>
      </c>
    </row>
    <row r="8" spans="2:30" ht="45" hidden="1" customHeight="1">
      <c r="B8" s="174">
        <v>5</v>
      </c>
      <c r="C8" s="104" t="s">
        <v>61</v>
      </c>
      <c r="D8" s="104" t="s">
        <v>62</v>
      </c>
      <c r="E8" s="104" t="s">
        <v>34</v>
      </c>
      <c r="F8" s="104" t="s">
        <v>44</v>
      </c>
      <c r="G8" s="255" t="s">
        <v>63</v>
      </c>
      <c r="H8" s="104">
        <v>2330</v>
      </c>
      <c r="I8" s="104">
        <v>242</v>
      </c>
      <c r="J8" s="104" t="s">
        <v>58</v>
      </c>
      <c r="K8" s="104" t="s">
        <v>64</v>
      </c>
      <c r="L8" s="104">
        <v>60337</v>
      </c>
      <c r="M8" s="104">
        <v>1</v>
      </c>
      <c r="N8" s="104" t="s">
        <v>65</v>
      </c>
      <c r="O8" s="104" t="s">
        <v>34</v>
      </c>
      <c r="P8" s="104">
        <v>4105536</v>
      </c>
      <c r="Q8" s="106">
        <v>45784</v>
      </c>
      <c r="R8" s="104">
        <v>4229205</v>
      </c>
      <c r="S8" s="107">
        <v>37500</v>
      </c>
      <c r="T8" s="112"/>
      <c r="U8" s="104"/>
      <c r="V8" s="104"/>
      <c r="W8" s="104"/>
      <c r="X8" s="104"/>
      <c r="Y8" s="131"/>
      <c r="Z8" s="106"/>
      <c r="AA8" s="106"/>
      <c r="AB8" s="104" t="s">
        <v>66</v>
      </c>
      <c r="AC8" s="104"/>
      <c r="AD8" s="113">
        <f>S8-Y8</f>
        <v>37500</v>
      </c>
    </row>
    <row r="9" spans="2:30" ht="45" hidden="1" customHeight="1">
      <c r="B9" s="174">
        <v>6</v>
      </c>
      <c r="C9" s="104" t="s">
        <v>61</v>
      </c>
      <c r="D9" s="104" t="s">
        <v>67</v>
      </c>
      <c r="E9" s="104" t="s">
        <v>34</v>
      </c>
      <c r="F9" s="104" t="s">
        <v>44</v>
      </c>
      <c r="G9" s="255" t="s">
        <v>68</v>
      </c>
      <c r="H9" s="104">
        <v>2330</v>
      </c>
      <c r="I9" s="104">
        <v>242</v>
      </c>
      <c r="J9" s="104" t="s">
        <v>58</v>
      </c>
      <c r="K9" s="104" t="s">
        <v>69</v>
      </c>
      <c r="L9" s="104">
        <v>67861</v>
      </c>
      <c r="M9" s="104">
        <v>1</v>
      </c>
      <c r="N9" s="104" t="s">
        <v>34</v>
      </c>
      <c r="O9" s="104" t="s">
        <v>34</v>
      </c>
      <c r="P9" s="104">
        <v>4150210</v>
      </c>
      <c r="Q9" s="106">
        <v>45826</v>
      </c>
      <c r="R9" s="104">
        <v>4277118</v>
      </c>
      <c r="S9" s="107">
        <v>43000</v>
      </c>
      <c r="T9" s="108">
        <v>45839</v>
      </c>
      <c r="U9" s="104"/>
      <c r="V9" s="104"/>
      <c r="W9" s="104"/>
      <c r="X9" s="104"/>
      <c r="Y9" s="131"/>
      <c r="Z9" s="106"/>
      <c r="AA9" s="106"/>
      <c r="AB9" s="104" t="s">
        <v>66</v>
      </c>
      <c r="AC9" s="104"/>
      <c r="AD9" s="113">
        <f>S9-Y9</f>
        <v>43000</v>
      </c>
    </row>
    <row r="10" spans="2:30" ht="45" hidden="1" customHeight="1">
      <c r="B10" s="174">
        <v>7</v>
      </c>
      <c r="C10" s="104" t="s">
        <v>70</v>
      </c>
      <c r="D10" s="104" t="s">
        <v>71</v>
      </c>
      <c r="E10" s="104" t="s">
        <v>34</v>
      </c>
      <c r="F10" s="104" t="s">
        <v>44</v>
      </c>
      <c r="G10" s="255" t="s">
        <v>72</v>
      </c>
      <c r="H10" s="104">
        <v>4588</v>
      </c>
      <c r="I10" s="104">
        <v>242</v>
      </c>
      <c r="J10" s="104" t="s">
        <v>58</v>
      </c>
      <c r="K10" s="104" t="s">
        <v>73</v>
      </c>
      <c r="L10" s="104">
        <v>68049</v>
      </c>
      <c r="M10" s="104">
        <v>29</v>
      </c>
      <c r="N10" s="104" t="s">
        <v>74</v>
      </c>
      <c r="O10" s="104" t="s">
        <v>34</v>
      </c>
      <c r="P10" s="104">
        <v>4152135</v>
      </c>
      <c r="Q10" s="106">
        <v>45827</v>
      </c>
      <c r="R10" s="104">
        <v>4277107</v>
      </c>
      <c r="S10" s="107">
        <v>49000</v>
      </c>
      <c r="T10" s="108">
        <v>45839</v>
      </c>
      <c r="U10" s="104"/>
      <c r="V10" s="104"/>
      <c r="W10" s="104"/>
      <c r="X10" s="104"/>
      <c r="Y10" s="131"/>
      <c r="Z10" s="106"/>
      <c r="AA10" s="106"/>
      <c r="AB10" s="104" t="s">
        <v>66</v>
      </c>
      <c r="AC10" s="104"/>
      <c r="AD10" s="113">
        <f>S10-Y10</f>
        <v>49000</v>
      </c>
    </row>
    <row r="11" spans="2:30" ht="45" hidden="1" customHeight="1">
      <c r="B11" s="174">
        <v>8</v>
      </c>
      <c r="C11" s="104" t="s">
        <v>75</v>
      </c>
      <c r="D11" s="104" t="s">
        <v>76</v>
      </c>
      <c r="E11" s="104" t="s">
        <v>34</v>
      </c>
      <c r="F11" s="104" t="s">
        <v>44</v>
      </c>
      <c r="G11" s="255" t="s">
        <v>77</v>
      </c>
      <c r="H11" s="104">
        <v>2488</v>
      </c>
      <c r="I11" s="104">
        <v>242</v>
      </c>
      <c r="J11" s="104" t="s">
        <v>58</v>
      </c>
      <c r="K11" s="104" t="s">
        <v>78</v>
      </c>
      <c r="L11" s="104">
        <v>66823</v>
      </c>
      <c r="M11" s="104">
        <v>29</v>
      </c>
      <c r="N11" s="104" t="s">
        <v>79</v>
      </c>
      <c r="O11" s="104" t="s">
        <v>34</v>
      </c>
      <c r="P11" s="104">
        <v>4157512</v>
      </c>
      <c r="Q11" s="106">
        <v>45833</v>
      </c>
      <c r="R11" s="104">
        <v>4278499</v>
      </c>
      <c r="S11" s="107">
        <v>11775.9</v>
      </c>
      <c r="T11" s="108">
        <v>45930</v>
      </c>
      <c r="U11" s="104">
        <v>215</v>
      </c>
      <c r="V11" s="104" t="s">
        <v>34</v>
      </c>
      <c r="W11" s="104" t="s">
        <v>40</v>
      </c>
      <c r="X11" s="104" t="s">
        <v>44</v>
      </c>
      <c r="Y11" s="221">
        <v>11775.9</v>
      </c>
      <c r="Z11" s="123">
        <v>45980</v>
      </c>
      <c r="AA11" s="106">
        <v>46000</v>
      </c>
      <c r="AB11" s="104" t="s">
        <v>60</v>
      </c>
      <c r="AC11" s="104"/>
      <c r="AD11" s="113">
        <f>S11-Y11</f>
        <v>0</v>
      </c>
    </row>
    <row r="12" spans="2:30" ht="45" hidden="1" customHeight="1">
      <c r="B12" s="174">
        <v>9</v>
      </c>
      <c r="C12" s="104" t="s">
        <v>80</v>
      </c>
      <c r="D12" s="104" t="s">
        <v>81</v>
      </c>
      <c r="E12" s="104" t="s">
        <v>34</v>
      </c>
      <c r="F12" s="104" t="s">
        <v>44</v>
      </c>
      <c r="G12" s="255" t="s">
        <v>82</v>
      </c>
      <c r="H12" s="104">
        <v>2224</v>
      </c>
      <c r="I12" s="104">
        <v>242</v>
      </c>
      <c r="J12" s="104" t="s">
        <v>58</v>
      </c>
      <c r="K12" s="104" t="s">
        <v>83</v>
      </c>
      <c r="L12" s="104">
        <v>69984</v>
      </c>
      <c r="M12" s="104">
        <v>29</v>
      </c>
      <c r="N12" s="104" t="s">
        <v>84</v>
      </c>
      <c r="O12" s="104" t="s">
        <v>34</v>
      </c>
      <c r="P12" s="104">
        <v>4167151</v>
      </c>
      <c r="Q12" s="106">
        <v>45841</v>
      </c>
      <c r="R12" s="104">
        <v>4288337</v>
      </c>
      <c r="S12" s="107">
        <v>106.99</v>
      </c>
      <c r="T12" s="108">
        <v>45901</v>
      </c>
      <c r="U12" s="104"/>
      <c r="V12" s="104"/>
      <c r="W12" s="104"/>
      <c r="X12" s="104"/>
      <c r="Y12" s="131"/>
      <c r="Z12" s="106"/>
      <c r="AA12" s="106"/>
      <c r="AB12" s="104" t="s">
        <v>49</v>
      </c>
      <c r="AC12" s="104"/>
      <c r="AD12" s="113">
        <f>S12-Y12</f>
        <v>106.99</v>
      </c>
    </row>
    <row r="13" spans="2:30" ht="45" hidden="1" customHeight="1">
      <c r="B13" s="174">
        <v>10</v>
      </c>
      <c r="C13" s="104" t="s">
        <v>85</v>
      </c>
      <c r="D13" s="104" t="s">
        <v>86</v>
      </c>
      <c r="E13" s="104" t="s">
        <v>34</v>
      </c>
      <c r="F13" s="104" t="s">
        <v>44</v>
      </c>
      <c r="G13" s="255" t="s">
        <v>87</v>
      </c>
      <c r="H13" s="104">
        <v>1210</v>
      </c>
      <c r="I13" s="104">
        <v>242</v>
      </c>
      <c r="J13" s="104" t="s">
        <v>58</v>
      </c>
      <c r="K13" s="104" t="s">
        <v>88</v>
      </c>
      <c r="L13" s="104">
        <v>72195</v>
      </c>
      <c r="M13" s="104">
        <v>29</v>
      </c>
      <c r="N13" s="104" t="s">
        <v>89</v>
      </c>
      <c r="O13" s="104" t="s">
        <v>34</v>
      </c>
      <c r="P13" s="104">
        <v>4182860</v>
      </c>
      <c r="Q13" s="106">
        <v>45856</v>
      </c>
      <c r="R13" s="104">
        <v>4309483</v>
      </c>
      <c r="S13" s="107">
        <v>13812.71</v>
      </c>
      <c r="T13" s="108">
        <v>45870</v>
      </c>
      <c r="U13" s="104">
        <v>146</v>
      </c>
      <c r="V13" s="104"/>
      <c r="W13" s="104" t="s">
        <v>48</v>
      </c>
      <c r="X13" s="104" t="s">
        <v>90</v>
      </c>
      <c r="Y13" s="131">
        <v>13812.71</v>
      </c>
      <c r="Z13" s="106">
        <v>46037</v>
      </c>
      <c r="AA13" s="106">
        <v>46038</v>
      </c>
      <c r="AB13" s="104" t="s">
        <v>60</v>
      </c>
      <c r="AC13" s="104"/>
      <c r="AD13" s="113">
        <f>S13-Y13</f>
        <v>0</v>
      </c>
    </row>
    <row r="14" spans="2:30" ht="45" hidden="1" customHeight="1">
      <c r="B14" s="174">
        <v>11</v>
      </c>
      <c r="C14" s="104" t="s">
        <v>70</v>
      </c>
      <c r="D14" s="104" t="s">
        <v>91</v>
      </c>
      <c r="E14" s="104" t="s">
        <v>34</v>
      </c>
      <c r="F14" s="104" t="s">
        <v>44</v>
      </c>
      <c r="G14" s="255" t="s">
        <v>92</v>
      </c>
      <c r="H14" s="104">
        <v>2151</v>
      </c>
      <c r="I14" s="104">
        <v>5</v>
      </c>
      <c r="J14" s="104" t="s">
        <v>58</v>
      </c>
      <c r="K14" s="104" t="s">
        <v>93</v>
      </c>
      <c r="L14" s="104">
        <v>72312</v>
      </c>
      <c r="M14" s="104">
        <v>1</v>
      </c>
      <c r="N14" s="104" t="s">
        <v>34</v>
      </c>
      <c r="O14" s="104" t="s">
        <v>34</v>
      </c>
      <c r="P14" s="104">
        <v>4183033</v>
      </c>
      <c r="Q14" s="106">
        <v>45856</v>
      </c>
      <c r="R14" s="104">
        <v>4311590</v>
      </c>
      <c r="S14" s="107">
        <v>61000</v>
      </c>
      <c r="T14" s="108">
        <v>45870</v>
      </c>
      <c r="U14" s="104">
        <v>2126</v>
      </c>
      <c r="V14" s="104" t="s">
        <v>34</v>
      </c>
      <c r="W14" s="104" t="s">
        <v>48</v>
      </c>
      <c r="X14" s="104" t="s">
        <v>94</v>
      </c>
      <c r="Y14" s="131">
        <v>61000</v>
      </c>
      <c r="Z14" s="106">
        <v>46055</v>
      </c>
      <c r="AA14" s="106">
        <v>46062</v>
      </c>
      <c r="AB14" s="104" t="s">
        <v>60</v>
      </c>
      <c r="AC14" s="104"/>
      <c r="AD14" s="113">
        <f>S14-Y14</f>
        <v>0</v>
      </c>
    </row>
    <row r="15" spans="2:30" ht="45" hidden="1" customHeight="1">
      <c r="B15" s="174">
        <v>12</v>
      </c>
      <c r="C15" s="104" t="s">
        <v>95</v>
      </c>
      <c r="D15" s="104" t="s">
        <v>96</v>
      </c>
      <c r="E15" s="104" t="s">
        <v>34</v>
      </c>
      <c r="F15" s="104" t="s">
        <v>44</v>
      </c>
      <c r="G15" s="255" t="s">
        <v>97</v>
      </c>
      <c r="H15" s="104" t="s">
        <v>98</v>
      </c>
      <c r="I15" s="104">
        <v>5</v>
      </c>
      <c r="J15" s="104" t="s">
        <v>58</v>
      </c>
      <c r="K15" s="104" t="s">
        <v>99</v>
      </c>
      <c r="L15" s="104">
        <v>72619</v>
      </c>
      <c r="M15" s="104">
        <v>1</v>
      </c>
      <c r="N15" s="104" t="s">
        <v>34</v>
      </c>
      <c r="O15" s="104" t="s">
        <v>34</v>
      </c>
      <c r="P15" s="104">
        <v>4186036</v>
      </c>
      <c r="Q15" s="106">
        <v>45860</v>
      </c>
      <c r="R15" s="104">
        <v>4315803</v>
      </c>
      <c r="S15" s="124">
        <v>55000</v>
      </c>
      <c r="T15" s="108" t="s">
        <v>34</v>
      </c>
      <c r="U15" s="116" t="s">
        <v>100</v>
      </c>
      <c r="V15" s="104" t="s">
        <v>34</v>
      </c>
      <c r="W15" s="104" t="s">
        <v>48</v>
      </c>
      <c r="X15" s="104" t="s">
        <v>35</v>
      </c>
      <c r="Y15" s="221">
        <v>55000</v>
      </c>
      <c r="Z15" s="106">
        <v>45992</v>
      </c>
      <c r="AA15" s="106">
        <v>45993</v>
      </c>
      <c r="AB15" s="104" t="s">
        <v>60</v>
      </c>
      <c r="AC15" s="104"/>
      <c r="AD15" s="113">
        <f>S15-Y15</f>
        <v>0</v>
      </c>
    </row>
    <row r="16" spans="2:30" ht="45" hidden="1" customHeight="1">
      <c r="B16" s="174">
        <v>13</v>
      </c>
      <c r="C16" s="104" t="s">
        <v>95</v>
      </c>
      <c r="D16" s="104" t="s">
        <v>101</v>
      </c>
      <c r="E16" s="104" t="s">
        <v>34</v>
      </c>
      <c r="F16" s="104" t="s">
        <v>44</v>
      </c>
      <c r="G16" s="255" t="s">
        <v>102</v>
      </c>
      <c r="H16" s="105" t="s">
        <v>103</v>
      </c>
      <c r="I16" s="105">
        <v>242</v>
      </c>
      <c r="J16" s="104" t="s">
        <v>58</v>
      </c>
      <c r="K16" s="104" t="s">
        <v>104</v>
      </c>
      <c r="L16" s="104">
        <v>72881</v>
      </c>
      <c r="M16" s="104">
        <v>1</v>
      </c>
      <c r="N16" s="104" t="s">
        <v>34</v>
      </c>
      <c r="O16" s="104" t="s">
        <v>34</v>
      </c>
      <c r="P16" s="104">
        <v>4187850</v>
      </c>
      <c r="Q16" s="106">
        <v>45861</v>
      </c>
      <c r="R16" s="104">
        <v>4315808</v>
      </c>
      <c r="S16" s="124">
        <v>4945</v>
      </c>
      <c r="T16" s="108">
        <v>45931</v>
      </c>
      <c r="U16" s="119" t="s">
        <v>105</v>
      </c>
      <c r="V16" s="104" t="s">
        <v>34</v>
      </c>
      <c r="W16" s="104" t="s">
        <v>48</v>
      </c>
      <c r="X16" s="104" t="s">
        <v>106</v>
      </c>
      <c r="Y16" s="221">
        <v>4945</v>
      </c>
      <c r="Z16" s="106">
        <v>45944</v>
      </c>
      <c r="AA16" s="106">
        <v>45950</v>
      </c>
      <c r="AB16" s="110" t="s">
        <v>60</v>
      </c>
      <c r="AC16" s="104"/>
      <c r="AD16" s="113">
        <f>S16-Y16</f>
        <v>0</v>
      </c>
    </row>
    <row r="17" spans="2:30" ht="45" hidden="1" customHeight="1">
      <c r="B17" s="174">
        <v>14</v>
      </c>
      <c r="C17" s="104" t="s">
        <v>42</v>
      </c>
      <c r="D17" s="104" t="s">
        <v>107</v>
      </c>
      <c r="E17" s="104" t="s">
        <v>34</v>
      </c>
      <c r="F17" s="104" t="s">
        <v>44</v>
      </c>
      <c r="G17" s="255" t="s">
        <v>108</v>
      </c>
      <c r="H17" s="104">
        <v>1228</v>
      </c>
      <c r="I17" s="104">
        <v>242</v>
      </c>
      <c r="J17" s="104" t="s">
        <v>58</v>
      </c>
      <c r="K17" s="104" t="s">
        <v>109</v>
      </c>
      <c r="L17" s="104">
        <v>72953</v>
      </c>
      <c r="M17" s="104">
        <v>2</v>
      </c>
      <c r="N17" s="104" t="s">
        <v>110</v>
      </c>
      <c r="O17" s="104" t="s">
        <v>34</v>
      </c>
      <c r="P17" s="104">
        <v>4187859</v>
      </c>
      <c r="Q17" s="106">
        <v>45861</v>
      </c>
      <c r="R17" s="104">
        <v>4310873</v>
      </c>
      <c r="S17" s="107">
        <v>31927.52</v>
      </c>
      <c r="T17" s="108">
        <v>45864</v>
      </c>
      <c r="U17" s="104">
        <v>167</v>
      </c>
      <c r="V17" s="104" t="s">
        <v>34</v>
      </c>
      <c r="W17" s="104" t="s">
        <v>48</v>
      </c>
      <c r="X17" s="104" t="s">
        <v>25</v>
      </c>
      <c r="Y17" s="131">
        <v>31927.52</v>
      </c>
      <c r="Z17" s="106">
        <v>45982</v>
      </c>
      <c r="AA17" s="122">
        <v>45987</v>
      </c>
      <c r="AB17" s="104" t="s">
        <v>60</v>
      </c>
      <c r="AC17" s="104"/>
      <c r="AD17" s="113">
        <f>S17-Y17</f>
        <v>0</v>
      </c>
    </row>
    <row r="18" spans="2:30" ht="45" hidden="1" customHeight="1">
      <c r="B18" s="174">
        <v>15</v>
      </c>
      <c r="C18" s="104" t="s">
        <v>85</v>
      </c>
      <c r="D18" s="104" t="s">
        <v>111</v>
      </c>
      <c r="E18" s="104" t="s">
        <v>34</v>
      </c>
      <c r="F18" s="104" t="s">
        <v>44</v>
      </c>
      <c r="G18" s="255" t="s">
        <v>112</v>
      </c>
      <c r="H18" s="104">
        <v>1210</v>
      </c>
      <c r="I18" s="104">
        <v>242</v>
      </c>
      <c r="J18" s="104" t="s">
        <v>58</v>
      </c>
      <c r="K18" s="104" t="s">
        <v>113</v>
      </c>
      <c r="L18" s="104">
        <v>73626</v>
      </c>
      <c r="M18" s="104">
        <v>29</v>
      </c>
      <c r="N18" s="104" t="s">
        <v>114</v>
      </c>
      <c r="O18" s="104" t="s">
        <v>34</v>
      </c>
      <c r="P18" s="104">
        <v>4193291</v>
      </c>
      <c r="Q18" s="106">
        <v>45867</v>
      </c>
      <c r="R18" s="104">
        <v>4315670</v>
      </c>
      <c r="S18" s="107">
        <v>5500</v>
      </c>
      <c r="T18" s="108">
        <v>45870</v>
      </c>
      <c r="U18" s="104"/>
      <c r="V18" s="104"/>
      <c r="W18" s="104"/>
      <c r="X18" s="104"/>
      <c r="Y18" s="131"/>
      <c r="Z18" s="106"/>
      <c r="AA18" s="106"/>
      <c r="AB18" s="104" t="s">
        <v>115</v>
      </c>
      <c r="AC18" s="104" t="s">
        <v>116</v>
      </c>
      <c r="AD18" s="113">
        <f>S18-Y18</f>
        <v>5500</v>
      </c>
    </row>
    <row r="19" spans="2:30" ht="45" hidden="1" customHeight="1">
      <c r="B19" s="174">
        <v>16</v>
      </c>
      <c r="C19" s="104" t="s">
        <v>85</v>
      </c>
      <c r="D19" s="104" t="s">
        <v>76</v>
      </c>
      <c r="E19" s="104" t="s">
        <v>34</v>
      </c>
      <c r="F19" s="104" t="s">
        <v>44</v>
      </c>
      <c r="G19" s="255" t="s">
        <v>117</v>
      </c>
      <c r="H19" s="104">
        <v>1210</v>
      </c>
      <c r="I19" s="104">
        <v>242</v>
      </c>
      <c r="J19" s="104" t="s">
        <v>58</v>
      </c>
      <c r="K19" s="104" t="s">
        <v>118</v>
      </c>
      <c r="L19" s="104">
        <v>73646</v>
      </c>
      <c r="M19" s="104">
        <v>1</v>
      </c>
      <c r="N19" s="104" t="s">
        <v>34</v>
      </c>
      <c r="O19" s="104" t="s">
        <v>34</v>
      </c>
      <c r="P19" s="104">
        <v>4193310</v>
      </c>
      <c r="Q19" s="106">
        <v>45867</v>
      </c>
      <c r="R19" s="104">
        <v>4323306</v>
      </c>
      <c r="S19" s="107">
        <v>55485.94</v>
      </c>
      <c r="T19" s="108">
        <v>45870</v>
      </c>
      <c r="U19" s="104">
        <v>246</v>
      </c>
      <c r="V19" s="104"/>
      <c r="W19" s="104" t="s">
        <v>48</v>
      </c>
      <c r="X19" s="104" t="s">
        <v>90</v>
      </c>
      <c r="Y19" s="131">
        <v>55485.94</v>
      </c>
      <c r="Z19" s="106">
        <v>46037</v>
      </c>
      <c r="AA19" s="106">
        <v>46038</v>
      </c>
      <c r="AB19" s="104" t="s">
        <v>60</v>
      </c>
      <c r="AC19" s="104"/>
      <c r="AD19" s="113">
        <f>S19-Y19</f>
        <v>0</v>
      </c>
    </row>
    <row r="20" spans="2:30" ht="45" hidden="1" customHeight="1">
      <c r="B20" s="174">
        <v>17</v>
      </c>
      <c r="C20" s="104" t="s">
        <v>119</v>
      </c>
      <c r="D20" s="104" t="s">
        <v>120</v>
      </c>
      <c r="E20" s="104" t="s">
        <v>34</v>
      </c>
      <c r="F20" s="104" t="s">
        <v>44</v>
      </c>
      <c r="G20" s="145" t="s">
        <v>121</v>
      </c>
      <c r="H20" s="104">
        <v>1228</v>
      </c>
      <c r="I20" s="104">
        <v>242</v>
      </c>
      <c r="J20" s="104" t="s">
        <v>46</v>
      </c>
      <c r="K20" s="104"/>
      <c r="L20" s="104"/>
      <c r="M20" s="104">
        <v>1</v>
      </c>
      <c r="N20" s="104"/>
      <c r="O20" s="104"/>
      <c r="P20" s="104">
        <v>4193339</v>
      </c>
      <c r="Q20" s="106">
        <v>45867</v>
      </c>
      <c r="R20" s="104">
        <v>4324339</v>
      </c>
      <c r="S20" s="129">
        <v>70950.89</v>
      </c>
      <c r="T20" s="108"/>
      <c r="U20" s="104">
        <v>179</v>
      </c>
      <c r="V20" s="104"/>
      <c r="W20" s="104" t="s">
        <v>48</v>
      </c>
      <c r="X20" s="104" t="s">
        <v>44</v>
      </c>
      <c r="Y20" s="131">
        <v>70950.89</v>
      </c>
      <c r="Z20" s="106">
        <v>45992</v>
      </c>
      <c r="AA20" s="106">
        <v>45993</v>
      </c>
      <c r="AB20" s="104" t="s">
        <v>60</v>
      </c>
      <c r="AC20" s="104"/>
      <c r="AD20" s="113">
        <f>S20-Y20</f>
        <v>0</v>
      </c>
    </row>
    <row r="21" spans="2:30" ht="45" hidden="1" customHeight="1">
      <c r="B21" s="174">
        <v>18</v>
      </c>
      <c r="C21" s="104" t="s">
        <v>95</v>
      </c>
      <c r="D21" s="104" t="s">
        <v>122</v>
      </c>
      <c r="E21" s="104" t="s">
        <v>34</v>
      </c>
      <c r="F21" s="104" t="s">
        <v>44</v>
      </c>
      <c r="G21" s="145" t="s">
        <v>123</v>
      </c>
      <c r="H21" s="104">
        <v>4502</v>
      </c>
      <c r="I21" s="104">
        <v>332</v>
      </c>
      <c r="J21" s="104" t="s">
        <v>95</v>
      </c>
      <c r="K21" s="104" t="s">
        <v>34</v>
      </c>
      <c r="L21" s="104" t="s">
        <v>34</v>
      </c>
      <c r="M21" s="104">
        <v>1</v>
      </c>
      <c r="N21" s="104" t="s">
        <v>34</v>
      </c>
      <c r="O21" s="104" t="s">
        <v>34</v>
      </c>
      <c r="P21" s="104">
        <v>4193628</v>
      </c>
      <c r="Q21" s="106">
        <v>45867</v>
      </c>
      <c r="R21" s="104">
        <v>4322044</v>
      </c>
      <c r="S21" s="156">
        <v>17000</v>
      </c>
      <c r="T21" s="108"/>
      <c r="U21" s="104">
        <v>35</v>
      </c>
      <c r="V21" s="104"/>
      <c r="W21" s="104" t="s">
        <v>48</v>
      </c>
      <c r="X21" s="104" t="s">
        <v>25</v>
      </c>
      <c r="Y21" s="222">
        <v>17000</v>
      </c>
      <c r="Z21" s="106">
        <v>45992</v>
      </c>
      <c r="AA21" s="106">
        <v>46000</v>
      </c>
      <c r="AB21" s="104" t="s">
        <v>60</v>
      </c>
      <c r="AC21" s="104"/>
      <c r="AD21" s="113">
        <f>S21-Y21</f>
        <v>0</v>
      </c>
    </row>
    <row r="22" spans="2:30" ht="45" hidden="1" customHeight="1">
      <c r="B22" s="174">
        <v>19</v>
      </c>
      <c r="C22" s="104" t="s">
        <v>95</v>
      </c>
      <c r="D22" s="104" t="s">
        <v>124</v>
      </c>
      <c r="E22" s="104" t="s">
        <v>34</v>
      </c>
      <c r="F22" s="104" t="s">
        <v>44</v>
      </c>
      <c r="G22" s="255" t="s">
        <v>125</v>
      </c>
      <c r="H22" s="104">
        <v>2488</v>
      </c>
      <c r="I22" s="104">
        <v>5</v>
      </c>
      <c r="J22" s="104" t="s">
        <v>58</v>
      </c>
      <c r="K22" s="104" t="s">
        <v>126</v>
      </c>
      <c r="L22" s="104">
        <v>65821</v>
      </c>
      <c r="M22" s="104">
        <v>1</v>
      </c>
      <c r="N22" s="104" t="s">
        <v>34</v>
      </c>
      <c r="O22" s="104" t="s">
        <v>34</v>
      </c>
      <c r="P22" s="104">
        <v>4195109</v>
      </c>
      <c r="Q22" s="106">
        <v>45868</v>
      </c>
      <c r="R22" s="104">
        <v>4324342</v>
      </c>
      <c r="S22" s="124">
        <v>341273.47</v>
      </c>
      <c r="T22" s="108"/>
      <c r="U22" s="104">
        <v>122</v>
      </c>
      <c r="V22" s="104" t="s">
        <v>34</v>
      </c>
      <c r="W22" s="104" t="s">
        <v>48</v>
      </c>
      <c r="X22" s="104" t="s">
        <v>106</v>
      </c>
      <c r="Y22" s="221">
        <v>113757.82</v>
      </c>
      <c r="Z22" s="106">
        <v>45946</v>
      </c>
      <c r="AA22" s="106">
        <v>45950</v>
      </c>
      <c r="AB22" s="104" t="s">
        <v>60</v>
      </c>
      <c r="AC22" s="104"/>
      <c r="AD22" s="113">
        <v>58757.83</v>
      </c>
    </row>
    <row r="23" spans="2:30" ht="45" hidden="1" customHeight="1">
      <c r="B23" s="174">
        <v>20</v>
      </c>
      <c r="C23" s="104" t="s">
        <v>95</v>
      </c>
      <c r="D23" s="104" t="s">
        <v>124</v>
      </c>
      <c r="E23" s="104" t="s">
        <v>34</v>
      </c>
      <c r="F23" s="104" t="s">
        <v>44</v>
      </c>
      <c r="G23" s="255" t="s">
        <v>125</v>
      </c>
      <c r="H23" s="104">
        <v>2488</v>
      </c>
      <c r="I23" s="104">
        <v>5</v>
      </c>
      <c r="J23" s="104" t="s">
        <v>58</v>
      </c>
      <c r="K23" s="104" t="s">
        <v>126</v>
      </c>
      <c r="L23" s="104">
        <v>65821</v>
      </c>
      <c r="M23" s="104">
        <v>1</v>
      </c>
      <c r="N23" s="104" t="s">
        <v>34</v>
      </c>
      <c r="O23" s="104" t="s">
        <v>34</v>
      </c>
      <c r="P23" s="104">
        <v>4195109</v>
      </c>
      <c r="Q23" s="106">
        <v>45868</v>
      </c>
      <c r="R23" s="104">
        <v>4324342</v>
      </c>
      <c r="S23" s="124">
        <v>227515.64999999997</v>
      </c>
      <c r="T23" s="108"/>
      <c r="U23" s="104">
        <v>123</v>
      </c>
      <c r="V23" s="104" t="s">
        <v>34</v>
      </c>
      <c r="W23" s="104" t="s">
        <v>48</v>
      </c>
      <c r="X23" s="104" t="s">
        <v>106</v>
      </c>
      <c r="Y23" s="221">
        <v>55000</v>
      </c>
      <c r="Z23" s="106">
        <v>45957</v>
      </c>
      <c r="AA23" s="106">
        <v>45957</v>
      </c>
      <c r="AB23" s="104" t="s">
        <v>60</v>
      </c>
      <c r="AC23" s="104"/>
      <c r="AD23" s="113">
        <v>0</v>
      </c>
    </row>
    <row r="24" spans="2:30" ht="45" hidden="1" customHeight="1">
      <c r="B24" s="174">
        <v>21</v>
      </c>
      <c r="C24" s="104" t="s">
        <v>95</v>
      </c>
      <c r="D24" s="104" t="s">
        <v>124</v>
      </c>
      <c r="E24" s="104" t="s">
        <v>34</v>
      </c>
      <c r="F24" s="104" t="s">
        <v>44</v>
      </c>
      <c r="G24" s="255" t="s">
        <v>125</v>
      </c>
      <c r="H24" s="104">
        <v>2488</v>
      </c>
      <c r="I24" s="104">
        <v>5</v>
      </c>
      <c r="J24" s="104" t="s">
        <v>58</v>
      </c>
      <c r="K24" s="104" t="s">
        <v>126</v>
      </c>
      <c r="L24" s="104">
        <v>65821</v>
      </c>
      <c r="M24" s="104">
        <v>1</v>
      </c>
      <c r="N24" s="104" t="s">
        <v>34</v>
      </c>
      <c r="O24" s="104" t="s">
        <v>34</v>
      </c>
      <c r="P24" s="104">
        <v>4195109</v>
      </c>
      <c r="Q24" s="106">
        <v>45868</v>
      </c>
      <c r="R24" s="104">
        <v>4324342</v>
      </c>
      <c r="S24" s="124">
        <v>58757.83</v>
      </c>
      <c r="T24" s="108"/>
      <c r="U24" s="104">
        <v>125</v>
      </c>
      <c r="V24" s="104" t="s">
        <v>34</v>
      </c>
      <c r="W24" s="104" t="s">
        <v>40</v>
      </c>
      <c r="X24" s="104" t="s">
        <v>35</v>
      </c>
      <c r="Y24" s="221">
        <v>58757.83</v>
      </c>
      <c r="Z24" s="106">
        <v>45994</v>
      </c>
      <c r="AA24" s="106">
        <v>46000</v>
      </c>
      <c r="AB24" s="104" t="s">
        <v>60</v>
      </c>
      <c r="AC24" s="104"/>
      <c r="AD24" s="113">
        <f>S24-Y24</f>
        <v>0</v>
      </c>
    </row>
    <row r="25" spans="2:30" ht="45" hidden="1" customHeight="1">
      <c r="B25" s="174">
        <v>22</v>
      </c>
      <c r="C25" s="104" t="s">
        <v>95</v>
      </c>
      <c r="D25" s="104" t="s">
        <v>124</v>
      </c>
      <c r="E25" s="104" t="s">
        <v>34</v>
      </c>
      <c r="F25" s="104" t="s">
        <v>44</v>
      </c>
      <c r="G25" s="255" t="s">
        <v>125</v>
      </c>
      <c r="H25" s="104">
        <v>2488</v>
      </c>
      <c r="I25" s="104">
        <v>5</v>
      </c>
      <c r="J25" s="104" t="s">
        <v>46</v>
      </c>
      <c r="K25" s="104" t="s">
        <v>126</v>
      </c>
      <c r="L25" s="104">
        <v>65821</v>
      </c>
      <c r="M25" s="104">
        <v>1</v>
      </c>
      <c r="N25" s="104" t="s">
        <v>34</v>
      </c>
      <c r="O25" s="104" t="s">
        <v>34</v>
      </c>
      <c r="P25" s="104">
        <v>4195109</v>
      </c>
      <c r="Q25" s="106">
        <v>45868</v>
      </c>
      <c r="R25" s="104">
        <v>4324342</v>
      </c>
      <c r="S25" s="156">
        <v>172515.65</v>
      </c>
      <c r="T25" s="108"/>
      <c r="U25" s="104">
        <v>124</v>
      </c>
      <c r="V25" s="104" t="s">
        <v>34</v>
      </c>
      <c r="W25" s="104" t="s">
        <v>48</v>
      </c>
      <c r="X25" s="104" t="s">
        <v>25</v>
      </c>
      <c r="Y25" s="131">
        <v>113757.82</v>
      </c>
      <c r="Z25" s="106">
        <v>45964</v>
      </c>
      <c r="AA25" s="106">
        <v>45964</v>
      </c>
      <c r="AB25" s="104" t="s">
        <v>60</v>
      </c>
      <c r="AC25" s="104"/>
      <c r="AD25" s="113">
        <v>0</v>
      </c>
    </row>
    <row r="26" spans="2:30" ht="45" hidden="1" customHeight="1">
      <c r="B26" s="174">
        <v>23</v>
      </c>
      <c r="C26" s="104" t="s">
        <v>85</v>
      </c>
      <c r="D26" s="104" t="s">
        <v>127</v>
      </c>
      <c r="E26" s="104" t="s">
        <v>34</v>
      </c>
      <c r="F26" s="104" t="s">
        <v>44</v>
      </c>
      <c r="G26" s="255" t="s">
        <v>128</v>
      </c>
      <c r="H26" s="104">
        <v>1236</v>
      </c>
      <c r="I26" s="104">
        <v>242</v>
      </c>
      <c r="J26" s="104" t="s">
        <v>58</v>
      </c>
      <c r="K26" s="104" t="s">
        <v>129</v>
      </c>
      <c r="L26" s="104">
        <v>73466</v>
      </c>
      <c r="M26" s="104">
        <v>29</v>
      </c>
      <c r="N26" s="104" t="s">
        <v>130</v>
      </c>
      <c r="O26" s="104" t="s">
        <v>34</v>
      </c>
      <c r="P26" s="104">
        <v>4199618</v>
      </c>
      <c r="Q26" s="106">
        <v>45873</v>
      </c>
      <c r="R26" s="104">
        <v>4320393</v>
      </c>
      <c r="S26" s="107">
        <v>142306.59</v>
      </c>
      <c r="T26" s="112"/>
      <c r="U26" s="104">
        <v>3194</v>
      </c>
      <c r="V26" s="104"/>
      <c r="W26" s="104" t="s">
        <v>48</v>
      </c>
      <c r="X26" s="104" t="s">
        <v>131</v>
      </c>
      <c r="Y26" s="131"/>
      <c r="Z26" s="106"/>
      <c r="AA26" s="106"/>
      <c r="AB26" s="104" t="s">
        <v>66</v>
      </c>
      <c r="AC26" s="104" t="s">
        <v>132</v>
      </c>
      <c r="AD26" s="113">
        <f>S26-Y26</f>
        <v>142306.59</v>
      </c>
    </row>
    <row r="27" spans="2:30" ht="45" hidden="1" customHeight="1">
      <c r="B27" s="174">
        <v>24</v>
      </c>
      <c r="C27" s="104" t="s">
        <v>95</v>
      </c>
      <c r="D27" s="104" t="s">
        <v>133</v>
      </c>
      <c r="E27" s="104" t="s">
        <v>34</v>
      </c>
      <c r="F27" s="104" t="s">
        <v>44</v>
      </c>
      <c r="G27" s="255" t="s">
        <v>134</v>
      </c>
      <c r="H27" s="104">
        <v>2224</v>
      </c>
      <c r="I27" s="104">
        <v>242</v>
      </c>
      <c r="J27" s="104" t="s">
        <v>58</v>
      </c>
      <c r="K27" s="104" t="s">
        <v>135</v>
      </c>
      <c r="L27" s="104">
        <v>74573</v>
      </c>
      <c r="M27" s="104">
        <v>29</v>
      </c>
      <c r="N27" s="104" t="s">
        <v>136</v>
      </c>
      <c r="O27" s="104" t="s">
        <v>34</v>
      </c>
      <c r="P27" s="104">
        <v>4201787</v>
      </c>
      <c r="Q27" s="106">
        <v>45874</v>
      </c>
      <c r="R27" s="104">
        <v>4329160</v>
      </c>
      <c r="S27" s="124">
        <v>14890</v>
      </c>
      <c r="T27" s="108">
        <v>45884</v>
      </c>
      <c r="U27" s="104"/>
      <c r="V27" s="104"/>
      <c r="W27" s="104"/>
      <c r="X27" s="104"/>
      <c r="Y27" s="131"/>
      <c r="Z27" s="106"/>
      <c r="AA27" s="106"/>
      <c r="AB27" s="104" t="s">
        <v>66</v>
      </c>
      <c r="AC27" s="104"/>
      <c r="AD27" s="113">
        <f>S27-Y27</f>
        <v>14890</v>
      </c>
    </row>
    <row r="28" spans="2:30" ht="45" hidden="1" customHeight="1">
      <c r="B28" s="174">
        <v>25</v>
      </c>
      <c r="C28" s="104" t="s">
        <v>137</v>
      </c>
      <c r="D28" s="104" t="s">
        <v>138</v>
      </c>
      <c r="E28" s="104" t="s">
        <v>34</v>
      </c>
      <c r="F28" s="104" t="s">
        <v>44</v>
      </c>
      <c r="G28" s="255" t="s">
        <v>139</v>
      </c>
      <c r="H28" s="104">
        <v>2330</v>
      </c>
      <c r="I28" s="104">
        <v>5</v>
      </c>
      <c r="J28" s="104" t="s">
        <v>58</v>
      </c>
      <c r="K28" s="104" t="s">
        <v>140</v>
      </c>
      <c r="L28" s="104">
        <v>75032</v>
      </c>
      <c r="M28" s="104">
        <v>2</v>
      </c>
      <c r="N28" s="104" t="s">
        <v>141</v>
      </c>
      <c r="O28" s="104" t="s">
        <v>34</v>
      </c>
      <c r="P28" s="104">
        <v>4201796</v>
      </c>
      <c r="Q28" s="106">
        <v>45874</v>
      </c>
      <c r="R28" s="104">
        <v>4320929</v>
      </c>
      <c r="S28" s="107">
        <v>50318.080000000002</v>
      </c>
      <c r="T28" s="108">
        <v>45870</v>
      </c>
      <c r="U28" s="104">
        <v>19565</v>
      </c>
      <c r="V28" s="104" t="s">
        <v>34</v>
      </c>
      <c r="W28" s="104" t="s">
        <v>48</v>
      </c>
      <c r="X28" s="104" t="s">
        <v>44</v>
      </c>
      <c r="Y28" s="221">
        <v>50318.080000000002</v>
      </c>
      <c r="Z28" s="106">
        <v>45964</v>
      </c>
      <c r="AA28" s="106">
        <v>45965</v>
      </c>
      <c r="AB28" s="110" t="s">
        <v>60</v>
      </c>
      <c r="AC28" s="104"/>
      <c r="AD28" s="113">
        <f>S28-Y28</f>
        <v>0</v>
      </c>
    </row>
    <row r="29" spans="2:30" ht="45" hidden="1" customHeight="1">
      <c r="B29" s="174">
        <v>26</v>
      </c>
      <c r="C29" s="104" t="s">
        <v>70</v>
      </c>
      <c r="D29" s="104" t="s">
        <v>142</v>
      </c>
      <c r="E29" s="104" t="s">
        <v>34</v>
      </c>
      <c r="F29" s="104" t="s">
        <v>44</v>
      </c>
      <c r="G29" s="255" t="s">
        <v>143</v>
      </c>
      <c r="H29" s="104">
        <v>4057</v>
      </c>
      <c r="I29" s="104">
        <v>242</v>
      </c>
      <c r="J29" s="104" t="s">
        <v>58</v>
      </c>
      <c r="K29" s="104" t="s">
        <v>144</v>
      </c>
      <c r="L29" s="104">
        <v>75797</v>
      </c>
      <c r="M29" s="104">
        <v>29</v>
      </c>
      <c r="N29" s="104" t="s">
        <v>145</v>
      </c>
      <c r="O29" s="104" t="s">
        <v>34</v>
      </c>
      <c r="P29" s="104">
        <v>4205622</v>
      </c>
      <c r="Q29" s="106">
        <v>45877</v>
      </c>
      <c r="R29" s="104">
        <v>4333670</v>
      </c>
      <c r="S29" s="107">
        <v>1675.74</v>
      </c>
      <c r="T29" s="108">
        <v>45901</v>
      </c>
      <c r="U29" s="104"/>
      <c r="V29" s="104"/>
      <c r="W29" s="104"/>
      <c r="X29" s="104"/>
      <c r="Y29" s="221"/>
      <c r="Z29" s="106"/>
      <c r="AA29" s="106"/>
      <c r="AB29" s="104" t="s">
        <v>60</v>
      </c>
      <c r="AC29" s="104"/>
      <c r="AD29" s="113">
        <f>S29-Y29</f>
        <v>1675.74</v>
      </c>
    </row>
    <row r="30" spans="2:30" ht="45" hidden="1" customHeight="1">
      <c r="B30" s="174">
        <v>27</v>
      </c>
      <c r="C30" s="104" t="s">
        <v>146</v>
      </c>
      <c r="D30" s="104" t="s">
        <v>33</v>
      </c>
      <c r="E30" s="104">
        <v>34945</v>
      </c>
      <c r="F30" s="104" t="s">
        <v>35</v>
      </c>
      <c r="G30" s="255" t="s">
        <v>147</v>
      </c>
      <c r="H30" s="104">
        <v>4588</v>
      </c>
      <c r="I30" s="104">
        <v>242</v>
      </c>
      <c r="J30" s="104" t="s">
        <v>37</v>
      </c>
      <c r="K30" s="104" t="s">
        <v>148</v>
      </c>
      <c r="L30" s="104">
        <v>75890</v>
      </c>
      <c r="M30" s="104">
        <v>6</v>
      </c>
      <c r="N30" s="104" t="s">
        <v>34</v>
      </c>
      <c r="O30" s="104" t="s">
        <v>34</v>
      </c>
      <c r="P30" s="104">
        <v>4206409</v>
      </c>
      <c r="Q30" s="106">
        <v>45880</v>
      </c>
      <c r="R30" s="104">
        <v>4323795</v>
      </c>
      <c r="S30" s="121">
        <v>2137.5</v>
      </c>
      <c r="T30" s="108">
        <v>45899</v>
      </c>
      <c r="U30" s="104">
        <v>3166</v>
      </c>
      <c r="V30" s="114" t="s">
        <v>149</v>
      </c>
      <c r="W30" s="104" t="s">
        <v>48</v>
      </c>
      <c r="X30" s="104" t="s">
        <v>25</v>
      </c>
      <c r="Y30" s="131">
        <v>2137.5</v>
      </c>
      <c r="Z30" s="106">
        <v>45962</v>
      </c>
      <c r="AA30" s="122">
        <v>45965</v>
      </c>
      <c r="AB30" s="110" t="s">
        <v>60</v>
      </c>
      <c r="AC30" s="104"/>
      <c r="AD30" s="113">
        <f>S30-Y30</f>
        <v>0</v>
      </c>
    </row>
    <row r="31" spans="2:30" ht="45" hidden="1" customHeight="1">
      <c r="B31" s="174">
        <v>28</v>
      </c>
      <c r="C31" s="104" t="s">
        <v>95</v>
      </c>
      <c r="D31" s="104" t="s">
        <v>150</v>
      </c>
      <c r="E31" s="104" t="s">
        <v>34</v>
      </c>
      <c r="F31" s="104" t="s">
        <v>44</v>
      </c>
      <c r="G31" s="255" t="s">
        <v>151</v>
      </c>
      <c r="H31" s="104">
        <v>2224</v>
      </c>
      <c r="I31" s="104">
        <v>327</v>
      </c>
      <c r="J31" s="104" t="s">
        <v>58</v>
      </c>
      <c r="K31" s="104" t="s">
        <v>152</v>
      </c>
      <c r="L31" s="104">
        <v>75804</v>
      </c>
      <c r="M31" s="104">
        <v>1</v>
      </c>
      <c r="N31" s="104" t="s">
        <v>34</v>
      </c>
      <c r="O31" s="104" t="s">
        <v>34</v>
      </c>
      <c r="P31" s="104">
        <v>4209039</v>
      </c>
      <c r="Q31" s="106">
        <v>45882</v>
      </c>
      <c r="R31" s="119" t="s">
        <v>153</v>
      </c>
      <c r="S31" s="124">
        <v>226662.37</v>
      </c>
      <c r="T31" s="108"/>
      <c r="U31" s="104">
        <v>1260</v>
      </c>
      <c r="V31" s="104" t="s">
        <v>34</v>
      </c>
      <c r="W31" s="104" t="s">
        <v>48</v>
      </c>
      <c r="X31" s="104" t="s">
        <v>44</v>
      </c>
      <c r="Y31" s="131">
        <v>95185.77</v>
      </c>
      <c r="Z31" s="106">
        <v>45992</v>
      </c>
      <c r="AA31" s="106">
        <v>46002</v>
      </c>
      <c r="AB31" s="104" t="s">
        <v>54</v>
      </c>
      <c r="AC31" s="104"/>
      <c r="AD31" s="113">
        <f>S31-Y31</f>
        <v>131476.59999999998</v>
      </c>
    </row>
    <row r="32" spans="2:30" ht="45" hidden="1" customHeight="1">
      <c r="B32" s="174">
        <v>29</v>
      </c>
      <c r="C32" s="104" t="s">
        <v>70</v>
      </c>
      <c r="D32" s="104" t="s">
        <v>142</v>
      </c>
      <c r="E32" s="104">
        <v>32960</v>
      </c>
      <c r="F32" s="104" t="s">
        <v>44</v>
      </c>
      <c r="G32" s="255" t="s">
        <v>154</v>
      </c>
      <c r="H32" s="104">
        <v>5345</v>
      </c>
      <c r="I32" s="104">
        <v>242</v>
      </c>
      <c r="J32" s="104" t="s">
        <v>58</v>
      </c>
      <c r="K32" s="104" t="s">
        <v>155</v>
      </c>
      <c r="L32" s="104">
        <v>75837</v>
      </c>
      <c r="M32" s="104">
        <v>6</v>
      </c>
      <c r="N32" s="104" t="s">
        <v>34</v>
      </c>
      <c r="O32" s="104" t="s">
        <v>34</v>
      </c>
      <c r="P32" s="104">
        <v>4209120</v>
      </c>
      <c r="Q32" s="106">
        <v>45882</v>
      </c>
      <c r="R32" s="104">
        <v>4332638</v>
      </c>
      <c r="S32" s="107">
        <v>43206.92</v>
      </c>
      <c r="T32" s="112"/>
      <c r="U32" s="104">
        <v>6764</v>
      </c>
      <c r="V32" s="104" t="s">
        <v>156</v>
      </c>
      <c r="W32" s="104" t="s">
        <v>40</v>
      </c>
      <c r="X32" s="104" t="s">
        <v>44</v>
      </c>
      <c r="Y32" s="221">
        <v>3850</v>
      </c>
      <c r="Z32" s="106">
        <v>45999</v>
      </c>
      <c r="AA32" s="106">
        <v>46002</v>
      </c>
      <c r="AB32" s="104" t="s">
        <v>60</v>
      </c>
      <c r="AC32" s="104"/>
      <c r="AD32" s="113">
        <f>S32-Y32</f>
        <v>39356.92</v>
      </c>
    </row>
    <row r="33" spans="2:30" ht="45" hidden="1" customHeight="1">
      <c r="B33" s="174">
        <v>30</v>
      </c>
      <c r="C33" s="104" t="s">
        <v>85</v>
      </c>
      <c r="D33" s="104" t="s">
        <v>157</v>
      </c>
      <c r="E33" s="104" t="s">
        <v>34</v>
      </c>
      <c r="F33" s="104" t="s">
        <v>44</v>
      </c>
      <c r="G33" s="255" t="s">
        <v>158</v>
      </c>
      <c r="H33" s="104">
        <v>2054</v>
      </c>
      <c r="I33" s="104">
        <v>242</v>
      </c>
      <c r="J33" s="104" t="s">
        <v>37</v>
      </c>
      <c r="K33" s="104" t="s">
        <v>159</v>
      </c>
      <c r="L33" s="104">
        <v>77453</v>
      </c>
      <c r="M33" s="104">
        <v>29</v>
      </c>
      <c r="N33" s="104" t="s">
        <v>160</v>
      </c>
      <c r="O33" s="104" t="s">
        <v>34</v>
      </c>
      <c r="P33" s="104">
        <v>4214425</v>
      </c>
      <c r="Q33" s="106">
        <v>45888</v>
      </c>
      <c r="R33" s="104">
        <v>4341459</v>
      </c>
      <c r="S33" s="129">
        <v>13484.94</v>
      </c>
      <c r="T33" s="108">
        <v>45901</v>
      </c>
      <c r="U33" s="104">
        <v>18280</v>
      </c>
      <c r="V33" s="130">
        <v>45930</v>
      </c>
      <c r="W33" s="104" t="s">
        <v>40</v>
      </c>
      <c r="X33" s="104" t="s">
        <v>94</v>
      </c>
      <c r="Y33" s="131" t="s">
        <v>161</v>
      </c>
      <c r="Z33" s="106" t="s">
        <v>162</v>
      </c>
      <c r="AA33" s="106">
        <v>45979</v>
      </c>
      <c r="AB33" s="104" t="s">
        <v>49</v>
      </c>
      <c r="AC33" s="104" t="s">
        <v>163</v>
      </c>
      <c r="AD33" s="113" t="e">
        <f>S33-Y33</f>
        <v>#VALUE!</v>
      </c>
    </row>
    <row r="34" spans="2:30" ht="45" hidden="1" customHeight="1">
      <c r="B34" s="174">
        <v>31</v>
      </c>
      <c r="C34" s="104" t="s">
        <v>85</v>
      </c>
      <c r="D34" s="104" t="s">
        <v>164</v>
      </c>
      <c r="E34" s="104" t="s">
        <v>34</v>
      </c>
      <c r="F34" s="104" t="s">
        <v>44</v>
      </c>
      <c r="G34" s="145" t="s">
        <v>165</v>
      </c>
      <c r="H34" s="104">
        <v>1210</v>
      </c>
      <c r="I34" s="104">
        <v>242</v>
      </c>
      <c r="J34" s="104" t="s">
        <v>37</v>
      </c>
      <c r="K34" s="104">
        <v>231</v>
      </c>
      <c r="L34" s="104">
        <v>77460</v>
      </c>
      <c r="M34" s="104">
        <v>29</v>
      </c>
      <c r="N34" s="104" t="s">
        <v>166</v>
      </c>
      <c r="O34" s="104" t="s">
        <v>34</v>
      </c>
      <c r="P34" s="104">
        <v>4214446</v>
      </c>
      <c r="Q34" s="106">
        <v>45888</v>
      </c>
      <c r="R34" s="104">
        <v>4336027</v>
      </c>
      <c r="S34" s="129">
        <v>130000</v>
      </c>
      <c r="T34" s="108">
        <v>45901</v>
      </c>
      <c r="U34" s="104">
        <v>1089</v>
      </c>
      <c r="V34" s="110"/>
      <c r="W34" s="104" t="s">
        <v>40</v>
      </c>
      <c r="X34" s="104" t="s">
        <v>44</v>
      </c>
      <c r="Y34" s="223">
        <v>30000</v>
      </c>
      <c r="Z34" s="106">
        <v>45992</v>
      </c>
      <c r="AA34" s="122">
        <v>45993</v>
      </c>
      <c r="AB34" s="110" t="s">
        <v>60</v>
      </c>
      <c r="AC34" s="104"/>
      <c r="AD34" s="113"/>
    </row>
    <row r="35" spans="2:30" ht="45" hidden="1" customHeight="1">
      <c r="B35" s="174">
        <v>32</v>
      </c>
      <c r="C35" s="104" t="s">
        <v>85</v>
      </c>
      <c r="D35" s="104" t="s">
        <v>164</v>
      </c>
      <c r="E35" s="104" t="s">
        <v>34</v>
      </c>
      <c r="F35" s="104" t="s">
        <v>44</v>
      </c>
      <c r="G35" s="145" t="s">
        <v>165</v>
      </c>
      <c r="H35" s="104">
        <v>1210</v>
      </c>
      <c r="I35" s="104">
        <v>242</v>
      </c>
      <c r="J35" s="104" t="s">
        <v>37</v>
      </c>
      <c r="K35" s="104">
        <v>231</v>
      </c>
      <c r="L35" s="104">
        <v>77460</v>
      </c>
      <c r="M35" s="104">
        <v>29</v>
      </c>
      <c r="N35" s="104" t="s">
        <v>166</v>
      </c>
      <c r="O35" s="104" t="s">
        <v>34</v>
      </c>
      <c r="P35" s="104">
        <v>4214446</v>
      </c>
      <c r="Q35" s="106">
        <v>45888</v>
      </c>
      <c r="R35" s="104">
        <v>4336027</v>
      </c>
      <c r="S35" s="129">
        <v>130000</v>
      </c>
      <c r="T35" s="108">
        <v>45901</v>
      </c>
      <c r="U35" s="104">
        <v>1067</v>
      </c>
      <c r="V35" s="110"/>
      <c r="W35" s="104" t="s">
        <v>48</v>
      </c>
      <c r="X35" s="104" t="s">
        <v>94</v>
      </c>
      <c r="Y35" s="131">
        <v>50000</v>
      </c>
      <c r="Z35" s="106">
        <v>45964</v>
      </c>
      <c r="AA35" s="122">
        <v>45964</v>
      </c>
      <c r="AB35" s="104" t="s">
        <v>60</v>
      </c>
      <c r="AC35" s="104"/>
      <c r="AD35" s="113">
        <f>S35-Y35</f>
        <v>80000</v>
      </c>
    </row>
    <row r="36" spans="2:30" ht="45" hidden="1" customHeight="1">
      <c r="B36" s="174">
        <v>33</v>
      </c>
      <c r="C36" s="104" t="s">
        <v>51</v>
      </c>
      <c r="D36" s="104" t="s">
        <v>167</v>
      </c>
      <c r="E36" s="104" t="s">
        <v>34</v>
      </c>
      <c r="F36" s="104" t="s">
        <v>44</v>
      </c>
      <c r="G36" s="255" t="s">
        <v>168</v>
      </c>
      <c r="H36" s="104">
        <v>2291</v>
      </c>
      <c r="I36" s="104">
        <v>242</v>
      </c>
      <c r="J36" s="104" t="s">
        <v>58</v>
      </c>
      <c r="K36" s="104" t="s">
        <v>169</v>
      </c>
      <c r="L36" s="104">
        <v>77410</v>
      </c>
      <c r="M36" s="104">
        <v>29</v>
      </c>
      <c r="N36" s="104" t="s">
        <v>170</v>
      </c>
      <c r="O36" s="104" t="s">
        <v>34</v>
      </c>
      <c r="P36" s="104">
        <v>4214651</v>
      </c>
      <c r="Q36" s="106">
        <v>45888</v>
      </c>
      <c r="R36" s="104">
        <v>4336280</v>
      </c>
      <c r="S36" s="107">
        <v>30120</v>
      </c>
      <c r="T36" s="112"/>
      <c r="U36" s="104"/>
      <c r="V36" s="104"/>
      <c r="W36" s="104"/>
      <c r="X36" s="104"/>
      <c r="Y36" s="131"/>
      <c r="Z36" s="106"/>
      <c r="AA36" s="106"/>
      <c r="AB36" s="104" t="s">
        <v>66</v>
      </c>
      <c r="AC36" s="104"/>
      <c r="AD36" s="113">
        <f>S36-Y36</f>
        <v>30120</v>
      </c>
    </row>
    <row r="37" spans="2:30" ht="45" hidden="1" customHeight="1">
      <c r="B37" s="174">
        <v>34</v>
      </c>
      <c r="C37" s="104" t="s">
        <v>85</v>
      </c>
      <c r="D37" s="104" t="s">
        <v>157</v>
      </c>
      <c r="E37" s="104" t="s">
        <v>34</v>
      </c>
      <c r="F37" s="104" t="s">
        <v>44</v>
      </c>
      <c r="G37" s="255" t="s">
        <v>171</v>
      </c>
      <c r="H37" s="104">
        <v>1210</v>
      </c>
      <c r="I37" s="104">
        <v>242</v>
      </c>
      <c r="J37" s="104" t="s">
        <v>37</v>
      </c>
      <c r="K37" s="104" t="s">
        <v>172</v>
      </c>
      <c r="L37" s="104">
        <v>76865</v>
      </c>
      <c r="M37" s="104">
        <v>29</v>
      </c>
      <c r="N37" s="104" t="s">
        <v>173</v>
      </c>
      <c r="O37" s="104" t="s">
        <v>34</v>
      </c>
      <c r="P37" s="104">
        <v>4218847</v>
      </c>
      <c r="Q37" s="106">
        <v>45888</v>
      </c>
      <c r="R37" s="104">
        <v>4341460</v>
      </c>
      <c r="S37" s="129">
        <v>11998.96</v>
      </c>
      <c r="T37" s="108">
        <v>45901</v>
      </c>
      <c r="U37" s="104" t="s">
        <v>174</v>
      </c>
      <c r="V37" s="130">
        <v>45922</v>
      </c>
      <c r="W37" s="104" t="s">
        <v>40</v>
      </c>
      <c r="X37" s="104" t="s">
        <v>94</v>
      </c>
      <c r="Y37" s="131" t="s">
        <v>175</v>
      </c>
      <c r="Z37" s="106" t="s">
        <v>176</v>
      </c>
      <c r="AA37" s="106">
        <v>45979</v>
      </c>
      <c r="AB37" s="104" t="s">
        <v>49</v>
      </c>
      <c r="AC37" s="104" t="s">
        <v>163</v>
      </c>
      <c r="AD37" s="113" t="e">
        <f>S37-Y37</f>
        <v>#VALUE!</v>
      </c>
    </row>
    <row r="38" spans="2:30" ht="45" hidden="1" customHeight="1">
      <c r="B38" s="174">
        <v>35</v>
      </c>
      <c r="C38" s="104" t="s">
        <v>85</v>
      </c>
      <c r="D38" s="104" t="s">
        <v>177</v>
      </c>
      <c r="E38" s="104">
        <v>33130</v>
      </c>
      <c r="F38" s="104" t="s">
        <v>44</v>
      </c>
      <c r="G38" s="255" t="s">
        <v>178</v>
      </c>
      <c r="H38" s="104">
        <v>2330</v>
      </c>
      <c r="I38" s="104">
        <v>242</v>
      </c>
      <c r="J38" s="104" t="s">
        <v>37</v>
      </c>
      <c r="K38" s="104" t="s">
        <v>179</v>
      </c>
      <c r="L38" s="104">
        <v>77839</v>
      </c>
      <c r="M38" s="104">
        <v>6</v>
      </c>
      <c r="N38" s="104" t="s">
        <v>34</v>
      </c>
      <c r="O38" s="104" t="s">
        <v>34</v>
      </c>
      <c r="P38" s="104">
        <v>4219286</v>
      </c>
      <c r="Q38" s="106">
        <v>45891</v>
      </c>
      <c r="R38" s="104">
        <v>4339322</v>
      </c>
      <c r="S38" s="129">
        <v>13339.2</v>
      </c>
      <c r="T38" s="108">
        <v>45901</v>
      </c>
      <c r="U38" s="104">
        <v>11583</v>
      </c>
      <c r="V38" s="104" t="s">
        <v>180</v>
      </c>
      <c r="W38" s="104" t="s">
        <v>48</v>
      </c>
      <c r="X38" s="104" t="s">
        <v>94</v>
      </c>
      <c r="Y38" s="131">
        <v>13339.2</v>
      </c>
      <c r="Z38" s="106">
        <v>45964</v>
      </c>
      <c r="AA38" s="122">
        <v>45971</v>
      </c>
      <c r="AB38" s="110" t="s">
        <v>60</v>
      </c>
      <c r="AC38" s="104"/>
      <c r="AD38" s="113">
        <f>S38-Y38</f>
        <v>0</v>
      </c>
    </row>
    <row r="39" spans="2:30" ht="45" hidden="1" customHeight="1">
      <c r="B39" s="174">
        <v>36</v>
      </c>
      <c r="C39" s="104" t="s">
        <v>70</v>
      </c>
      <c r="D39" s="104" t="s">
        <v>142</v>
      </c>
      <c r="E39" s="104">
        <v>32960</v>
      </c>
      <c r="F39" s="104" t="s">
        <v>44</v>
      </c>
      <c r="G39" s="255" t="s">
        <v>181</v>
      </c>
      <c r="H39" s="104">
        <v>5345</v>
      </c>
      <c r="I39" s="104">
        <v>242</v>
      </c>
      <c r="J39" s="104" t="s">
        <v>58</v>
      </c>
      <c r="K39" s="104" t="s">
        <v>182</v>
      </c>
      <c r="L39" s="104">
        <v>75838</v>
      </c>
      <c r="M39" s="104">
        <v>6</v>
      </c>
      <c r="N39" s="104" t="s">
        <v>34</v>
      </c>
      <c r="O39" s="104" t="s">
        <v>34</v>
      </c>
      <c r="P39" s="104">
        <v>4220235</v>
      </c>
      <c r="Q39" s="106">
        <v>45894</v>
      </c>
      <c r="R39" s="104">
        <v>4341618</v>
      </c>
      <c r="S39" s="107">
        <v>58485.81</v>
      </c>
      <c r="T39" s="108">
        <v>45901</v>
      </c>
      <c r="U39" s="104">
        <v>6765</v>
      </c>
      <c r="V39" s="104" t="s">
        <v>156</v>
      </c>
      <c r="W39" s="104" t="s">
        <v>40</v>
      </c>
      <c r="X39" s="104" t="s">
        <v>44</v>
      </c>
      <c r="Y39" s="221">
        <v>3850</v>
      </c>
      <c r="Z39" s="106">
        <v>45999</v>
      </c>
      <c r="AA39" s="106">
        <v>46002</v>
      </c>
      <c r="AB39" s="104" t="s">
        <v>60</v>
      </c>
      <c r="AC39" s="104"/>
      <c r="AD39" s="113">
        <f>S39-Y39</f>
        <v>54635.81</v>
      </c>
    </row>
    <row r="40" spans="2:30" ht="45" hidden="1" customHeight="1">
      <c r="B40" s="174">
        <v>37</v>
      </c>
      <c r="C40" s="104" t="s">
        <v>183</v>
      </c>
      <c r="D40" s="104" t="s">
        <v>184</v>
      </c>
      <c r="E40" s="104">
        <v>34953</v>
      </c>
      <c r="F40" s="104" t="s">
        <v>44</v>
      </c>
      <c r="G40" s="255" t="s">
        <v>185</v>
      </c>
      <c r="H40" s="104">
        <v>4600</v>
      </c>
      <c r="I40" s="104">
        <v>242</v>
      </c>
      <c r="J40" s="104" t="s">
        <v>58</v>
      </c>
      <c r="K40" s="104" t="s">
        <v>186</v>
      </c>
      <c r="L40" s="104">
        <v>78881</v>
      </c>
      <c r="M40" s="104">
        <v>6</v>
      </c>
      <c r="N40" s="104" t="s">
        <v>34</v>
      </c>
      <c r="O40" s="104" t="s">
        <v>34</v>
      </c>
      <c r="P40" s="104">
        <v>4224829</v>
      </c>
      <c r="Q40" s="106">
        <v>45897</v>
      </c>
      <c r="R40" s="104">
        <v>4342843</v>
      </c>
      <c r="S40" s="107">
        <v>3800</v>
      </c>
      <c r="T40" s="108">
        <v>45901</v>
      </c>
      <c r="U40" s="104"/>
      <c r="V40" s="104"/>
      <c r="W40" s="104"/>
      <c r="X40" s="104"/>
      <c r="Y40" s="131"/>
      <c r="Z40" s="106"/>
      <c r="AA40" s="106"/>
      <c r="AB40" s="104" t="s">
        <v>49</v>
      </c>
      <c r="AC40" s="104" t="s">
        <v>187</v>
      </c>
      <c r="AD40" s="113">
        <f>S40-Y40</f>
        <v>3800</v>
      </c>
    </row>
    <row r="41" spans="2:30" ht="45" hidden="1" customHeight="1">
      <c r="B41" s="174">
        <v>38</v>
      </c>
      <c r="C41" s="104" t="s">
        <v>70</v>
      </c>
      <c r="D41" s="104" t="s">
        <v>188</v>
      </c>
      <c r="E41" s="104">
        <v>34988</v>
      </c>
      <c r="F41" s="104" t="s">
        <v>44</v>
      </c>
      <c r="G41" s="255" t="s">
        <v>189</v>
      </c>
      <c r="H41" s="104">
        <v>2488</v>
      </c>
      <c r="I41" s="104">
        <v>242</v>
      </c>
      <c r="J41" s="104" t="s">
        <v>58</v>
      </c>
      <c r="K41" s="104" t="s">
        <v>190</v>
      </c>
      <c r="L41" s="104">
        <v>78841</v>
      </c>
      <c r="M41" s="104">
        <v>6</v>
      </c>
      <c r="N41" s="104" t="s">
        <v>34</v>
      </c>
      <c r="O41" s="104" t="s">
        <v>34</v>
      </c>
      <c r="P41" s="104">
        <v>4225407</v>
      </c>
      <c r="Q41" s="106">
        <v>45898</v>
      </c>
      <c r="R41" s="104">
        <v>4346971</v>
      </c>
      <c r="S41" s="107">
        <v>24490.05</v>
      </c>
      <c r="T41" s="108">
        <v>45901</v>
      </c>
      <c r="U41" s="104">
        <v>11592</v>
      </c>
      <c r="V41" s="114" t="s">
        <v>191</v>
      </c>
      <c r="W41" s="104" t="s">
        <v>48</v>
      </c>
      <c r="X41" s="104" t="s">
        <v>44</v>
      </c>
      <c r="Y41" s="221">
        <v>24490.05</v>
      </c>
      <c r="Z41" s="106">
        <v>45966</v>
      </c>
      <c r="AA41" s="106">
        <v>45971</v>
      </c>
      <c r="AB41" s="110" t="s">
        <v>60</v>
      </c>
      <c r="AC41" s="104"/>
      <c r="AD41" s="113">
        <f>S41-Y41</f>
        <v>0</v>
      </c>
    </row>
    <row r="42" spans="2:30" ht="45" hidden="1" customHeight="1">
      <c r="B42" s="174">
        <v>39</v>
      </c>
      <c r="C42" s="104" t="s">
        <v>61</v>
      </c>
      <c r="D42" s="104" t="s">
        <v>192</v>
      </c>
      <c r="E42" s="104" t="s">
        <v>34</v>
      </c>
      <c r="F42" s="104" t="s">
        <v>44</v>
      </c>
      <c r="G42" s="255" t="s">
        <v>193</v>
      </c>
      <c r="H42" s="104">
        <v>2330</v>
      </c>
      <c r="I42" s="104">
        <v>242</v>
      </c>
      <c r="J42" s="104" t="s">
        <v>37</v>
      </c>
      <c r="K42" s="104" t="s">
        <v>194</v>
      </c>
      <c r="L42" s="104">
        <v>78710</v>
      </c>
      <c r="M42" s="104">
        <v>1</v>
      </c>
      <c r="N42" s="104" t="s">
        <v>34</v>
      </c>
      <c r="O42" s="104" t="s">
        <v>34</v>
      </c>
      <c r="P42" s="104">
        <v>4225517</v>
      </c>
      <c r="Q42" s="106">
        <v>45898</v>
      </c>
      <c r="R42" s="104">
        <v>4350050</v>
      </c>
      <c r="S42" s="121">
        <v>7460</v>
      </c>
      <c r="T42" s="108" t="s">
        <v>34</v>
      </c>
      <c r="U42" s="104">
        <v>433</v>
      </c>
      <c r="V42" s="104"/>
      <c r="W42" s="104" t="s">
        <v>40</v>
      </c>
      <c r="X42" s="104" t="s">
        <v>90</v>
      </c>
      <c r="Y42" s="131">
        <v>7460</v>
      </c>
      <c r="Z42" s="106">
        <v>45992</v>
      </c>
      <c r="AA42" s="106">
        <v>45993</v>
      </c>
      <c r="AB42" s="104" t="s">
        <v>60</v>
      </c>
      <c r="AC42" s="104"/>
      <c r="AD42" s="113">
        <f>S42-Y42</f>
        <v>0</v>
      </c>
    </row>
    <row r="43" spans="2:30" ht="45" hidden="1" customHeight="1">
      <c r="B43" s="174">
        <v>40</v>
      </c>
      <c r="C43" s="104" t="s">
        <v>95</v>
      </c>
      <c r="D43" s="104" t="s">
        <v>195</v>
      </c>
      <c r="E43" s="104" t="s">
        <v>34</v>
      </c>
      <c r="F43" s="104" t="s">
        <v>44</v>
      </c>
      <c r="G43" s="255" t="s">
        <v>123</v>
      </c>
      <c r="H43" s="104">
        <v>4502</v>
      </c>
      <c r="I43" s="104">
        <v>326</v>
      </c>
      <c r="J43" s="104" t="s">
        <v>37</v>
      </c>
      <c r="K43" s="104" t="s">
        <v>196</v>
      </c>
      <c r="L43" s="104" t="s">
        <v>34</v>
      </c>
      <c r="M43" s="104">
        <v>1</v>
      </c>
      <c r="N43" s="104" t="s">
        <v>34</v>
      </c>
      <c r="O43" s="104" t="s">
        <v>34</v>
      </c>
      <c r="P43" s="104">
        <v>4225878</v>
      </c>
      <c r="Q43" s="106">
        <v>45898</v>
      </c>
      <c r="R43" s="104">
        <v>4350173</v>
      </c>
      <c r="S43" s="265">
        <v>1600000</v>
      </c>
      <c r="T43" s="108" t="s">
        <v>34</v>
      </c>
      <c r="U43" s="104">
        <v>497</v>
      </c>
      <c r="V43" s="104" t="s">
        <v>34</v>
      </c>
      <c r="W43" s="104" t="s">
        <v>48</v>
      </c>
      <c r="X43" s="104" t="s">
        <v>94</v>
      </c>
      <c r="Y43" s="131">
        <v>211979.02</v>
      </c>
      <c r="Z43" s="106">
        <v>45954</v>
      </c>
      <c r="AA43" s="106">
        <v>45957</v>
      </c>
      <c r="AB43" s="104" t="s">
        <v>54</v>
      </c>
      <c r="AC43" s="104"/>
      <c r="AD43" s="113">
        <v>487982.87</v>
      </c>
    </row>
    <row r="44" spans="2:30" ht="45" hidden="1" customHeight="1">
      <c r="B44" s="174">
        <v>41</v>
      </c>
      <c r="C44" s="104" t="s">
        <v>95</v>
      </c>
      <c r="D44" s="104" t="s">
        <v>195</v>
      </c>
      <c r="E44" s="104" t="s">
        <v>34</v>
      </c>
      <c r="F44" s="104" t="s">
        <v>44</v>
      </c>
      <c r="G44" s="255" t="s">
        <v>123</v>
      </c>
      <c r="H44" s="104">
        <v>4502</v>
      </c>
      <c r="I44" s="104">
        <v>326</v>
      </c>
      <c r="J44" s="104" t="s">
        <v>37</v>
      </c>
      <c r="K44" s="104" t="s">
        <v>196</v>
      </c>
      <c r="L44" s="104" t="s">
        <v>34</v>
      </c>
      <c r="M44" s="104">
        <v>1</v>
      </c>
      <c r="N44" s="104" t="s">
        <v>34</v>
      </c>
      <c r="O44" s="104" t="s">
        <v>34</v>
      </c>
      <c r="P44" s="104">
        <v>4225878</v>
      </c>
      <c r="Q44" s="106">
        <v>45898</v>
      </c>
      <c r="R44" s="104">
        <v>4350173</v>
      </c>
      <c r="S44" s="265">
        <v>1021452.68</v>
      </c>
      <c r="T44" s="108" t="s">
        <v>34</v>
      </c>
      <c r="U44" s="104">
        <v>508</v>
      </c>
      <c r="V44" s="104" t="s">
        <v>34</v>
      </c>
      <c r="W44" s="104" t="s">
        <v>197</v>
      </c>
      <c r="X44" s="104" t="s">
        <v>94</v>
      </c>
      <c r="Y44" s="131">
        <v>392755.44</v>
      </c>
      <c r="Z44" s="106">
        <v>45986</v>
      </c>
      <c r="AA44" s="106">
        <v>45986</v>
      </c>
      <c r="AB44" s="104" t="s">
        <v>54</v>
      </c>
      <c r="AC44" s="104"/>
      <c r="AD44" s="179">
        <f>S44-Y44</f>
        <v>628697.24</v>
      </c>
    </row>
    <row r="45" spans="2:30" ht="45" hidden="1" customHeight="1">
      <c r="B45" s="174">
        <v>42</v>
      </c>
      <c r="C45" s="104" t="s">
        <v>95</v>
      </c>
      <c r="D45" s="104" t="s">
        <v>198</v>
      </c>
      <c r="E45" s="104" t="s">
        <v>34</v>
      </c>
      <c r="F45" s="104" t="s">
        <v>44</v>
      </c>
      <c r="G45" s="145" t="s">
        <v>199</v>
      </c>
      <c r="H45" s="104">
        <v>4502</v>
      </c>
      <c r="I45" s="104">
        <v>326</v>
      </c>
      <c r="J45" s="104" t="s">
        <v>46</v>
      </c>
      <c r="K45" s="104" t="s">
        <v>34</v>
      </c>
      <c r="L45" s="104" t="s">
        <v>34</v>
      </c>
      <c r="M45" s="104">
        <v>1</v>
      </c>
      <c r="N45" s="104" t="s">
        <v>34</v>
      </c>
      <c r="O45" s="104" t="s">
        <v>34</v>
      </c>
      <c r="P45" s="104">
        <v>4225878</v>
      </c>
      <c r="Q45" s="106">
        <v>45898</v>
      </c>
      <c r="R45" s="104">
        <v>4350173</v>
      </c>
      <c r="S45" s="266">
        <v>628697.24</v>
      </c>
      <c r="T45" s="108" t="s">
        <v>34</v>
      </c>
      <c r="U45" s="104">
        <v>514</v>
      </c>
      <c r="V45" s="104" t="s">
        <v>34</v>
      </c>
      <c r="W45" s="104" t="s">
        <v>197</v>
      </c>
      <c r="X45" s="104" t="s">
        <v>94</v>
      </c>
      <c r="Y45" s="131">
        <v>262291.31</v>
      </c>
      <c r="Z45" s="106">
        <v>46008</v>
      </c>
      <c r="AA45" s="106">
        <v>46009</v>
      </c>
      <c r="AB45" s="104" t="s">
        <v>54</v>
      </c>
      <c r="AC45" s="104"/>
      <c r="AD45" s="179">
        <f>S45-Y45</f>
        <v>366405.93</v>
      </c>
    </row>
    <row r="46" spans="2:30" ht="45" hidden="1" customHeight="1">
      <c r="B46" s="174">
        <v>43</v>
      </c>
      <c r="C46" s="104" t="s">
        <v>95</v>
      </c>
      <c r="D46" s="104" t="s">
        <v>198</v>
      </c>
      <c r="E46" s="104" t="s">
        <v>34</v>
      </c>
      <c r="F46" s="104" t="s">
        <v>44</v>
      </c>
      <c r="G46" s="145" t="s">
        <v>199</v>
      </c>
      <c r="H46" s="104">
        <v>4502</v>
      </c>
      <c r="I46" s="104">
        <v>326</v>
      </c>
      <c r="J46" s="104" t="s">
        <v>46</v>
      </c>
      <c r="K46" s="104"/>
      <c r="L46" s="104" t="s">
        <v>34</v>
      </c>
      <c r="M46" s="104">
        <v>1</v>
      </c>
      <c r="N46" s="104" t="s">
        <v>34</v>
      </c>
      <c r="O46" s="104" t="s">
        <v>34</v>
      </c>
      <c r="P46" s="104">
        <v>4225878</v>
      </c>
      <c r="Q46" s="106">
        <v>45898</v>
      </c>
      <c r="R46" s="104">
        <v>4350173</v>
      </c>
      <c r="S46" s="156">
        <v>366405.93</v>
      </c>
      <c r="T46" s="108"/>
      <c r="U46" s="104">
        <v>2756</v>
      </c>
      <c r="V46" s="104" t="s">
        <v>34</v>
      </c>
      <c r="W46" s="104" t="s">
        <v>40</v>
      </c>
      <c r="X46" s="104" t="s">
        <v>44</v>
      </c>
      <c r="Y46" s="131">
        <v>62697.5</v>
      </c>
      <c r="Z46" s="106">
        <v>45971</v>
      </c>
      <c r="AA46" s="106">
        <v>46007</v>
      </c>
      <c r="AB46" s="104" t="s">
        <v>54</v>
      </c>
      <c r="AC46" s="104"/>
      <c r="AD46" s="113">
        <f>S46-Y46</f>
        <v>303708.43</v>
      </c>
    </row>
    <row r="47" spans="2:30" ht="45" hidden="1" customHeight="1">
      <c r="B47" s="174">
        <v>44</v>
      </c>
      <c r="C47" s="104" t="s">
        <v>85</v>
      </c>
      <c r="D47" s="104" t="s">
        <v>200</v>
      </c>
      <c r="E47" s="104">
        <v>35700</v>
      </c>
      <c r="F47" s="104" t="s">
        <v>44</v>
      </c>
      <c r="G47" s="255" t="s">
        <v>201</v>
      </c>
      <c r="H47" s="104">
        <v>1210</v>
      </c>
      <c r="I47" s="104">
        <v>242</v>
      </c>
      <c r="J47" s="104" t="s">
        <v>37</v>
      </c>
      <c r="K47" s="104" t="s">
        <v>200</v>
      </c>
      <c r="L47" s="104">
        <v>79165</v>
      </c>
      <c r="M47" s="104">
        <v>6</v>
      </c>
      <c r="N47" s="104" t="s">
        <v>34</v>
      </c>
      <c r="O47" s="104" t="s">
        <v>34</v>
      </c>
      <c r="P47" s="104">
        <v>4228570</v>
      </c>
      <c r="Q47" s="106">
        <v>45901</v>
      </c>
      <c r="R47" s="104">
        <v>4345815</v>
      </c>
      <c r="S47" s="129">
        <v>6400</v>
      </c>
      <c r="T47" s="108">
        <v>45901</v>
      </c>
      <c r="U47" s="104">
        <v>3127</v>
      </c>
      <c r="V47" s="120" t="s">
        <v>202</v>
      </c>
      <c r="W47" s="104" t="s">
        <v>48</v>
      </c>
      <c r="X47" s="104" t="s">
        <v>94</v>
      </c>
      <c r="Y47" s="131">
        <v>6400</v>
      </c>
      <c r="Z47" s="106">
        <v>45971</v>
      </c>
      <c r="AA47" s="122">
        <v>45975</v>
      </c>
      <c r="AB47" s="110" t="s">
        <v>60</v>
      </c>
      <c r="AC47" s="104"/>
      <c r="AD47" s="113">
        <f>S47-Y47</f>
        <v>0</v>
      </c>
    </row>
    <row r="48" spans="2:30" ht="45" hidden="1" customHeight="1">
      <c r="B48" s="174">
        <v>45</v>
      </c>
      <c r="C48" s="104" t="s">
        <v>70</v>
      </c>
      <c r="D48" s="104" t="s">
        <v>203</v>
      </c>
      <c r="E48" s="104">
        <v>33390</v>
      </c>
      <c r="F48" s="104" t="s">
        <v>44</v>
      </c>
      <c r="G48" s="255" t="s">
        <v>204</v>
      </c>
      <c r="H48" s="104">
        <v>2488</v>
      </c>
      <c r="I48" s="104">
        <v>242</v>
      </c>
      <c r="J48" s="104" t="s">
        <v>58</v>
      </c>
      <c r="K48" s="104" t="s">
        <v>205</v>
      </c>
      <c r="L48" s="104">
        <v>78938</v>
      </c>
      <c r="M48" s="104">
        <v>6</v>
      </c>
      <c r="N48" s="104" t="s">
        <v>34</v>
      </c>
      <c r="O48" s="104" t="s">
        <v>34</v>
      </c>
      <c r="P48" s="104">
        <v>4229429</v>
      </c>
      <c r="Q48" s="106">
        <v>45902</v>
      </c>
      <c r="R48" s="104">
        <v>4352541</v>
      </c>
      <c r="S48" s="107">
        <v>9971.9</v>
      </c>
      <c r="T48" s="108">
        <v>45901</v>
      </c>
      <c r="U48" s="104">
        <v>10788</v>
      </c>
      <c r="V48" s="104" t="s">
        <v>206</v>
      </c>
      <c r="W48" s="104" t="s">
        <v>48</v>
      </c>
      <c r="X48" s="104" t="s">
        <v>44</v>
      </c>
      <c r="Y48" s="131">
        <v>2631.6</v>
      </c>
      <c r="Z48" s="106">
        <v>45975</v>
      </c>
      <c r="AA48" s="106">
        <v>45987</v>
      </c>
      <c r="AB48" s="104" t="s">
        <v>60</v>
      </c>
      <c r="AC48" s="115"/>
      <c r="AD48" s="113" t="s">
        <v>34</v>
      </c>
    </row>
    <row r="49" spans="2:30" ht="45" hidden="1" customHeight="1">
      <c r="B49" s="174">
        <v>46</v>
      </c>
      <c r="C49" s="104" t="s">
        <v>85</v>
      </c>
      <c r="D49" s="104" t="s">
        <v>157</v>
      </c>
      <c r="E49" s="104" t="s">
        <v>34</v>
      </c>
      <c r="F49" s="104" t="s">
        <v>44</v>
      </c>
      <c r="G49" s="255" t="s">
        <v>207</v>
      </c>
      <c r="H49" s="104">
        <v>2054</v>
      </c>
      <c r="I49" s="104">
        <v>242</v>
      </c>
      <c r="J49" s="104" t="s">
        <v>37</v>
      </c>
      <c r="K49" s="104" t="s">
        <v>208</v>
      </c>
      <c r="L49" s="104">
        <v>79324</v>
      </c>
      <c r="M49" s="104">
        <v>29</v>
      </c>
      <c r="N49" s="104" t="s">
        <v>209</v>
      </c>
      <c r="O49" s="104" t="s">
        <v>34</v>
      </c>
      <c r="P49" s="104">
        <v>4230540</v>
      </c>
      <c r="Q49" s="106">
        <v>45903</v>
      </c>
      <c r="R49" s="104">
        <v>4348203</v>
      </c>
      <c r="S49" s="129">
        <v>13032.62</v>
      </c>
      <c r="T49" s="108">
        <v>45901</v>
      </c>
      <c r="U49" s="104">
        <v>20438</v>
      </c>
      <c r="V49" s="104" t="s">
        <v>34</v>
      </c>
      <c r="W49" s="104" t="s">
        <v>48</v>
      </c>
      <c r="X49" s="104" t="s">
        <v>94</v>
      </c>
      <c r="Y49" s="131">
        <v>4603.1899999999996</v>
      </c>
      <c r="Z49" s="106">
        <v>46114</v>
      </c>
      <c r="AA49" s="106">
        <v>46119</v>
      </c>
      <c r="AB49" s="104" t="s">
        <v>41</v>
      </c>
      <c r="AC49" s="104"/>
      <c r="AD49" s="113">
        <f>S49-Y49</f>
        <v>8429.43</v>
      </c>
    </row>
    <row r="50" spans="2:30" ht="45" hidden="1" customHeight="1">
      <c r="B50" s="174">
        <v>47</v>
      </c>
      <c r="C50" s="104" t="s">
        <v>146</v>
      </c>
      <c r="D50" s="104" t="s">
        <v>33</v>
      </c>
      <c r="E50" s="104">
        <v>36069</v>
      </c>
      <c r="F50" s="104" t="s">
        <v>35</v>
      </c>
      <c r="G50" s="255" t="s">
        <v>210</v>
      </c>
      <c r="H50" s="104">
        <v>4669</v>
      </c>
      <c r="I50" s="104">
        <v>242</v>
      </c>
      <c r="J50" s="104" t="s">
        <v>58</v>
      </c>
      <c r="K50" s="104">
        <v>384</v>
      </c>
      <c r="L50" s="104">
        <v>79953</v>
      </c>
      <c r="M50" s="104">
        <v>6</v>
      </c>
      <c r="N50" s="104" t="s">
        <v>34</v>
      </c>
      <c r="O50" s="104" t="s">
        <v>34</v>
      </c>
      <c r="P50" s="104">
        <v>4233040</v>
      </c>
      <c r="Q50" s="106">
        <v>45905</v>
      </c>
      <c r="R50" s="104">
        <v>4349842</v>
      </c>
      <c r="S50" s="107">
        <v>4788.8</v>
      </c>
      <c r="T50" s="108">
        <v>45971</v>
      </c>
      <c r="U50" s="104">
        <v>3167</v>
      </c>
      <c r="V50" s="114" t="s">
        <v>211</v>
      </c>
      <c r="W50" s="104" t="s">
        <v>48</v>
      </c>
      <c r="X50" s="104" t="s">
        <v>25</v>
      </c>
      <c r="Y50" s="221">
        <v>4788.8</v>
      </c>
      <c r="Z50" s="106">
        <v>45962</v>
      </c>
      <c r="AA50" s="106">
        <v>45966</v>
      </c>
      <c r="AB50" s="110" t="s">
        <v>60</v>
      </c>
      <c r="AC50" s="104"/>
      <c r="AD50" s="113">
        <f>S50-Y50</f>
        <v>0</v>
      </c>
    </row>
    <row r="51" spans="2:30" ht="45" hidden="1" customHeight="1">
      <c r="B51" s="174">
        <v>48</v>
      </c>
      <c r="C51" s="104" t="s">
        <v>85</v>
      </c>
      <c r="D51" s="104" t="s">
        <v>212</v>
      </c>
      <c r="E51" s="104" t="s">
        <v>34</v>
      </c>
      <c r="F51" s="104" t="s">
        <v>44</v>
      </c>
      <c r="G51" s="255" t="s">
        <v>213</v>
      </c>
      <c r="H51" s="104">
        <v>2488</v>
      </c>
      <c r="I51" s="104">
        <v>5</v>
      </c>
      <c r="J51" s="104" t="s">
        <v>37</v>
      </c>
      <c r="K51" s="104" t="s">
        <v>214</v>
      </c>
      <c r="L51" s="104">
        <v>79719</v>
      </c>
      <c r="M51" s="104">
        <v>29</v>
      </c>
      <c r="N51" s="104" t="s">
        <v>215</v>
      </c>
      <c r="O51" s="104" t="s">
        <v>34</v>
      </c>
      <c r="P51" s="104">
        <v>4234767</v>
      </c>
      <c r="Q51" s="106">
        <v>45908</v>
      </c>
      <c r="R51" s="104">
        <v>4359414</v>
      </c>
      <c r="S51" s="129">
        <v>11200</v>
      </c>
      <c r="T51" s="108">
        <v>45901</v>
      </c>
      <c r="U51" s="104"/>
      <c r="V51" s="104"/>
      <c r="W51" s="104"/>
      <c r="X51" s="104"/>
      <c r="Y51" s="131"/>
      <c r="Z51" s="106"/>
      <c r="AA51" s="106"/>
      <c r="AB51" s="104" t="s">
        <v>66</v>
      </c>
      <c r="AC51" s="104"/>
      <c r="AD51" s="113">
        <f>S51-Y51</f>
        <v>11200</v>
      </c>
    </row>
    <row r="52" spans="2:30" ht="45" hidden="1" customHeight="1">
      <c r="B52" s="174">
        <v>49</v>
      </c>
      <c r="C52" s="104" t="s">
        <v>70</v>
      </c>
      <c r="D52" s="104" t="s">
        <v>216</v>
      </c>
      <c r="E52" s="104" t="s">
        <v>34</v>
      </c>
      <c r="F52" s="104" t="s">
        <v>44</v>
      </c>
      <c r="G52" s="255" t="s">
        <v>217</v>
      </c>
      <c r="H52" s="104">
        <v>2151</v>
      </c>
      <c r="I52" s="104">
        <v>242</v>
      </c>
      <c r="J52" s="104" t="s">
        <v>58</v>
      </c>
      <c r="K52" s="104">
        <v>20494121</v>
      </c>
      <c r="L52" s="104">
        <v>79957</v>
      </c>
      <c r="M52" s="104">
        <v>29</v>
      </c>
      <c r="N52" s="104" t="s">
        <v>218</v>
      </c>
      <c r="O52" s="104" t="s">
        <v>34</v>
      </c>
      <c r="P52" s="119" t="s">
        <v>219</v>
      </c>
      <c r="Q52" s="106">
        <v>45909</v>
      </c>
      <c r="R52" s="104">
        <v>4361857</v>
      </c>
      <c r="S52" s="107">
        <v>16488.73</v>
      </c>
      <c r="T52" s="108">
        <v>45962</v>
      </c>
      <c r="U52" s="104">
        <v>19566</v>
      </c>
      <c r="V52" s="104"/>
      <c r="W52" s="104" t="s">
        <v>106</v>
      </c>
      <c r="X52" s="104" t="s">
        <v>94</v>
      </c>
      <c r="Y52" s="131">
        <v>12130</v>
      </c>
      <c r="Z52" s="106">
        <v>46066</v>
      </c>
      <c r="AA52" s="106">
        <v>46077</v>
      </c>
      <c r="AB52" s="104" t="s">
        <v>60</v>
      </c>
      <c r="AC52" s="104"/>
      <c r="AD52" s="113">
        <f>S52-Y52</f>
        <v>4358.7299999999996</v>
      </c>
    </row>
    <row r="53" spans="2:30" ht="45" hidden="1" customHeight="1">
      <c r="B53" s="174">
        <v>50</v>
      </c>
      <c r="C53" s="104" t="s">
        <v>80</v>
      </c>
      <c r="D53" s="104" t="s">
        <v>216</v>
      </c>
      <c r="E53" s="104" t="s">
        <v>34</v>
      </c>
      <c r="F53" s="104" t="s">
        <v>44</v>
      </c>
      <c r="G53" s="255" t="s">
        <v>217</v>
      </c>
      <c r="H53" s="104">
        <v>2151</v>
      </c>
      <c r="I53" s="104">
        <v>242</v>
      </c>
      <c r="J53" s="104" t="s">
        <v>58</v>
      </c>
      <c r="K53" s="104">
        <v>20531471</v>
      </c>
      <c r="L53" s="104">
        <v>101326</v>
      </c>
      <c r="M53" s="104">
        <v>2</v>
      </c>
      <c r="N53" s="104" t="s">
        <v>220</v>
      </c>
      <c r="O53" s="104"/>
      <c r="P53" s="119">
        <v>4365331</v>
      </c>
      <c r="Q53" s="106">
        <v>46042</v>
      </c>
      <c r="R53" s="104">
        <v>4483123</v>
      </c>
      <c r="S53" s="107">
        <v>4772.71</v>
      </c>
      <c r="T53" s="108">
        <v>46048</v>
      </c>
      <c r="U53" s="104">
        <v>19681</v>
      </c>
      <c r="V53" s="104" t="s">
        <v>34</v>
      </c>
      <c r="W53" s="104" t="s">
        <v>48</v>
      </c>
      <c r="X53" s="104" t="s">
        <v>94</v>
      </c>
      <c r="Y53" s="221">
        <v>4772.71</v>
      </c>
      <c r="Z53" s="106">
        <v>46083</v>
      </c>
      <c r="AA53" s="106">
        <v>46119</v>
      </c>
      <c r="AB53" s="104" t="s">
        <v>60</v>
      </c>
      <c r="AC53" s="104"/>
      <c r="AD53" s="113">
        <f>S53-Y53</f>
        <v>0</v>
      </c>
    </row>
    <row r="54" spans="2:30" ht="45" hidden="1" customHeight="1">
      <c r="B54" s="174">
        <v>51</v>
      </c>
      <c r="C54" s="104" t="s">
        <v>85</v>
      </c>
      <c r="D54" s="104" t="s">
        <v>221</v>
      </c>
      <c r="E54" s="104">
        <v>35769</v>
      </c>
      <c r="F54" s="104" t="s">
        <v>44</v>
      </c>
      <c r="G54" s="145" t="s">
        <v>222</v>
      </c>
      <c r="H54" s="104">
        <v>1210</v>
      </c>
      <c r="I54" s="104">
        <v>242</v>
      </c>
      <c r="J54" s="104" t="s">
        <v>37</v>
      </c>
      <c r="K54" s="104">
        <v>14869</v>
      </c>
      <c r="L54" s="104">
        <v>79736</v>
      </c>
      <c r="M54" s="104">
        <v>6</v>
      </c>
      <c r="N54" s="104" t="s">
        <v>34</v>
      </c>
      <c r="O54" s="104" t="s">
        <v>34</v>
      </c>
      <c r="P54" s="104">
        <v>4238736</v>
      </c>
      <c r="Q54" s="106">
        <v>45911</v>
      </c>
      <c r="R54" s="104">
        <v>4359762</v>
      </c>
      <c r="S54" s="129">
        <v>5516.15</v>
      </c>
      <c r="T54" s="108">
        <v>45962</v>
      </c>
      <c r="U54" s="104">
        <v>2428</v>
      </c>
      <c r="V54" s="104" t="s">
        <v>223</v>
      </c>
      <c r="W54" s="104" t="s">
        <v>40</v>
      </c>
      <c r="X54" s="104" t="s">
        <v>94</v>
      </c>
      <c r="Y54" s="131">
        <v>5516.15</v>
      </c>
      <c r="Z54" s="106">
        <v>45980</v>
      </c>
      <c r="AA54" s="122">
        <v>45985</v>
      </c>
      <c r="AB54" s="104" t="s">
        <v>60</v>
      </c>
      <c r="AC54" s="263"/>
      <c r="AD54" s="113">
        <f>S54-Y54</f>
        <v>0</v>
      </c>
    </row>
    <row r="55" spans="2:30" ht="45" hidden="1" customHeight="1">
      <c r="B55" s="174">
        <v>52</v>
      </c>
      <c r="C55" s="104" t="s">
        <v>224</v>
      </c>
      <c r="D55" s="104" t="s">
        <v>225</v>
      </c>
      <c r="E55" s="104" t="s">
        <v>34</v>
      </c>
      <c r="F55" s="104" t="s">
        <v>44</v>
      </c>
      <c r="G55" s="255" t="s">
        <v>226</v>
      </c>
      <c r="H55" s="104">
        <v>2101</v>
      </c>
      <c r="I55" s="104">
        <v>392</v>
      </c>
      <c r="J55" s="104" t="s">
        <v>37</v>
      </c>
      <c r="K55" s="104" t="s">
        <v>225</v>
      </c>
      <c r="L55" s="104">
        <v>80560</v>
      </c>
      <c r="M55" s="104">
        <v>1</v>
      </c>
      <c r="N55" s="104" t="s">
        <v>34</v>
      </c>
      <c r="O55" s="104" t="s">
        <v>34</v>
      </c>
      <c r="P55" s="104">
        <v>4239360</v>
      </c>
      <c r="Q55" s="106">
        <v>45912</v>
      </c>
      <c r="R55" s="104">
        <v>4361309</v>
      </c>
      <c r="S55" s="129">
        <v>8000</v>
      </c>
      <c r="T55" s="108">
        <v>45901</v>
      </c>
      <c r="U55" s="104">
        <v>53</v>
      </c>
      <c r="V55" s="104" t="s">
        <v>34</v>
      </c>
      <c r="W55" s="104" t="s">
        <v>106</v>
      </c>
      <c r="X55" s="104" t="s">
        <v>25</v>
      </c>
      <c r="Y55" s="131">
        <v>8000</v>
      </c>
      <c r="Z55" s="106">
        <v>45964</v>
      </c>
      <c r="AA55" s="106">
        <v>45965</v>
      </c>
      <c r="AB55" s="110" t="s">
        <v>60</v>
      </c>
      <c r="AC55" s="104"/>
      <c r="AD55" s="113">
        <f>S55-Y55</f>
        <v>0</v>
      </c>
    </row>
    <row r="56" spans="2:30" ht="45" hidden="1" customHeight="1">
      <c r="B56" s="174">
        <v>53</v>
      </c>
      <c r="C56" s="104" t="s">
        <v>80</v>
      </c>
      <c r="D56" s="104" t="s">
        <v>81</v>
      </c>
      <c r="E56" s="104" t="s">
        <v>34</v>
      </c>
      <c r="F56" s="104" t="s">
        <v>44</v>
      </c>
      <c r="G56" s="255" t="s">
        <v>227</v>
      </c>
      <c r="H56" s="104">
        <v>4120</v>
      </c>
      <c r="I56" s="104">
        <v>242</v>
      </c>
      <c r="J56" s="104" t="s">
        <v>37</v>
      </c>
      <c r="K56" s="104" t="s">
        <v>228</v>
      </c>
      <c r="L56" s="104">
        <v>79688</v>
      </c>
      <c r="M56" s="104">
        <v>29</v>
      </c>
      <c r="N56" s="104" t="s">
        <v>229</v>
      </c>
      <c r="O56" s="104" t="s">
        <v>34</v>
      </c>
      <c r="P56" s="104">
        <v>4239840</v>
      </c>
      <c r="Q56" s="106">
        <v>45903</v>
      </c>
      <c r="R56" s="104">
        <v>4361479</v>
      </c>
      <c r="S56" s="129">
        <v>5660.95</v>
      </c>
      <c r="T56" s="108">
        <v>45962</v>
      </c>
      <c r="U56" s="104"/>
      <c r="V56" s="104"/>
      <c r="W56" s="104"/>
      <c r="X56" s="104"/>
      <c r="Y56" s="131"/>
      <c r="Z56" s="106"/>
      <c r="AA56" s="106"/>
      <c r="AB56" s="104" t="s">
        <v>66</v>
      </c>
      <c r="AC56" s="104"/>
      <c r="AD56" s="113">
        <f>S56-Y56</f>
        <v>5660.95</v>
      </c>
    </row>
    <row r="57" spans="2:30" ht="45" hidden="1" customHeight="1">
      <c r="B57" s="174">
        <v>54</v>
      </c>
      <c r="C57" s="104" t="s">
        <v>95</v>
      </c>
      <c r="D57" s="104" t="s">
        <v>230</v>
      </c>
      <c r="E57" s="104" t="s">
        <v>34</v>
      </c>
      <c r="F57" s="104" t="s">
        <v>44</v>
      </c>
      <c r="G57" s="255" t="s">
        <v>231</v>
      </c>
      <c r="H57" s="104">
        <v>2348</v>
      </c>
      <c r="I57" s="104">
        <v>287</v>
      </c>
      <c r="J57" s="104" t="s">
        <v>37</v>
      </c>
      <c r="K57" s="104" t="s">
        <v>232</v>
      </c>
      <c r="L57" s="104">
        <v>76289</v>
      </c>
      <c r="M57" s="104">
        <v>29</v>
      </c>
      <c r="N57" s="104" t="s">
        <v>233</v>
      </c>
      <c r="O57" s="104" t="s">
        <v>34</v>
      </c>
      <c r="P57" s="104">
        <v>4240115</v>
      </c>
      <c r="Q57" s="106">
        <v>45912</v>
      </c>
      <c r="R57" s="104">
        <v>4366924</v>
      </c>
      <c r="S57" s="265">
        <v>24658</v>
      </c>
      <c r="T57" s="108">
        <v>45901</v>
      </c>
      <c r="U57" s="104">
        <v>932</v>
      </c>
      <c r="V57" s="104" t="s">
        <v>34</v>
      </c>
      <c r="W57" s="104" t="s">
        <v>40</v>
      </c>
      <c r="X57" s="104" t="s">
        <v>44</v>
      </c>
      <c r="Y57" s="131">
        <v>24658</v>
      </c>
      <c r="Z57" s="106">
        <v>46009</v>
      </c>
      <c r="AA57" s="106">
        <v>46009</v>
      </c>
      <c r="AB57" s="104" t="s">
        <v>60</v>
      </c>
      <c r="AC57" s="104"/>
      <c r="AD57" s="113">
        <f>S57-Y57</f>
        <v>0</v>
      </c>
    </row>
    <row r="58" spans="2:30" ht="45" hidden="1" customHeight="1">
      <c r="B58" s="174">
        <v>55</v>
      </c>
      <c r="C58" s="104" t="s">
        <v>137</v>
      </c>
      <c r="D58" s="104" t="s">
        <v>96</v>
      </c>
      <c r="E58" s="104" t="s">
        <v>34</v>
      </c>
      <c r="F58" s="104" t="s">
        <v>44</v>
      </c>
      <c r="G58" s="255" t="s">
        <v>234</v>
      </c>
      <c r="H58" s="104" t="s">
        <v>235</v>
      </c>
      <c r="I58" s="104">
        <v>5</v>
      </c>
      <c r="J58" s="104" t="s">
        <v>37</v>
      </c>
      <c r="K58" s="104" t="s">
        <v>236</v>
      </c>
      <c r="L58" s="104">
        <v>80856</v>
      </c>
      <c r="M58" s="104">
        <v>2</v>
      </c>
      <c r="N58" s="104" t="s">
        <v>34</v>
      </c>
      <c r="O58" s="104" t="s">
        <v>34</v>
      </c>
      <c r="P58" s="104">
        <v>4240290</v>
      </c>
      <c r="Q58" s="106">
        <v>45912</v>
      </c>
      <c r="R58" s="104">
        <v>4358579</v>
      </c>
      <c r="S58" s="121">
        <v>67000</v>
      </c>
      <c r="T58" s="108">
        <v>45901</v>
      </c>
      <c r="U58" s="104">
        <v>724</v>
      </c>
      <c r="V58" s="110"/>
      <c r="W58" s="104" t="s">
        <v>48</v>
      </c>
      <c r="X58" s="104" t="s">
        <v>25</v>
      </c>
      <c r="Y58" s="131">
        <v>33500</v>
      </c>
      <c r="Z58" s="106">
        <v>45966</v>
      </c>
      <c r="AA58" s="106">
        <v>45967</v>
      </c>
      <c r="AB58" s="104" t="s">
        <v>54</v>
      </c>
      <c r="AC58" s="104"/>
      <c r="AD58" s="113">
        <f>S58-Y58</f>
        <v>33500</v>
      </c>
    </row>
    <row r="59" spans="2:30" ht="45" hidden="1" customHeight="1">
      <c r="B59" s="174">
        <v>56</v>
      </c>
      <c r="C59" s="104" t="s">
        <v>137</v>
      </c>
      <c r="D59" s="104" t="s">
        <v>96</v>
      </c>
      <c r="E59" s="104" t="s">
        <v>34</v>
      </c>
      <c r="F59" s="104" t="s">
        <v>44</v>
      </c>
      <c r="G59" s="255" t="s">
        <v>234</v>
      </c>
      <c r="H59" s="104" t="s">
        <v>235</v>
      </c>
      <c r="I59" s="104">
        <v>5</v>
      </c>
      <c r="J59" s="104" t="s">
        <v>37</v>
      </c>
      <c r="K59" s="104" t="s">
        <v>236</v>
      </c>
      <c r="L59" s="104">
        <v>80856</v>
      </c>
      <c r="M59" s="104">
        <v>2</v>
      </c>
      <c r="N59" s="104" t="s">
        <v>34</v>
      </c>
      <c r="O59" s="104" t="s">
        <v>34</v>
      </c>
      <c r="P59" s="104">
        <v>4240290</v>
      </c>
      <c r="Q59" s="106">
        <v>45912</v>
      </c>
      <c r="R59" s="104">
        <v>4358579</v>
      </c>
      <c r="S59" s="121">
        <v>33500</v>
      </c>
      <c r="T59" s="108">
        <v>45901</v>
      </c>
      <c r="U59" s="104">
        <v>751</v>
      </c>
      <c r="V59" s="110"/>
      <c r="W59" s="104" t="s">
        <v>48</v>
      </c>
      <c r="X59" s="104" t="s">
        <v>25</v>
      </c>
      <c r="Y59" s="131">
        <v>33500</v>
      </c>
      <c r="Z59" s="106">
        <v>46035</v>
      </c>
      <c r="AA59" s="106">
        <v>46038</v>
      </c>
      <c r="AB59" s="104" t="s">
        <v>60</v>
      </c>
      <c r="AC59" s="104"/>
      <c r="AD59" s="113">
        <f>S59-Y59</f>
        <v>0</v>
      </c>
    </row>
    <row r="60" spans="2:30" ht="45" hidden="1" customHeight="1">
      <c r="B60" s="174">
        <v>57</v>
      </c>
      <c r="C60" s="104" t="s">
        <v>137</v>
      </c>
      <c r="D60" s="104" t="s">
        <v>237</v>
      </c>
      <c r="E60" s="104" t="s">
        <v>34</v>
      </c>
      <c r="F60" s="104" t="s">
        <v>44</v>
      </c>
      <c r="G60" s="255" t="s">
        <v>238</v>
      </c>
      <c r="H60" s="104">
        <v>4472</v>
      </c>
      <c r="I60" s="104">
        <v>5</v>
      </c>
      <c r="J60" s="104" t="s">
        <v>37</v>
      </c>
      <c r="K60" s="104" t="s">
        <v>239</v>
      </c>
      <c r="L60" s="104">
        <v>80918</v>
      </c>
      <c r="M60" s="104">
        <v>29</v>
      </c>
      <c r="N60" s="104" t="s">
        <v>240</v>
      </c>
      <c r="O60" s="104" t="s">
        <v>34</v>
      </c>
      <c r="P60" s="104">
        <v>4241136</v>
      </c>
      <c r="Q60" s="106">
        <v>45915</v>
      </c>
      <c r="R60" s="104">
        <v>4364857</v>
      </c>
      <c r="S60" s="121">
        <v>14600</v>
      </c>
      <c r="T60" s="108">
        <v>45901</v>
      </c>
      <c r="U60" s="104">
        <v>336</v>
      </c>
      <c r="V60" s="110"/>
      <c r="W60" s="104" t="s">
        <v>48</v>
      </c>
      <c r="X60" s="104" t="s">
        <v>25</v>
      </c>
      <c r="Y60" s="131">
        <v>14600</v>
      </c>
      <c r="Z60" s="106">
        <v>45965</v>
      </c>
      <c r="AA60" s="106">
        <v>45965</v>
      </c>
      <c r="AB60" s="110" t="s">
        <v>60</v>
      </c>
      <c r="AC60" s="104"/>
      <c r="AD60" s="113">
        <f>S60-Y60</f>
        <v>0</v>
      </c>
    </row>
    <row r="61" spans="2:30" ht="45" hidden="1" customHeight="1">
      <c r="B61" s="174">
        <v>58</v>
      </c>
      <c r="C61" s="104" t="s">
        <v>241</v>
      </c>
      <c r="D61" s="104" t="s">
        <v>242</v>
      </c>
      <c r="E61" s="104" t="s">
        <v>34</v>
      </c>
      <c r="F61" s="104" t="s">
        <v>35</v>
      </c>
      <c r="G61" s="145" t="s">
        <v>243</v>
      </c>
      <c r="H61" s="104">
        <v>2321</v>
      </c>
      <c r="I61" s="104">
        <v>5</v>
      </c>
      <c r="J61" s="104" t="s">
        <v>244</v>
      </c>
      <c r="K61" s="104">
        <v>82</v>
      </c>
      <c r="L61" s="104">
        <v>81393</v>
      </c>
      <c r="M61" s="104">
        <v>1</v>
      </c>
      <c r="N61" s="104" t="s">
        <v>34</v>
      </c>
      <c r="O61" s="104" t="s">
        <v>34</v>
      </c>
      <c r="P61" s="104">
        <v>4242540</v>
      </c>
      <c r="Q61" s="106">
        <v>45916</v>
      </c>
      <c r="R61" s="104">
        <v>4367126</v>
      </c>
      <c r="S61" s="129">
        <v>2437.21</v>
      </c>
      <c r="T61" s="108">
        <v>45962</v>
      </c>
      <c r="U61" s="104">
        <v>35</v>
      </c>
      <c r="V61" s="110"/>
      <c r="W61" s="104" t="s">
        <v>48</v>
      </c>
      <c r="X61" s="104" t="s">
        <v>25</v>
      </c>
      <c r="Y61" s="131">
        <v>2437.21</v>
      </c>
      <c r="Z61" s="106">
        <v>45962</v>
      </c>
      <c r="AA61" s="122">
        <v>45965</v>
      </c>
      <c r="AB61" s="110" t="s">
        <v>60</v>
      </c>
      <c r="AC61" s="104"/>
      <c r="AD61" s="113">
        <f>S61-Y61</f>
        <v>0</v>
      </c>
    </row>
    <row r="62" spans="2:30" ht="45" hidden="1" customHeight="1">
      <c r="B62" s="174">
        <v>59</v>
      </c>
      <c r="C62" s="104" t="s">
        <v>137</v>
      </c>
      <c r="D62" s="104" t="s">
        <v>245</v>
      </c>
      <c r="E62" s="104" t="s">
        <v>34</v>
      </c>
      <c r="F62" s="104" t="s">
        <v>44</v>
      </c>
      <c r="G62" s="255" t="s">
        <v>246</v>
      </c>
      <c r="H62" s="104" t="s">
        <v>247</v>
      </c>
      <c r="I62" s="104">
        <v>5</v>
      </c>
      <c r="J62" s="104" t="s">
        <v>37</v>
      </c>
      <c r="K62" s="104" t="s">
        <v>248</v>
      </c>
      <c r="L62" s="104">
        <v>81289</v>
      </c>
      <c r="M62" s="104">
        <v>2</v>
      </c>
      <c r="N62" s="104" t="s">
        <v>249</v>
      </c>
      <c r="O62" s="104" t="s">
        <v>34</v>
      </c>
      <c r="P62" s="104">
        <v>4242546</v>
      </c>
      <c r="Q62" s="106">
        <v>45916</v>
      </c>
      <c r="R62" s="104">
        <v>4365080</v>
      </c>
      <c r="S62" s="121">
        <v>52500</v>
      </c>
      <c r="T62" s="108">
        <v>45901</v>
      </c>
      <c r="U62" s="104">
        <v>375</v>
      </c>
      <c r="V62" s="104"/>
      <c r="W62" s="104" t="s">
        <v>40</v>
      </c>
      <c r="X62" s="104" t="s">
        <v>25</v>
      </c>
      <c r="Y62" s="131">
        <v>23970</v>
      </c>
      <c r="Z62" s="106">
        <v>45994</v>
      </c>
      <c r="AA62" s="106">
        <v>45999</v>
      </c>
      <c r="AB62" s="104" t="s">
        <v>54</v>
      </c>
      <c r="AC62" s="104"/>
      <c r="AD62" s="113"/>
    </row>
    <row r="63" spans="2:30" ht="45" hidden="1" customHeight="1">
      <c r="B63" s="174">
        <v>60</v>
      </c>
      <c r="C63" s="104" t="s">
        <v>137</v>
      </c>
      <c r="D63" s="104" t="s">
        <v>245</v>
      </c>
      <c r="E63" s="104" t="s">
        <v>34</v>
      </c>
      <c r="F63" s="104" t="s">
        <v>44</v>
      </c>
      <c r="G63" s="255" t="s">
        <v>246</v>
      </c>
      <c r="H63" s="104" t="s">
        <v>247</v>
      </c>
      <c r="I63" s="104">
        <v>5</v>
      </c>
      <c r="J63" s="104" t="s">
        <v>37</v>
      </c>
      <c r="K63" s="104" t="s">
        <v>248</v>
      </c>
      <c r="L63" s="104">
        <v>81289</v>
      </c>
      <c r="M63" s="104">
        <v>2</v>
      </c>
      <c r="N63" s="104" t="s">
        <v>249</v>
      </c>
      <c r="O63" s="104" t="s">
        <v>34</v>
      </c>
      <c r="P63" s="104">
        <v>4242546</v>
      </c>
      <c r="Q63" s="106">
        <v>45916</v>
      </c>
      <c r="R63" s="104">
        <v>4365080</v>
      </c>
      <c r="S63" s="121">
        <v>52500</v>
      </c>
      <c r="T63" s="108">
        <v>45901</v>
      </c>
      <c r="U63" s="104">
        <v>368</v>
      </c>
      <c r="V63" s="110"/>
      <c r="W63" s="104" t="s">
        <v>48</v>
      </c>
      <c r="X63" s="104" t="s">
        <v>25</v>
      </c>
      <c r="Y63" s="131">
        <v>4074</v>
      </c>
      <c r="Z63" s="106">
        <v>45966</v>
      </c>
      <c r="AA63" s="122">
        <v>45972</v>
      </c>
      <c r="AB63" s="104" t="s">
        <v>54</v>
      </c>
      <c r="AC63" s="104"/>
      <c r="AD63" s="113"/>
    </row>
    <row r="64" spans="2:30" ht="45" hidden="1" customHeight="1">
      <c r="B64" s="174">
        <v>61</v>
      </c>
      <c r="C64" s="104" t="s">
        <v>137</v>
      </c>
      <c r="D64" s="104" t="s">
        <v>245</v>
      </c>
      <c r="E64" s="104" t="s">
        <v>34</v>
      </c>
      <c r="F64" s="104" t="s">
        <v>44</v>
      </c>
      <c r="G64" s="255" t="s">
        <v>246</v>
      </c>
      <c r="H64" s="104" t="s">
        <v>247</v>
      </c>
      <c r="I64" s="104">
        <v>5</v>
      </c>
      <c r="J64" s="104" t="s">
        <v>37</v>
      </c>
      <c r="K64" s="104" t="s">
        <v>248</v>
      </c>
      <c r="L64" s="104">
        <v>81289</v>
      </c>
      <c r="M64" s="104">
        <v>2</v>
      </c>
      <c r="N64" s="104" t="s">
        <v>249</v>
      </c>
      <c r="O64" s="104" t="s">
        <v>34</v>
      </c>
      <c r="P64" s="104">
        <v>4242546</v>
      </c>
      <c r="Q64" s="106">
        <v>45916</v>
      </c>
      <c r="R64" s="104">
        <v>4365080</v>
      </c>
      <c r="S64" s="121">
        <v>52500</v>
      </c>
      <c r="T64" s="108">
        <v>45901</v>
      </c>
      <c r="U64" s="104">
        <v>392</v>
      </c>
      <c r="V64" s="110"/>
      <c r="W64" s="104" t="s">
        <v>48</v>
      </c>
      <c r="X64" s="104" t="s">
        <v>25</v>
      </c>
      <c r="Y64" s="131">
        <v>16900</v>
      </c>
      <c r="Z64" s="106">
        <v>46029</v>
      </c>
      <c r="AA64" s="122">
        <v>46037</v>
      </c>
      <c r="AB64" s="104" t="s">
        <v>60</v>
      </c>
      <c r="AC64" s="104"/>
      <c r="AD64" s="113">
        <f>S64-Y62-Y63-Y64</f>
        <v>7556</v>
      </c>
    </row>
    <row r="65" spans="2:30" ht="45" hidden="1" customHeight="1">
      <c r="B65" s="174">
        <v>62</v>
      </c>
      <c r="C65" s="104" t="s">
        <v>137</v>
      </c>
      <c r="D65" s="104" t="s">
        <v>245</v>
      </c>
      <c r="E65" s="104" t="s">
        <v>34</v>
      </c>
      <c r="F65" s="104" t="s">
        <v>44</v>
      </c>
      <c r="G65" s="255" t="s">
        <v>246</v>
      </c>
      <c r="H65" s="104" t="s">
        <v>247</v>
      </c>
      <c r="I65" s="104">
        <v>5</v>
      </c>
      <c r="J65" s="104" t="s">
        <v>37</v>
      </c>
      <c r="K65" s="104" t="s">
        <v>248</v>
      </c>
      <c r="L65" s="104">
        <v>81289</v>
      </c>
      <c r="M65" s="104">
        <v>2</v>
      </c>
      <c r="N65" s="104" t="s">
        <v>249</v>
      </c>
      <c r="O65" s="104" t="s">
        <v>34</v>
      </c>
      <c r="P65" s="104">
        <v>4242546</v>
      </c>
      <c r="Q65" s="106">
        <v>45916</v>
      </c>
      <c r="R65" s="104">
        <v>4365080</v>
      </c>
      <c r="S65" s="121">
        <v>7556</v>
      </c>
      <c r="T65" s="108">
        <v>45901</v>
      </c>
      <c r="U65" s="104">
        <v>393</v>
      </c>
      <c r="V65" s="104"/>
      <c r="W65" s="104" t="s">
        <v>48</v>
      </c>
      <c r="X65" s="104" t="s">
        <v>25</v>
      </c>
      <c r="Y65" s="216">
        <v>7556</v>
      </c>
      <c r="Z65" s="106">
        <v>46037</v>
      </c>
      <c r="AA65" s="106">
        <v>46038</v>
      </c>
      <c r="AB65" s="104" t="s">
        <v>60</v>
      </c>
      <c r="AC65" s="104"/>
      <c r="AD65" s="113">
        <f>S65-Y65</f>
        <v>0</v>
      </c>
    </row>
    <row r="66" spans="2:30" ht="45" hidden="1" customHeight="1">
      <c r="B66" s="174">
        <v>63</v>
      </c>
      <c r="C66" s="104" t="s">
        <v>85</v>
      </c>
      <c r="D66" s="104" t="s">
        <v>250</v>
      </c>
      <c r="E66" s="104">
        <v>38584</v>
      </c>
      <c r="F66" s="104" t="s">
        <v>44</v>
      </c>
      <c r="G66" s="255" t="s">
        <v>251</v>
      </c>
      <c r="H66" s="104">
        <v>1236</v>
      </c>
      <c r="I66" s="104">
        <v>242</v>
      </c>
      <c r="J66" s="104" t="s">
        <v>37</v>
      </c>
      <c r="K66" s="104" t="s">
        <v>252</v>
      </c>
      <c r="L66" s="104">
        <v>79900</v>
      </c>
      <c r="M66" s="104">
        <v>6</v>
      </c>
      <c r="N66" s="104" t="s">
        <v>34</v>
      </c>
      <c r="O66" s="104" t="s">
        <v>34</v>
      </c>
      <c r="P66" s="104">
        <v>4244650</v>
      </c>
      <c r="Q66" s="106">
        <v>45908</v>
      </c>
      <c r="R66" s="104">
        <v>4361916</v>
      </c>
      <c r="S66" s="129">
        <v>22684</v>
      </c>
      <c r="T66" s="108">
        <v>45901</v>
      </c>
      <c r="U66" s="104">
        <v>1559</v>
      </c>
      <c r="V66" s="127" t="s">
        <v>253</v>
      </c>
      <c r="W66" s="104" t="s">
        <v>48</v>
      </c>
      <c r="X66" s="104" t="s">
        <v>25</v>
      </c>
      <c r="Y66" s="131">
        <v>22684</v>
      </c>
      <c r="Z66" s="106">
        <v>45962</v>
      </c>
      <c r="AA66" s="122">
        <v>45964</v>
      </c>
      <c r="AB66" s="110" t="s">
        <v>60</v>
      </c>
      <c r="AC66" s="104"/>
      <c r="AD66" s="113">
        <f>S66-Y66</f>
        <v>0</v>
      </c>
    </row>
    <row r="67" spans="2:30" ht="45" hidden="1" customHeight="1">
      <c r="B67" s="174">
        <v>64</v>
      </c>
      <c r="C67" s="104" t="s">
        <v>146</v>
      </c>
      <c r="D67" s="104" t="s">
        <v>254</v>
      </c>
      <c r="E67" s="104" t="s">
        <v>34</v>
      </c>
      <c r="F67" s="104" t="s">
        <v>44</v>
      </c>
      <c r="G67" s="255" t="s">
        <v>255</v>
      </c>
      <c r="H67" s="105">
        <v>5345</v>
      </c>
      <c r="I67" s="105">
        <v>242</v>
      </c>
      <c r="J67" s="104" t="s">
        <v>58</v>
      </c>
      <c r="K67" s="104" t="s">
        <v>256</v>
      </c>
      <c r="L67" s="104">
        <v>81713</v>
      </c>
      <c r="M67" s="104">
        <v>2</v>
      </c>
      <c r="N67" s="104" t="s">
        <v>257</v>
      </c>
      <c r="O67" s="104" t="s">
        <v>34</v>
      </c>
      <c r="P67" s="104">
        <v>4245590</v>
      </c>
      <c r="Q67" s="106">
        <v>45918</v>
      </c>
      <c r="R67" s="104">
        <v>4364191</v>
      </c>
      <c r="S67" s="107">
        <v>3664</v>
      </c>
      <c r="T67" s="108">
        <v>45924</v>
      </c>
      <c r="U67" s="104">
        <v>6570</v>
      </c>
      <c r="V67" s="104" t="s">
        <v>34</v>
      </c>
      <c r="W67" s="104" t="s">
        <v>48</v>
      </c>
      <c r="X67" s="104" t="s">
        <v>94</v>
      </c>
      <c r="Y67" s="221">
        <v>3664</v>
      </c>
      <c r="Z67" s="106">
        <v>45945</v>
      </c>
      <c r="AA67" s="106">
        <v>45950</v>
      </c>
      <c r="AB67" s="110" t="s">
        <v>60</v>
      </c>
      <c r="AC67" s="104"/>
      <c r="AD67" s="113">
        <f>S67-Y67</f>
        <v>0</v>
      </c>
    </row>
    <row r="68" spans="2:30" ht="45" hidden="1" customHeight="1">
      <c r="B68" s="174">
        <v>65</v>
      </c>
      <c r="C68" s="104" t="s">
        <v>137</v>
      </c>
      <c r="D68" s="104" t="s">
        <v>91</v>
      </c>
      <c r="E68" s="104" t="s">
        <v>34</v>
      </c>
      <c r="F68" s="104" t="s">
        <v>44</v>
      </c>
      <c r="G68" s="145" t="s">
        <v>258</v>
      </c>
      <c r="H68" s="104">
        <v>2488</v>
      </c>
      <c r="I68" s="104">
        <v>5</v>
      </c>
      <c r="J68" s="104" t="s">
        <v>37</v>
      </c>
      <c r="K68" s="104">
        <v>3313</v>
      </c>
      <c r="L68" s="104">
        <v>81733</v>
      </c>
      <c r="M68" s="104">
        <v>2</v>
      </c>
      <c r="N68" s="104" t="s">
        <v>259</v>
      </c>
      <c r="O68" s="104" t="s">
        <v>34</v>
      </c>
      <c r="P68" s="104">
        <v>4245628</v>
      </c>
      <c r="Q68" s="106">
        <v>45918</v>
      </c>
      <c r="R68" s="104">
        <v>4365089</v>
      </c>
      <c r="S68" s="129">
        <v>18590</v>
      </c>
      <c r="T68" s="108">
        <v>45931</v>
      </c>
      <c r="U68" s="104">
        <v>2049</v>
      </c>
      <c r="V68" s="104" t="s">
        <v>34</v>
      </c>
      <c r="W68" s="104" t="s">
        <v>48</v>
      </c>
      <c r="X68" s="104" t="s">
        <v>94</v>
      </c>
      <c r="Y68" s="131">
        <v>18590</v>
      </c>
      <c r="Z68" s="106">
        <v>45964</v>
      </c>
      <c r="AA68" s="122">
        <v>45967</v>
      </c>
      <c r="AB68" s="110" t="s">
        <v>60</v>
      </c>
      <c r="AC68" s="104"/>
      <c r="AD68" s="113">
        <f>S68-Y68</f>
        <v>0</v>
      </c>
    </row>
    <row r="69" spans="2:30" ht="45" hidden="1" customHeight="1">
      <c r="B69" s="174">
        <v>66</v>
      </c>
      <c r="C69" s="104" t="s">
        <v>95</v>
      </c>
      <c r="D69" s="104" t="s">
        <v>260</v>
      </c>
      <c r="E69" s="104" t="s">
        <v>34</v>
      </c>
      <c r="F69" s="104" t="s">
        <v>44</v>
      </c>
      <c r="G69" s="255" t="s">
        <v>261</v>
      </c>
      <c r="H69" s="104">
        <v>2330</v>
      </c>
      <c r="I69" s="104">
        <v>5</v>
      </c>
      <c r="J69" s="104" t="s">
        <v>46</v>
      </c>
      <c r="K69" s="104" t="s">
        <v>262</v>
      </c>
      <c r="L69" s="104">
        <v>81645</v>
      </c>
      <c r="M69" s="104">
        <v>1</v>
      </c>
      <c r="N69" s="104" t="s">
        <v>34</v>
      </c>
      <c r="O69" s="104" t="s">
        <v>34</v>
      </c>
      <c r="P69" s="104">
        <v>4246376</v>
      </c>
      <c r="Q69" s="106">
        <v>45919</v>
      </c>
      <c r="R69" s="104">
        <v>4368513</v>
      </c>
      <c r="S69" s="265">
        <v>6270</v>
      </c>
      <c r="T69" s="108">
        <v>45931</v>
      </c>
      <c r="U69" s="104">
        <v>2038</v>
      </c>
      <c r="V69" s="104">
        <v>45945</v>
      </c>
      <c r="W69" s="104" t="s">
        <v>48</v>
      </c>
      <c r="X69" s="104" t="s">
        <v>94</v>
      </c>
      <c r="Y69" s="222">
        <v>6270</v>
      </c>
      <c r="Z69" s="106">
        <v>45944</v>
      </c>
      <c r="AA69" s="106">
        <v>45945</v>
      </c>
      <c r="AB69" s="110" t="s">
        <v>60</v>
      </c>
      <c r="AC69" s="104"/>
      <c r="AD69" s="113">
        <f>S69-Y69</f>
        <v>0</v>
      </c>
    </row>
    <row r="70" spans="2:30" ht="45" hidden="1" customHeight="1">
      <c r="B70" s="174">
        <v>67</v>
      </c>
      <c r="C70" s="104" t="s">
        <v>95</v>
      </c>
      <c r="D70" s="104" t="s">
        <v>96</v>
      </c>
      <c r="E70" s="104" t="s">
        <v>34</v>
      </c>
      <c r="F70" s="104" t="s">
        <v>44</v>
      </c>
      <c r="G70" s="255" t="s">
        <v>263</v>
      </c>
      <c r="H70" s="104" t="s">
        <v>264</v>
      </c>
      <c r="I70" s="104">
        <v>242</v>
      </c>
      <c r="J70" s="104" t="s">
        <v>37</v>
      </c>
      <c r="K70" s="104" t="s">
        <v>265</v>
      </c>
      <c r="L70" s="104">
        <v>81599</v>
      </c>
      <c r="M70" s="104">
        <v>1</v>
      </c>
      <c r="N70" s="104" t="s">
        <v>34</v>
      </c>
      <c r="O70" s="104" t="s">
        <v>34</v>
      </c>
      <c r="P70" s="104">
        <v>4246433</v>
      </c>
      <c r="Q70" s="106">
        <v>45919</v>
      </c>
      <c r="R70" s="104">
        <v>4372878</v>
      </c>
      <c r="S70" s="265">
        <v>41292</v>
      </c>
      <c r="T70" s="108">
        <v>45901</v>
      </c>
      <c r="U70" s="104">
        <v>723</v>
      </c>
      <c r="V70" s="110"/>
      <c r="W70" s="104" t="s">
        <v>48</v>
      </c>
      <c r="X70" s="104" t="s">
        <v>25</v>
      </c>
      <c r="Y70" s="131">
        <v>41292</v>
      </c>
      <c r="Z70" s="106">
        <v>45966</v>
      </c>
      <c r="AA70" s="106">
        <v>45967</v>
      </c>
      <c r="AB70" s="110" t="s">
        <v>60</v>
      </c>
      <c r="AC70" s="104"/>
      <c r="AD70" s="113">
        <f>S70-Y70</f>
        <v>0</v>
      </c>
    </row>
    <row r="71" spans="2:30" ht="45" hidden="1" customHeight="1">
      <c r="B71" s="174">
        <v>68</v>
      </c>
      <c r="C71" s="104" t="s">
        <v>70</v>
      </c>
      <c r="D71" s="104" t="s">
        <v>266</v>
      </c>
      <c r="E71" s="104" t="s">
        <v>34</v>
      </c>
      <c r="F71" s="104" t="s">
        <v>44</v>
      </c>
      <c r="G71" s="255" t="s">
        <v>267</v>
      </c>
      <c r="H71" s="104">
        <v>2348</v>
      </c>
      <c r="I71" s="104">
        <v>242</v>
      </c>
      <c r="J71" s="104" t="s">
        <v>58</v>
      </c>
      <c r="K71" s="104" t="s">
        <v>266</v>
      </c>
      <c r="L71" s="104">
        <v>79952</v>
      </c>
      <c r="M71" s="104">
        <v>29</v>
      </c>
      <c r="N71" s="104" t="s">
        <v>268</v>
      </c>
      <c r="O71" s="104" t="s">
        <v>34</v>
      </c>
      <c r="P71" s="104">
        <v>4247386</v>
      </c>
      <c r="Q71" s="106">
        <v>45919</v>
      </c>
      <c r="R71" s="104">
        <v>4374946</v>
      </c>
      <c r="S71" s="107">
        <v>63723.28</v>
      </c>
      <c r="T71" s="108">
        <v>45962</v>
      </c>
      <c r="U71" s="104">
        <v>3008</v>
      </c>
      <c r="V71" s="104" t="s">
        <v>34</v>
      </c>
      <c r="W71" s="104" t="s">
        <v>48</v>
      </c>
      <c r="X71" s="104" t="s">
        <v>94</v>
      </c>
      <c r="Y71" s="131">
        <v>9730</v>
      </c>
      <c r="Z71" s="106">
        <v>46063</v>
      </c>
      <c r="AA71" s="106"/>
      <c r="AB71" s="104" t="s">
        <v>60</v>
      </c>
      <c r="AC71" s="104"/>
      <c r="AD71" s="113">
        <f>S71-Y71</f>
        <v>53993.279999999999</v>
      </c>
    </row>
    <row r="72" spans="2:30" ht="45" hidden="1" customHeight="1">
      <c r="B72" s="174">
        <v>69</v>
      </c>
      <c r="C72" s="104" t="s">
        <v>95</v>
      </c>
      <c r="D72" s="104" t="s">
        <v>269</v>
      </c>
      <c r="E72" s="104" t="s">
        <v>34</v>
      </c>
      <c r="F72" s="104" t="s">
        <v>44</v>
      </c>
      <c r="G72" s="255" t="s">
        <v>270</v>
      </c>
      <c r="H72" s="104" t="s">
        <v>271</v>
      </c>
      <c r="I72" s="104">
        <v>242</v>
      </c>
      <c r="J72" s="104" t="s">
        <v>37</v>
      </c>
      <c r="K72" s="104" t="s">
        <v>272</v>
      </c>
      <c r="L72" s="104">
        <v>80618</v>
      </c>
      <c r="M72" s="104">
        <v>1</v>
      </c>
      <c r="N72" s="104" t="s">
        <v>34</v>
      </c>
      <c r="O72" s="104" t="s">
        <v>34</v>
      </c>
      <c r="P72" s="104">
        <v>4248126</v>
      </c>
      <c r="Q72" s="106">
        <v>45922</v>
      </c>
      <c r="R72" s="104">
        <v>4379008</v>
      </c>
      <c r="S72" s="265">
        <v>48636</v>
      </c>
      <c r="T72" s="108">
        <v>45931</v>
      </c>
      <c r="U72" s="119" t="s">
        <v>273</v>
      </c>
      <c r="V72" s="120" t="s">
        <v>34</v>
      </c>
      <c r="W72" s="104" t="s">
        <v>48</v>
      </c>
      <c r="X72" s="104" t="s">
        <v>25</v>
      </c>
      <c r="Y72" s="131">
        <v>11196.82</v>
      </c>
      <c r="Z72" s="106">
        <v>45992</v>
      </c>
      <c r="AA72" s="122" t="s">
        <v>274</v>
      </c>
      <c r="AB72" s="104" t="s">
        <v>60</v>
      </c>
      <c r="AC72" s="104"/>
      <c r="AD72" s="113">
        <f>S72-Y72</f>
        <v>37439.18</v>
      </c>
    </row>
    <row r="73" spans="2:30" ht="45" hidden="1" customHeight="1">
      <c r="B73" s="174">
        <v>70</v>
      </c>
      <c r="C73" s="104" t="s">
        <v>183</v>
      </c>
      <c r="D73" s="104" t="s">
        <v>138</v>
      </c>
      <c r="E73" s="104">
        <v>37312</v>
      </c>
      <c r="F73" s="104" t="s">
        <v>35</v>
      </c>
      <c r="G73" s="255" t="s">
        <v>275</v>
      </c>
      <c r="H73" s="104">
        <v>2224</v>
      </c>
      <c r="I73" s="104">
        <v>242</v>
      </c>
      <c r="J73" s="104" t="s">
        <v>58</v>
      </c>
      <c r="K73" s="104" t="s">
        <v>276</v>
      </c>
      <c r="L73" s="104">
        <v>82160</v>
      </c>
      <c r="M73" s="104">
        <v>6</v>
      </c>
      <c r="N73" s="104" t="s">
        <v>34</v>
      </c>
      <c r="O73" s="104" t="s">
        <v>34</v>
      </c>
      <c r="P73" s="104">
        <v>4250436</v>
      </c>
      <c r="Q73" s="106">
        <v>45923</v>
      </c>
      <c r="R73" s="104">
        <v>4366562</v>
      </c>
      <c r="S73" s="107">
        <v>3455.93</v>
      </c>
      <c r="T73" s="108">
        <v>45931</v>
      </c>
      <c r="U73" s="104">
        <v>19539</v>
      </c>
      <c r="V73" s="104" t="s">
        <v>277</v>
      </c>
      <c r="W73" s="104" t="s">
        <v>40</v>
      </c>
      <c r="X73" s="104" t="s">
        <v>44</v>
      </c>
      <c r="Y73" s="221">
        <v>3455.93</v>
      </c>
      <c r="Z73" s="106">
        <v>45964</v>
      </c>
      <c r="AA73" s="106"/>
      <c r="AB73" s="110" t="s">
        <v>60</v>
      </c>
      <c r="AC73" s="104"/>
      <c r="AD73" s="113">
        <f>S73-Y73</f>
        <v>0</v>
      </c>
    </row>
    <row r="74" spans="2:30" ht="45" hidden="1" customHeight="1">
      <c r="B74" s="174">
        <v>71</v>
      </c>
      <c r="C74" s="104" t="s">
        <v>146</v>
      </c>
      <c r="D74" s="104" t="s">
        <v>33</v>
      </c>
      <c r="E74" s="104">
        <v>34945</v>
      </c>
      <c r="F74" s="104" t="s">
        <v>35</v>
      </c>
      <c r="G74" s="255" t="s">
        <v>278</v>
      </c>
      <c r="H74" s="104">
        <v>4669</v>
      </c>
      <c r="I74" s="104">
        <v>242</v>
      </c>
      <c r="J74" s="104" t="s">
        <v>58</v>
      </c>
      <c r="K74" s="104">
        <v>381</v>
      </c>
      <c r="L74" s="104">
        <v>80971</v>
      </c>
      <c r="M74" s="104">
        <v>6</v>
      </c>
      <c r="N74" s="104" t="s">
        <v>34</v>
      </c>
      <c r="O74" s="104" t="s">
        <v>34</v>
      </c>
      <c r="P74" s="104">
        <v>4250909</v>
      </c>
      <c r="Q74" s="106">
        <v>45914</v>
      </c>
      <c r="R74" s="104">
        <v>4366560</v>
      </c>
      <c r="S74" s="107">
        <v>1102</v>
      </c>
      <c r="T74" s="108">
        <v>45930</v>
      </c>
      <c r="U74" s="104"/>
      <c r="V74" s="114" t="s">
        <v>149</v>
      </c>
      <c r="W74" s="104"/>
      <c r="X74" s="104"/>
      <c r="Y74" s="131"/>
      <c r="Z74" s="106"/>
      <c r="AA74" s="106"/>
      <c r="AB74" s="104" t="s">
        <v>66</v>
      </c>
      <c r="AC74" s="104"/>
      <c r="AD74" s="113">
        <f>S74-Y74</f>
        <v>1102</v>
      </c>
    </row>
    <row r="75" spans="2:30" ht="45" hidden="1" customHeight="1">
      <c r="B75" s="174">
        <v>72</v>
      </c>
      <c r="C75" s="104" t="s">
        <v>279</v>
      </c>
      <c r="D75" s="104" t="s">
        <v>33</v>
      </c>
      <c r="E75" s="104" t="s">
        <v>34</v>
      </c>
      <c r="F75" s="104" t="s">
        <v>35</v>
      </c>
      <c r="G75" s="255" t="s">
        <v>280</v>
      </c>
      <c r="H75" s="104">
        <v>5345</v>
      </c>
      <c r="I75" s="104">
        <v>242</v>
      </c>
      <c r="J75" s="104" t="s">
        <v>58</v>
      </c>
      <c r="K75" s="104" t="s">
        <v>281</v>
      </c>
      <c r="L75" s="104">
        <v>82539</v>
      </c>
      <c r="M75" s="104">
        <v>1</v>
      </c>
      <c r="N75" s="104" t="s">
        <v>34</v>
      </c>
      <c r="O75" s="104" t="s">
        <v>34</v>
      </c>
      <c r="P75" s="104">
        <v>4250962</v>
      </c>
      <c r="Q75" s="106">
        <v>45924</v>
      </c>
      <c r="R75" s="104">
        <v>4375058</v>
      </c>
      <c r="S75" s="107">
        <v>7275</v>
      </c>
      <c r="T75" s="108">
        <v>45901</v>
      </c>
      <c r="U75" s="104">
        <v>3187</v>
      </c>
      <c r="V75" s="104"/>
      <c r="W75" s="104" t="s">
        <v>48</v>
      </c>
      <c r="X75" s="104" t="s">
        <v>25</v>
      </c>
      <c r="Y75" s="131">
        <v>7275</v>
      </c>
      <c r="Z75" s="106">
        <v>45974</v>
      </c>
      <c r="AA75" s="106">
        <v>45978</v>
      </c>
      <c r="AB75" s="110" t="s">
        <v>60</v>
      </c>
      <c r="AC75" s="104"/>
      <c r="AD75" s="113">
        <f>S75-Y75</f>
        <v>0</v>
      </c>
    </row>
    <row r="76" spans="2:30" ht="45" hidden="1" customHeight="1">
      <c r="B76" s="174">
        <v>73</v>
      </c>
      <c r="C76" s="104" t="s">
        <v>282</v>
      </c>
      <c r="D76" s="104" t="s">
        <v>283</v>
      </c>
      <c r="E76" s="104" t="s">
        <v>34</v>
      </c>
      <c r="F76" s="104" t="s">
        <v>44</v>
      </c>
      <c r="G76" s="255" t="s">
        <v>284</v>
      </c>
      <c r="H76" s="104">
        <v>1236</v>
      </c>
      <c r="I76" s="104">
        <v>242</v>
      </c>
      <c r="J76" s="104" t="s">
        <v>285</v>
      </c>
      <c r="K76" s="104" t="s">
        <v>286</v>
      </c>
      <c r="L76" s="104">
        <v>83063</v>
      </c>
      <c r="M76" s="104">
        <v>29</v>
      </c>
      <c r="N76" s="104" t="s">
        <v>287</v>
      </c>
      <c r="O76" s="104" t="s">
        <v>34</v>
      </c>
      <c r="P76" s="104">
        <v>4252468</v>
      </c>
      <c r="Q76" s="106">
        <v>45925</v>
      </c>
      <c r="R76" s="104">
        <v>4377346</v>
      </c>
      <c r="S76" s="121">
        <v>10279.379999999999</v>
      </c>
      <c r="T76" s="108">
        <v>45931</v>
      </c>
      <c r="U76" s="104">
        <v>390</v>
      </c>
      <c r="V76" s="110"/>
      <c r="W76" s="104" t="s">
        <v>48</v>
      </c>
      <c r="X76" s="104" t="s">
        <v>25</v>
      </c>
      <c r="Y76" s="131">
        <v>10279.379999999999</v>
      </c>
      <c r="Z76" s="106">
        <v>45965</v>
      </c>
      <c r="AA76" s="122">
        <v>45967</v>
      </c>
      <c r="AB76" s="110" t="s">
        <v>60</v>
      </c>
      <c r="AC76" s="104"/>
      <c r="AD76" s="113">
        <f>S76-Y76</f>
        <v>0</v>
      </c>
    </row>
    <row r="77" spans="2:30" ht="45" hidden="1" customHeight="1">
      <c r="B77" s="174">
        <v>74</v>
      </c>
      <c r="C77" s="104" t="s">
        <v>95</v>
      </c>
      <c r="D77" s="104" t="s">
        <v>288</v>
      </c>
      <c r="E77" s="104">
        <v>37124</v>
      </c>
      <c r="F77" s="104" t="s">
        <v>44</v>
      </c>
      <c r="G77" s="255" t="s">
        <v>289</v>
      </c>
      <c r="H77" s="104">
        <v>1210</v>
      </c>
      <c r="I77" s="104">
        <v>242</v>
      </c>
      <c r="J77" s="104" t="s">
        <v>285</v>
      </c>
      <c r="K77" s="104" t="s">
        <v>290</v>
      </c>
      <c r="L77" s="104">
        <v>83064</v>
      </c>
      <c r="M77" s="104">
        <v>6</v>
      </c>
      <c r="N77" s="104" t="s">
        <v>34</v>
      </c>
      <c r="O77" s="104" t="s">
        <v>34</v>
      </c>
      <c r="P77" s="104">
        <v>4252496</v>
      </c>
      <c r="Q77" s="106">
        <v>45925</v>
      </c>
      <c r="R77" s="104">
        <v>4370282</v>
      </c>
      <c r="S77" s="156">
        <v>26982.57</v>
      </c>
      <c r="T77" s="108">
        <v>45931</v>
      </c>
      <c r="U77" s="104"/>
      <c r="V77" s="104"/>
      <c r="W77" s="104"/>
      <c r="X77" s="104"/>
      <c r="Y77" s="131"/>
      <c r="Z77" s="106"/>
      <c r="AA77" s="106"/>
      <c r="AB77" s="104" t="s">
        <v>66</v>
      </c>
      <c r="AC77" s="104"/>
      <c r="AD77" s="113">
        <f>S77-Y77</f>
        <v>26982.57</v>
      </c>
    </row>
    <row r="78" spans="2:30" ht="45" hidden="1" customHeight="1">
      <c r="B78" s="174">
        <v>75</v>
      </c>
      <c r="C78" s="104" t="s">
        <v>291</v>
      </c>
      <c r="D78" s="104" t="s">
        <v>33</v>
      </c>
      <c r="E78" s="104">
        <v>37720</v>
      </c>
      <c r="F78" s="104" t="s">
        <v>35</v>
      </c>
      <c r="G78" s="255" t="s">
        <v>292</v>
      </c>
      <c r="H78" s="104">
        <v>2224</v>
      </c>
      <c r="I78" s="104">
        <v>242</v>
      </c>
      <c r="J78" s="104" t="s">
        <v>58</v>
      </c>
      <c r="K78" s="104" t="s">
        <v>293</v>
      </c>
      <c r="L78" s="104">
        <v>83469</v>
      </c>
      <c r="M78" s="104">
        <v>6</v>
      </c>
      <c r="N78" s="104" t="s">
        <v>34</v>
      </c>
      <c r="O78" s="104" t="s">
        <v>34</v>
      </c>
      <c r="P78" s="104">
        <v>4253925</v>
      </c>
      <c r="Q78" s="106">
        <v>45926</v>
      </c>
      <c r="R78" s="104">
        <v>4371454</v>
      </c>
      <c r="S78" s="107">
        <v>4674</v>
      </c>
      <c r="T78" s="108">
        <v>45931</v>
      </c>
      <c r="U78" s="104">
        <v>3205</v>
      </c>
      <c r="V78" s="104" t="s">
        <v>294</v>
      </c>
      <c r="W78" s="104" t="s">
        <v>40</v>
      </c>
      <c r="X78" s="104" t="s">
        <v>35</v>
      </c>
      <c r="Y78" s="221">
        <v>4674</v>
      </c>
      <c r="Z78" s="106">
        <v>45995</v>
      </c>
      <c r="AA78" s="106">
        <v>46000</v>
      </c>
      <c r="AB78" s="104" t="s">
        <v>60</v>
      </c>
      <c r="AC78" s="104"/>
      <c r="AD78" s="113">
        <f>S78-Y78</f>
        <v>0</v>
      </c>
    </row>
    <row r="79" spans="2:30" ht="45" hidden="1" customHeight="1">
      <c r="B79" s="174">
        <v>76</v>
      </c>
      <c r="C79" s="104" t="s">
        <v>95</v>
      </c>
      <c r="D79" s="104" t="s">
        <v>138</v>
      </c>
      <c r="E79" s="104">
        <v>37566</v>
      </c>
      <c r="F79" s="104" t="s">
        <v>44</v>
      </c>
      <c r="G79" s="255" t="s">
        <v>295</v>
      </c>
      <c r="H79" s="104">
        <v>2313</v>
      </c>
      <c r="I79" s="104">
        <v>242</v>
      </c>
      <c r="J79" s="104" t="s">
        <v>46</v>
      </c>
      <c r="K79" s="104" t="s">
        <v>296</v>
      </c>
      <c r="L79" s="104">
        <v>83463</v>
      </c>
      <c r="M79" s="104">
        <v>6</v>
      </c>
      <c r="N79" s="104" t="s">
        <v>34</v>
      </c>
      <c r="O79" s="104" t="s">
        <v>34</v>
      </c>
      <c r="P79" s="104">
        <v>4254808</v>
      </c>
      <c r="Q79" s="106">
        <v>45929</v>
      </c>
      <c r="R79" s="104">
        <v>4372806</v>
      </c>
      <c r="S79" s="265">
        <v>8497.2000000000007</v>
      </c>
      <c r="T79" s="108">
        <v>45931</v>
      </c>
      <c r="U79" s="104">
        <v>19676</v>
      </c>
      <c r="V79" s="104" t="s">
        <v>297</v>
      </c>
      <c r="W79" s="104" t="s">
        <v>40</v>
      </c>
      <c r="X79" s="104" t="s">
        <v>44</v>
      </c>
      <c r="Y79" s="131">
        <v>8497.2000000000007</v>
      </c>
      <c r="Z79" s="106">
        <v>45992</v>
      </c>
      <c r="AA79" s="106">
        <v>45993</v>
      </c>
      <c r="AB79" s="104" t="s">
        <v>60</v>
      </c>
      <c r="AC79" s="104"/>
      <c r="AD79" s="113">
        <f>S79-Y79</f>
        <v>0</v>
      </c>
    </row>
    <row r="80" spans="2:30" ht="45" hidden="1" customHeight="1">
      <c r="B80" s="174">
        <v>77</v>
      </c>
      <c r="C80" s="104" t="s">
        <v>291</v>
      </c>
      <c r="D80" s="104" t="s">
        <v>138</v>
      </c>
      <c r="E80" s="104">
        <v>37567</v>
      </c>
      <c r="F80" s="104" t="s">
        <v>35</v>
      </c>
      <c r="G80" s="255" t="s">
        <v>298</v>
      </c>
      <c r="H80" s="105">
        <v>2488</v>
      </c>
      <c r="I80" s="105">
        <v>242</v>
      </c>
      <c r="J80" s="104" t="s">
        <v>58</v>
      </c>
      <c r="K80" s="104" t="s">
        <v>299</v>
      </c>
      <c r="L80" s="104">
        <v>83474</v>
      </c>
      <c r="M80" s="104">
        <v>6</v>
      </c>
      <c r="N80" s="104" t="s">
        <v>34</v>
      </c>
      <c r="O80" s="104" t="s">
        <v>34</v>
      </c>
      <c r="P80" s="104">
        <v>4255379</v>
      </c>
      <c r="Q80" s="106">
        <v>45837</v>
      </c>
      <c r="R80" s="104">
        <v>4372773</v>
      </c>
      <c r="S80" s="107">
        <v>11639.32</v>
      </c>
      <c r="T80" s="108">
        <v>45931</v>
      </c>
      <c r="U80" s="104">
        <v>19480</v>
      </c>
      <c r="V80" s="104" t="s">
        <v>300</v>
      </c>
      <c r="W80" s="104" t="s">
        <v>48</v>
      </c>
      <c r="X80" s="104" t="s">
        <v>44</v>
      </c>
      <c r="Y80" s="221">
        <v>11639.32</v>
      </c>
      <c r="Z80" s="106">
        <v>45943</v>
      </c>
      <c r="AA80" s="106">
        <v>45957</v>
      </c>
      <c r="AB80" s="110" t="s">
        <v>60</v>
      </c>
      <c r="AC80" s="104"/>
      <c r="AD80" s="113">
        <f>S80-Y80</f>
        <v>0</v>
      </c>
    </row>
    <row r="81" spans="2:30" ht="45" hidden="1" customHeight="1">
      <c r="B81" s="174">
        <v>78</v>
      </c>
      <c r="C81" s="104" t="s">
        <v>183</v>
      </c>
      <c r="D81" s="104" t="s">
        <v>33</v>
      </c>
      <c r="E81" s="104" t="s">
        <v>34</v>
      </c>
      <c r="F81" s="104" t="s">
        <v>35</v>
      </c>
      <c r="G81" s="255" t="s">
        <v>301</v>
      </c>
      <c r="H81" s="105">
        <v>5525</v>
      </c>
      <c r="I81" s="105">
        <v>242</v>
      </c>
      <c r="J81" s="104" t="s">
        <v>58</v>
      </c>
      <c r="K81" s="104" t="s">
        <v>302</v>
      </c>
      <c r="L81" s="104">
        <v>83965</v>
      </c>
      <c r="M81" s="104">
        <v>1</v>
      </c>
      <c r="N81" s="104" t="s">
        <v>34</v>
      </c>
      <c r="O81" s="104" t="s">
        <v>34</v>
      </c>
      <c r="P81" s="104">
        <v>4256365</v>
      </c>
      <c r="Q81" s="106">
        <v>45930</v>
      </c>
      <c r="R81" s="104">
        <v>4377379</v>
      </c>
      <c r="S81" s="107">
        <v>2685</v>
      </c>
      <c r="T81" s="108">
        <v>45962</v>
      </c>
      <c r="U81" s="104">
        <v>3159</v>
      </c>
      <c r="V81" s="104" t="s">
        <v>34</v>
      </c>
      <c r="W81" s="104" t="s">
        <v>48</v>
      </c>
      <c r="X81" s="104" t="s">
        <v>106</v>
      </c>
      <c r="Y81" s="221">
        <v>2685</v>
      </c>
      <c r="Z81" s="106">
        <v>45947</v>
      </c>
      <c r="AA81" s="106">
        <v>45951</v>
      </c>
      <c r="AB81" s="110" t="s">
        <v>60</v>
      </c>
      <c r="AC81" s="104"/>
      <c r="AD81" s="113">
        <f>S81-Y81</f>
        <v>0</v>
      </c>
    </row>
    <row r="82" spans="2:30" ht="45" hidden="1" customHeight="1">
      <c r="B82" s="174">
        <v>79</v>
      </c>
      <c r="C82" s="104" t="s">
        <v>282</v>
      </c>
      <c r="D82" s="104" t="s">
        <v>303</v>
      </c>
      <c r="E82" s="104" t="s">
        <v>34</v>
      </c>
      <c r="F82" s="104" t="s">
        <v>44</v>
      </c>
      <c r="G82" s="255" t="s">
        <v>304</v>
      </c>
      <c r="H82" s="104">
        <v>2313</v>
      </c>
      <c r="I82" s="104">
        <v>5</v>
      </c>
      <c r="J82" s="104" t="s">
        <v>285</v>
      </c>
      <c r="K82" s="104" t="s">
        <v>305</v>
      </c>
      <c r="L82" s="104">
        <v>83033</v>
      </c>
      <c r="M82" s="104">
        <v>29</v>
      </c>
      <c r="N82" s="104" t="s">
        <v>306</v>
      </c>
      <c r="O82" s="104" t="s">
        <v>34</v>
      </c>
      <c r="P82" s="104">
        <v>4257039</v>
      </c>
      <c r="Q82" s="106">
        <v>45925</v>
      </c>
      <c r="R82" s="116" t="s">
        <v>307</v>
      </c>
      <c r="S82" s="129">
        <v>26121.5</v>
      </c>
      <c r="T82" s="108">
        <v>45931</v>
      </c>
      <c r="U82" s="104">
        <v>14</v>
      </c>
      <c r="V82" s="104" t="s">
        <v>34</v>
      </c>
      <c r="W82" s="104" t="s">
        <v>48</v>
      </c>
      <c r="X82" s="104" t="s">
        <v>94</v>
      </c>
      <c r="Y82" s="131">
        <v>18000</v>
      </c>
      <c r="Z82" s="106">
        <v>46128</v>
      </c>
      <c r="AA82" s="106">
        <v>46129</v>
      </c>
      <c r="AB82" s="104" t="s">
        <v>41</v>
      </c>
      <c r="AC82" s="104"/>
      <c r="AD82" s="113">
        <f>S82-Y82</f>
        <v>8121.5</v>
      </c>
    </row>
    <row r="83" spans="2:30" ht="45" hidden="1" customHeight="1">
      <c r="B83" s="174">
        <v>80</v>
      </c>
      <c r="C83" s="104" t="s">
        <v>42</v>
      </c>
      <c r="D83" s="104" t="s">
        <v>308</v>
      </c>
      <c r="E83" s="104" t="s">
        <v>34</v>
      </c>
      <c r="F83" s="104" t="s">
        <v>44</v>
      </c>
      <c r="G83" s="255" t="s">
        <v>309</v>
      </c>
      <c r="H83" s="104">
        <v>1295</v>
      </c>
      <c r="I83" s="104">
        <v>242</v>
      </c>
      <c r="J83" s="104" t="s">
        <v>37</v>
      </c>
      <c r="K83" s="104" t="s">
        <v>310</v>
      </c>
      <c r="L83" s="104">
        <v>84211</v>
      </c>
      <c r="M83" s="104">
        <v>1</v>
      </c>
      <c r="N83" s="104" t="s">
        <v>34</v>
      </c>
      <c r="O83" s="104" t="s">
        <v>34</v>
      </c>
      <c r="P83" s="104">
        <v>4257737</v>
      </c>
      <c r="Q83" s="106">
        <v>45931</v>
      </c>
      <c r="R83" s="104">
        <v>4378444</v>
      </c>
      <c r="S83" s="121">
        <v>154870.39999999999</v>
      </c>
      <c r="T83" s="108">
        <v>45931</v>
      </c>
      <c r="U83" s="104">
        <v>100</v>
      </c>
      <c r="V83" s="104" t="s">
        <v>34</v>
      </c>
      <c r="W83" s="104" t="s">
        <v>48</v>
      </c>
      <c r="X83" s="104" t="s">
        <v>35</v>
      </c>
      <c r="Y83" s="131">
        <v>30974.080000000002</v>
      </c>
      <c r="Z83" s="106">
        <v>46006</v>
      </c>
      <c r="AA83" s="106">
        <v>46008</v>
      </c>
      <c r="AB83" s="104" t="s">
        <v>54</v>
      </c>
      <c r="AC83" s="104"/>
      <c r="AD83" s="113">
        <f>S83-Y83</f>
        <v>123896.31999999999</v>
      </c>
    </row>
    <row r="84" spans="2:30" ht="45" hidden="1" customHeight="1">
      <c r="B84" s="174">
        <v>81</v>
      </c>
      <c r="C84" s="104" t="s">
        <v>42</v>
      </c>
      <c r="D84" s="104" t="s">
        <v>308</v>
      </c>
      <c r="E84" s="104" t="s">
        <v>34</v>
      </c>
      <c r="F84" s="104" t="s">
        <v>44</v>
      </c>
      <c r="G84" s="255" t="s">
        <v>309</v>
      </c>
      <c r="H84" s="104">
        <v>1295</v>
      </c>
      <c r="I84" s="104">
        <v>242</v>
      </c>
      <c r="J84" s="104" t="s">
        <v>37</v>
      </c>
      <c r="K84" s="104" t="s">
        <v>310</v>
      </c>
      <c r="L84" s="104">
        <v>84211</v>
      </c>
      <c r="M84" s="104">
        <v>1</v>
      </c>
      <c r="N84" s="104" t="s">
        <v>34</v>
      </c>
      <c r="O84" s="104" t="s">
        <v>34</v>
      </c>
      <c r="P84" s="104">
        <v>4257737</v>
      </c>
      <c r="Q84" s="106">
        <v>45931</v>
      </c>
      <c r="R84" s="104">
        <v>4378444</v>
      </c>
      <c r="S84" s="121">
        <v>123896.32000000001</v>
      </c>
      <c r="T84" s="108">
        <v>45931</v>
      </c>
      <c r="U84" s="104">
        <v>93</v>
      </c>
      <c r="V84" s="104" t="s">
        <v>34</v>
      </c>
      <c r="W84" s="104" t="s">
        <v>40</v>
      </c>
      <c r="X84" s="104" t="s">
        <v>35</v>
      </c>
      <c r="Y84" s="131">
        <v>30974.080000000002</v>
      </c>
      <c r="Z84" s="106">
        <v>45975</v>
      </c>
      <c r="AA84" s="122">
        <v>45980</v>
      </c>
      <c r="AB84" s="104" t="s">
        <v>54</v>
      </c>
      <c r="AC84" s="104"/>
      <c r="AD84" s="113">
        <f>S84-Y84</f>
        <v>92922.240000000005</v>
      </c>
    </row>
    <row r="85" spans="2:30" ht="45" hidden="1" customHeight="1">
      <c r="B85" s="174">
        <v>82</v>
      </c>
      <c r="C85" s="104" t="s">
        <v>42</v>
      </c>
      <c r="D85" s="104" t="s">
        <v>308</v>
      </c>
      <c r="E85" s="104" t="s">
        <v>34</v>
      </c>
      <c r="F85" s="104" t="s">
        <v>44</v>
      </c>
      <c r="G85" s="255" t="s">
        <v>309</v>
      </c>
      <c r="H85" s="104">
        <v>1295</v>
      </c>
      <c r="I85" s="104">
        <v>242</v>
      </c>
      <c r="J85" s="104" t="s">
        <v>37</v>
      </c>
      <c r="K85" s="104" t="s">
        <v>310</v>
      </c>
      <c r="L85" s="104">
        <v>84211</v>
      </c>
      <c r="M85" s="104">
        <v>1</v>
      </c>
      <c r="N85" s="104" t="s">
        <v>34</v>
      </c>
      <c r="O85" s="104" t="s">
        <v>34</v>
      </c>
      <c r="P85" s="104">
        <v>4257737</v>
      </c>
      <c r="Q85" s="106">
        <v>45931</v>
      </c>
      <c r="R85" s="104">
        <v>4378444</v>
      </c>
      <c r="S85" s="121">
        <v>92922.240000000005</v>
      </c>
      <c r="T85" s="108"/>
      <c r="U85" s="104">
        <v>107</v>
      </c>
      <c r="V85" s="104"/>
      <c r="W85" s="104" t="s">
        <v>48</v>
      </c>
      <c r="X85" s="104" t="s">
        <v>106</v>
      </c>
      <c r="Y85" s="131">
        <v>30974.080000000002</v>
      </c>
      <c r="Z85" s="106">
        <v>46038</v>
      </c>
      <c r="AA85" s="122">
        <v>46044</v>
      </c>
      <c r="AB85" s="104" t="s">
        <v>54</v>
      </c>
      <c r="AC85" s="104"/>
      <c r="AD85" s="113">
        <f>S85-Y85</f>
        <v>61948.160000000003</v>
      </c>
    </row>
    <row r="86" spans="2:30" ht="45" hidden="1" customHeight="1">
      <c r="B86" s="174">
        <v>83</v>
      </c>
      <c r="C86" s="104" t="s">
        <v>183</v>
      </c>
      <c r="D86" s="104" t="s">
        <v>311</v>
      </c>
      <c r="E86" s="104" t="s">
        <v>34</v>
      </c>
      <c r="F86" s="104" t="s">
        <v>44</v>
      </c>
      <c r="G86" s="255" t="s">
        <v>312</v>
      </c>
      <c r="H86" s="104" t="s">
        <v>313</v>
      </c>
      <c r="I86" s="104">
        <v>5</v>
      </c>
      <c r="J86" s="104" t="s">
        <v>58</v>
      </c>
      <c r="K86" s="104" t="s">
        <v>314</v>
      </c>
      <c r="L86" s="104">
        <v>83993</v>
      </c>
      <c r="M86" s="104">
        <v>2</v>
      </c>
      <c r="N86" s="104" t="s">
        <v>315</v>
      </c>
      <c r="O86" s="104" t="s">
        <v>34</v>
      </c>
      <c r="P86" s="104">
        <v>4257969</v>
      </c>
      <c r="Q86" s="106">
        <v>45931</v>
      </c>
      <c r="R86" s="104">
        <v>4375452</v>
      </c>
      <c r="S86" s="107">
        <v>12900</v>
      </c>
      <c r="T86" s="108">
        <v>45962</v>
      </c>
      <c r="U86" s="104">
        <v>1304</v>
      </c>
      <c r="V86" s="104" t="s">
        <v>34</v>
      </c>
      <c r="W86" s="104" t="s">
        <v>48</v>
      </c>
      <c r="X86" s="104" t="s">
        <v>25</v>
      </c>
      <c r="Y86" s="221">
        <v>12900</v>
      </c>
      <c r="Z86" s="106">
        <v>45964</v>
      </c>
      <c r="AA86" s="106">
        <v>45964</v>
      </c>
      <c r="AB86" s="110" t="s">
        <v>60</v>
      </c>
      <c r="AC86" s="104"/>
      <c r="AD86" s="113">
        <f>S86-Y86</f>
        <v>0</v>
      </c>
    </row>
    <row r="87" spans="2:30" ht="45" hidden="1" customHeight="1">
      <c r="B87" s="174">
        <v>84</v>
      </c>
      <c r="C87" s="104" t="s">
        <v>316</v>
      </c>
      <c r="D87" s="104" t="s">
        <v>138</v>
      </c>
      <c r="E87" s="104">
        <v>37590</v>
      </c>
      <c r="F87" s="104" t="s">
        <v>35</v>
      </c>
      <c r="G87" s="255" t="s">
        <v>317</v>
      </c>
      <c r="H87" s="105">
        <v>2470</v>
      </c>
      <c r="I87" s="105">
        <v>242</v>
      </c>
      <c r="J87" s="104" t="s">
        <v>58</v>
      </c>
      <c r="K87" s="104" t="s">
        <v>318</v>
      </c>
      <c r="L87" s="104">
        <v>84273</v>
      </c>
      <c r="M87" s="104">
        <v>6</v>
      </c>
      <c r="N87" s="104" t="s">
        <v>34</v>
      </c>
      <c r="O87" s="104" t="s">
        <v>34</v>
      </c>
      <c r="P87" s="104">
        <v>4258218</v>
      </c>
      <c r="Q87" s="106">
        <v>45932</v>
      </c>
      <c r="R87" s="104">
        <v>4377696</v>
      </c>
      <c r="S87" s="107">
        <v>5722.31</v>
      </c>
      <c r="T87" s="108">
        <v>45931</v>
      </c>
      <c r="U87" s="104">
        <v>19518</v>
      </c>
      <c r="V87" s="104" t="s">
        <v>319</v>
      </c>
      <c r="W87" s="104" t="s">
        <v>40</v>
      </c>
      <c r="X87" s="104" t="s">
        <v>94</v>
      </c>
      <c r="Y87" s="221">
        <v>5722.31</v>
      </c>
      <c r="Z87" s="106">
        <v>45952</v>
      </c>
      <c r="AA87" s="106">
        <v>45957</v>
      </c>
      <c r="AB87" s="110" t="s">
        <v>60</v>
      </c>
      <c r="AC87" s="104"/>
      <c r="AD87" s="113">
        <f>S87-Y87</f>
        <v>0</v>
      </c>
    </row>
    <row r="88" spans="2:30" ht="45" hidden="1" customHeight="1">
      <c r="B88" s="174">
        <v>85</v>
      </c>
      <c r="C88" s="104" t="s">
        <v>316</v>
      </c>
      <c r="D88" s="104" t="s">
        <v>138</v>
      </c>
      <c r="E88" s="104">
        <v>37589</v>
      </c>
      <c r="F88" s="104" t="s">
        <v>35</v>
      </c>
      <c r="G88" s="255" t="s">
        <v>320</v>
      </c>
      <c r="H88" s="105">
        <v>2437</v>
      </c>
      <c r="I88" s="105">
        <v>242</v>
      </c>
      <c r="J88" s="104" t="s">
        <v>58</v>
      </c>
      <c r="K88" s="104" t="s">
        <v>321</v>
      </c>
      <c r="L88" s="104">
        <v>84278</v>
      </c>
      <c r="M88" s="104">
        <v>6</v>
      </c>
      <c r="N88" s="104" t="s">
        <v>34</v>
      </c>
      <c r="O88" s="104" t="s">
        <v>34</v>
      </c>
      <c r="P88" s="104">
        <v>4258230</v>
      </c>
      <c r="Q88" s="106">
        <v>45931</v>
      </c>
      <c r="R88" s="104">
        <v>4375463</v>
      </c>
      <c r="S88" s="107">
        <v>4928.8</v>
      </c>
      <c r="T88" s="108">
        <v>45931</v>
      </c>
      <c r="U88" s="104">
        <v>19517</v>
      </c>
      <c r="V88" s="104" t="s">
        <v>322</v>
      </c>
      <c r="W88" s="104" t="s">
        <v>40</v>
      </c>
      <c r="X88" s="104" t="s">
        <v>94</v>
      </c>
      <c r="Y88" s="221">
        <v>4928.8</v>
      </c>
      <c r="Z88" s="106">
        <v>45952</v>
      </c>
      <c r="AA88" s="106">
        <v>45957</v>
      </c>
      <c r="AB88" s="110" t="s">
        <v>60</v>
      </c>
      <c r="AC88" s="104"/>
      <c r="AD88" s="113">
        <f>S88-Y88</f>
        <v>0</v>
      </c>
    </row>
    <row r="89" spans="2:30" ht="45" hidden="1" customHeight="1">
      <c r="B89" s="174">
        <v>86</v>
      </c>
      <c r="C89" s="104" t="s">
        <v>70</v>
      </c>
      <c r="D89" s="104" t="s">
        <v>323</v>
      </c>
      <c r="E89" s="104">
        <v>37062</v>
      </c>
      <c r="F89" s="104" t="s">
        <v>44</v>
      </c>
      <c r="G89" s="255" t="s">
        <v>324</v>
      </c>
      <c r="H89" s="104">
        <v>4057</v>
      </c>
      <c r="I89" s="104">
        <v>242</v>
      </c>
      <c r="J89" s="104" t="s">
        <v>58</v>
      </c>
      <c r="K89" s="104" t="s">
        <v>325</v>
      </c>
      <c r="L89" s="104">
        <v>84332</v>
      </c>
      <c r="M89" s="104">
        <v>6</v>
      </c>
      <c r="N89" s="104" t="s">
        <v>34</v>
      </c>
      <c r="O89" s="104" t="s">
        <v>34</v>
      </c>
      <c r="P89" s="104">
        <v>4260192</v>
      </c>
      <c r="Q89" s="106">
        <v>45932</v>
      </c>
      <c r="R89" s="104">
        <v>4377720</v>
      </c>
      <c r="S89" s="107">
        <v>5417.2</v>
      </c>
      <c r="T89" s="108">
        <v>45962</v>
      </c>
      <c r="U89" s="104">
        <v>141</v>
      </c>
      <c r="V89" s="104" t="s">
        <v>326</v>
      </c>
      <c r="W89" s="104" t="s">
        <v>48</v>
      </c>
      <c r="X89" s="104" t="s">
        <v>35</v>
      </c>
      <c r="Y89" s="221">
        <v>5417.2</v>
      </c>
      <c r="Z89" s="106">
        <v>45968</v>
      </c>
      <c r="AA89" s="106">
        <v>45987</v>
      </c>
      <c r="AB89" s="104" t="s">
        <v>60</v>
      </c>
      <c r="AC89" s="104"/>
      <c r="AD89" s="113">
        <f>S89-Y89</f>
        <v>0</v>
      </c>
    </row>
    <row r="90" spans="2:30" ht="45" hidden="1" customHeight="1">
      <c r="B90" s="174">
        <v>87</v>
      </c>
      <c r="C90" s="104" t="s">
        <v>137</v>
      </c>
      <c r="D90" s="104" t="s">
        <v>327</v>
      </c>
      <c r="E90" s="104" t="s">
        <v>34</v>
      </c>
      <c r="F90" s="104" t="s">
        <v>44</v>
      </c>
      <c r="G90" s="255" t="s">
        <v>328</v>
      </c>
      <c r="H90" s="104">
        <v>4472</v>
      </c>
      <c r="I90" s="104">
        <v>242</v>
      </c>
      <c r="J90" s="104" t="s">
        <v>285</v>
      </c>
      <c r="K90" s="104" t="s">
        <v>329</v>
      </c>
      <c r="L90" s="104">
        <v>83316</v>
      </c>
      <c r="M90" s="104">
        <v>1</v>
      </c>
      <c r="N90" s="104" t="s">
        <v>34</v>
      </c>
      <c r="O90" s="104" t="s">
        <v>34</v>
      </c>
      <c r="P90" s="104">
        <v>4260198</v>
      </c>
      <c r="Q90" s="106">
        <v>45932</v>
      </c>
      <c r="R90" s="104">
        <v>4379125</v>
      </c>
      <c r="S90" s="121">
        <v>9000</v>
      </c>
      <c r="T90" s="108">
        <v>45931</v>
      </c>
      <c r="U90" s="104">
        <v>78</v>
      </c>
      <c r="V90" s="104" t="s">
        <v>34</v>
      </c>
      <c r="W90" s="104" t="s">
        <v>40</v>
      </c>
      <c r="X90" s="104" t="s">
        <v>25</v>
      </c>
      <c r="Y90" s="131">
        <v>9000</v>
      </c>
      <c r="Z90" s="106">
        <v>45971</v>
      </c>
      <c r="AA90" s="122">
        <v>45972</v>
      </c>
      <c r="AB90" s="110" t="s">
        <v>60</v>
      </c>
      <c r="AC90" s="104"/>
      <c r="AD90" s="113">
        <f>S90-Y90</f>
        <v>0</v>
      </c>
    </row>
    <row r="91" spans="2:30" ht="45" hidden="1" customHeight="1">
      <c r="B91" s="174">
        <v>88</v>
      </c>
      <c r="C91" s="104" t="s">
        <v>291</v>
      </c>
      <c r="D91" s="104" t="s">
        <v>138</v>
      </c>
      <c r="E91" s="104">
        <v>37567</v>
      </c>
      <c r="F91" s="104" t="s">
        <v>44</v>
      </c>
      <c r="G91" s="255" t="s">
        <v>330</v>
      </c>
      <c r="H91" s="104">
        <v>2488</v>
      </c>
      <c r="I91" s="104">
        <v>242</v>
      </c>
      <c r="J91" s="104" t="s">
        <v>58</v>
      </c>
      <c r="K91" s="104" t="s">
        <v>331</v>
      </c>
      <c r="L91" s="104">
        <v>84606</v>
      </c>
      <c r="M91" s="104">
        <v>6</v>
      </c>
      <c r="N91" s="104" t="s">
        <v>34</v>
      </c>
      <c r="O91" s="104" t="s">
        <v>34</v>
      </c>
      <c r="P91" s="104">
        <v>4260202</v>
      </c>
      <c r="Q91" s="106">
        <v>45932</v>
      </c>
      <c r="R91" s="104">
        <v>4377778</v>
      </c>
      <c r="S91" s="107">
        <v>23232</v>
      </c>
      <c r="T91" s="108">
        <v>45931</v>
      </c>
      <c r="U91" s="104">
        <v>19540</v>
      </c>
      <c r="V91" s="104" t="s">
        <v>332</v>
      </c>
      <c r="W91" s="104" t="s">
        <v>40</v>
      </c>
      <c r="X91" s="104" t="s">
        <v>44</v>
      </c>
      <c r="Y91" s="221">
        <v>23232</v>
      </c>
      <c r="Z91" s="106">
        <v>45964</v>
      </c>
      <c r="AA91" s="106">
        <v>45971</v>
      </c>
      <c r="AB91" s="110" t="s">
        <v>60</v>
      </c>
      <c r="AC91" s="104"/>
      <c r="AD91" s="113">
        <f>S91-Y91</f>
        <v>0</v>
      </c>
    </row>
    <row r="92" spans="2:30" ht="45" hidden="1" customHeight="1">
      <c r="B92" s="174">
        <v>89</v>
      </c>
      <c r="C92" s="104" t="s">
        <v>70</v>
      </c>
      <c r="D92" s="104" t="s">
        <v>333</v>
      </c>
      <c r="E92" s="104">
        <v>37476</v>
      </c>
      <c r="F92" s="104" t="s">
        <v>44</v>
      </c>
      <c r="G92" s="255" t="s">
        <v>334</v>
      </c>
      <c r="H92" s="104">
        <v>4588</v>
      </c>
      <c r="I92" s="104">
        <v>242</v>
      </c>
      <c r="J92" s="104" t="s">
        <v>58</v>
      </c>
      <c r="K92" s="104" t="s">
        <v>335</v>
      </c>
      <c r="L92" s="104">
        <v>84711</v>
      </c>
      <c r="M92" s="104">
        <v>6</v>
      </c>
      <c r="N92" s="104" t="s">
        <v>34</v>
      </c>
      <c r="O92" s="104" t="s">
        <v>34</v>
      </c>
      <c r="P92" s="104">
        <v>4260208</v>
      </c>
      <c r="Q92" s="106">
        <v>45932</v>
      </c>
      <c r="R92" s="104">
        <v>4382892</v>
      </c>
      <c r="S92" s="107">
        <v>6080</v>
      </c>
      <c r="T92" s="108">
        <v>45962</v>
      </c>
      <c r="U92" s="104">
        <v>10472</v>
      </c>
      <c r="V92" s="104" t="s">
        <v>336</v>
      </c>
      <c r="W92" s="104" t="s">
        <v>48</v>
      </c>
      <c r="X92" s="104" t="s">
        <v>44</v>
      </c>
      <c r="Y92" s="224">
        <v>6080</v>
      </c>
      <c r="Z92" s="106">
        <v>45966</v>
      </c>
      <c r="AA92" s="106">
        <v>45985</v>
      </c>
      <c r="AB92" s="104" t="s">
        <v>60</v>
      </c>
      <c r="AC92" s="104"/>
      <c r="AD92" s="113">
        <f>S92-Y92</f>
        <v>0</v>
      </c>
    </row>
    <row r="93" spans="2:30" ht="45" hidden="1" customHeight="1">
      <c r="B93" s="174">
        <v>90</v>
      </c>
      <c r="C93" s="104" t="s">
        <v>61</v>
      </c>
      <c r="D93" s="104" t="s">
        <v>337</v>
      </c>
      <c r="E93" s="104">
        <v>36375</v>
      </c>
      <c r="F93" s="104" t="s">
        <v>44</v>
      </c>
      <c r="G93" s="255" t="s">
        <v>338</v>
      </c>
      <c r="H93" s="104">
        <v>2232</v>
      </c>
      <c r="I93" s="104">
        <v>242</v>
      </c>
      <c r="J93" s="104" t="s">
        <v>285</v>
      </c>
      <c r="K93" s="104" t="s">
        <v>339</v>
      </c>
      <c r="L93" s="104">
        <v>83065</v>
      </c>
      <c r="M93" s="104">
        <v>6</v>
      </c>
      <c r="N93" s="104" t="s">
        <v>34</v>
      </c>
      <c r="O93" s="104" t="s">
        <v>34</v>
      </c>
      <c r="P93" s="104">
        <v>4261942</v>
      </c>
      <c r="Q93" s="106">
        <v>45936</v>
      </c>
      <c r="R93" s="104">
        <v>4379074</v>
      </c>
      <c r="S93" s="121">
        <v>24900.87</v>
      </c>
      <c r="T93" s="108">
        <v>45931</v>
      </c>
      <c r="U93" s="104">
        <v>3784</v>
      </c>
      <c r="V93" s="114" t="s">
        <v>340</v>
      </c>
      <c r="W93" s="104" t="s">
        <v>40</v>
      </c>
      <c r="X93" s="104" t="s">
        <v>94</v>
      </c>
      <c r="Y93" s="131">
        <v>24900.87</v>
      </c>
      <c r="Z93" s="125">
        <v>45954</v>
      </c>
      <c r="AA93" s="106">
        <v>45954</v>
      </c>
      <c r="AB93" s="110" t="s">
        <v>60</v>
      </c>
      <c r="AC93" s="104"/>
      <c r="AD93" s="113">
        <f>S93-Y93</f>
        <v>0</v>
      </c>
    </row>
    <row r="94" spans="2:30" ht="45" hidden="1" customHeight="1">
      <c r="B94" s="174">
        <v>91</v>
      </c>
      <c r="C94" s="104" t="s">
        <v>241</v>
      </c>
      <c r="D94" s="104" t="s">
        <v>341</v>
      </c>
      <c r="E94" s="104" t="s">
        <v>34</v>
      </c>
      <c r="F94" s="104" t="s">
        <v>44</v>
      </c>
      <c r="G94" s="145" t="s">
        <v>342</v>
      </c>
      <c r="H94" s="104">
        <v>1228</v>
      </c>
      <c r="I94" s="104">
        <v>242</v>
      </c>
      <c r="J94" s="104" t="s">
        <v>244</v>
      </c>
      <c r="K94" s="104">
        <v>1195</v>
      </c>
      <c r="L94" s="104"/>
      <c r="M94" s="104">
        <v>29</v>
      </c>
      <c r="N94" s="104" t="s">
        <v>34</v>
      </c>
      <c r="O94" s="104" t="s">
        <v>34</v>
      </c>
      <c r="P94" s="104">
        <v>4261980</v>
      </c>
      <c r="Q94" s="106">
        <v>45936</v>
      </c>
      <c r="R94" s="104">
        <v>4383127</v>
      </c>
      <c r="S94" s="129">
        <v>2505</v>
      </c>
      <c r="T94" s="108">
        <v>45992</v>
      </c>
      <c r="U94" s="104">
        <v>153</v>
      </c>
      <c r="V94" s="104" t="s">
        <v>34</v>
      </c>
      <c r="W94" s="104" t="s">
        <v>48</v>
      </c>
      <c r="X94" s="104" t="s">
        <v>25</v>
      </c>
      <c r="Y94" s="225">
        <v>2025</v>
      </c>
      <c r="Z94" s="125">
        <v>45974</v>
      </c>
      <c r="AA94" s="122">
        <v>45986</v>
      </c>
      <c r="AB94" s="104" t="s">
        <v>60</v>
      </c>
      <c r="AC94" s="104"/>
      <c r="AD94" s="113">
        <f>S94-Y94</f>
        <v>480</v>
      </c>
    </row>
    <row r="95" spans="2:30" ht="45" hidden="1" customHeight="1">
      <c r="B95" s="174">
        <v>92</v>
      </c>
      <c r="C95" s="104" t="s">
        <v>241</v>
      </c>
      <c r="D95" s="104" t="s">
        <v>341</v>
      </c>
      <c r="E95" s="104" t="s">
        <v>34</v>
      </c>
      <c r="F95" s="104" t="s">
        <v>44</v>
      </c>
      <c r="G95" s="145" t="s">
        <v>342</v>
      </c>
      <c r="H95" s="104">
        <v>1228</v>
      </c>
      <c r="I95" s="104">
        <v>242</v>
      </c>
      <c r="J95" s="104" t="s">
        <v>244</v>
      </c>
      <c r="K95" s="104">
        <v>1195</v>
      </c>
      <c r="L95" s="104"/>
      <c r="M95" s="104">
        <v>29</v>
      </c>
      <c r="N95" s="104" t="s">
        <v>34</v>
      </c>
      <c r="O95" s="104" t="s">
        <v>34</v>
      </c>
      <c r="P95" s="104">
        <v>4261980</v>
      </c>
      <c r="Q95" s="106">
        <v>45936</v>
      </c>
      <c r="R95" s="104">
        <v>4383127</v>
      </c>
      <c r="S95" s="129">
        <v>480</v>
      </c>
      <c r="T95" s="108">
        <v>45992</v>
      </c>
      <c r="U95" s="104">
        <v>154</v>
      </c>
      <c r="V95" s="104" t="s">
        <v>34</v>
      </c>
      <c r="W95" s="104" t="s">
        <v>48</v>
      </c>
      <c r="X95" s="104" t="s">
        <v>25</v>
      </c>
      <c r="Y95" s="225">
        <v>480</v>
      </c>
      <c r="Z95" s="106">
        <v>45974</v>
      </c>
      <c r="AA95" s="122">
        <v>45986</v>
      </c>
      <c r="AB95" s="104" t="s">
        <v>60</v>
      </c>
      <c r="AC95" s="104" t="s">
        <v>343</v>
      </c>
      <c r="AD95" s="113">
        <f>S95-Y95</f>
        <v>0</v>
      </c>
    </row>
    <row r="96" spans="2:30" ht="45" hidden="1" customHeight="1">
      <c r="B96" s="174">
        <v>93</v>
      </c>
      <c r="C96" s="104" t="s">
        <v>146</v>
      </c>
      <c r="D96" s="104" t="s">
        <v>33</v>
      </c>
      <c r="E96" s="104">
        <v>34258</v>
      </c>
      <c r="F96" s="104" t="s">
        <v>35</v>
      </c>
      <c r="G96" s="255" t="s">
        <v>344</v>
      </c>
      <c r="H96" s="105">
        <v>2291</v>
      </c>
      <c r="I96" s="105">
        <v>242</v>
      </c>
      <c r="J96" s="104" t="s">
        <v>58</v>
      </c>
      <c r="K96" s="104" t="s">
        <v>345</v>
      </c>
      <c r="L96" s="104">
        <v>84967</v>
      </c>
      <c r="M96" s="104">
        <v>6</v>
      </c>
      <c r="N96" s="104" t="s">
        <v>34</v>
      </c>
      <c r="O96" s="104" t="s">
        <v>34</v>
      </c>
      <c r="P96" s="104">
        <v>4263391</v>
      </c>
      <c r="Q96" s="106">
        <v>45937</v>
      </c>
      <c r="R96" s="104">
        <v>4381613</v>
      </c>
      <c r="S96" s="107">
        <v>2280</v>
      </c>
      <c r="T96" s="108">
        <v>45947</v>
      </c>
      <c r="U96" s="104">
        <v>3137</v>
      </c>
      <c r="V96" s="104" t="s">
        <v>346</v>
      </c>
      <c r="W96" s="104" t="s">
        <v>48</v>
      </c>
      <c r="X96" s="104" t="s">
        <v>106</v>
      </c>
      <c r="Y96" s="226">
        <v>2280</v>
      </c>
      <c r="Z96" s="106">
        <v>45940</v>
      </c>
      <c r="AA96" s="106">
        <v>45950</v>
      </c>
      <c r="AB96" s="110" t="s">
        <v>60</v>
      </c>
      <c r="AC96" s="104"/>
      <c r="AD96" s="113">
        <f>S96-Y96</f>
        <v>0</v>
      </c>
    </row>
    <row r="97" spans="2:30" ht="45" hidden="1" customHeight="1">
      <c r="B97" s="174">
        <v>94</v>
      </c>
      <c r="C97" s="104" t="s">
        <v>146</v>
      </c>
      <c r="D97" s="104" t="s">
        <v>33</v>
      </c>
      <c r="E97" s="104">
        <v>36938</v>
      </c>
      <c r="F97" s="104" t="s">
        <v>35</v>
      </c>
      <c r="G97" s="255" t="s">
        <v>347</v>
      </c>
      <c r="H97" s="105">
        <v>5345</v>
      </c>
      <c r="I97" s="105">
        <v>242</v>
      </c>
      <c r="J97" s="104" t="s">
        <v>58</v>
      </c>
      <c r="K97" s="104" t="s">
        <v>348</v>
      </c>
      <c r="L97" s="104">
        <v>84963</v>
      </c>
      <c r="M97" s="104">
        <v>6</v>
      </c>
      <c r="N97" s="104" t="s">
        <v>34</v>
      </c>
      <c r="O97" s="104" t="s">
        <v>34</v>
      </c>
      <c r="P97" s="104">
        <v>4263394</v>
      </c>
      <c r="Q97" s="106">
        <v>45937</v>
      </c>
      <c r="R97" s="104">
        <v>4381615</v>
      </c>
      <c r="S97" s="107">
        <v>1377.5</v>
      </c>
      <c r="T97" s="108">
        <v>45950</v>
      </c>
      <c r="U97" s="104">
        <v>3136</v>
      </c>
      <c r="V97" s="104" t="s">
        <v>349</v>
      </c>
      <c r="W97" s="104" t="s">
        <v>48</v>
      </c>
      <c r="X97" s="104" t="s">
        <v>106</v>
      </c>
      <c r="Y97" s="221">
        <v>1377.5</v>
      </c>
      <c r="Z97" s="106">
        <v>45940</v>
      </c>
      <c r="AA97" s="106">
        <v>45950</v>
      </c>
      <c r="AB97" s="110" t="s">
        <v>60</v>
      </c>
      <c r="AC97" s="104"/>
      <c r="AD97" s="113">
        <f>S97-Y97</f>
        <v>0</v>
      </c>
    </row>
    <row r="98" spans="2:30" ht="45" hidden="1" customHeight="1">
      <c r="B98" s="174">
        <v>95</v>
      </c>
      <c r="C98" s="104" t="s">
        <v>146</v>
      </c>
      <c r="D98" s="104" t="s">
        <v>350</v>
      </c>
      <c r="E98" s="104">
        <v>33876</v>
      </c>
      <c r="F98" s="104" t="s">
        <v>44</v>
      </c>
      <c r="G98" s="255" t="s">
        <v>351</v>
      </c>
      <c r="H98" s="105">
        <v>2291</v>
      </c>
      <c r="I98" s="105">
        <v>242</v>
      </c>
      <c r="J98" s="104" t="s">
        <v>58</v>
      </c>
      <c r="K98" s="104" t="s">
        <v>352</v>
      </c>
      <c r="L98" s="104">
        <v>84991</v>
      </c>
      <c r="M98" s="104">
        <v>6</v>
      </c>
      <c r="N98" s="104" t="s">
        <v>34</v>
      </c>
      <c r="O98" s="104" t="s">
        <v>34</v>
      </c>
      <c r="P98" s="104">
        <v>4263398</v>
      </c>
      <c r="Q98" s="106">
        <v>45937</v>
      </c>
      <c r="R98" s="104">
        <v>4381620</v>
      </c>
      <c r="S98" s="107">
        <v>1205.4000000000001</v>
      </c>
      <c r="T98" s="108">
        <v>45960</v>
      </c>
      <c r="U98" s="104">
        <v>5067</v>
      </c>
      <c r="V98" s="114" t="s">
        <v>353</v>
      </c>
      <c r="W98" s="104" t="s">
        <v>48</v>
      </c>
      <c r="X98" s="104" t="s">
        <v>94</v>
      </c>
      <c r="Y98" s="221">
        <v>1205.4000000000001</v>
      </c>
      <c r="Z98" s="106">
        <v>45943</v>
      </c>
      <c r="AA98" s="106">
        <v>45950</v>
      </c>
      <c r="AB98" s="110" t="s">
        <v>60</v>
      </c>
      <c r="AC98" s="104"/>
      <c r="AD98" s="113">
        <f>S98-Y98</f>
        <v>0</v>
      </c>
    </row>
    <row r="99" spans="2:30" ht="45" hidden="1" customHeight="1">
      <c r="B99" s="174">
        <v>96</v>
      </c>
      <c r="C99" s="104" t="s">
        <v>146</v>
      </c>
      <c r="D99" s="104" t="s">
        <v>350</v>
      </c>
      <c r="E99" s="104">
        <v>34823</v>
      </c>
      <c r="F99" s="104" t="s">
        <v>44</v>
      </c>
      <c r="G99" s="255" t="s">
        <v>354</v>
      </c>
      <c r="H99" s="105">
        <v>2291</v>
      </c>
      <c r="I99" s="105">
        <v>242</v>
      </c>
      <c r="J99" s="104" t="s">
        <v>58</v>
      </c>
      <c r="K99" s="104" t="s">
        <v>355</v>
      </c>
      <c r="L99" s="104">
        <v>84985</v>
      </c>
      <c r="M99" s="104">
        <v>6</v>
      </c>
      <c r="N99" s="104" t="s">
        <v>34</v>
      </c>
      <c r="O99" s="104" t="s">
        <v>34</v>
      </c>
      <c r="P99" s="104">
        <v>4263404</v>
      </c>
      <c r="Q99" s="106">
        <v>45937</v>
      </c>
      <c r="R99" s="104">
        <v>4381628</v>
      </c>
      <c r="S99" s="107">
        <v>892.78</v>
      </c>
      <c r="T99" s="108">
        <v>45962</v>
      </c>
      <c r="U99" s="104">
        <v>5075</v>
      </c>
      <c r="V99" s="114" t="s">
        <v>356</v>
      </c>
      <c r="W99" s="104" t="s">
        <v>48</v>
      </c>
      <c r="X99" s="104" t="s">
        <v>106</v>
      </c>
      <c r="Y99" s="221">
        <v>892.78</v>
      </c>
      <c r="Z99" s="106">
        <v>45950</v>
      </c>
      <c r="AA99" s="106">
        <v>45953</v>
      </c>
      <c r="AB99" s="110" t="s">
        <v>60</v>
      </c>
      <c r="AC99" s="104"/>
      <c r="AD99" s="113">
        <f>S99-Y99</f>
        <v>0</v>
      </c>
    </row>
    <row r="100" spans="2:30" ht="45" hidden="1" customHeight="1">
      <c r="B100" s="174">
        <v>97</v>
      </c>
      <c r="C100" s="104" t="s">
        <v>146</v>
      </c>
      <c r="D100" s="104" t="s">
        <v>350</v>
      </c>
      <c r="E100" s="104">
        <v>36982</v>
      </c>
      <c r="F100" s="104" t="s">
        <v>44</v>
      </c>
      <c r="G100" s="255" t="s">
        <v>357</v>
      </c>
      <c r="H100" s="105">
        <v>2283</v>
      </c>
      <c r="I100" s="105">
        <v>242</v>
      </c>
      <c r="J100" s="104" t="s">
        <v>58</v>
      </c>
      <c r="K100" s="104" t="s">
        <v>358</v>
      </c>
      <c r="L100" s="104">
        <v>84983</v>
      </c>
      <c r="M100" s="104">
        <v>6</v>
      </c>
      <c r="N100" s="104" t="s">
        <v>34</v>
      </c>
      <c r="O100" s="104" t="s">
        <v>34</v>
      </c>
      <c r="P100" s="104">
        <v>4263408</v>
      </c>
      <c r="Q100" s="106">
        <v>45937</v>
      </c>
      <c r="R100" s="104">
        <v>4381634</v>
      </c>
      <c r="S100" s="107">
        <v>1079.96</v>
      </c>
      <c r="T100" s="108">
        <v>45962</v>
      </c>
      <c r="U100" s="104">
        <v>5076</v>
      </c>
      <c r="V100" s="104" t="s">
        <v>359</v>
      </c>
      <c r="W100" s="104" t="s">
        <v>48</v>
      </c>
      <c r="X100" s="104" t="s">
        <v>106</v>
      </c>
      <c r="Y100" s="221">
        <v>1079.96</v>
      </c>
      <c r="Z100" s="106">
        <v>45950</v>
      </c>
      <c r="AA100" s="106">
        <v>45953</v>
      </c>
      <c r="AB100" s="110" t="s">
        <v>60</v>
      </c>
      <c r="AC100" s="104"/>
      <c r="AD100" s="113">
        <f>S100-Y100</f>
        <v>0</v>
      </c>
    </row>
    <row r="101" spans="2:30" ht="45" hidden="1" customHeight="1">
      <c r="B101" s="174">
        <v>98</v>
      </c>
      <c r="C101" s="104" t="s">
        <v>291</v>
      </c>
      <c r="D101" s="104" t="s">
        <v>192</v>
      </c>
      <c r="E101" s="104" t="s">
        <v>34</v>
      </c>
      <c r="F101" s="104" t="s">
        <v>44</v>
      </c>
      <c r="G101" s="255" t="s">
        <v>360</v>
      </c>
      <c r="H101" s="105">
        <v>2488</v>
      </c>
      <c r="I101" s="105">
        <v>242</v>
      </c>
      <c r="J101" s="104" t="s">
        <v>58</v>
      </c>
      <c r="K101" s="104" t="s">
        <v>361</v>
      </c>
      <c r="L101" s="104">
        <v>85095</v>
      </c>
      <c r="M101" s="104">
        <v>5</v>
      </c>
      <c r="N101" s="104" t="s">
        <v>362</v>
      </c>
      <c r="O101" s="104" t="s">
        <v>40</v>
      </c>
      <c r="P101" s="104">
        <v>4263415</v>
      </c>
      <c r="Q101" s="106">
        <v>45937</v>
      </c>
      <c r="R101" s="104">
        <v>4384232</v>
      </c>
      <c r="S101" s="107">
        <v>1880</v>
      </c>
      <c r="T101" s="108">
        <v>45931</v>
      </c>
      <c r="U101" s="104">
        <v>258</v>
      </c>
      <c r="V101" s="104" t="s">
        <v>363</v>
      </c>
      <c r="W101" s="104" t="s">
        <v>48</v>
      </c>
      <c r="X101" s="104" t="s">
        <v>94</v>
      </c>
      <c r="Y101" s="224">
        <v>1880</v>
      </c>
      <c r="Z101" s="106">
        <v>45944</v>
      </c>
      <c r="AA101" s="106">
        <v>45950</v>
      </c>
      <c r="AB101" s="110" t="s">
        <v>60</v>
      </c>
      <c r="AC101" s="104"/>
      <c r="AD101" s="113">
        <f>S101-Y101</f>
        <v>0</v>
      </c>
    </row>
    <row r="102" spans="2:30" ht="45" hidden="1" customHeight="1">
      <c r="B102" s="174">
        <v>99</v>
      </c>
      <c r="C102" s="104" t="s">
        <v>95</v>
      </c>
      <c r="D102" s="104" t="s">
        <v>96</v>
      </c>
      <c r="E102" s="104" t="s">
        <v>34</v>
      </c>
      <c r="F102" s="104" t="s">
        <v>44</v>
      </c>
      <c r="G102" s="255" t="s">
        <v>364</v>
      </c>
      <c r="H102" s="104" t="s">
        <v>365</v>
      </c>
      <c r="I102" s="104">
        <v>242</v>
      </c>
      <c r="J102" s="104" t="s">
        <v>285</v>
      </c>
      <c r="K102" s="104" t="s">
        <v>366</v>
      </c>
      <c r="L102" s="104">
        <v>85156</v>
      </c>
      <c r="M102" s="104">
        <v>1</v>
      </c>
      <c r="N102" s="104" t="s">
        <v>34</v>
      </c>
      <c r="O102" s="104" t="s">
        <v>34</v>
      </c>
      <c r="P102" s="104">
        <v>4263784</v>
      </c>
      <c r="Q102" s="106">
        <v>45937</v>
      </c>
      <c r="R102" s="104">
        <v>4383058</v>
      </c>
      <c r="S102" s="265">
        <v>14400</v>
      </c>
      <c r="T102" s="108">
        <v>45962</v>
      </c>
      <c r="U102" s="119" t="s">
        <v>367</v>
      </c>
      <c r="V102" s="104" t="s">
        <v>34</v>
      </c>
      <c r="W102" s="104" t="s">
        <v>48</v>
      </c>
      <c r="X102" s="104" t="s">
        <v>35</v>
      </c>
      <c r="Y102" s="227">
        <v>14400</v>
      </c>
      <c r="Z102" s="106">
        <v>46010</v>
      </c>
      <c r="AA102" s="106">
        <v>46010</v>
      </c>
      <c r="AB102" s="104" t="s">
        <v>60</v>
      </c>
      <c r="AC102" s="104"/>
      <c r="AD102" s="113">
        <f>S102-Y102</f>
        <v>0</v>
      </c>
    </row>
    <row r="103" spans="2:30" ht="45" hidden="1" customHeight="1">
      <c r="B103" s="174">
        <v>100</v>
      </c>
      <c r="C103" s="104" t="s">
        <v>95</v>
      </c>
      <c r="D103" s="104" t="s">
        <v>269</v>
      </c>
      <c r="E103" s="104" t="s">
        <v>34</v>
      </c>
      <c r="F103" s="104" t="s">
        <v>44</v>
      </c>
      <c r="G103" s="255" t="s">
        <v>368</v>
      </c>
      <c r="H103" s="104" t="s">
        <v>365</v>
      </c>
      <c r="I103" s="104">
        <v>242</v>
      </c>
      <c r="J103" s="104" t="s">
        <v>285</v>
      </c>
      <c r="K103" s="104" t="s">
        <v>369</v>
      </c>
      <c r="L103" s="104">
        <v>85158</v>
      </c>
      <c r="M103" s="104">
        <v>1</v>
      </c>
      <c r="N103" s="104" t="s">
        <v>34</v>
      </c>
      <c r="O103" s="104" t="s">
        <v>34</v>
      </c>
      <c r="P103" s="104">
        <v>4263821</v>
      </c>
      <c r="Q103" s="106">
        <v>45937</v>
      </c>
      <c r="R103" s="104">
        <v>4384406</v>
      </c>
      <c r="S103" s="265">
        <v>13600</v>
      </c>
      <c r="T103" s="108">
        <v>45962</v>
      </c>
      <c r="U103" s="104">
        <v>377</v>
      </c>
      <c r="V103" s="104"/>
      <c r="W103" s="104" t="s">
        <v>48</v>
      </c>
      <c r="X103" s="126" t="s">
        <v>25</v>
      </c>
      <c r="Y103" s="131">
        <v>5351</v>
      </c>
      <c r="Z103" s="125">
        <v>45992</v>
      </c>
      <c r="AA103" s="106">
        <v>45996</v>
      </c>
      <c r="AB103" s="104" t="s">
        <v>60</v>
      </c>
      <c r="AC103" s="104"/>
      <c r="AD103" s="113"/>
    </row>
    <row r="104" spans="2:30" ht="45" hidden="1" customHeight="1">
      <c r="B104" s="174">
        <v>101</v>
      </c>
      <c r="C104" s="104" t="s">
        <v>95</v>
      </c>
      <c r="D104" s="104" t="s">
        <v>269</v>
      </c>
      <c r="E104" s="104" t="s">
        <v>34</v>
      </c>
      <c r="F104" s="104" t="s">
        <v>44</v>
      </c>
      <c r="G104" s="255" t="s">
        <v>368</v>
      </c>
      <c r="H104" s="104" t="s">
        <v>365</v>
      </c>
      <c r="I104" s="104">
        <v>242</v>
      </c>
      <c r="J104" s="104" t="s">
        <v>285</v>
      </c>
      <c r="K104" s="104" t="s">
        <v>369</v>
      </c>
      <c r="L104" s="104">
        <v>85158</v>
      </c>
      <c r="M104" s="104">
        <v>1</v>
      </c>
      <c r="N104" s="104" t="s">
        <v>34</v>
      </c>
      <c r="O104" s="104" t="s">
        <v>34</v>
      </c>
      <c r="P104" s="104">
        <v>4263821</v>
      </c>
      <c r="Q104" s="106">
        <v>45937</v>
      </c>
      <c r="R104" s="104">
        <v>4384406</v>
      </c>
      <c r="S104" s="265">
        <v>13600</v>
      </c>
      <c r="T104" s="108">
        <v>45962</v>
      </c>
      <c r="U104" s="104">
        <v>360</v>
      </c>
      <c r="V104" s="104" t="s">
        <v>34</v>
      </c>
      <c r="W104" s="104" t="s">
        <v>40</v>
      </c>
      <c r="X104" s="104" t="s">
        <v>25</v>
      </c>
      <c r="Y104" s="225">
        <v>8249</v>
      </c>
      <c r="Z104" s="106">
        <v>45979</v>
      </c>
      <c r="AA104" s="122">
        <v>45980</v>
      </c>
      <c r="AB104" s="104" t="s">
        <v>60</v>
      </c>
      <c r="AC104" s="104"/>
      <c r="AD104" s="113">
        <f>S104-Y104</f>
        <v>5351</v>
      </c>
    </row>
    <row r="105" spans="2:30" ht="45" hidden="1" customHeight="1">
      <c r="B105" s="174">
        <v>102</v>
      </c>
      <c r="C105" s="104" t="s">
        <v>137</v>
      </c>
      <c r="D105" s="104" t="s">
        <v>370</v>
      </c>
      <c r="E105" s="104" t="s">
        <v>34</v>
      </c>
      <c r="F105" s="104" t="s">
        <v>44</v>
      </c>
      <c r="G105" s="255" t="s">
        <v>246</v>
      </c>
      <c r="H105" s="104" t="s">
        <v>247</v>
      </c>
      <c r="I105" s="104">
        <v>5</v>
      </c>
      <c r="J105" s="104" t="s">
        <v>37</v>
      </c>
      <c r="K105" s="104" t="s">
        <v>371</v>
      </c>
      <c r="L105" s="104">
        <v>85080</v>
      </c>
      <c r="M105" s="104">
        <v>1</v>
      </c>
      <c r="N105" s="104" t="s">
        <v>34</v>
      </c>
      <c r="O105" s="104" t="s">
        <v>34</v>
      </c>
      <c r="P105" s="104">
        <v>4264629</v>
      </c>
      <c r="Q105" s="106">
        <v>45938</v>
      </c>
      <c r="R105" s="104">
        <v>4386727</v>
      </c>
      <c r="S105" s="121">
        <v>58000</v>
      </c>
      <c r="T105" s="108">
        <v>45931</v>
      </c>
      <c r="U105" s="104" t="s">
        <v>372</v>
      </c>
      <c r="V105" s="104"/>
      <c r="W105" s="104" t="s">
        <v>48</v>
      </c>
      <c r="X105" s="104" t="s">
        <v>25</v>
      </c>
      <c r="Y105" s="131">
        <v>23876.6</v>
      </c>
      <c r="Z105" s="106">
        <v>45995</v>
      </c>
      <c r="AA105" s="122">
        <v>45996</v>
      </c>
      <c r="AB105" s="104" t="s">
        <v>60</v>
      </c>
      <c r="AC105" s="104"/>
      <c r="AD105" s="113"/>
    </row>
    <row r="106" spans="2:30" ht="45" hidden="1" customHeight="1">
      <c r="B106" s="174">
        <v>103</v>
      </c>
      <c r="C106" s="104" t="s">
        <v>137</v>
      </c>
      <c r="D106" s="104" t="s">
        <v>370</v>
      </c>
      <c r="E106" s="104" t="s">
        <v>34</v>
      </c>
      <c r="F106" s="104" t="s">
        <v>44</v>
      </c>
      <c r="G106" s="255" t="s">
        <v>246</v>
      </c>
      <c r="H106" s="104" t="s">
        <v>247</v>
      </c>
      <c r="I106" s="104">
        <v>5</v>
      </c>
      <c r="J106" s="104" t="s">
        <v>37</v>
      </c>
      <c r="K106" s="104" t="s">
        <v>371</v>
      </c>
      <c r="L106" s="104">
        <v>85080</v>
      </c>
      <c r="M106" s="104">
        <v>1</v>
      </c>
      <c r="N106" s="104" t="s">
        <v>34</v>
      </c>
      <c r="O106" s="104" t="s">
        <v>34</v>
      </c>
      <c r="P106" s="104">
        <v>4264629</v>
      </c>
      <c r="Q106" s="106">
        <v>45938</v>
      </c>
      <c r="R106" s="104">
        <v>4386727</v>
      </c>
      <c r="S106" s="121">
        <v>58000</v>
      </c>
      <c r="T106" s="108">
        <v>45931</v>
      </c>
      <c r="U106" s="104">
        <v>631</v>
      </c>
      <c r="V106" s="104" t="s">
        <v>34</v>
      </c>
      <c r="W106" s="104" t="s">
        <v>48</v>
      </c>
      <c r="X106" s="104" t="s">
        <v>106</v>
      </c>
      <c r="Y106" s="131">
        <v>34123.4</v>
      </c>
      <c r="Z106" s="106">
        <v>45947</v>
      </c>
      <c r="AA106" s="106">
        <v>45954</v>
      </c>
      <c r="AB106" s="104" t="s">
        <v>60</v>
      </c>
      <c r="AC106" s="104"/>
      <c r="AD106" s="113">
        <f>S106-Y106</f>
        <v>23876.6</v>
      </c>
    </row>
    <row r="107" spans="2:30" ht="45" hidden="1" customHeight="1">
      <c r="B107" s="174">
        <v>104</v>
      </c>
      <c r="C107" s="104" t="s">
        <v>146</v>
      </c>
      <c r="D107" s="104" t="s">
        <v>192</v>
      </c>
      <c r="E107" s="104" t="s">
        <v>34</v>
      </c>
      <c r="F107" s="104" t="s">
        <v>35</v>
      </c>
      <c r="G107" s="255" t="s">
        <v>373</v>
      </c>
      <c r="H107" s="105">
        <v>2275</v>
      </c>
      <c r="I107" s="105">
        <v>242</v>
      </c>
      <c r="J107" s="104" t="s">
        <v>58</v>
      </c>
      <c r="K107" s="104" t="s">
        <v>374</v>
      </c>
      <c r="L107" s="104">
        <v>84952</v>
      </c>
      <c r="M107" s="104">
        <v>5</v>
      </c>
      <c r="N107" s="104" t="s">
        <v>375</v>
      </c>
      <c r="O107" s="104" t="s">
        <v>40</v>
      </c>
      <c r="P107" s="104">
        <v>4265189</v>
      </c>
      <c r="Q107" s="106">
        <v>45938</v>
      </c>
      <c r="R107" s="104">
        <v>4387013</v>
      </c>
      <c r="S107" s="107">
        <v>965</v>
      </c>
      <c r="T107" s="108">
        <v>45940</v>
      </c>
      <c r="U107" s="104">
        <v>278</v>
      </c>
      <c r="V107" s="104" t="s">
        <v>376</v>
      </c>
      <c r="W107" s="104" t="s">
        <v>48</v>
      </c>
      <c r="X107" s="104" t="s">
        <v>94</v>
      </c>
      <c r="Y107" s="221">
        <v>965</v>
      </c>
      <c r="Z107" s="106">
        <v>45947</v>
      </c>
      <c r="AA107" s="106">
        <v>45951</v>
      </c>
      <c r="AB107" s="110" t="s">
        <v>60</v>
      </c>
      <c r="AC107" s="104"/>
      <c r="AD107" s="113">
        <f>S107-Y107</f>
        <v>0</v>
      </c>
    </row>
    <row r="108" spans="2:30" ht="45" hidden="1" customHeight="1">
      <c r="B108" s="174">
        <v>105</v>
      </c>
      <c r="C108" s="104" t="s">
        <v>70</v>
      </c>
      <c r="D108" s="104" t="s">
        <v>142</v>
      </c>
      <c r="E108" s="104">
        <v>37258</v>
      </c>
      <c r="F108" s="104" t="s">
        <v>44</v>
      </c>
      <c r="G108" s="255" t="s">
        <v>377</v>
      </c>
      <c r="H108" s="104">
        <v>5345</v>
      </c>
      <c r="I108" s="104">
        <v>242</v>
      </c>
      <c r="J108" s="104" t="s">
        <v>58</v>
      </c>
      <c r="K108" s="104" t="s">
        <v>378</v>
      </c>
      <c r="L108" s="104">
        <v>85500</v>
      </c>
      <c r="M108" s="104">
        <v>6</v>
      </c>
      <c r="N108" s="104" t="s">
        <v>34</v>
      </c>
      <c r="O108" s="104" t="s">
        <v>34</v>
      </c>
      <c r="P108" s="104">
        <v>4266419</v>
      </c>
      <c r="Q108" s="106">
        <v>45939</v>
      </c>
      <c r="R108" s="104">
        <v>4386369</v>
      </c>
      <c r="S108" s="107">
        <v>38046.94</v>
      </c>
      <c r="T108" s="108">
        <v>46006</v>
      </c>
      <c r="U108" s="116" t="s">
        <v>379</v>
      </c>
      <c r="V108" s="104"/>
      <c r="W108" s="104" t="s">
        <v>48</v>
      </c>
      <c r="X108" s="104" t="s">
        <v>94</v>
      </c>
      <c r="Y108" s="131">
        <v>3465</v>
      </c>
      <c r="Z108" s="106">
        <v>46027</v>
      </c>
      <c r="AA108" s="106">
        <v>46038</v>
      </c>
      <c r="AB108" s="104" t="s">
        <v>60</v>
      </c>
      <c r="AC108" s="104"/>
      <c r="AD108" s="113">
        <f>S108-Y108</f>
        <v>34581.94</v>
      </c>
    </row>
    <row r="109" spans="2:30" ht="45" hidden="1" customHeight="1">
      <c r="B109" s="174">
        <v>106</v>
      </c>
      <c r="C109" s="104"/>
      <c r="D109" s="104" t="s">
        <v>142</v>
      </c>
      <c r="E109" s="104">
        <v>37258</v>
      </c>
      <c r="F109" s="104" t="s">
        <v>44</v>
      </c>
      <c r="G109" s="255" t="s">
        <v>377</v>
      </c>
      <c r="H109" s="104">
        <v>5345</v>
      </c>
      <c r="I109" s="104">
        <v>242</v>
      </c>
      <c r="J109" s="104" t="s">
        <v>58</v>
      </c>
      <c r="K109" s="104" t="s">
        <v>378</v>
      </c>
      <c r="L109" s="104">
        <v>85500</v>
      </c>
      <c r="M109" s="104">
        <v>6</v>
      </c>
      <c r="N109" s="104" t="s">
        <v>34</v>
      </c>
      <c r="O109" s="104" t="s">
        <v>34</v>
      </c>
      <c r="P109" s="104">
        <v>4266419</v>
      </c>
      <c r="Q109" s="106">
        <v>45939</v>
      </c>
      <c r="R109" s="104">
        <v>4386369</v>
      </c>
      <c r="S109" s="111">
        <v>34581.94</v>
      </c>
      <c r="T109" s="108"/>
      <c r="U109" s="104">
        <v>2</v>
      </c>
      <c r="V109" s="104"/>
      <c r="W109" s="104" t="s">
        <v>48</v>
      </c>
      <c r="X109" s="104" t="s">
        <v>131</v>
      </c>
      <c r="Y109" s="131">
        <v>3465</v>
      </c>
      <c r="Z109" s="106">
        <v>46041</v>
      </c>
      <c r="AA109" s="106">
        <v>46043</v>
      </c>
      <c r="AB109" s="104" t="s">
        <v>60</v>
      </c>
      <c r="AC109" s="104"/>
      <c r="AD109" s="113">
        <f>S109-Y109</f>
        <v>31116.940000000002</v>
      </c>
    </row>
    <row r="110" spans="2:30" ht="45" hidden="1" customHeight="1">
      <c r="B110" s="174">
        <v>107</v>
      </c>
      <c r="C110" s="104" t="s">
        <v>70</v>
      </c>
      <c r="D110" s="104" t="s">
        <v>142</v>
      </c>
      <c r="E110" s="104" t="s">
        <v>34</v>
      </c>
      <c r="F110" s="104" t="s">
        <v>44</v>
      </c>
      <c r="G110" s="255" t="s">
        <v>380</v>
      </c>
      <c r="H110" s="104">
        <v>5345</v>
      </c>
      <c r="I110" s="104">
        <v>242</v>
      </c>
      <c r="J110" s="104" t="s">
        <v>58</v>
      </c>
      <c r="K110" s="104" t="s">
        <v>381</v>
      </c>
      <c r="L110" s="104">
        <v>85504</v>
      </c>
      <c r="M110" s="104">
        <v>29</v>
      </c>
      <c r="N110" s="104" t="s">
        <v>382</v>
      </c>
      <c r="O110" s="104" t="s">
        <v>34</v>
      </c>
      <c r="P110" s="104">
        <v>4266437</v>
      </c>
      <c r="Q110" s="106">
        <v>45939</v>
      </c>
      <c r="R110" s="104">
        <v>4390651</v>
      </c>
      <c r="S110" s="107">
        <v>14651.5</v>
      </c>
      <c r="T110" s="108">
        <v>46006</v>
      </c>
      <c r="U110" s="104">
        <v>6715</v>
      </c>
      <c r="V110" s="104" t="s">
        <v>34</v>
      </c>
      <c r="W110" s="104" t="s">
        <v>40</v>
      </c>
      <c r="X110" s="104" t="s">
        <v>44</v>
      </c>
      <c r="Y110" s="221">
        <v>14651.5</v>
      </c>
      <c r="Z110" s="106">
        <v>45979</v>
      </c>
      <c r="AA110" s="106">
        <v>45985</v>
      </c>
      <c r="AB110" s="104" t="s">
        <v>60</v>
      </c>
      <c r="AC110" s="104"/>
      <c r="AD110" s="113">
        <f>S110-Y110</f>
        <v>0</v>
      </c>
    </row>
    <row r="111" spans="2:30" ht="45" hidden="1" customHeight="1">
      <c r="B111" s="174">
        <v>108</v>
      </c>
      <c r="C111" s="104" t="s">
        <v>70</v>
      </c>
      <c r="D111" s="104" t="s">
        <v>142</v>
      </c>
      <c r="E111" s="104">
        <v>37477</v>
      </c>
      <c r="F111" s="104" t="s">
        <v>44</v>
      </c>
      <c r="G111" s="255" t="s">
        <v>383</v>
      </c>
      <c r="H111" s="104">
        <v>5345</v>
      </c>
      <c r="I111" s="104">
        <v>242</v>
      </c>
      <c r="J111" s="104" t="s">
        <v>58</v>
      </c>
      <c r="K111" s="104" t="s">
        <v>384</v>
      </c>
      <c r="L111" s="104">
        <v>85866</v>
      </c>
      <c r="M111" s="104">
        <v>6</v>
      </c>
      <c r="N111" s="104" t="s">
        <v>34</v>
      </c>
      <c r="O111" s="104" t="s">
        <v>34</v>
      </c>
      <c r="P111" s="104">
        <v>4266452</v>
      </c>
      <c r="Q111" s="106">
        <v>45939</v>
      </c>
      <c r="R111" s="104">
        <v>4386373</v>
      </c>
      <c r="S111" s="107">
        <v>52933.41</v>
      </c>
      <c r="T111" s="108">
        <v>46006</v>
      </c>
      <c r="U111" s="104">
        <v>81</v>
      </c>
      <c r="V111" s="104"/>
      <c r="W111" s="104" t="s">
        <v>40</v>
      </c>
      <c r="X111" s="104" t="s">
        <v>385</v>
      </c>
      <c r="Y111" s="131">
        <v>3465</v>
      </c>
      <c r="Z111" s="106">
        <v>46057</v>
      </c>
      <c r="AA111" s="106">
        <v>46073</v>
      </c>
      <c r="AB111" s="104" t="s">
        <v>60</v>
      </c>
      <c r="AC111" s="104"/>
      <c r="AD111" s="113">
        <f>S111-Y111</f>
        <v>49468.41</v>
      </c>
    </row>
    <row r="112" spans="2:30" ht="45" hidden="1" customHeight="1">
      <c r="B112" s="174">
        <v>109</v>
      </c>
      <c r="C112" s="104" t="s">
        <v>70</v>
      </c>
      <c r="D112" s="104" t="s">
        <v>138</v>
      </c>
      <c r="E112" s="104">
        <v>38021</v>
      </c>
      <c r="F112" s="104" t="s">
        <v>35</v>
      </c>
      <c r="G112" s="255" t="s">
        <v>386</v>
      </c>
      <c r="H112" s="104">
        <v>2224</v>
      </c>
      <c r="I112" s="104">
        <v>5</v>
      </c>
      <c r="J112" s="104" t="s">
        <v>58</v>
      </c>
      <c r="K112" s="104" t="s">
        <v>387</v>
      </c>
      <c r="L112" s="104">
        <v>85874</v>
      </c>
      <c r="M112" s="104">
        <v>6</v>
      </c>
      <c r="N112" s="104" t="s">
        <v>34</v>
      </c>
      <c r="O112" s="104" t="s">
        <v>34</v>
      </c>
      <c r="P112" s="104">
        <v>4266467</v>
      </c>
      <c r="Q112" s="106">
        <v>45939</v>
      </c>
      <c r="R112" s="104">
        <v>4383061</v>
      </c>
      <c r="S112" s="107">
        <v>2696</v>
      </c>
      <c r="T112" s="108">
        <v>45960</v>
      </c>
      <c r="U112" s="104">
        <v>19541</v>
      </c>
      <c r="V112" s="104" t="s">
        <v>388</v>
      </c>
      <c r="W112" s="104" t="s">
        <v>40</v>
      </c>
      <c r="X112" s="104" t="s">
        <v>44</v>
      </c>
      <c r="Y112" s="221">
        <v>2696</v>
      </c>
      <c r="Z112" s="106">
        <v>45964</v>
      </c>
      <c r="AA112" s="106"/>
      <c r="AB112" s="110" t="s">
        <v>60</v>
      </c>
      <c r="AC112" s="104"/>
      <c r="AD112" s="113">
        <f>S112-Y112</f>
        <v>0</v>
      </c>
    </row>
    <row r="113" spans="2:30" ht="45" hidden="1" customHeight="1">
      <c r="B113" s="174">
        <v>110</v>
      </c>
      <c r="C113" s="104" t="s">
        <v>183</v>
      </c>
      <c r="D113" s="104" t="s">
        <v>311</v>
      </c>
      <c r="E113" s="104" t="s">
        <v>34</v>
      </c>
      <c r="F113" s="104" t="s">
        <v>44</v>
      </c>
      <c r="G113" s="255" t="s">
        <v>389</v>
      </c>
      <c r="H113" s="105">
        <v>2313</v>
      </c>
      <c r="I113" s="105">
        <v>242</v>
      </c>
      <c r="J113" s="104" t="s">
        <v>58</v>
      </c>
      <c r="K113" s="104" t="s">
        <v>390</v>
      </c>
      <c r="L113" s="104">
        <v>86019</v>
      </c>
      <c r="M113" s="104">
        <v>2</v>
      </c>
      <c r="N113" s="104" t="s">
        <v>391</v>
      </c>
      <c r="O113" s="104" t="s">
        <v>34</v>
      </c>
      <c r="P113" s="104">
        <v>4267144</v>
      </c>
      <c r="Q113" s="106">
        <v>45940</v>
      </c>
      <c r="R113" s="104">
        <v>4384249</v>
      </c>
      <c r="S113" s="107">
        <v>10430</v>
      </c>
      <c r="T113" s="108">
        <v>45960</v>
      </c>
      <c r="U113" s="104">
        <v>1295</v>
      </c>
      <c r="V113" s="104" t="s">
        <v>392</v>
      </c>
      <c r="W113" s="104" t="s">
        <v>48</v>
      </c>
      <c r="X113" s="104" t="s">
        <v>106</v>
      </c>
      <c r="Y113" s="221">
        <v>10430</v>
      </c>
      <c r="Z113" s="106">
        <v>45951</v>
      </c>
      <c r="AA113" s="106">
        <v>45953</v>
      </c>
      <c r="AB113" s="110" t="s">
        <v>60</v>
      </c>
      <c r="AC113" s="104"/>
      <c r="AD113" s="113">
        <f>S113-Y113</f>
        <v>0</v>
      </c>
    </row>
    <row r="114" spans="2:30" ht="45" hidden="1" customHeight="1">
      <c r="B114" s="174">
        <v>111</v>
      </c>
      <c r="C114" s="104" t="s">
        <v>279</v>
      </c>
      <c r="D114" s="104" t="s">
        <v>33</v>
      </c>
      <c r="E114" s="104">
        <v>37051</v>
      </c>
      <c r="F114" s="104" t="s">
        <v>35</v>
      </c>
      <c r="G114" s="255" t="s">
        <v>393</v>
      </c>
      <c r="H114" s="105">
        <v>5345</v>
      </c>
      <c r="I114" s="105">
        <v>242</v>
      </c>
      <c r="J114" s="104" t="s">
        <v>58</v>
      </c>
      <c r="K114" s="104" t="s">
        <v>394</v>
      </c>
      <c r="L114" s="104">
        <v>86021</v>
      </c>
      <c r="M114" s="104">
        <v>6</v>
      </c>
      <c r="N114" s="104" t="s">
        <v>34</v>
      </c>
      <c r="O114" s="104" t="s">
        <v>34</v>
      </c>
      <c r="P114" s="104">
        <v>4267163</v>
      </c>
      <c r="Q114" s="106">
        <v>45940</v>
      </c>
      <c r="R114" s="104">
        <v>4383193</v>
      </c>
      <c r="S114" s="107">
        <v>4693</v>
      </c>
      <c r="T114" s="108">
        <v>45960</v>
      </c>
      <c r="U114" s="104">
        <v>3153</v>
      </c>
      <c r="V114" s="104" t="s">
        <v>395</v>
      </c>
      <c r="W114" s="104" t="s">
        <v>48</v>
      </c>
      <c r="X114" s="104" t="s">
        <v>106</v>
      </c>
      <c r="Y114" s="221">
        <v>4693</v>
      </c>
      <c r="Z114" s="106">
        <v>45943</v>
      </c>
      <c r="AA114" s="106">
        <v>45952</v>
      </c>
      <c r="AB114" s="110" t="s">
        <v>60</v>
      </c>
      <c r="AC114" s="104"/>
      <c r="AD114" s="113">
        <f>S114-Y114</f>
        <v>0</v>
      </c>
    </row>
    <row r="115" spans="2:30" ht="45" hidden="1" customHeight="1">
      <c r="B115" s="174">
        <v>112</v>
      </c>
      <c r="C115" s="104" t="s">
        <v>279</v>
      </c>
      <c r="D115" s="104" t="s">
        <v>33</v>
      </c>
      <c r="E115" s="104">
        <v>32338</v>
      </c>
      <c r="F115" s="104" t="s">
        <v>35</v>
      </c>
      <c r="G115" s="255" t="s">
        <v>396</v>
      </c>
      <c r="H115" s="105">
        <v>5345</v>
      </c>
      <c r="I115" s="105">
        <v>242</v>
      </c>
      <c r="J115" s="104" t="s">
        <v>58</v>
      </c>
      <c r="K115" s="104" t="s">
        <v>397</v>
      </c>
      <c r="L115" s="104">
        <v>86022</v>
      </c>
      <c r="M115" s="104">
        <v>6</v>
      </c>
      <c r="N115" s="104" t="s">
        <v>34</v>
      </c>
      <c r="O115" s="104" t="s">
        <v>34</v>
      </c>
      <c r="P115" s="104">
        <v>4267181</v>
      </c>
      <c r="Q115" s="106">
        <v>45940</v>
      </c>
      <c r="R115" s="104">
        <v>4383210</v>
      </c>
      <c r="S115" s="107">
        <v>3657.5</v>
      </c>
      <c r="T115" s="108">
        <v>45960</v>
      </c>
      <c r="U115" s="104">
        <v>3154</v>
      </c>
      <c r="V115" s="104" t="s">
        <v>398</v>
      </c>
      <c r="W115" s="104" t="s">
        <v>48</v>
      </c>
      <c r="X115" s="104" t="s">
        <v>106</v>
      </c>
      <c r="Y115" s="221">
        <v>3657.5</v>
      </c>
      <c r="Z115" s="106">
        <v>45945</v>
      </c>
      <c r="AA115" s="106">
        <v>45952</v>
      </c>
      <c r="AB115" s="110" t="s">
        <v>60</v>
      </c>
      <c r="AC115" s="104"/>
      <c r="AD115" s="113">
        <f>S115-Y115</f>
        <v>0</v>
      </c>
    </row>
    <row r="116" spans="2:30" ht="45" hidden="1" customHeight="1">
      <c r="B116" s="174">
        <v>113</v>
      </c>
      <c r="C116" s="104" t="s">
        <v>282</v>
      </c>
      <c r="D116" s="104" t="s">
        <v>221</v>
      </c>
      <c r="E116" s="104">
        <v>35938</v>
      </c>
      <c r="F116" s="104" t="s">
        <v>44</v>
      </c>
      <c r="G116" s="255" t="s">
        <v>399</v>
      </c>
      <c r="H116" s="104">
        <v>1228</v>
      </c>
      <c r="I116" s="104">
        <v>242</v>
      </c>
      <c r="J116" s="104" t="s">
        <v>37</v>
      </c>
      <c r="K116" s="104" t="s">
        <v>400</v>
      </c>
      <c r="L116" s="104">
        <v>85621</v>
      </c>
      <c r="M116" s="104">
        <v>6</v>
      </c>
      <c r="N116" s="104" t="s">
        <v>34</v>
      </c>
      <c r="O116" s="104" t="s">
        <v>34</v>
      </c>
      <c r="P116" s="104">
        <v>4267620</v>
      </c>
      <c r="Q116" s="106">
        <v>45940</v>
      </c>
      <c r="R116" s="104">
        <v>4385255</v>
      </c>
      <c r="S116" s="129">
        <v>5570.9</v>
      </c>
      <c r="T116" s="108">
        <v>45962</v>
      </c>
      <c r="U116" s="104">
        <v>2371</v>
      </c>
      <c r="V116" s="130" t="s">
        <v>401</v>
      </c>
      <c r="W116" s="104" t="s">
        <v>40</v>
      </c>
      <c r="X116" s="104" t="s">
        <v>94</v>
      </c>
      <c r="Y116" s="131">
        <v>5570.9</v>
      </c>
      <c r="Z116" s="106">
        <v>45953</v>
      </c>
      <c r="AA116" s="106">
        <v>45957</v>
      </c>
      <c r="AB116" s="110" t="s">
        <v>60</v>
      </c>
      <c r="AC116" s="104"/>
      <c r="AD116" s="113">
        <f>S116-Y116</f>
        <v>0</v>
      </c>
    </row>
    <row r="117" spans="2:30" ht="45" hidden="1" customHeight="1">
      <c r="B117" s="174">
        <v>114</v>
      </c>
      <c r="C117" s="104" t="s">
        <v>146</v>
      </c>
      <c r="D117" s="104" t="s">
        <v>192</v>
      </c>
      <c r="E117" s="104" t="s">
        <v>34</v>
      </c>
      <c r="F117" s="104" t="s">
        <v>35</v>
      </c>
      <c r="G117" s="255" t="s">
        <v>402</v>
      </c>
      <c r="H117" s="105">
        <v>4588</v>
      </c>
      <c r="I117" s="105">
        <v>242</v>
      </c>
      <c r="J117" s="104" t="s">
        <v>58</v>
      </c>
      <c r="K117" s="104" t="s">
        <v>403</v>
      </c>
      <c r="L117" s="104">
        <v>84946</v>
      </c>
      <c r="M117" s="104">
        <v>5</v>
      </c>
      <c r="N117" s="104" t="s">
        <v>404</v>
      </c>
      <c r="O117" s="104" t="s">
        <v>40</v>
      </c>
      <c r="P117" s="104">
        <v>4268442</v>
      </c>
      <c r="Q117" s="106">
        <v>45943</v>
      </c>
      <c r="R117" s="104">
        <v>4387720</v>
      </c>
      <c r="S117" s="107">
        <v>12535.8</v>
      </c>
      <c r="T117" s="108">
        <v>45940</v>
      </c>
      <c r="U117" s="104">
        <v>279</v>
      </c>
      <c r="V117" s="104" t="s">
        <v>405</v>
      </c>
      <c r="W117" s="104" t="s">
        <v>48</v>
      </c>
      <c r="X117" s="104" t="s">
        <v>94</v>
      </c>
      <c r="Y117" s="221">
        <v>12535.8</v>
      </c>
      <c r="Z117" s="106">
        <v>45947</v>
      </c>
      <c r="AA117" s="106">
        <v>45953</v>
      </c>
      <c r="AB117" s="110" t="s">
        <v>60</v>
      </c>
      <c r="AC117" s="104"/>
      <c r="AD117" s="113">
        <f>S117-Y117</f>
        <v>0</v>
      </c>
    </row>
    <row r="118" spans="2:30" ht="45" hidden="1" customHeight="1">
      <c r="B118" s="174">
        <v>115</v>
      </c>
      <c r="C118" s="104" t="s">
        <v>146</v>
      </c>
      <c r="D118" s="104" t="s">
        <v>96</v>
      </c>
      <c r="E118" s="104" t="s">
        <v>34</v>
      </c>
      <c r="F118" s="104" t="s">
        <v>44</v>
      </c>
      <c r="G118" s="255" t="s">
        <v>406</v>
      </c>
      <c r="H118" s="104">
        <v>2291</v>
      </c>
      <c r="I118" s="104">
        <v>242</v>
      </c>
      <c r="J118" s="104" t="s">
        <v>58</v>
      </c>
      <c r="K118" s="104" t="s">
        <v>407</v>
      </c>
      <c r="L118" s="104">
        <v>86110</v>
      </c>
      <c r="M118" s="104">
        <v>2</v>
      </c>
      <c r="N118" s="104" t="s">
        <v>408</v>
      </c>
      <c r="O118" s="104" t="s">
        <v>34</v>
      </c>
      <c r="P118" s="104">
        <v>4268451</v>
      </c>
      <c r="Q118" s="106">
        <v>45943</v>
      </c>
      <c r="R118" s="104">
        <v>4384366</v>
      </c>
      <c r="S118" s="107">
        <v>16000</v>
      </c>
      <c r="T118" s="108">
        <v>45960</v>
      </c>
      <c r="U118" s="104">
        <v>763</v>
      </c>
      <c r="V118" s="104"/>
      <c r="W118" s="104" t="s">
        <v>48</v>
      </c>
      <c r="X118" s="104" t="s">
        <v>25</v>
      </c>
      <c r="Y118" s="131">
        <v>16000</v>
      </c>
      <c r="Z118" s="106">
        <v>46056</v>
      </c>
      <c r="AA118" s="106">
        <v>46058</v>
      </c>
      <c r="AB118" s="104" t="s">
        <v>60</v>
      </c>
      <c r="AC118" s="104"/>
      <c r="AD118" s="113">
        <f>S118-Y118</f>
        <v>0</v>
      </c>
    </row>
    <row r="119" spans="2:30" ht="45" hidden="1" customHeight="1">
      <c r="B119" s="174">
        <v>116</v>
      </c>
      <c r="C119" s="104" t="s">
        <v>137</v>
      </c>
      <c r="D119" s="104" t="s">
        <v>409</v>
      </c>
      <c r="E119" s="104" t="s">
        <v>34</v>
      </c>
      <c r="F119" s="104" t="s">
        <v>35</v>
      </c>
      <c r="G119" s="145" t="s">
        <v>410</v>
      </c>
      <c r="H119" s="104">
        <v>2330</v>
      </c>
      <c r="I119" s="104">
        <v>242</v>
      </c>
      <c r="J119" s="104" t="s">
        <v>37</v>
      </c>
      <c r="K119" s="104" t="s">
        <v>411</v>
      </c>
      <c r="L119" s="104">
        <v>82972</v>
      </c>
      <c r="M119" s="104">
        <v>5</v>
      </c>
      <c r="N119" s="104" t="s">
        <v>412</v>
      </c>
      <c r="O119" s="104" t="s">
        <v>34</v>
      </c>
      <c r="P119" s="104">
        <v>4269178</v>
      </c>
      <c r="Q119" s="106">
        <v>45943</v>
      </c>
      <c r="R119" s="104">
        <v>4387723</v>
      </c>
      <c r="S119" s="129">
        <v>18697.580000000002</v>
      </c>
      <c r="T119" s="108">
        <v>45901</v>
      </c>
      <c r="U119" s="104">
        <v>318</v>
      </c>
      <c r="V119" s="110"/>
      <c r="W119" s="104" t="s">
        <v>48</v>
      </c>
      <c r="X119" s="104" t="s">
        <v>94</v>
      </c>
      <c r="Y119" s="131">
        <v>18697.580000000002</v>
      </c>
      <c r="Z119" s="106">
        <v>45962</v>
      </c>
      <c r="AA119" s="122">
        <v>45965</v>
      </c>
      <c r="AB119" s="110" t="s">
        <v>60</v>
      </c>
      <c r="AC119" s="104"/>
      <c r="AD119" s="113">
        <f>S119-Y119</f>
        <v>0</v>
      </c>
    </row>
    <row r="120" spans="2:30" ht="45" hidden="1" customHeight="1">
      <c r="B120" s="174">
        <v>117</v>
      </c>
      <c r="C120" s="104" t="s">
        <v>95</v>
      </c>
      <c r="D120" s="104" t="s">
        <v>96</v>
      </c>
      <c r="E120" s="104" t="s">
        <v>34</v>
      </c>
      <c r="F120" s="104" t="s">
        <v>44</v>
      </c>
      <c r="G120" s="255" t="s">
        <v>413</v>
      </c>
      <c r="H120" s="104">
        <v>5345</v>
      </c>
      <c r="I120" s="104">
        <v>242</v>
      </c>
      <c r="J120" s="104" t="s">
        <v>285</v>
      </c>
      <c r="K120" s="104" t="s">
        <v>414</v>
      </c>
      <c r="L120" s="104">
        <v>86622</v>
      </c>
      <c r="M120" s="104">
        <v>6</v>
      </c>
      <c r="N120" s="104" t="s">
        <v>34</v>
      </c>
      <c r="O120" s="104" t="s">
        <v>34</v>
      </c>
      <c r="P120" s="104">
        <v>4270560</v>
      </c>
      <c r="Q120" s="106">
        <v>45944</v>
      </c>
      <c r="R120" s="104">
        <v>4390885</v>
      </c>
      <c r="S120" s="265">
        <v>12700</v>
      </c>
      <c r="T120" s="108">
        <v>45931</v>
      </c>
      <c r="U120" s="104">
        <v>731</v>
      </c>
      <c r="V120" s="104" t="s">
        <v>34</v>
      </c>
      <c r="W120" s="104" t="s">
        <v>48</v>
      </c>
      <c r="X120" s="104" t="s">
        <v>25</v>
      </c>
      <c r="Y120" s="131">
        <v>12700</v>
      </c>
      <c r="Z120" s="106">
        <v>45978</v>
      </c>
      <c r="AA120" s="106">
        <v>45978</v>
      </c>
      <c r="AB120" s="110" t="s">
        <v>60</v>
      </c>
      <c r="AC120" s="104"/>
      <c r="AD120" s="113">
        <f>S120-Y120</f>
        <v>0</v>
      </c>
    </row>
    <row r="121" spans="2:30" ht="45" hidden="1" customHeight="1">
      <c r="B121" s="174">
        <v>118</v>
      </c>
      <c r="C121" s="104" t="s">
        <v>51</v>
      </c>
      <c r="D121" s="104" t="s">
        <v>415</v>
      </c>
      <c r="E121" s="104" t="s">
        <v>34</v>
      </c>
      <c r="F121" s="104" t="s">
        <v>44</v>
      </c>
      <c r="G121" s="255" t="s">
        <v>416</v>
      </c>
      <c r="H121" s="104">
        <v>2291</v>
      </c>
      <c r="I121" s="104">
        <v>242</v>
      </c>
      <c r="J121" s="104" t="s">
        <v>37</v>
      </c>
      <c r="K121" s="104" t="s">
        <v>417</v>
      </c>
      <c r="L121" s="104">
        <v>86824</v>
      </c>
      <c r="M121" s="104">
        <v>29</v>
      </c>
      <c r="N121" s="104" t="s">
        <v>418</v>
      </c>
      <c r="O121" s="104" t="s">
        <v>34</v>
      </c>
      <c r="P121" s="104">
        <v>4271140</v>
      </c>
      <c r="Q121" s="106">
        <v>45945</v>
      </c>
      <c r="R121" s="104">
        <v>4390655</v>
      </c>
      <c r="S121" s="121">
        <v>4298.9399999999996</v>
      </c>
      <c r="T121" s="108">
        <v>45931</v>
      </c>
      <c r="U121" s="104">
        <v>318</v>
      </c>
      <c r="V121" s="110"/>
      <c r="W121" s="104" t="s">
        <v>48</v>
      </c>
      <c r="X121" s="104" t="s">
        <v>25</v>
      </c>
      <c r="Y121" s="131">
        <v>4298.9399999999996</v>
      </c>
      <c r="Z121" s="106">
        <v>45965</v>
      </c>
      <c r="AA121" s="122">
        <v>45968</v>
      </c>
      <c r="AB121" s="110" t="s">
        <v>60</v>
      </c>
      <c r="AC121" s="104"/>
      <c r="AD121" s="113">
        <f>S121-Y121</f>
        <v>0</v>
      </c>
    </row>
    <row r="122" spans="2:30" ht="45" hidden="1" customHeight="1">
      <c r="B122" s="174">
        <v>119</v>
      </c>
      <c r="C122" s="104" t="s">
        <v>51</v>
      </c>
      <c r="D122" s="104" t="s">
        <v>415</v>
      </c>
      <c r="E122" s="104" t="s">
        <v>34</v>
      </c>
      <c r="F122" s="104" t="s">
        <v>44</v>
      </c>
      <c r="G122" s="255" t="s">
        <v>419</v>
      </c>
      <c r="H122" s="104">
        <v>2291</v>
      </c>
      <c r="I122" s="104">
        <v>242</v>
      </c>
      <c r="J122" s="104" t="s">
        <v>37</v>
      </c>
      <c r="K122" s="104" t="s">
        <v>420</v>
      </c>
      <c r="L122" s="104">
        <v>86833</v>
      </c>
      <c r="M122" s="104">
        <v>29</v>
      </c>
      <c r="N122" s="104" t="s">
        <v>421</v>
      </c>
      <c r="O122" s="104" t="s">
        <v>34</v>
      </c>
      <c r="P122" s="104">
        <v>4271154</v>
      </c>
      <c r="Q122" s="106">
        <v>45945</v>
      </c>
      <c r="R122" s="104">
        <v>4390653</v>
      </c>
      <c r="S122" s="121">
        <v>8100.19</v>
      </c>
      <c r="T122" s="108">
        <v>45931</v>
      </c>
      <c r="U122" s="104">
        <v>319</v>
      </c>
      <c r="V122" s="110"/>
      <c r="W122" s="104" t="s">
        <v>48</v>
      </c>
      <c r="X122" s="104" t="s">
        <v>25</v>
      </c>
      <c r="Y122" s="131">
        <v>8100.19</v>
      </c>
      <c r="Z122" s="106">
        <v>45965</v>
      </c>
      <c r="AA122" s="122">
        <v>45968</v>
      </c>
      <c r="AB122" s="110" t="s">
        <v>60</v>
      </c>
      <c r="AC122" s="104"/>
      <c r="AD122" s="113">
        <f>S122-Y122</f>
        <v>0</v>
      </c>
    </row>
    <row r="123" spans="2:30" ht="45" hidden="1" customHeight="1">
      <c r="B123" s="174">
        <v>120</v>
      </c>
      <c r="C123" s="104" t="s">
        <v>95</v>
      </c>
      <c r="D123" s="104" t="s">
        <v>138</v>
      </c>
      <c r="E123" s="104" t="s">
        <v>34</v>
      </c>
      <c r="F123" s="104" t="s">
        <v>44</v>
      </c>
      <c r="G123" s="145" t="s">
        <v>422</v>
      </c>
      <c r="H123" s="104">
        <v>1228</v>
      </c>
      <c r="I123" s="104">
        <v>327</v>
      </c>
      <c r="J123" s="104" t="s">
        <v>46</v>
      </c>
      <c r="K123" s="104" t="s">
        <v>34</v>
      </c>
      <c r="L123" s="104" t="s">
        <v>34</v>
      </c>
      <c r="M123" s="104" t="s">
        <v>34</v>
      </c>
      <c r="N123" s="104" t="s">
        <v>34</v>
      </c>
      <c r="O123" s="104" t="s">
        <v>34</v>
      </c>
      <c r="P123" s="104">
        <v>4271293</v>
      </c>
      <c r="Q123" s="106">
        <v>45945</v>
      </c>
      <c r="R123" s="104">
        <v>4391348</v>
      </c>
      <c r="S123" s="156">
        <v>16551.740000000002</v>
      </c>
      <c r="T123" s="108"/>
      <c r="U123" s="104">
        <v>19769</v>
      </c>
      <c r="V123" s="104"/>
      <c r="W123" s="104" t="s">
        <v>48</v>
      </c>
      <c r="X123" s="104" t="s">
        <v>94</v>
      </c>
      <c r="Y123" s="222">
        <v>12311.72</v>
      </c>
      <c r="Z123" s="106">
        <v>46003</v>
      </c>
      <c r="AA123" s="106">
        <v>46003</v>
      </c>
      <c r="AB123" s="104" t="s">
        <v>60</v>
      </c>
      <c r="AC123" s="104"/>
      <c r="AD123" s="113">
        <f>S123-Y123</f>
        <v>4240.0200000000023</v>
      </c>
    </row>
    <row r="124" spans="2:30" ht="45" hidden="1" customHeight="1">
      <c r="B124" s="174">
        <v>121</v>
      </c>
      <c r="C124" s="104" t="s">
        <v>95</v>
      </c>
      <c r="D124" s="104" t="s">
        <v>138</v>
      </c>
      <c r="E124" s="104" t="s">
        <v>34</v>
      </c>
      <c r="F124" s="104" t="s">
        <v>44</v>
      </c>
      <c r="G124" s="145" t="s">
        <v>422</v>
      </c>
      <c r="H124" s="104">
        <v>1228</v>
      </c>
      <c r="I124" s="104">
        <v>327</v>
      </c>
      <c r="J124" s="104" t="s">
        <v>46</v>
      </c>
      <c r="K124" s="104" t="s">
        <v>34</v>
      </c>
      <c r="L124" s="104" t="s">
        <v>34</v>
      </c>
      <c r="M124" s="104" t="s">
        <v>34</v>
      </c>
      <c r="N124" s="104" t="s">
        <v>34</v>
      </c>
      <c r="O124" s="104" t="s">
        <v>34</v>
      </c>
      <c r="P124" s="104">
        <v>4271293</v>
      </c>
      <c r="Q124" s="106">
        <v>45945</v>
      </c>
      <c r="R124" s="104">
        <v>4391348</v>
      </c>
      <c r="S124" s="166">
        <v>4240.0200000000004</v>
      </c>
      <c r="T124" s="108"/>
      <c r="U124" s="104">
        <v>19888</v>
      </c>
      <c r="V124" s="104"/>
      <c r="W124" s="104" t="s">
        <v>48</v>
      </c>
      <c r="X124" s="104" t="s">
        <v>94</v>
      </c>
      <c r="Y124" s="222">
        <v>4240</v>
      </c>
      <c r="Z124" s="106">
        <v>46029</v>
      </c>
      <c r="AA124" s="106">
        <v>46030</v>
      </c>
      <c r="AB124" s="104" t="s">
        <v>60</v>
      </c>
      <c r="AC124" s="104"/>
      <c r="AD124" s="113">
        <f>S124-Y124</f>
        <v>2.0000000000436557E-2</v>
      </c>
    </row>
    <row r="125" spans="2:30" ht="45" hidden="1" customHeight="1">
      <c r="B125" s="174">
        <v>122</v>
      </c>
      <c r="C125" s="104" t="s">
        <v>279</v>
      </c>
      <c r="D125" s="104" t="s">
        <v>423</v>
      </c>
      <c r="E125" s="104" t="s">
        <v>34</v>
      </c>
      <c r="F125" s="104" t="s">
        <v>44</v>
      </c>
      <c r="G125" s="255" t="s">
        <v>424</v>
      </c>
      <c r="H125" s="104">
        <v>5345</v>
      </c>
      <c r="I125" s="104">
        <v>242</v>
      </c>
      <c r="J125" s="104" t="s">
        <v>58</v>
      </c>
      <c r="K125" s="104" t="s">
        <v>425</v>
      </c>
      <c r="L125" s="104">
        <v>86684</v>
      </c>
      <c r="M125" s="104">
        <v>2</v>
      </c>
      <c r="N125" s="104" t="s">
        <v>426</v>
      </c>
      <c r="O125" s="104" t="s">
        <v>34</v>
      </c>
      <c r="P125" s="104">
        <v>4271618</v>
      </c>
      <c r="Q125" s="106">
        <v>45945</v>
      </c>
      <c r="R125" s="104">
        <v>4386811</v>
      </c>
      <c r="S125" s="107">
        <v>2120</v>
      </c>
      <c r="T125" s="108">
        <v>45950</v>
      </c>
      <c r="U125" s="104">
        <v>187</v>
      </c>
      <c r="V125" s="104"/>
      <c r="W125" s="104" t="s">
        <v>40</v>
      </c>
      <c r="X125" s="104" t="s">
        <v>25</v>
      </c>
      <c r="Y125" s="131">
        <v>2120</v>
      </c>
      <c r="Z125" s="106">
        <v>45972</v>
      </c>
      <c r="AA125" s="106">
        <v>45978</v>
      </c>
      <c r="AB125" s="110" t="s">
        <v>60</v>
      </c>
      <c r="AC125" s="104"/>
      <c r="AD125" s="113">
        <f>S125-Y125</f>
        <v>0</v>
      </c>
    </row>
    <row r="126" spans="2:30" ht="45" hidden="1" customHeight="1">
      <c r="B126" s="174">
        <v>123</v>
      </c>
      <c r="C126" s="104" t="s">
        <v>291</v>
      </c>
      <c r="D126" s="104" t="s">
        <v>33</v>
      </c>
      <c r="E126" s="104">
        <v>38866</v>
      </c>
      <c r="F126" s="104" t="s">
        <v>35</v>
      </c>
      <c r="G126" s="255" t="s">
        <v>427</v>
      </c>
      <c r="H126" s="105">
        <v>2488</v>
      </c>
      <c r="I126" s="105">
        <v>242</v>
      </c>
      <c r="J126" s="104" t="s">
        <v>58</v>
      </c>
      <c r="K126" s="104" t="s">
        <v>428</v>
      </c>
      <c r="L126" s="104">
        <v>86955</v>
      </c>
      <c r="M126" s="104">
        <v>6</v>
      </c>
      <c r="N126" s="104" t="s">
        <v>34</v>
      </c>
      <c r="O126" s="104" t="s">
        <v>34</v>
      </c>
      <c r="P126" s="104">
        <v>4271707</v>
      </c>
      <c r="Q126" s="106">
        <v>45945</v>
      </c>
      <c r="R126" s="104">
        <v>4389037</v>
      </c>
      <c r="S126" s="107">
        <v>897.75</v>
      </c>
      <c r="T126" s="108">
        <v>45931</v>
      </c>
      <c r="U126" s="104">
        <v>3160</v>
      </c>
      <c r="V126" s="104" t="s">
        <v>429</v>
      </c>
      <c r="W126" s="104"/>
      <c r="X126" s="104" t="s">
        <v>106</v>
      </c>
      <c r="Y126" s="221">
        <v>897.75</v>
      </c>
      <c r="Z126" s="106">
        <v>45951</v>
      </c>
      <c r="AA126" s="106">
        <v>45952</v>
      </c>
      <c r="AB126" s="110" t="s">
        <v>60</v>
      </c>
      <c r="AC126" s="104"/>
      <c r="AD126" s="113">
        <f>S126-Y126</f>
        <v>0</v>
      </c>
    </row>
    <row r="127" spans="2:30" ht="45" customHeight="1">
      <c r="B127" s="174">
        <v>124</v>
      </c>
      <c r="C127" s="104" t="s">
        <v>279</v>
      </c>
      <c r="D127" s="104" t="s">
        <v>430</v>
      </c>
      <c r="E127" s="104" t="s">
        <v>34</v>
      </c>
      <c r="F127" s="104" t="s">
        <v>35</v>
      </c>
      <c r="G127" s="255" t="s">
        <v>431</v>
      </c>
      <c r="H127" s="105">
        <v>5345</v>
      </c>
      <c r="I127" s="105">
        <v>242</v>
      </c>
      <c r="J127" s="104" t="s">
        <v>58</v>
      </c>
      <c r="K127" s="104" t="s">
        <v>34</v>
      </c>
      <c r="L127" s="104">
        <v>86727</v>
      </c>
      <c r="M127" s="104">
        <v>8</v>
      </c>
      <c r="N127" s="104" t="s">
        <v>432</v>
      </c>
      <c r="O127" s="104" t="s">
        <v>34</v>
      </c>
      <c r="P127" s="104">
        <v>4272777</v>
      </c>
      <c r="Q127" s="106">
        <v>45946</v>
      </c>
      <c r="R127" s="104">
        <v>4387350</v>
      </c>
      <c r="S127" s="107">
        <v>3679.9</v>
      </c>
      <c r="T127" s="108">
        <v>45950</v>
      </c>
      <c r="U127" s="104">
        <v>1767</v>
      </c>
      <c r="V127" s="104" t="s">
        <v>433</v>
      </c>
      <c r="W127" s="104" t="s">
        <v>48</v>
      </c>
      <c r="X127" s="104" t="s">
        <v>106</v>
      </c>
      <c r="Y127" s="221">
        <v>3679.9</v>
      </c>
      <c r="Z127" s="106">
        <v>45944</v>
      </c>
      <c r="AA127" s="106">
        <v>45950</v>
      </c>
      <c r="AB127" s="110" t="s">
        <v>60</v>
      </c>
      <c r="AC127" s="104"/>
      <c r="AD127" s="113">
        <f>S127-Y127</f>
        <v>0</v>
      </c>
    </row>
    <row r="128" spans="2:30" ht="45" hidden="1" customHeight="1">
      <c r="B128" s="174">
        <v>125</v>
      </c>
      <c r="C128" s="104" t="s">
        <v>137</v>
      </c>
      <c r="D128" s="104" t="s">
        <v>434</v>
      </c>
      <c r="E128" s="104" t="s">
        <v>34</v>
      </c>
      <c r="F128" s="104" t="s">
        <v>44</v>
      </c>
      <c r="G128" s="255" t="s">
        <v>435</v>
      </c>
      <c r="H128" s="104">
        <v>1180</v>
      </c>
      <c r="I128" s="104">
        <v>5</v>
      </c>
      <c r="J128" s="104" t="s">
        <v>285</v>
      </c>
      <c r="K128" s="104" t="s">
        <v>436</v>
      </c>
      <c r="L128" s="104" t="s">
        <v>437</v>
      </c>
      <c r="M128" s="104">
        <v>29</v>
      </c>
      <c r="N128" s="104" t="s">
        <v>438</v>
      </c>
      <c r="O128" s="104" t="s">
        <v>34</v>
      </c>
      <c r="P128" s="104">
        <v>4274350</v>
      </c>
      <c r="Q128" s="106">
        <v>45936</v>
      </c>
      <c r="R128" s="120">
        <v>4402989</v>
      </c>
      <c r="S128" s="129">
        <v>340</v>
      </c>
      <c r="T128" s="108">
        <v>45931</v>
      </c>
      <c r="U128" s="104"/>
      <c r="V128" s="104"/>
      <c r="W128" s="104"/>
      <c r="X128" s="104"/>
      <c r="Y128" s="131"/>
      <c r="Z128" s="106"/>
      <c r="AA128" s="106"/>
      <c r="AB128" s="104" t="s">
        <v>66</v>
      </c>
      <c r="AC128" s="104"/>
      <c r="AD128" s="113">
        <f>S128-Y128</f>
        <v>340</v>
      </c>
    </row>
    <row r="129" spans="2:30" ht="45" hidden="1" customHeight="1">
      <c r="B129" s="174">
        <v>126</v>
      </c>
      <c r="C129" s="104" t="s">
        <v>51</v>
      </c>
      <c r="D129" s="104" t="s">
        <v>415</v>
      </c>
      <c r="E129" s="104" t="s">
        <v>34</v>
      </c>
      <c r="F129" s="104" t="s">
        <v>44</v>
      </c>
      <c r="G129" s="255" t="s">
        <v>439</v>
      </c>
      <c r="H129" s="104">
        <v>2291</v>
      </c>
      <c r="I129" s="104">
        <v>242</v>
      </c>
      <c r="J129" s="104" t="s">
        <v>285</v>
      </c>
      <c r="K129" s="104" t="s">
        <v>440</v>
      </c>
      <c r="L129" s="104">
        <v>86826</v>
      </c>
      <c r="M129" s="104">
        <v>29</v>
      </c>
      <c r="N129" s="104" t="s">
        <v>441</v>
      </c>
      <c r="O129" s="104" t="s">
        <v>34</v>
      </c>
      <c r="P129" s="104">
        <v>4274405</v>
      </c>
      <c r="Q129" s="106">
        <v>45947</v>
      </c>
      <c r="R129" s="120">
        <v>4399765</v>
      </c>
      <c r="S129" s="121">
        <v>12085</v>
      </c>
      <c r="T129" s="108">
        <v>45931</v>
      </c>
      <c r="U129" s="104">
        <v>320</v>
      </c>
      <c r="V129" s="110"/>
      <c r="W129" s="104" t="s">
        <v>48</v>
      </c>
      <c r="X129" s="104" t="s">
        <v>25</v>
      </c>
      <c r="Y129" s="131">
        <v>12085</v>
      </c>
      <c r="Z129" s="106">
        <v>45965</v>
      </c>
      <c r="AA129" s="122">
        <v>45968</v>
      </c>
      <c r="AB129" s="110" t="s">
        <v>60</v>
      </c>
      <c r="AC129" s="104"/>
      <c r="AD129" s="113">
        <f>S129-Y129</f>
        <v>0</v>
      </c>
    </row>
    <row r="130" spans="2:30" ht="45" hidden="1" customHeight="1">
      <c r="B130" s="174">
        <v>127</v>
      </c>
      <c r="C130" s="104" t="s">
        <v>51</v>
      </c>
      <c r="D130" s="104" t="s">
        <v>415</v>
      </c>
      <c r="E130" s="104" t="s">
        <v>34</v>
      </c>
      <c r="F130" s="104" t="s">
        <v>44</v>
      </c>
      <c r="G130" s="255" t="s">
        <v>442</v>
      </c>
      <c r="H130" s="104">
        <v>5345</v>
      </c>
      <c r="I130" s="104">
        <v>242</v>
      </c>
      <c r="J130" s="104" t="s">
        <v>285</v>
      </c>
      <c r="K130" s="104" t="s">
        <v>443</v>
      </c>
      <c r="L130" s="104">
        <v>87008</v>
      </c>
      <c r="M130" s="104">
        <v>29</v>
      </c>
      <c r="N130" s="104" t="s">
        <v>444</v>
      </c>
      <c r="O130" s="104" t="s">
        <v>34</v>
      </c>
      <c r="P130" s="104">
        <v>4274431</v>
      </c>
      <c r="Q130" s="106">
        <v>45947</v>
      </c>
      <c r="R130" s="120">
        <v>4399761</v>
      </c>
      <c r="S130" s="121">
        <v>1913.2</v>
      </c>
      <c r="T130" s="108">
        <v>45962</v>
      </c>
      <c r="U130" s="104">
        <v>317</v>
      </c>
      <c r="V130" s="110"/>
      <c r="W130" s="104" t="s">
        <v>48</v>
      </c>
      <c r="X130" s="104" t="s">
        <v>25</v>
      </c>
      <c r="Y130" s="131">
        <v>1913.2</v>
      </c>
      <c r="Z130" s="106">
        <v>45965</v>
      </c>
      <c r="AA130" s="122">
        <v>45968</v>
      </c>
      <c r="AB130" s="110" t="s">
        <v>60</v>
      </c>
      <c r="AC130" s="104"/>
      <c r="AD130" s="113">
        <f>S130-Y130</f>
        <v>0</v>
      </c>
    </row>
    <row r="131" spans="2:30" ht="45" hidden="1" customHeight="1">
      <c r="B131" s="174">
        <v>128</v>
      </c>
      <c r="C131" s="104" t="s">
        <v>279</v>
      </c>
      <c r="D131" s="104" t="s">
        <v>430</v>
      </c>
      <c r="E131" s="104">
        <v>39015</v>
      </c>
      <c r="F131" s="104" t="s">
        <v>35</v>
      </c>
      <c r="G131" s="255" t="s">
        <v>445</v>
      </c>
      <c r="H131" s="104">
        <v>5345</v>
      </c>
      <c r="I131" s="104">
        <v>242</v>
      </c>
      <c r="J131" s="104" t="s">
        <v>58</v>
      </c>
      <c r="K131" s="104" t="s">
        <v>446</v>
      </c>
      <c r="L131" s="104">
        <v>87373</v>
      </c>
      <c r="M131" s="104">
        <v>6</v>
      </c>
      <c r="N131" s="104" t="s">
        <v>34</v>
      </c>
      <c r="O131" s="104" t="s">
        <v>34</v>
      </c>
      <c r="P131" s="104">
        <v>4275238</v>
      </c>
      <c r="Q131" s="106">
        <v>45950</v>
      </c>
      <c r="R131" s="104">
        <v>4394015</v>
      </c>
      <c r="S131" s="107">
        <v>3398</v>
      </c>
      <c r="T131" s="108">
        <v>45955</v>
      </c>
      <c r="U131" s="104">
        <v>1785</v>
      </c>
      <c r="V131" s="104" t="s">
        <v>447</v>
      </c>
      <c r="W131" s="104" t="s">
        <v>48</v>
      </c>
      <c r="X131" s="104" t="s">
        <v>35</v>
      </c>
      <c r="Y131" s="221">
        <v>3398</v>
      </c>
      <c r="Z131" s="106">
        <v>45963</v>
      </c>
      <c r="AA131" s="106">
        <v>45986</v>
      </c>
      <c r="AB131" s="104" t="s">
        <v>60</v>
      </c>
      <c r="AC131" s="119"/>
      <c r="AD131" s="113">
        <f>S131-Y131</f>
        <v>0</v>
      </c>
    </row>
    <row r="132" spans="2:30" ht="45" hidden="1" customHeight="1">
      <c r="B132" s="174">
        <v>129</v>
      </c>
      <c r="C132" s="104" t="s">
        <v>282</v>
      </c>
      <c r="D132" s="104" t="s">
        <v>250</v>
      </c>
      <c r="E132" s="104">
        <v>38507</v>
      </c>
      <c r="F132" s="104" t="s">
        <v>44</v>
      </c>
      <c r="G132" s="255" t="s">
        <v>448</v>
      </c>
      <c r="H132" s="104">
        <v>2330</v>
      </c>
      <c r="I132" s="104">
        <v>5</v>
      </c>
      <c r="J132" s="104" t="s">
        <v>285</v>
      </c>
      <c r="K132" s="104" t="s">
        <v>449</v>
      </c>
      <c r="L132" s="104">
        <v>86254</v>
      </c>
      <c r="M132" s="104">
        <v>6</v>
      </c>
      <c r="N132" s="104" t="s">
        <v>34</v>
      </c>
      <c r="O132" s="104" t="s">
        <v>34</v>
      </c>
      <c r="P132" s="104">
        <v>4275744</v>
      </c>
      <c r="Q132" s="106">
        <v>45943</v>
      </c>
      <c r="R132" s="120">
        <v>4396019</v>
      </c>
      <c r="S132" s="121">
        <v>24560</v>
      </c>
      <c r="T132" s="108">
        <v>45962</v>
      </c>
      <c r="U132" s="104">
        <v>1553</v>
      </c>
      <c r="V132" s="127" t="s">
        <v>450</v>
      </c>
      <c r="W132" s="104" t="s">
        <v>48</v>
      </c>
      <c r="X132" s="104" t="s">
        <v>25</v>
      </c>
      <c r="Y132" s="131">
        <v>24560</v>
      </c>
      <c r="Z132" s="106">
        <v>45962</v>
      </c>
      <c r="AA132" s="122">
        <v>45964</v>
      </c>
      <c r="AB132" s="110" t="s">
        <v>60</v>
      </c>
      <c r="AC132" s="104"/>
      <c r="AD132" s="113">
        <f>S132-Y132</f>
        <v>0</v>
      </c>
    </row>
    <row r="133" spans="2:30" ht="45" hidden="1" customHeight="1">
      <c r="B133" s="174">
        <v>130</v>
      </c>
      <c r="C133" s="104" t="s">
        <v>282</v>
      </c>
      <c r="D133" s="104" t="s">
        <v>451</v>
      </c>
      <c r="E133" s="104" t="s">
        <v>34</v>
      </c>
      <c r="F133" s="104" t="s">
        <v>44</v>
      </c>
      <c r="G133" s="255" t="s">
        <v>452</v>
      </c>
      <c r="H133" s="104">
        <v>2330</v>
      </c>
      <c r="I133" s="104">
        <v>242</v>
      </c>
      <c r="J133" s="104" t="s">
        <v>285</v>
      </c>
      <c r="K133" s="104" t="s">
        <v>453</v>
      </c>
      <c r="L133" s="104">
        <v>87031</v>
      </c>
      <c r="M133" s="104">
        <v>29</v>
      </c>
      <c r="N133" s="104" t="s">
        <v>454</v>
      </c>
      <c r="O133" s="104" t="s">
        <v>34</v>
      </c>
      <c r="P133" s="104">
        <v>4275816</v>
      </c>
      <c r="Q133" s="106">
        <v>45946</v>
      </c>
      <c r="R133" s="120">
        <v>4400095</v>
      </c>
      <c r="S133" s="121">
        <v>2777.5</v>
      </c>
      <c r="T133" s="108">
        <v>45962</v>
      </c>
      <c r="U133" s="104">
        <v>12004</v>
      </c>
      <c r="V133" s="104" t="s">
        <v>34</v>
      </c>
      <c r="W133" s="104" t="s">
        <v>40</v>
      </c>
      <c r="X133" s="104" t="s">
        <v>94</v>
      </c>
      <c r="Y133" s="131">
        <v>2777.5</v>
      </c>
      <c r="Z133" s="106">
        <v>45974</v>
      </c>
      <c r="AA133" s="122">
        <v>45975</v>
      </c>
      <c r="AB133" s="110" t="s">
        <v>60</v>
      </c>
      <c r="AC133" s="104"/>
      <c r="AD133" s="113">
        <f>S133-Y133</f>
        <v>0</v>
      </c>
    </row>
    <row r="134" spans="2:30" ht="45" hidden="1" customHeight="1">
      <c r="B134" s="174">
        <v>131</v>
      </c>
      <c r="C134" s="104" t="s">
        <v>282</v>
      </c>
      <c r="D134" s="104" t="s">
        <v>455</v>
      </c>
      <c r="E134" s="104" t="s">
        <v>34</v>
      </c>
      <c r="F134" s="104" t="s">
        <v>35</v>
      </c>
      <c r="G134" s="255" t="s">
        <v>456</v>
      </c>
      <c r="H134" s="104">
        <v>2488</v>
      </c>
      <c r="I134" s="104">
        <v>242</v>
      </c>
      <c r="J134" s="104" t="s">
        <v>285</v>
      </c>
      <c r="K134" s="104" t="s">
        <v>457</v>
      </c>
      <c r="L134" s="104">
        <v>86260</v>
      </c>
      <c r="M134" s="104">
        <v>5</v>
      </c>
      <c r="N134" s="104" t="s">
        <v>458</v>
      </c>
      <c r="O134" s="104" t="s">
        <v>34</v>
      </c>
      <c r="P134" s="104">
        <v>4275848</v>
      </c>
      <c r="Q134" s="106">
        <v>45950</v>
      </c>
      <c r="R134" s="120">
        <v>4398395</v>
      </c>
      <c r="S134" s="121">
        <v>1760</v>
      </c>
      <c r="T134" s="108">
        <v>45931</v>
      </c>
      <c r="U134" s="104">
        <v>34</v>
      </c>
      <c r="V134" s="110"/>
      <c r="W134" s="104" t="s">
        <v>48</v>
      </c>
      <c r="X134" s="104" t="s">
        <v>25</v>
      </c>
      <c r="Y134" s="131">
        <v>1760</v>
      </c>
      <c r="Z134" s="106">
        <v>45962</v>
      </c>
      <c r="AA134" s="122">
        <v>45967</v>
      </c>
      <c r="AB134" s="110" t="s">
        <v>60</v>
      </c>
      <c r="AC134" s="104"/>
      <c r="AD134" s="113">
        <f>S134-Y134</f>
        <v>0</v>
      </c>
    </row>
    <row r="135" spans="2:30" ht="45" hidden="1" customHeight="1">
      <c r="B135" s="174">
        <v>132</v>
      </c>
      <c r="C135" s="104" t="s">
        <v>51</v>
      </c>
      <c r="D135" s="104" t="s">
        <v>459</v>
      </c>
      <c r="E135" s="104">
        <v>38855</v>
      </c>
      <c r="F135" s="104" t="s">
        <v>44</v>
      </c>
      <c r="G135" s="255" t="s">
        <v>460</v>
      </c>
      <c r="H135" s="104">
        <v>2291</v>
      </c>
      <c r="I135" s="104">
        <v>242</v>
      </c>
      <c r="J135" s="104" t="s">
        <v>285</v>
      </c>
      <c r="K135" s="104" t="s">
        <v>461</v>
      </c>
      <c r="L135" s="104">
        <v>87661</v>
      </c>
      <c r="M135" s="104">
        <v>6</v>
      </c>
      <c r="N135" s="104" t="s">
        <v>34</v>
      </c>
      <c r="O135" s="104" t="s">
        <v>34</v>
      </c>
      <c r="P135" s="104">
        <v>4277080</v>
      </c>
      <c r="Q135" s="106">
        <v>45950</v>
      </c>
      <c r="R135" s="120">
        <v>4395163</v>
      </c>
      <c r="S135" s="121">
        <v>2290</v>
      </c>
      <c r="T135" s="108">
        <v>45931</v>
      </c>
      <c r="U135" s="104">
        <v>1366</v>
      </c>
      <c r="V135" s="106" t="s">
        <v>462</v>
      </c>
      <c r="W135" s="104" t="s">
        <v>48</v>
      </c>
      <c r="X135" s="104" t="s">
        <v>25</v>
      </c>
      <c r="Y135" s="131">
        <v>2290</v>
      </c>
      <c r="Z135" s="106">
        <v>45964</v>
      </c>
      <c r="AA135" s="122">
        <v>45968</v>
      </c>
      <c r="AB135" s="110" t="s">
        <v>60</v>
      </c>
      <c r="AC135" s="104"/>
      <c r="AD135" s="113">
        <f>S135-Y135</f>
        <v>0</v>
      </c>
    </row>
    <row r="136" spans="2:30" ht="45" hidden="1" customHeight="1">
      <c r="B136" s="174">
        <v>133</v>
      </c>
      <c r="C136" s="104" t="s">
        <v>282</v>
      </c>
      <c r="D136" s="104" t="s">
        <v>463</v>
      </c>
      <c r="E136" s="104">
        <v>39251</v>
      </c>
      <c r="F136" s="104" t="s">
        <v>44</v>
      </c>
      <c r="G136" s="255" t="s">
        <v>464</v>
      </c>
      <c r="H136" s="104">
        <v>2089</v>
      </c>
      <c r="I136" s="104">
        <v>242</v>
      </c>
      <c r="J136" s="104" t="s">
        <v>285</v>
      </c>
      <c r="K136" s="104" t="s">
        <v>465</v>
      </c>
      <c r="L136" s="104">
        <v>87524</v>
      </c>
      <c r="M136" s="104">
        <v>6</v>
      </c>
      <c r="N136" s="104" t="s">
        <v>34</v>
      </c>
      <c r="O136" s="104" t="s">
        <v>34</v>
      </c>
      <c r="P136" s="104">
        <v>4277327</v>
      </c>
      <c r="Q136" s="106">
        <v>45951</v>
      </c>
      <c r="R136" s="110"/>
      <c r="S136" s="121">
        <v>6200</v>
      </c>
      <c r="T136" s="108"/>
      <c r="U136" s="104"/>
      <c r="V136" s="104"/>
      <c r="W136" s="104"/>
      <c r="X136" s="104"/>
      <c r="Y136" s="131"/>
      <c r="Z136" s="106"/>
      <c r="AA136" s="106"/>
      <c r="AB136" s="104" t="s">
        <v>115</v>
      </c>
      <c r="AC136" s="104" t="s">
        <v>466</v>
      </c>
      <c r="AD136" s="113">
        <f>S136-Y136</f>
        <v>6200</v>
      </c>
    </row>
    <row r="137" spans="2:30" ht="45" hidden="1" customHeight="1">
      <c r="B137" s="174">
        <v>134</v>
      </c>
      <c r="C137" s="104" t="s">
        <v>80</v>
      </c>
      <c r="D137" s="104" t="s">
        <v>81</v>
      </c>
      <c r="E137" s="104" t="s">
        <v>34</v>
      </c>
      <c r="F137" s="104" t="s">
        <v>44</v>
      </c>
      <c r="G137" s="255" t="s">
        <v>467</v>
      </c>
      <c r="H137" s="104">
        <v>4120</v>
      </c>
      <c r="I137" s="104">
        <v>242</v>
      </c>
      <c r="J137" s="104" t="s">
        <v>37</v>
      </c>
      <c r="K137" s="104" t="s">
        <v>468</v>
      </c>
      <c r="L137" s="104">
        <v>87649</v>
      </c>
      <c r="M137" s="104">
        <v>29</v>
      </c>
      <c r="N137" s="104" t="s">
        <v>34</v>
      </c>
      <c r="O137" s="104" t="s">
        <v>34</v>
      </c>
      <c r="P137" s="104">
        <v>4277371</v>
      </c>
      <c r="Q137" s="106">
        <v>45951</v>
      </c>
      <c r="R137" s="104">
        <v>4398993</v>
      </c>
      <c r="S137" s="129">
        <v>9141.8799999999992</v>
      </c>
      <c r="T137" s="108"/>
      <c r="U137" s="104"/>
      <c r="V137" s="104"/>
      <c r="W137" s="104"/>
      <c r="X137" s="104"/>
      <c r="Y137" s="131"/>
      <c r="Z137" s="106"/>
      <c r="AA137" s="106"/>
      <c r="AB137" s="104" t="s">
        <v>66</v>
      </c>
      <c r="AC137" s="104"/>
      <c r="AD137" s="113">
        <f>S137-Y137</f>
        <v>9141.8799999999992</v>
      </c>
    </row>
    <row r="138" spans="2:30" ht="45" hidden="1" customHeight="1">
      <c r="B138" s="174">
        <v>135</v>
      </c>
      <c r="C138" s="104" t="s">
        <v>80</v>
      </c>
      <c r="D138" s="104" t="s">
        <v>469</v>
      </c>
      <c r="E138" s="104" t="s">
        <v>34</v>
      </c>
      <c r="F138" s="104" t="s">
        <v>44</v>
      </c>
      <c r="G138" s="255" t="s">
        <v>470</v>
      </c>
      <c r="H138" s="104">
        <v>2275</v>
      </c>
      <c r="I138" s="104">
        <v>242</v>
      </c>
      <c r="J138" s="104" t="s">
        <v>37</v>
      </c>
      <c r="K138" s="104" t="s">
        <v>469</v>
      </c>
      <c r="L138" s="104">
        <v>87645</v>
      </c>
      <c r="M138" s="104">
        <v>29</v>
      </c>
      <c r="N138" s="104" t="s">
        <v>34</v>
      </c>
      <c r="O138" s="104" t="s">
        <v>34</v>
      </c>
      <c r="P138" s="104">
        <v>4277381</v>
      </c>
      <c r="Q138" s="106">
        <v>45951</v>
      </c>
      <c r="R138" s="104">
        <v>4403258</v>
      </c>
      <c r="S138" s="157">
        <v>1472.8</v>
      </c>
      <c r="T138" s="108"/>
      <c r="U138" s="104">
        <v>8201</v>
      </c>
      <c r="V138" s="104" t="s">
        <v>34</v>
      </c>
      <c r="W138" s="104" t="s">
        <v>48</v>
      </c>
      <c r="X138" s="104" t="s">
        <v>44</v>
      </c>
      <c r="Y138" s="131">
        <v>8049.74</v>
      </c>
      <c r="Z138" s="106">
        <v>46002</v>
      </c>
      <c r="AA138" s="106">
        <v>46006</v>
      </c>
      <c r="AB138" s="104" t="s">
        <v>60</v>
      </c>
      <c r="AC138" s="104"/>
      <c r="AD138" s="113">
        <f>S138-Y138</f>
        <v>-6576.94</v>
      </c>
    </row>
    <row r="139" spans="2:30" ht="45" hidden="1" customHeight="1">
      <c r="B139" s="174">
        <v>136</v>
      </c>
      <c r="C139" s="104" t="s">
        <v>224</v>
      </c>
      <c r="D139" s="104" t="s">
        <v>471</v>
      </c>
      <c r="E139" s="104">
        <v>39059</v>
      </c>
      <c r="F139" s="104" t="s">
        <v>44</v>
      </c>
      <c r="G139" s="145" t="s">
        <v>472</v>
      </c>
      <c r="H139" s="104">
        <v>2101</v>
      </c>
      <c r="I139" s="104">
        <v>242</v>
      </c>
      <c r="J139" s="104" t="s">
        <v>46</v>
      </c>
      <c r="K139" s="104" t="s">
        <v>473</v>
      </c>
      <c r="L139" s="104">
        <v>87776</v>
      </c>
      <c r="M139" s="104">
        <v>6</v>
      </c>
      <c r="N139" s="104" t="s">
        <v>34</v>
      </c>
      <c r="O139" s="104" t="s">
        <v>34</v>
      </c>
      <c r="P139" s="104">
        <v>4277660</v>
      </c>
      <c r="Q139" s="106">
        <v>45952</v>
      </c>
      <c r="R139" s="104">
        <v>4395247</v>
      </c>
      <c r="S139" s="129">
        <v>1303</v>
      </c>
      <c r="T139" s="108">
        <v>45971</v>
      </c>
      <c r="U139" s="104">
        <v>14</v>
      </c>
      <c r="V139" s="104" t="s">
        <v>474</v>
      </c>
      <c r="W139" s="104" t="s">
        <v>48</v>
      </c>
      <c r="X139" s="104" t="s">
        <v>25</v>
      </c>
      <c r="Y139" s="131">
        <v>1213</v>
      </c>
      <c r="Z139" s="106">
        <v>45971</v>
      </c>
      <c r="AA139" s="106">
        <v>45972</v>
      </c>
      <c r="AB139" s="104" t="s">
        <v>60</v>
      </c>
      <c r="AC139" s="104"/>
      <c r="AD139" s="113">
        <f>S139-Y139</f>
        <v>90</v>
      </c>
    </row>
    <row r="140" spans="2:30" ht="45" hidden="1" customHeight="1">
      <c r="B140" s="174">
        <v>137</v>
      </c>
      <c r="C140" s="104" t="s">
        <v>279</v>
      </c>
      <c r="D140" s="104" t="s">
        <v>33</v>
      </c>
      <c r="E140" s="104">
        <v>39269</v>
      </c>
      <c r="F140" s="104" t="s">
        <v>35</v>
      </c>
      <c r="G140" s="255" t="s">
        <v>475</v>
      </c>
      <c r="H140" s="104">
        <v>5345</v>
      </c>
      <c r="I140" s="104">
        <v>242</v>
      </c>
      <c r="J140" s="104" t="s">
        <v>58</v>
      </c>
      <c r="K140" s="104" t="s">
        <v>476</v>
      </c>
      <c r="L140" s="104">
        <v>87723</v>
      </c>
      <c r="M140" s="104">
        <v>6</v>
      </c>
      <c r="N140" s="104" t="s">
        <v>34</v>
      </c>
      <c r="O140" s="104" t="s">
        <v>34</v>
      </c>
      <c r="P140" s="104">
        <v>4277711</v>
      </c>
      <c r="Q140" s="106">
        <v>45952</v>
      </c>
      <c r="R140" s="104">
        <v>4395225</v>
      </c>
      <c r="S140" s="107">
        <v>3657.5</v>
      </c>
      <c r="T140" s="108">
        <v>45960</v>
      </c>
      <c r="U140" s="104">
        <v>3169</v>
      </c>
      <c r="V140" s="110" t="s">
        <v>477</v>
      </c>
      <c r="W140" s="104" t="s">
        <v>48</v>
      </c>
      <c r="X140" s="104" t="s">
        <v>478</v>
      </c>
      <c r="Y140" s="221">
        <v>3657.5</v>
      </c>
      <c r="Z140" s="106">
        <v>45962</v>
      </c>
      <c r="AA140" s="106">
        <v>45965</v>
      </c>
      <c r="AB140" s="110" t="s">
        <v>60</v>
      </c>
      <c r="AC140" s="104"/>
      <c r="AD140" s="113">
        <f>S140-Y140</f>
        <v>0</v>
      </c>
    </row>
    <row r="141" spans="2:30" ht="45" hidden="1" customHeight="1">
      <c r="B141" s="174">
        <v>138</v>
      </c>
      <c r="C141" s="104" t="s">
        <v>279</v>
      </c>
      <c r="D141" s="104" t="s">
        <v>479</v>
      </c>
      <c r="E141" s="104" t="s">
        <v>34</v>
      </c>
      <c r="F141" s="104" t="s">
        <v>44</v>
      </c>
      <c r="G141" s="145" t="s">
        <v>480</v>
      </c>
      <c r="H141" s="104">
        <v>5345</v>
      </c>
      <c r="I141" s="104">
        <v>5</v>
      </c>
      <c r="J141" s="104" t="s">
        <v>37</v>
      </c>
      <c r="K141" s="110"/>
      <c r="L141" s="104">
        <v>87722</v>
      </c>
      <c r="M141" s="104">
        <v>1</v>
      </c>
      <c r="N141" s="104" t="s">
        <v>34</v>
      </c>
      <c r="O141" s="104" t="s">
        <v>34</v>
      </c>
      <c r="P141" s="104">
        <v>4278892</v>
      </c>
      <c r="Q141" s="106">
        <v>45953</v>
      </c>
      <c r="R141" s="132">
        <v>4402470</v>
      </c>
      <c r="S141" s="133">
        <v>2900</v>
      </c>
      <c r="T141" s="108">
        <v>45982</v>
      </c>
      <c r="U141" s="104">
        <v>79</v>
      </c>
      <c r="V141" s="104" t="s">
        <v>34</v>
      </c>
      <c r="W141" s="104" t="s">
        <v>197</v>
      </c>
      <c r="X141" s="104" t="s">
        <v>25</v>
      </c>
      <c r="Y141" s="131">
        <v>2900</v>
      </c>
      <c r="Z141" s="106">
        <v>45975</v>
      </c>
      <c r="AA141" s="122">
        <v>45980</v>
      </c>
      <c r="AB141" s="110" t="s">
        <v>60</v>
      </c>
      <c r="AC141" s="104"/>
      <c r="AD141" s="113">
        <f>S141-Y141</f>
        <v>0</v>
      </c>
    </row>
    <row r="142" spans="2:30" ht="45" hidden="1" customHeight="1">
      <c r="B142" s="174">
        <v>139</v>
      </c>
      <c r="C142" s="104" t="s">
        <v>183</v>
      </c>
      <c r="D142" s="104" t="s">
        <v>33</v>
      </c>
      <c r="E142" s="104">
        <v>39250</v>
      </c>
      <c r="F142" s="104" t="s">
        <v>35</v>
      </c>
      <c r="G142" s="255" t="s">
        <v>481</v>
      </c>
      <c r="H142" s="104">
        <v>2224</v>
      </c>
      <c r="I142" s="104">
        <v>242</v>
      </c>
      <c r="J142" s="104" t="s">
        <v>58</v>
      </c>
      <c r="K142" s="104" t="s">
        <v>482</v>
      </c>
      <c r="L142" s="104">
        <v>87841</v>
      </c>
      <c r="M142" s="104">
        <v>6</v>
      </c>
      <c r="N142" s="104" t="s">
        <v>34</v>
      </c>
      <c r="O142" s="104" t="s">
        <v>34</v>
      </c>
      <c r="P142" s="104">
        <v>4279162</v>
      </c>
      <c r="Q142" s="106">
        <v>45953</v>
      </c>
      <c r="R142" s="104">
        <v>4395891</v>
      </c>
      <c r="S142" s="124">
        <v>2188.8000000000002</v>
      </c>
      <c r="T142" s="108">
        <v>45962</v>
      </c>
      <c r="U142" s="104">
        <v>3196</v>
      </c>
      <c r="V142" s="104" t="s">
        <v>483</v>
      </c>
      <c r="W142" s="104" t="s">
        <v>48</v>
      </c>
      <c r="X142" s="104" t="s">
        <v>35</v>
      </c>
      <c r="Y142" s="221">
        <v>2188.8000000000002</v>
      </c>
      <c r="Z142" s="106">
        <v>45992</v>
      </c>
      <c r="AA142" s="106">
        <v>45993</v>
      </c>
      <c r="AB142" s="104" t="s">
        <v>60</v>
      </c>
      <c r="AC142" s="104"/>
      <c r="AD142" s="113">
        <f>S142-Y142</f>
        <v>0</v>
      </c>
    </row>
    <row r="143" spans="2:30" ht="45" hidden="1" customHeight="1">
      <c r="B143" s="174">
        <v>140</v>
      </c>
      <c r="C143" s="104" t="s">
        <v>183</v>
      </c>
      <c r="D143" s="104" t="s">
        <v>33</v>
      </c>
      <c r="E143" s="104">
        <v>38346</v>
      </c>
      <c r="F143" s="104" t="s">
        <v>35</v>
      </c>
      <c r="G143" s="255" t="s">
        <v>484</v>
      </c>
      <c r="H143" s="104">
        <v>5345</v>
      </c>
      <c r="I143" s="104">
        <v>242</v>
      </c>
      <c r="J143" s="104" t="s">
        <v>58</v>
      </c>
      <c r="K143" s="104" t="s">
        <v>485</v>
      </c>
      <c r="L143" s="104">
        <v>88096</v>
      </c>
      <c r="M143" s="104">
        <v>6</v>
      </c>
      <c r="N143" s="104" t="s">
        <v>34</v>
      </c>
      <c r="O143" s="104" t="s">
        <v>34</v>
      </c>
      <c r="P143" s="104">
        <v>4279977</v>
      </c>
      <c r="Q143" s="106">
        <v>45953</v>
      </c>
      <c r="R143" s="104">
        <v>4395892</v>
      </c>
      <c r="S143" s="107">
        <v>655.5</v>
      </c>
      <c r="T143" s="108">
        <v>45962</v>
      </c>
      <c r="U143" s="104">
        <v>3175</v>
      </c>
      <c r="V143" s="104" t="s">
        <v>486</v>
      </c>
      <c r="W143" s="104" t="s">
        <v>48</v>
      </c>
      <c r="X143" s="104" t="s">
        <v>25</v>
      </c>
      <c r="Y143" s="221">
        <v>655.5</v>
      </c>
      <c r="Z143" s="106">
        <v>45965</v>
      </c>
      <c r="AA143" s="106">
        <v>45966</v>
      </c>
      <c r="AB143" s="110" t="s">
        <v>60</v>
      </c>
      <c r="AC143" s="104"/>
      <c r="AD143" s="113">
        <f>S143-Y143</f>
        <v>0</v>
      </c>
    </row>
    <row r="144" spans="2:30" ht="45" hidden="1" customHeight="1">
      <c r="B144" s="174">
        <v>141</v>
      </c>
      <c r="C144" s="104" t="s">
        <v>282</v>
      </c>
      <c r="D144" s="104" t="s">
        <v>487</v>
      </c>
      <c r="E144" s="104">
        <v>37380</v>
      </c>
      <c r="F144" s="104" t="s">
        <v>44</v>
      </c>
      <c r="G144" s="255" t="s">
        <v>488</v>
      </c>
      <c r="H144" s="104">
        <v>1228</v>
      </c>
      <c r="I144" s="104">
        <v>242</v>
      </c>
      <c r="J144" s="104" t="s">
        <v>285</v>
      </c>
      <c r="K144" s="104" t="s">
        <v>489</v>
      </c>
      <c r="L144" s="104">
        <v>88086</v>
      </c>
      <c r="M144" s="104">
        <v>6</v>
      </c>
      <c r="N144" s="104" t="s">
        <v>34</v>
      </c>
      <c r="O144" s="104" t="s">
        <v>34</v>
      </c>
      <c r="P144" s="104">
        <v>4280038</v>
      </c>
      <c r="Q144" s="106">
        <v>45953</v>
      </c>
      <c r="R144" s="120">
        <v>4398995</v>
      </c>
      <c r="S144" s="121">
        <v>2861</v>
      </c>
      <c r="T144" s="108"/>
      <c r="U144" s="104">
        <v>7</v>
      </c>
      <c r="V144" s="110"/>
      <c r="W144" s="104" t="s">
        <v>48</v>
      </c>
      <c r="X144" s="104" t="s">
        <v>25</v>
      </c>
      <c r="Y144" s="131">
        <v>2861</v>
      </c>
      <c r="Z144" s="106">
        <v>45966</v>
      </c>
      <c r="AA144" s="122">
        <v>45978</v>
      </c>
      <c r="AB144" s="110" t="s">
        <v>60</v>
      </c>
      <c r="AC144" s="104"/>
      <c r="AD144" s="113">
        <f>S144-Y144</f>
        <v>0</v>
      </c>
    </row>
    <row r="145" spans="2:30" ht="45" hidden="1" customHeight="1">
      <c r="B145" s="174">
        <v>142</v>
      </c>
      <c r="C145" s="104" t="s">
        <v>61</v>
      </c>
      <c r="D145" s="104" t="s">
        <v>221</v>
      </c>
      <c r="E145" s="104">
        <v>35938</v>
      </c>
      <c r="F145" s="104" t="s">
        <v>44</v>
      </c>
      <c r="G145" s="255" t="s">
        <v>490</v>
      </c>
      <c r="H145" s="104">
        <v>1244</v>
      </c>
      <c r="I145" s="104">
        <v>242</v>
      </c>
      <c r="J145" s="104" t="s">
        <v>37</v>
      </c>
      <c r="K145" s="104" t="s">
        <v>491</v>
      </c>
      <c r="L145" s="104">
        <v>87696</v>
      </c>
      <c r="M145" s="104">
        <v>6</v>
      </c>
      <c r="N145" s="104" t="s">
        <v>34</v>
      </c>
      <c r="O145" s="104" t="s">
        <v>34</v>
      </c>
      <c r="P145" s="104">
        <v>4280579</v>
      </c>
      <c r="Q145" s="106">
        <v>45952</v>
      </c>
      <c r="R145" s="110"/>
      <c r="S145" s="121">
        <v>5864.1</v>
      </c>
      <c r="T145" s="108"/>
      <c r="U145" s="104"/>
      <c r="V145" s="104"/>
      <c r="W145" s="104"/>
      <c r="X145" s="104"/>
      <c r="Y145" s="131"/>
      <c r="Z145" s="106"/>
      <c r="AA145" s="106"/>
      <c r="AB145" s="104" t="s">
        <v>115</v>
      </c>
      <c r="AC145" s="104" t="s">
        <v>492</v>
      </c>
      <c r="AD145" s="113">
        <f>S145-Y145</f>
        <v>5864.1</v>
      </c>
    </row>
    <row r="146" spans="2:30" ht="45" hidden="1" customHeight="1">
      <c r="B146" s="174">
        <v>143</v>
      </c>
      <c r="C146" s="104" t="s">
        <v>70</v>
      </c>
      <c r="D146" s="104" t="s">
        <v>323</v>
      </c>
      <c r="E146" s="104">
        <v>38714</v>
      </c>
      <c r="F146" s="104" t="s">
        <v>44</v>
      </c>
      <c r="G146" s="255" t="s">
        <v>493</v>
      </c>
      <c r="H146" s="104">
        <v>4057</v>
      </c>
      <c r="I146" s="104">
        <v>242</v>
      </c>
      <c r="J146" s="104" t="s">
        <v>58</v>
      </c>
      <c r="K146" s="104" t="s">
        <v>494</v>
      </c>
      <c r="L146" s="104">
        <v>88280</v>
      </c>
      <c r="M146" s="104">
        <v>6</v>
      </c>
      <c r="N146" s="104" t="s">
        <v>34</v>
      </c>
      <c r="O146" s="104" t="s">
        <v>34</v>
      </c>
      <c r="P146" s="104">
        <v>4281766</v>
      </c>
      <c r="Q146" s="106">
        <v>45957</v>
      </c>
      <c r="R146" s="104">
        <v>4402571</v>
      </c>
      <c r="S146" s="109">
        <v>3525.4</v>
      </c>
      <c r="T146" s="108">
        <v>45962</v>
      </c>
      <c r="U146" s="104">
        <v>149</v>
      </c>
      <c r="V146" s="104" t="s">
        <v>495</v>
      </c>
      <c r="W146" s="104" t="s">
        <v>40</v>
      </c>
      <c r="X146" s="104" t="s">
        <v>35</v>
      </c>
      <c r="Y146" s="221">
        <v>3525.4</v>
      </c>
      <c r="Z146" s="106">
        <v>45994</v>
      </c>
      <c r="AA146" s="106">
        <v>46008</v>
      </c>
      <c r="AB146" s="104" t="s">
        <v>60</v>
      </c>
      <c r="AC146" s="104"/>
      <c r="AD146" s="113">
        <f>S146-Y146</f>
        <v>0</v>
      </c>
    </row>
    <row r="147" spans="2:30" ht="45" hidden="1" customHeight="1">
      <c r="B147" s="174">
        <v>144</v>
      </c>
      <c r="C147" s="104" t="s">
        <v>70</v>
      </c>
      <c r="D147" s="104" t="s">
        <v>496</v>
      </c>
      <c r="E147" s="104" t="s">
        <v>34</v>
      </c>
      <c r="F147" s="104" t="s">
        <v>44</v>
      </c>
      <c r="G147" s="255" t="s">
        <v>497</v>
      </c>
      <c r="H147" s="104">
        <v>5345</v>
      </c>
      <c r="I147" s="104">
        <v>153</v>
      </c>
      <c r="J147" s="104" t="s">
        <v>58</v>
      </c>
      <c r="K147" s="104" t="s">
        <v>498</v>
      </c>
      <c r="L147" s="104">
        <v>88229</v>
      </c>
      <c r="M147" s="104">
        <v>5</v>
      </c>
      <c r="N147" s="104" t="s">
        <v>499</v>
      </c>
      <c r="O147" s="104" t="s">
        <v>48</v>
      </c>
      <c r="P147" s="104">
        <v>4281839</v>
      </c>
      <c r="Q147" s="106">
        <v>45957</v>
      </c>
      <c r="R147" s="104">
        <v>4401614</v>
      </c>
      <c r="S147" s="107">
        <v>1500</v>
      </c>
      <c r="T147" s="108">
        <v>45931</v>
      </c>
      <c r="U147" s="104">
        <v>290</v>
      </c>
      <c r="V147" s="104" t="s">
        <v>500</v>
      </c>
      <c r="W147" s="104" t="s">
        <v>40</v>
      </c>
      <c r="X147" s="104" t="s">
        <v>44</v>
      </c>
      <c r="Y147" s="131">
        <v>1500</v>
      </c>
      <c r="Z147" s="123">
        <v>45964</v>
      </c>
      <c r="AA147" s="106">
        <v>46008</v>
      </c>
      <c r="AB147" s="104" t="s">
        <v>60</v>
      </c>
      <c r="AC147" s="104"/>
      <c r="AD147" s="113">
        <f>S147-Y147</f>
        <v>0</v>
      </c>
    </row>
    <row r="148" spans="2:30" ht="45" hidden="1" customHeight="1">
      <c r="B148" s="174">
        <v>145</v>
      </c>
      <c r="C148" s="104" t="s">
        <v>70</v>
      </c>
      <c r="D148" s="104" t="s">
        <v>496</v>
      </c>
      <c r="E148" s="104" t="s">
        <v>34</v>
      </c>
      <c r="F148" s="104" t="s">
        <v>44</v>
      </c>
      <c r="G148" s="255" t="s">
        <v>501</v>
      </c>
      <c r="H148" s="104">
        <v>5345</v>
      </c>
      <c r="I148" s="104">
        <v>242</v>
      </c>
      <c r="J148" s="104" t="s">
        <v>58</v>
      </c>
      <c r="K148" s="104" t="s">
        <v>502</v>
      </c>
      <c r="L148" s="104">
        <v>88232</v>
      </c>
      <c r="M148" s="104">
        <v>29</v>
      </c>
      <c r="N148" s="104" t="s">
        <v>503</v>
      </c>
      <c r="O148" s="104" t="s">
        <v>34</v>
      </c>
      <c r="P148" s="104">
        <v>4281851</v>
      </c>
      <c r="Q148" s="106">
        <v>45957</v>
      </c>
      <c r="R148" s="104">
        <v>4403057</v>
      </c>
      <c r="S148" s="107">
        <v>1755</v>
      </c>
      <c r="T148" s="108">
        <v>45962</v>
      </c>
      <c r="U148" s="104"/>
      <c r="V148" s="104"/>
      <c r="W148" s="104"/>
      <c r="X148" s="104"/>
      <c r="Y148" s="131"/>
      <c r="Z148" s="106"/>
      <c r="AA148" s="106"/>
      <c r="AB148" s="104" t="s">
        <v>66</v>
      </c>
      <c r="AC148" s="104"/>
      <c r="AD148" s="113">
        <f>S148-Y148</f>
        <v>1755</v>
      </c>
    </row>
    <row r="149" spans="2:30" ht="45" hidden="1" customHeight="1">
      <c r="B149" s="174">
        <v>146</v>
      </c>
      <c r="C149" s="104" t="s">
        <v>95</v>
      </c>
      <c r="D149" s="104" t="s">
        <v>504</v>
      </c>
      <c r="E149" s="104">
        <v>39091</v>
      </c>
      <c r="F149" s="104" t="s">
        <v>44</v>
      </c>
      <c r="G149" s="255" t="s">
        <v>505</v>
      </c>
      <c r="H149" s="104">
        <v>2313</v>
      </c>
      <c r="I149" s="104">
        <v>242</v>
      </c>
      <c r="J149" s="104" t="s">
        <v>37</v>
      </c>
      <c r="K149" s="104" t="s">
        <v>506</v>
      </c>
      <c r="L149" s="104">
        <v>87798</v>
      </c>
      <c r="M149" s="104">
        <v>6</v>
      </c>
      <c r="N149" s="104" t="s">
        <v>34</v>
      </c>
      <c r="O149" s="104" t="s">
        <v>34</v>
      </c>
      <c r="P149" s="104">
        <v>4281993</v>
      </c>
      <c r="Q149" s="106">
        <v>45957</v>
      </c>
      <c r="R149" s="104">
        <v>4399673</v>
      </c>
      <c r="S149" s="156">
        <v>10500</v>
      </c>
      <c r="T149" s="108">
        <v>45981</v>
      </c>
      <c r="U149" s="104">
        <v>13</v>
      </c>
      <c r="V149" s="104"/>
      <c r="W149" s="104" t="s">
        <v>507</v>
      </c>
      <c r="X149" s="104" t="s">
        <v>508</v>
      </c>
      <c r="Y149" s="131">
        <v>10500</v>
      </c>
      <c r="Z149" s="106">
        <v>46031</v>
      </c>
      <c r="AA149" s="106">
        <v>46048</v>
      </c>
      <c r="AB149" s="104" t="s">
        <v>60</v>
      </c>
      <c r="AC149" s="104"/>
      <c r="AD149" s="113">
        <f>S149-Y149</f>
        <v>0</v>
      </c>
    </row>
    <row r="150" spans="2:30" ht="45" hidden="1" customHeight="1">
      <c r="B150" s="174">
        <v>147</v>
      </c>
      <c r="C150" s="104" t="s">
        <v>51</v>
      </c>
      <c r="D150" s="104" t="s">
        <v>192</v>
      </c>
      <c r="E150" s="104" t="s">
        <v>34</v>
      </c>
      <c r="F150" s="104" t="s">
        <v>35</v>
      </c>
      <c r="G150" s="255" t="s">
        <v>509</v>
      </c>
      <c r="H150" s="104">
        <v>2291</v>
      </c>
      <c r="I150" s="104">
        <v>242</v>
      </c>
      <c r="J150" s="104" t="s">
        <v>37</v>
      </c>
      <c r="K150" s="104" t="s">
        <v>510</v>
      </c>
      <c r="L150" s="104">
        <v>87782</v>
      </c>
      <c r="M150" s="104">
        <v>2</v>
      </c>
      <c r="N150" s="104" t="s">
        <v>511</v>
      </c>
      <c r="O150" s="104" t="s">
        <v>34</v>
      </c>
      <c r="P150" s="104">
        <v>4282004</v>
      </c>
      <c r="Q150" s="106">
        <v>45957</v>
      </c>
      <c r="R150" s="120">
        <v>4399466</v>
      </c>
      <c r="S150" s="129">
        <v>2980.3</v>
      </c>
      <c r="T150" s="108">
        <v>45931</v>
      </c>
      <c r="U150" s="104">
        <v>319</v>
      </c>
      <c r="V150" s="110"/>
      <c r="W150" s="104" t="s">
        <v>48</v>
      </c>
      <c r="X150" s="104" t="s">
        <v>94</v>
      </c>
      <c r="Y150" s="131">
        <v>2980.3</v>
      </c>
      <c r="Z150" s="106">
        <v>45962</v>
      </c>
      <c r="AA150" s="122">
        <v>45965</v>
      </c>
      <c r="AB150" s="110" t="s">
        <v>60</v>
      </c>
      <c r="AC150" s="104" t="s">
        <v>512</v>
      </c>
      <c r="AD150" s="113">
        <f>S150-Y150</f>
        <v>0</v>
      </c>
    </row>
    <row r="151" spans="2:30" ht="45" hidden="1" customHeight="1">
      <c r="B151" s="174">
        <v>148</v>
      </c>
      <c r="C151" s="104" t="s">
        <v>291</v>
      </c>
      <c r="D151" s="104" t="s">
        <v>513</v>
      </c>
      <c r="E151" s="104">
        <v>39361</v>
      </c>
      <c r="F151" s="104" t="s">
        <v>44</v>
      </c>
      <c r="G151" s="255" t="s">
        <v>514</v>
      </c>
      <c r="H151" s="104">
        <v>2488</v>
      </c>
      <c r="I151" s="104">
        <v>170</v>
      </c>
      <c r="J151" s="104" t="s">
        <v>58</v>
      </c>
      <c r="K151" s="104" t="s">
        <v>515</v>
      </c>
      <c r="L151" s="104">
        <v>88468</v>
      </c>
      <c r="M151" s="104">
        <v>6</v>
      </c>
      <c r="N151" s="104" t="s">
        <v>34</v>
      </c>
      <c r="O151" s="104" t="s">
        <v>34</v>
      </c>
      <c r="P151" s="104">
        <v>4282673</v>
      </c>
      <c r="Q151" s="106">
        <v>45957</v>
      </c>
      <c r="R151" s="104">
        <v>4399684</v>
      </c>
      <c r="S151" s="109">
        <v>2400</v>
      </c>
      <c r="T151" s="108">
        <v>45962</v>
      </c>
      <c r="U151" s="104">
        <v>4278</v>
      </c>
      <c r="V151" s="104" t="s">
        <v>516</v>
      </c>
      <c r="W151" s="104" t="s">
        <v>40</v>
      </c>
      <c r="X151" s="104" t="s">
        <v>25</v>
      </c>
      <c r="Y151" s="131">
        <v>2400</v>
      </c>
      <c r="Z151" s="106">
        <v>45965</v>
      </c>
      <c r="AA151" s="106">
        <v>45977</v>
      </c>
      <c r="AB151" s="110" t="s">
        <v>60</v>
      </c>
      <c r="AC151" s="104"/>
      <c r="AD151" s="113">
        <f>S151-Y151</f>
        <v>0</v>
      </c>
    </row>
    <row r="152" spans="2:30" ht="45" hidden="1" customHeight="1">
      <c r="B152" s="174">
        <v>149</v>
      </c>
      <c r="C152" s="104" t="s">
        <v>95</v>
      </c>
      <c r="D152" s="104" t="s">
        <v>517</v>
      </c>
      <c r="E152" s="104" t="s">
        <v>34</v>
      </c>
      <c r="F152" s="104" t="s">
        <v>44</v>
      </c>
      <c r="G152" s="145" t="s">
        <v>518</v>
      </c>
      <c r="H152" s="104">
        <v>4502</v>
      </c>
      <c r="I152" s="104">
        <v>332</v>
      </c>
      <c r="J152" s="104" t="s">
        <v>46</v>
      </c>
      <c r="K152" s="104" t="s">
        <v>34</v>
      </c>
      <c r="L152" s="104" t="s">
        <v>34</v>
      </c>
      <c r="M152" s="104">
        <v>1</v>
      </c>
      <c r="N152" s="104" t="s">
        <v>34</v>
      </c>
      <c r="O152" s="104" t="s">
        <v>34</v>
      </c>
      <c r="P152" s="104">
        <v>4283766</v>
      </c>
      <c r="Q152" s="106">
        <v>45958</v>
      </c>
      <c r="R152" s="104">
        <v>4404862</v>
      </c>
      <c r="S152" s="156">
        <v>71075.520000000004</v>
      </c>
      <c r="T152" s="108"/>
      <c r="U152" s="116" t="s">
        <v>519</v>
      </c>
      <c r="V152" s="104" t="s">
        <v>34</v>
      </c>
      <c r="W152" s="104" t="s">
        <v>48</v>
      </c>
      <c r="X152" s="104" t="s">
        <v>44</v>
      </c>
      <c r="Y152" s="221">
        <v>81696</v>
      </c>
      <c r="Z152" s="106">
        <v>46010</v>
      </c>
      <c r="AA152" s="106">
        <v>46021</v>
      </c>
      <c r="AB152" s="104" t="s">
        <v>54</v>
      </c>
      <c r="AC152" s="118"/>
      <c r="AD152" s="113">
        <f>S152-Y152</f>
        <v>-10620.479999999996</v>
      </c>
    </row>
    <row r="153" spans="2:30" ht="45" hidden="1" customHeight="1">
      <c r="B153" s="174">
        <v>150</v>
      </c>
      <c r="C153" s="104" t="s">
        <v>282</v>
      </c>
      <c r="D153" s="104" t="s">
        <v>451</v>
      </c>
      <c r="E153" s="104">
        <v>38584</v>
      </c>
      <c r="F153" s="104" t="s">
        <v>44</v>
      </c>
      <c r="G153" s="255" t="s">
        <v>520</v>
      </c>
      <c r="H153" s="104">
        <v>1759</v>
      </c>
      <c r="I153" s="104">
        <v>242</v>
      </c>
      <c r="J153" s="104" t="s">
        <v>285</v>
      </c>
      <c r="K153" s="104" t="s">
        <v>521</v>
      </c>
      <c r="L153" s="104">
        <v>88590</v>
      </c>
      <c r="M153" s="104">
        <v>6</v>
      </c>
      <c r="N153" s="104" t="s">
        <v>34</v>
      </c>
      <c r="O153" s="104" t="s">
        <v>34</v>
      </c>
      <c r="P153" s="104">
        <v>4283840</v>
      </c>
      <c r="Q153" s="106">
        <v>45958</v>
      </c>
      <c r="R153" s="120">
        <v>4400039</v>
      </c>
      <c r="S153" s="129">
        <v>1335</v>
      </c>
      <c r="T153" s="108">
        <v>45982</v>
      </c>
      <c r="U153" s="104">
        <v>12003</v>
      </c>
      <c r="V153" s="104" t="s">
        <v>522</v>
      </c>
      <c r="W153" s="104" t="s">
        <v>106</v>
      </c>
      <c r="X153" s="104" t="s">
        <v>94</v>
      </c>
      <c r="Y153" s="131">
        <v>1335</v>
      </c>
      <c r="Z153" s="106">
        <v>45974</v>
      </c>
      <c r="AA153" s="122">
        <v>45975</v>
      </c>
      <c r="AB153" s="110" t="s">
        <v>60</v>
      </c>
      <c r="AC153" s="104"/>
      <c r="AD153" s="113">
        <f>S153-Y153</f>
        <v>0</v>
      </c>
    </row>
    <row r="154" spans="2:30" ht="45" hidden="1" customHeight="1">
      <c r="B154" s="174">
        <v>151</v>
      </c>
      <c r="C154" s="104" t="s">
        <v>282</v>
      </c>
      <c r="D154" s="104" t="s">
        <v>177</v>
      </c>
      <c r="E154" s="104">
        <v>38348</v>
      </c>
      <c r="F154" s="104" t="s">
        <v>44</v>
      </c>
      <c r="G154" s="255" t="s">
        <v>523</v>
      </c>
      <c r="H154" s="104">
        <v>1210</v>
      </c>
      <c r="I154" s="104">
        <v>242</v>
      </c>
      <c r="J154" s="104" t="s">
        <v>285</v>
      </c>
      <c r="K154" s="104" t="s">
        <v>524</v>
      </c>
      <c r="L154" s="104">
        <v>88607</v>
      </c>
      <c r="M154" s="104">
        <v>6</v>
      </c>
      <c r="N154" s="104" t="s">
        <v>34</v>
      </c>
      <c r="O154" s="104" t="s">
        <v>34</v>
      </c>
      <c r="P154" s="104">
        <v>4283871</v>
      </c>
      <c r="Q154" s="106">
        <v>45958</v>
      </c>
      <c r="R154" s="104">
        <v>4400459</v>
      </c>
      <c r="S154" s="129">
        <v>17520.75</v>
      </c>
      <c r="T154" s="108">
        <v>45993</v>
      </c>
      <c r="U154" s="104">
        <v>11830</v>
      </c>
      <c r="V154" s="104" t="s">
        <v>34</v>
      </c>
      <c r="W154" s="104" t="s">
        <v>48</v>
      </c>
      <c r="X154" s="104" t="s">
        <v>94</v>
      </c>
      <c r="Y154" s="131">
        <v>3667.8</v>
      </c>
      <c r="Z154" s="106">
        <v>46062</v>
      </c>
      <c r="AA154" s="106">
        <v>46073</v>
      </c>
      <c r="AB154" s="104" t="s">
        <v>60</v>
      </c>
      <c r="AC154" s="104"/>
      <c r="AD154" s="113">
        <f>S154-Y154</f>
        <v>13852.95</v>
      </c>
    </row>
    <row r="155" spans="2:30" ht="45" hidden="1" customHeight="1">
      <c r="B155" s="174">
        <v>152</v>
      </c>
      <c r="C155" s="104" t="s">
        <v>70</v>
      </c>
      <c r="D155" s="104" t="s">
        <v>323</v>
      </c>
      <c r="E155" s="104">
        <v>38714</v>
      </c>
      <c r="F155" s="104" t="s">
        <v>44</v>
      </c>
      <c r="G155" s="145" t="s">
        <v>525</v>
      </c>
      <c r="H155" s="104">
        <v>4057</v>
      </c>
      <c r="I155" s="104">
        <v>242</v>
      </c>
      <c r="J155" s="104" t="s">
        <v>58</v>
      </c>
      <c r="K155" s="104" t="s">
        <v>526</v>
      </c>
      <c r="L155" s="104">
        <v>88622</v>
      </c>
      <c r="M155" s="104">
        <v>6</v>
      </c>
      <c r="N155" s="104" t="s">
        <v>34</v>
      </c>
      <c r="O155" s="104" t="s">
        <v>34</v>
      </c>
      <c r="P155" s="104">
        <v>4284907</v>
      </c>
      <c r="Q155" s="106">
        <v>45959</v>
      </c>
      <c r="R155" s="104">
        <v>4404967</v>
      </c>
      <c r="S155" s="109">
        <v>4500</v>
      </c>
      <c r="T155" s="108">
        <v>45982</v>
      </c>
      <c r="U155" s="104">
        <v>142</v>
      </c>
      <c r="V155" s="104" t="s">
        <v>527</v>
      </c>
      <c r="W155" s="104" t="s">
        <v>40</v>
      </c>
      <c r="X155" s="104" t="s">
        <v>35</v>
      </c>
      <c r="Y155" s="221">
        <v>4500</v>
      </c>
      <c r="Z155" s="106">
        <v>45979</v>
      </c>
      <c r="AA155" s="106">
        <v>45987</v>
      </c>
      <c r="AB155" s="104" t="s">
        <v>60</v>
      </c>
      <c r="AC155" s="104"/>
      <c r="AD155" s="113">
        <f>S155-Y155</f>
        <v>0</v>
      </c>
    </row>
    <row r="156" spans="2:30" ht="45" hidden="1" customHeight="1">
      <c r="B156" s="174">
        <v>153</v>
      </c>
      <c r="C156" s="104" t="s">
        <v>291</v>
      </c>
      <c r="D156" s="104" t="s">
        <v>101</v>
      </c>
      <c r="E156" s="104" t="s">
        <v>34</v>
      </c>
      <c r="F156" s="104" t="s">
        <v>44</v>
      </c>
      <c r="G156" s="145" t="s">
        <v>528</v>
      </c>
      <c r="H156" s="104" t="s">
        <v>529</v>
      </c>
      <c r="I156" s="104">
        <v>153</v>
      </c>
      <c r="J156" s="104" t="s">
        <v>58</v>
      </c>
      <c r="K156" s="104" t="s">
        <v>530</v>
      </c>
      <c r="L156" s="104">
        <v>88815</v>
      </c>
      <c r="M156" s="104">
        <v>29</v>
      </c>
      <c r="N156" s="104" t="s">
        <v>531</v>
      </c>
      <c r="O156" s="104" t="s">
        <v>34</v>
      </c>
      <c r="P156" s="104">
        <v>4286239</v>
      </c>
      <c r="Q156" s="106">
        <v>45960</v>
      </c>
      <c r="R156" s="120">
        <v>4404736</v>
      </c>
      <c r="S156" s="109">
        <v>4400</v>
      </c>
      <c r="T156" s="108">
        <v>45962</v>
      </c>
      <c r="U156" s="116" t="s">
        <v>532</v>
      </c>
      <c r="V156" s="104" t="s">
        <v>34</v>
      </c>
      <c r="W156" s="104" t="s">
        <v>48</v>
      </c>
      <c r="X156" s="104" t="s">
        <v>35</v>
      </c>
      <c r="Y156" s="131">
        <v>4400</v>
      </c>
      <c r="Z156" s="106">
        <v>45967</v>
      </c>
      <c r="AA156" s="106">
        <v>45985</v>
      </c>
      <c r="AB156" s="104" t="s">
        <v>60</v>
      </c>
      <c r="AC156" s="104"/>
      <c r="AD156" s="113">
        <f>S156-Y156</f>
        <v>0</v>
      </c>
    </row>
    <row r="157" spans="2:30" ht="45" hidden="1" customHeight="1">
      <c r="B157" s="174">
        <v>154</v>
      </c>
      <c r="C157" s="104" t="s">
        <v>32</v>
      </c>
      <c r="D157" s="104" t="s">
        <v>192</v>
      </c>
      <c r="E157" s="104" t="s">
        <v>34</v>
      </c>
      <c r="F157" s="104" t="s">
        <v>35</v>
      </c>
      <c r="G157" s="145" t="s">
        <v>533</v>
      </c>
      <c r="H157" s="104">
        <v>2232</v>
      </c>
      <c r="I157" s="104">
        <v>242</v>
      </c>
      <c r="J157" s="104" t="s">
        <v>58</v>
      </c>
      <c r="K157" s="134" t="s">
        <v>534</v>
      </c>
      <c r="L157" s="104">
        <v>88914</v>
      </c>
      <c r="M157" s="104">
        <v>5</v>
      </c>
      <c r="N157" s="104" t="s">
        <v>535</v>
      </c>
      <c r="O157" s="104" t="s">
        <v>48</v>
      </c>
      <c r="P157" s="104">
        <v>4286253</v>
      </c>
      <c r="Q157" s="106">
        <v>45960</v>
      </c>
      <c r="R157" s="120">
        <v>4402829</v>
      </c>
      <c r="S157" s="109">
        <v>1280</v>
      </c>
      <c r="T157" s="108">
        <v>45962</v>
      </c>
      <c r="U157" s="104">
        <v>337</v>
      </c>
      <c r="V157" s="104" t="s">
        <v>536</v>
      </c>
      <c r="W157" s="104" t="s">
        <v>40</v>
      </c>
      <c r="X157" s="104" t="s">
        <v>44</v>
      </c>
      <c r="Y157" s="221">
        <v>1280</v>
      </c>
      <c r="Z157" s="106">
        <v>45965</v>
      </c>
      <c r="AA157" s="106">
        <v>45967</v>
      </c>
      <c r="AB157" s="110" t="s">
        <v>60</v>
      </c>
      <c r="AC157" s="104"/>
      <c r="AD157" s="113">
        <f>S157-Y157</f>
        <v>0</v>
      </c>
    </row>
    <row r="158" spans="2:30" ht="45" hidden="1" customHeight="1">
      <c r="B158" s="174">
        <v>155</v>
      </c>
      <c r="C158" s="104" t="s">
        <v>291</v>
      </c>
      <c r="D158" s="104" t="s">
        <v>33</v>
      </c>
      <c r="E158" s="104">
        <v>39791</v>
      </c>
      <c r="F158" s="104" t="s">
        <v>35</v>
      </c>
      <c r="G158" s="145" t="s">
        <v>537</v>
      </c>
      <c r="H158" s="104">
        <v>2224</v>
      </c>
      <c r="I158" s="104">
        <v>242</v>
      </c>
      <c r="J158" s="126" t="s">
        <v>58</v>
      </c>
      <c r="K158" s="134" t="s">
        <v>538</v>
      </c>
      <c r="L158" s="135">
        <v>88995</v>
      </c>
      <c r="M158" s="104">
        <v>6</v>
      </c>
      <c r="N158" s="104" t="s">
        <v>34</v>
      </c>
      <c r="O158" s="104" t="s">
        <v>34</v>
      </c>
      <c r="P158" s="104">
        <v>4286324</v>
      </c>
      <c r="Q158" s="106">
        <v>45960</v>
      </c>
      <c r="R158" s="104">
        <v>4402640</v>
      </c>
      <c r="S158" s="109">
        <v>1824</v>
      </c>
      <c r="T158" s="108">
        <v>45962</v>
      </c>
      <c r="U158" s="104">
        <v>3174</v>
      </c>
      <c r="V158" s="104" t="s">
        <v>539</v>
      </c>
      <c r="W158" s="104" t="s">
        <v>48</v>
      </c>
      <c r="X158" s="104" t="s">
        <v>25</v>
      </c>
      <c r="Y158" s="221">
        <v>1824</v>
      </c>
      <c r="Z158" s="106">
        <v>45965</v>
      </c>
      <c r="AA158" s="106">
        <v>45971</v>
      </c>
      <c r="AB158" s="110" t="s">
        <v>60</v>
      </c>
      <c r="AC158" s="104"/>
      <c r="AD158" s="113">
        <f>S158-Y158</f>
        <v>0</v>
      </c>
    </row>
    <row r="159" spans="2:30" ht="45" hidden="1" customHeight="1">
      <c r="B159" s="174">
        <v>156</v>
      </c>
      <c r="C159" s="104" t="s">
        <v>291</v>
      </c>
      <c r="D159" s="104" t="s">
        <v>33</v>
      </c>
      <c r="E159" s="104">
        <v>39794</v>
      </c>
      <c r="F159" s="104" t="s">
        <v>35</v>
      </c>
      <c r="G159" s="145" t="s">
        <v>540</v>
      </c>
      <c r="H159" s="104">
        <v>2488</v>
      </c>
      <c r="I159" s="104">
        <v>242</v>
      </c>
      <c r="J159" s="126" t="s">
        <v>58</v>
      </c>
      <c r="K159" s="134" t="s">
        <v>541</v>
      </c>
      <c r="L159" s="135">
        <v>89026</v>
      </c>
      <c r="M159" s="104">
        <v>6</v>
      </c>
      <c r="N159" s="134" t="s">
        <v>34</v>
      </c>
      <c r="O159" s="104" t="s">
        <v>34</v>
      </c>
      <c r="P159" s="104">
        <v>4286735</v>
      </c>
      <c r="Q159" s="106">
        <v>45960</v>
      </c>
      <c r="R159" s="104">
        <v>4402644</v>
      </c>
      <c r="S159" s="109">
        <v>1653</v>
      </c>
      <c r="T159" s="108">
        <v>45962</v>
      </c>
      <c r="U159" s="104">
        <v>3194</v>
      </c>
      <c r="V159" s="104" t="s">
        <v>542</v>
      </c>
      <c r="W159" s="104" t="s">
        <v>48</v>
      </c>
      <c r="X159" s="104" t="s">
        <v>35</v>
      </c>
      <c r="Y159" s="221">
        <v>1653</v>
      </c>
      <c r="Z159" s="106">
        <v>45992</v>
      </c>
      <c r="AA159" s="106">
        <v>46000</v>
      </c>
      <c r="AB159" s="104" t="s">
        <v>60</v>
      </c>
      <c r="AC159" s="104"/>
      <c r="AD159" s="113">
        <f>S159-Y159</f>
        <v>0</v>
      </c>
    </row>
    <row r="160" spans="2:30" ht="45" hidden="1" customHeight="1">
      <c r="B160" s="174">
        <v>157</v>
      </c>
      <c r="C160" s="104" t="s">
        <v>282</v>
      </c>
      <c r="D160" s="104" t="s">
        <v>543</v>
      </c>
      <c r="E160" s="104">
        <v>38724</v>
      </c>
      <c r="F160" s="104" t="s">
        <v>44</v>
      </c>
      <c r="G160" s="145" t="s">
        <v>544</v>
      </c>
      <c r="H160" s="104">
        <v>2119</v>
      </c>
      <c r="I160" s="104">
        <v>242</v>
      </c>
      <c r="J160" s="136" t="s">
        <v>285</v>
      </c>
      <c r="K160" s="134" t="s">
        <v>543</v>
      </c>
      <c r="L160" s="135">
        <v>87018</v>
      </c>
      <c r="M160" s="126">
        <v>6</v>
      </c>
      <c r="N160" s="137" t="s">
        <v>34</v>
      </c>
      <c r="O160" s="135" t="s">
        <v>34</v>
      </c>
      <c r="P160" s="104">
        <v>4286821</v>
      </c>
      <c r="Q160" s="106">
        <v>45960</v>
      </c>
      <c r="R160" s="104">
        <v>4405766</v>
      </c>
      <c r="S160" s="129">
        <v>445</v>
      </c>
      <c r="T160" s="108">
        <v>45964</v>
      </c>
      <c r="U160" s="104">
        <v>112</v>
      </c>
      <c r="V160" s="127" t="s">
        <v>545</v>
      </c>
      <c r="W160" s="104" t="s">
        <v>48</v>
      </c>
      <c r="X160" s="104" t="s">
        <v>25</v>
      </c>
      <c r="Y160" s="131">
        <v>445</v>
      </c>
      <c r="Z160" s="106">
        <v>45967</v>
      </c>
      <c r="AA160" s="122">
        <v>45978</v>
      </c>
      <c r="AB160" s="110" t="s">
        <v>60</v>
      </c>
      <c r="AC160" s="104"/>
      <c r="AD160" s="113">
        <f>S160-Y160</f>
        <v>0</v>
      </c>
    </row>
    <row r="161" spans="2:30" ht="45" hidden="1" customHeight="1">
      <c r="B161" s="174">
        <v>158</v>
      </c>
      <c r="C161" s="104" t="s">
        <v>224</v>
      </c>
      <c r="D161" s="104" t="s">
        <v>546</v>
      </c>
      <c r="E161" s="104">
        <v>38840</v>
      </c>
      <c r="F161" s="104" t="s">
        <v>44</v>
      </c>
      <c r="G161" s="145" t="s">
        <v>547</v>
      </c>
      <c r="H161" s="104" t="s">
        <v>548</v>
      </c>
      <c r="I161" s="126">
        <v>7</v>
      </c>
      <c r="J161" s="137" t="s">
        <v>46</v>
      </c>
      <c r="K161" s="137" t="s">
        <v>549</v>
      </c>
      <c r="L161" s="135">
        <v>89141</v>
      </c>
      <c r="M161" s="104">
        <v>6</v>
      </c>
      <c r="N161" s="138" t="s">
        <v>34</v>
      </c>
      <c r="O161" s="104" t="s">
        <v>34</v>
      </c>
      <c r="P161" s="104">
        <v>4286851</v>
      </c>
      <c r="Q161" s="106">
        <v>45960</v>
      </c>
      <c r="R161" s="104">
        <v>4408281</v>
      </c>
      <c r="S161" s="129">
        <v>2010</v>
      </c>
      <c r="T161" s="108">
        <v>45976</v>
      </c>
      <c r="U161" s="104">
        <v>66</v>
      </c>
      <c r="V161" s="104" t="s">
        <v>550</v>
      </c>
      <c r="W161" s="104" t="s">
        <v>106</v>
      </c>
      <c r="X161" s="104" t="s">
        <v>25</v>
      </c>
      <c r="Y161" s="131">
        <v>2010</v>
      </c>
      <c r="Z161" s="106">
        <v>45972</v>
      </c>
      <c r="AA161" s="106">
        <v>45980</v>
      </c>
      <c r="AB161" s="110" t="s">
        <v>60</v>
      </c>
      <c r="AC161" s="104"/>
      <c r="AD161" s="113">
        <f>S161-Y161</f>
        <v>0</v>
      </c>
    </row>
    <row r="162" spans="2:30" ht="45" hidden="1" customHeight="1">
      <c r="B162" s="174">
        <v>159</v>
      </c>
      <c r="C162" s="104" t="s">
        <v>146</v>
      </c>
      <c r="D162" s="104" t="s">
        <v>551</v>
      </c>
      <c r="E162" s="104">
        <v>39324</v>
      </c>
      <c r="F162" s="104" t="s">
        <v>44</v>
      </c>
      <c r="G162" s="145" t="s">
        <v>552</v>
      </c>
      <c r="H162" s="104">
        <v>4472</v>
      </c>
      <c r="I162" s="104">
        <v>242</v>
      </c>
      <c r="J162" s="138" t="s">
        <v>46</v>
      </c>
      <c r="K162" s="138">
        <v>80223</v>
      </c>
      <c r="L162" s="104">
        <v>89444</v>
      </c>
      <c r="M162" s="104">
        <v>6</v>
      </c>
      <c r="N162" s="104" t="s">
        <v>34</v>
      </c>
      <c r="O162" s="104" t="s">
        <v>34</v>
      </c>
      <c r="P162" s="104">
        <v>4287592</v>
      </c>
      <c r="Q162" s="106">
        <v>45961</v>
      </c>
      <c r="R162" s="104">
        <v>4405027</v>
      </c>
      <c r="S162" s="129">
        <v>1785.2</v>
      </c>
      <c r="T162" s="108">
        <v>45976</v>
      </c>
      <c r="U162" s="104">
        <v>151</v>
      </c>
      <c r="V162" s="104"/>
      <c r="W162" s="104" t="s">
        <v>35</v>
      </c>
      <c r="X162" s="104" t="s">
        <v>25</v>
      </c>
      <c r="Y162" s="131">
        <v>1710</v>
      </c>
      <c r="Z162" s="106">
        <v>46027</v>
      </c>
      <c r="AA162" s="106">
        <v>46043</v>
      </c>
      <c r="AB162" s="104" t="s">
        <v>60</v>
      </c>
      <c r="AC162" s="104"/>
      <c r="AD162" s="113">
        <f>S162-Y162</f>
        <v>75.200000000000045</v>
      </c>
    </row>
    <row r="163" spans="2:30" ht="45" hidden="1" customHeight="1">
      <c r="B163" s="174">
        <v>160</v>
      </c>
      <c r="C163" s="104" t="s">
        <v>146</v>
      </c>
      <c r="D163" s="104" t="s">
        <v>551</v>
      </c>
      <c r="E163" s="104">
        <v>39324</v>
      </c>
      <c r="F163" s="104" t="s">
        <v>44</v>
      </c>
      <c r="G163" s="145" t="s">
        <v>553</v>
      </c>
      <c r="H163" s="104">
        <v>4057</v>
      </c>
      <c r="I163" s="104">
        <v>242</v>
      </c>
      <c r="J163" s="104" t="s">
        <v>46</v>
      </c>
      <c r="K163" s="104">
        <v>80224</v>
      </c>
      <c r="L163" s="104">
        <v>89445</v>
      </c>
      <c r="M163" s="104">
        <v>6</v>
      </c>
      <c r="N163" s="104" t="s">
        <v>34</v>
      </c>
      <c r="O163" s="104" t="s">
        <v>34</v>
      </c>
      <c r="P163" s="104">
        <v>4287597</v>
      </c>
      <c r="Q163" s="106">
        <v>45961</v>
      </c>
      <c r="R163" s="104">
        <v>4405032</v>
      </c>
      <c r="S163" s="129">
        <v>5958.3</v>
      </c>
      <c r="T163" s="108">
        <v>45976</v>
      </c>
      <c r="U163" s="104">
        <v>150</v>
      </c>
      <c r="V163" s="104" t="s">
        <v>554</v>
      </c>
      <c r="W163" s="104" t="s">
        <v>48</v>
      </c>
      <c r="X163" s="104" t="s">
        <v>35</v>
      </c>
      <c r="Y163" s="131">
        <v>5710</v>
      </c>
      <c r="Z163" s="106">
        <v>46013</v>
      </c>
      <c r="AA163" s="106">
        <v>46013</v>
      </c>
      <c r="AB163" s="104" t="s">
        <v>60</v>
      </c>
      <c r="AC163" s="104"/>
      <c r="AD163" s="113">
        <f>S163-Y163</f>
        <v>248.30000000000018</v>
      </c>
    </row>
    <row r="164" spans="2:30" ht="45" hidden="1" customHeight="1">
      <c r="B164" s="174">
        <v>161</v>
      </c>
      <c r="C164" s="104" t="s">
        <v>146</v>
      </c>
      <c r="D164" s="104" t="s">
        <v>551</v>
      </c>
      <c r="E164" s="104">
        <v>39324</v>
      </c>
      <c r="F164" s="104" t="s">
        <v>44</v>
      </c>
      <c r="G164" s="145" t="s">
        <v>555</v>
      </c>
      <c r="H164" s="104">
        <v>4588</v>
      </c>
      <c r="I164" s="104">
        <v>242</v>
      </c>
      <c r="J164" s="104" t="s">
        <v>46</v>
      </c>
      <c r="K164" s="104">
        <v>80225</v>
      </c>
      <c r="L164" s="104">
        <v>89446</v>
      </c>
      <c r="M164" s="104">
        <v>6</v>
      </c>
      <c r="N164" s="104" t="s">
        <v>34</v>
      </c>
      <c r="O164" s="104" t="s">
        <v>34</v>
      </c>
      <c r="P164" s="104">
        <v>4287605</v>
      </c>
      <c r="Q164" s="106">
        <v>45961</v>
      </c>
      <c r="R164" s="104">
        <v>4405321</v>
      </c>
      <c r="S164" s="129">
        <v>5996.9</v>
      </c>
      <c r="T164" s="108">
        <v>45976</v>
      </c>
      <c r="U164" s="104">
        <v>147</v>
      </c>
      <c r="V164" s="104"/>
      <c r="W164" s="104" t="s">
        <v>40</v>
      </c>
      <c r="X164" s="104" t="s">
        <v>25</v>
      </c>
      <c r="Y164" s="131">
        <v>5750</v>
      </c>
      <c r="Z164" s="106">
        <v>45992</v>
      </c>
      <c r="AA164" s="106">
        <v>45996</v>
      </c>
      <c r="AB164" s="104" t="s">
        <v>60</v>
      </c>
      <c r="AC164" s="104"/>
      <c r="AD164" s="113">
        <f>S164-Y164</f>
        <v>246.89999999999964</v>
      </c>
    </row>
    <row r="165" spans="2:30" ht="45" hidden="1" customHeight="1">
      <c r="B165" s="174">
        <v>162</v>
      </c>
      <c r="C165" s="104" t="s">
        <v>42</v>
      </c>
      <c r="D165" s="104" t="s">
        <v>556</v>
      </c>
      <c r="E165" s="104" t="s">
        <v>34</v>
      </c>
      <c r="F165" s="104" t="s">
        <v>44</v>
      </c>
      <c r="G165" s="145" t="s">
        <v>557</v>
      </c>
      <c r="H165" s="104">
        <v>1244</v>
      </c>
      <c r="I165" s="104">
        <v>242</v>
      </c>
      <c r="J165" s="104" t="s">
        <v>37</v>
      </c>
      <c r="K165" s="104" t="s">
        <v>556</v>
      </c>
      <c r="L165" s="104">
        <v>89476</v>
      </c>
      <c r="M165" s="104">
        <v>5</v>
      </c>
      <c r="N165" s="104" t="s">
        <v>558</v>
      </c>
      <c r="O165" s="104" t="s">
        <v>34</v>
      </c>
      <c r="P165" s="104">
        <v>4287613</v>
      </c>
      <c r="Q165" s="106">
        <v>45961</v>
      </c>
      <c r="R165" s="104">
        <v>4410586</v>
      </c>
      <c r="S165" s="129">
        <v>970</v>
      </c>
      <c r="T165" s="108">
        <v>45931</v>
      </c>
      <c r="U165" s="104">
        <v>2691</v>
      </c>
      <c r="V165" s="104" t="s">
        <v>34</v>
      </c>
      <c r="W165" s="104" t="s">
        <v>197</v>
      </c>
      <c r="X165" s="104" t="s">
        <v>25</v>
      </c>
      <c r="Y165" s="131">
        <v>970</v>
      </c>
      <c r="Z165" s="106">
        <v>45974</v>
      </c>
      <c r="AA165" s="122">
        <v>45978</v>
      </c>
      <c r="AB165" s="110" t="s">
        <v>60</v>
      </c>
      <c r="AC165" s="104"/>
      <c r="AD165" s="113">
        <f>S165-Y165</f>
        <v>0</v>
      </c>
    </row>
    <row r="166" spans="2:30" ht="45" hidden="1" customHeight="1">
      <c r="B166" s="174">
        <v>163</v>
      </c>
      <c r="C166" s="104" t="s">
        <v>146</v>
      </c>
      <c r="D166" s="104" t="s">
        <v>559</v>
      </c>
      <c r="E166" s="104">
        <v>39793</v>
      </c>
      <c r="F166" s="104" t="s">
        <v>35</v>
      </c>
      <c r="G166" s="145" t="s">
        <v>560</v>
      </c>
      <c r="H166" s="104">
        <v>4669</v>
      </c>
      <c r="I166" s="104">
        <v>242</v>
      </c>
      <c r="J166" s="104" t="s">
        <v>46</v>
      </c>
      <c r="K166" s="104">
        <v>415</v>
      </c>
      <c r="L166" s="104">
        <v>89451</v>
      </c>
      <c r="M166" s="104">
        <v>6</v>
      </c>
      <c r="N166" s="104" t="s">
        <v>34</v>
      </c>
      <c r="O166" s="104" t="s">
        <v>34</v>
      </c>
      <c r="P166" s="104">
        <v>4287665</v>
      </c>
      <c r="Q166" s="106">
        <v>45961</v>
      </c>
      <c r="R166" s="104">
        <v>4404983</v>
      </c>
      <c r="S166" s="129">
        <v>275.5</v>
      </c>
      <c r="T166" s="108">
        <v>45976</v>
      </c>
      <c r="U166" s="104">
        <v>3179</v>
      </c>
      <c r="V166" s="104" t="s">
        <v>561</v>
      </c>
      <c r="W166" s="104" t="s">
        <v>197</v>
      </c>
      <c r="X166" s="104" t="s">
        <v>25</v>
      </c>
      <c r="Y166" s="228">
        <v>275.5</v>
      </c>
      <c r="Z166" s="106">
        <v>45966</v>
      </c>
      <c r="AA166" s="106">
        <v>45971</v>
      </c>
      <c r="AB166" s="110" t="s">
        <v>60</v>
      </c>
      <c r="AC166" s="104"/>
      <c r="AD166" s="113">
        <f>S166-Y166</f>
        <v>0</v>
      </c>
    </row>
    <row r="167" spans="2:30" ht="45" hidden="1" customHeight="1">
      <c r="B167" s="174">
        <v>164</v>
      </c>
      <c r="C167" s="104" t="s">
        <v>291</v>
      </c>
      <c r="D167" s="104" t="s">
        <v>513</v>
      </c>
      <c r="E167" s="104">
        <v>39447</v>
      </c>
      <c r="F167" s="104" t="s">
        <v>44</v>
      </c>
      <c r="G167" s="145" t="s">
        <v>562</v>
      </c>
      <c r="H167" s="104">
        <v>2224</v>
      </c>
      <c r="I167" s="104">
        <v>170</v>
      </c>
      <c r="J167" s="104" t="s">
        <v>46</v>
      </c>
      <c r="K167" s="104">
        <v>10</v>
      </c>
      <c r="L167" s="104">
        <v>89461</v>
      </c>
      <c r="M167" s="104">
        <v>6</v>
      </c>
      <c r="N167" s="104" t="s">
        <v>34</v>
      </c>
      <c r="O167" s="104" t="s">
        <v>34</v>
      </c>
      <c r="P167" s="104">
        <v>4287691</v>
      </c>
      <c r="Q167" s="106">
        <v>45961</v>
      </c>
      <c r="R167" s="104">
        <v>4405280</v>
      </c>
      <c r="S167" s="129">
        <v>480</v>
      </c>
      <c r="T167" s="108">
        <v>45966</v>
      </c>
      <c r="U167" s="104">
        <v>4281</v>
      </c>
      <c r="V167" s="104" t="s">
        <v>563</v>
      </c>
      <c r="W167" s="104" t="s">
        <v>48</v>
      </c>
      <c r="X167" s="104" t="s">
        <v>25</v>
      </c>
      <c r="Y167" s="222">
        <v>480</v>
      </c>
      <c r="Z167" s="106">
        <v>45966</v>
      </c>
      <c r="AA167" s="106">
        <v>45977</v>
      </c>
      <c r="AB167" s="110" t="s">
        <v>60</v>
      </c>
      <c r="AC167" s="104"/>
      <c r="AD167" s="113">
        <f>S167-Y167</f>
        <v>0</v>
      </c>
    </row>
    <row r="168" spans="2:30" ht="45" hidden="1" customHeight="1">
      <c r="B168" s="174">
        <v>165</v>
      </c>
      <c r="C168" s="104" t="s">
        <v>95</v>
      </c>
      <c r="D168" s="104" t="s">
        <v>192</v>
      </c>
      <c r="E168" s="104" t="s">
        <v>34</v>
      </c>
      <c r="F168" s="104" t="s">
        <v>44</v>
      </c>
      <c r="G168" s="145" t="s">
        <v>564</v>
      </c>
      <c r="H168" s="104">
        <v>1210</v>
      </c>
      <c r="I168" s="104">
        <v>326</v>
      </c>
      <c r="J168" s="104" t="s">
        <v>58</v>
      </c>
      <c r="K168" s="104" t="s">
        <v>34</v>
      </c>
      <c r="L168" s="104" t="s">
        <v>34</v>
      </c>
      <c r="M168" s="104">
        <v>1</v>
      </c>
      <c r="N168" s="104" t="s">
        <v>34</v>
      </c>
      <c r="O168" s="104" t="s">
        <v>34</v>
      </c>
      <c r="P168" s="104">
        <v>4287988</v>
      </c>
      <c r="Q168" s="106">
        <v>45961</v>
      </c>
      <c r="R168" s="104">
        <v>4413918</v>
      </c>
      <c r="S168" s="155">
        <v>249144.04</v>
      </c>
      <c r="T168" s="108"/>
      <c r="U168" s="104">
        <v>475</v>
      </c>
      <c r="V168" s="104" t="s">
        <v>34</v>
      </c>
      <c r="W168" s="104" t="s">
        <v>40</v>
      </c>
      <c r="X168" s="104" t="s">
        <v>44</v>
      </c>
      <c r="Y168" s="131">
        <v>100000</v>
      </c>
      <c r="Z168" s="106">
        <v>46006</v>
      </c>
      <c r="AA168" s="106">
        <v>46007</v>
      </c>
      <c r="AB168" s="104" t="s">
        <v>60</v>
      </c>
      <c r="AC168" s="104"/>
      <c r="AD168" s="113">
        <f>S168-Y168</f>
        <v>149144.04</v>
      </c>
    </row>
    <row r="169" spans="2:30" ht="45" hidden="1" customHeight="1">
      <c r="B169" s="174">
        <v>166</v>
      </c>
      <c r="C169" s="104" t="s">
        <v>146</v>
      </c>
      <c r="D169" s="104" t="s">
        <v>551</v>
      </c>
      <c r="E169" s="104">
        <v>39324</v>
      </c>
      <c r="F169" s="104" t="s">
        <v>44</v>
      </c>
      <c r="G169" s="145" t="s">
        <v>565</v>
      </c>
      <c r="H169" s="104">
        <v>2283</v>
      </c>
      <c r="I169" s="104">
        <v>242</v>
      </c>
      <c r="J169" s="104" t="s">
        <v>46</v>
      </c>
      <c r="K169" s="104">
        <v>80226</v>
      </c>
      <c r="L169" s="104">
        <v>89448</v>
      </c>
      <c r="M169" s="104">
        <v>6</v>
      </c>
      <c r="N169" s="104" t="s">
        <v>34</v>
      </c>
      <c r="O169" s="104" t="s">
        <v>34</v>
      </c>
      <c r="P169" s="104">
        <v>4288066</v>
      </c>
      <c r="Q169" s="106">
        <v>45961</v>
      </c>
      <c r="R169" s="104">
        <v>4405323</v>
      </c>
      <c r="S169" s="129">
        <v>895.2</v>
      </c>
      <c r="T169" s="108">
        <v>45976</v>
      </c>
      <c r="U169" s="104">
        <v>143</v>
      </c>
      <c r="V169" s="104"/>
      <c r="W169" s="104" t="s">
        <v>40</v>
      </c>
      <c r="X169" s="104" t="s">
        <v>35</v>
      </c>
      <c r="Y169" s="228">
        <v>850</v>
      </c>
      <c r="Z169" s="106">
        <v>45979</v>
      </c>
      <c r="AA169" s="106">
        <v>45987</v>
      </c>
      <c r="AB169" s="104" t="s">
        <v>60</v>
      </c>
      <c r="AC169" s="104"/>
      <c r="AD169" s="113">
        <f>S169-Y169</f>
        <v>45.200000000000045</v>
      </c>
    </row>
    <row r="170" spans="2:30" ht="45" hidden="1" customHeight="1">
      <c r="B170" s="174">
        <v>167</v>
      </c>
      <c r="C170" s="104" t="s">
        <v>183</v>
      </c>
      <c r="D170" s="104" t="s">
        <v>33</v>
      </c>
      <c r="E170" s="104">
        <v>39949</v>
      </c>
      <c r="F170" s="104" t="s">
        <v>35</v>
      </c>
      <c r="G170" s="145" t="s">
        <v>566</v>
      </c>
      <c r="H170" s="104">
        <v>2488</v>
      </c>
      <c r="I170" s="104">
        <v>242</v>
      </c>
      <c r="J170" s="104" t="s">
        <v>46</v>
      </c>
      <c r="K170" s="104">
        <v>412</v>
      </c>
      <c r="L170" s="104">
        <v>89598</v>
      </c>
      <c r="M170" s="104">
        <v>6</v>
      </c>
      <c r="N170" s="104" t="s">
        <v>34</v>
      </c>
      <c r="O170" s="104" t="s">
        <v>34</v>
      </c>
      <c r="P170" s="104">
        <v>4289570</v>
      </c>
      <c r="Q170" s="106">
        <v>45965</v>
      </c>
      <c r="R170" s="104">
        <v>4405476</v>
      </c>
      <c r="S170" s="129">
        <v>9280</v>
      </c>
      <c r="T170" s="108">
        <v>45975</v>
      </c>
      <c r="U170" s="104">
        <v>3207</v>
      </c>
      <c r="V170" s="104" t="s">
        <v>567</v>
      </c>
      <c r="W170" s="104" t="s">
        <v>40</v>
      </c>
      <c r="X170" s="104" t="s">
        <v>25</v>
      </c>
      <c r="Y170" s="223">
        <v>8816</v>
      </c>
      <c r="Z170" s="106">
        <v>45995</v>
      </c>
      <c r="AA170" s="106">
        <v>45999</v>
      </c>
      <c r="AB170" s="104" t="s">
        <v>60</v>
      </c>
      <c r="AC170" s="104"/>
      <c r="AD170" s="113">
        <f>S170-Y170</f>
        <v>464</v>
      </c>
    </row>
    <row r="171" spans="2:30" ht="45" hidden="1" customHeight="1">
      <c r="B171" s="174">
        <v>168</v>
      </c>
      <c r="C171" s="104" t="s">
        <v>282</v>
      </c>
      <c r="D171" s="104" t="s">
        <v>568</v>
      </c>
      <c r="E171" s="104" t="s">
        <v>34</v>
      </c>
      <c r="F171" s="104" t="s">
        <v>44</v>
      </c>
      <c r="G171" s="145" t="s">
        <v>569</v>
      </c>
      <c r="H171" s="104">
        <v>2321</v>
      </c>
      <c r="I171" s="104">
        <v>242</v>
      </c>
      <c r="J171" s="104" t="s">
        <v>285</v>
      </c>
      <c r="K171" s="104" t="s">
        <v>479</v>
      </c>
      <c r="L171" s="104">
        <v>89554</v>
      </c>
      <c r="M171" s="104">
        <v>1</v>
      </c>
      <c r="N171" s="104" t="s">
        <v>34</v>
      </c>
      <c r="O171" s="104" t="s">
        <v>34</v>
      </c>
      <c r="P171" s="104">
        <v>4289945</v>
      </c>
      <c r="Q171" s="106">
        <v>45964</v>
      </c>
      <c r="R171" s="104">
        <v>4408638</v>
      </c>
      <c r="S171" s="129">
        <v>4735</v>
      </c>
      <c r="T171" s="108">
        <v>45993</v>
      </c>
      <c r="U171" s="104">
        <v>706</v>
      </c>
      <c r="V171" s="104"/>
      <c r="W171" s="104" t="s">
        <v>197</v>
      </c>
      <c r="X171" s="104" t="s">
        <v>25</v>
      </c>
      <c r="Y171" s="131">
        <v>2335</v>
      </c>
      <c r="Z171" s="106">
        <v>45993</v>
      </c>
      <c r="AA171" s="106">
        <v>45994</v>
      </c>
      <c r="AB171" s="104" t="s">
        <v>60</v>
      </c>
      <c r="AC171" s="104"/>
      <c r="AD171" s="113">
        <f>S171-Y171</f>
        <v>2400</v>
      </c>
    </row>
    <row r="172" spans="2:30" ht="45" hidden="1" customHeight="1">
      <c r="B172" s="174">
        <v>169</v>
      </c>
      <c r="C172" s="104" t="s">
        <v>291</v>
      </c>
      <c r="D172" s="104" t="s">
        <v>570</v>
      </c>
      <c r="E172" s="104" t="s">
        <v>34</v>
      </c>
      <c r="F172" s="104" t="s">
        <v>35</v>
      </c>
      <c r="G172" s="145" t="s">
        <v>571</v>
      </c>
      <c r="H172" s="104">
        <v>2224</v>
      </c>
      <c r="I172" s="104">
        <v>242</v>
      </c>
      <c r="J172" s="104" t="s">
        <v>46</v>
      </c>
      <c r="K172" s="104">
        <v>591</v>
      </c>
      <c r="L172" s="104">
        <v>89471</v>
      </c>
      <c r="M172" s="104">
        <v>5</v>
      </c>
      <c r="N172" s="104" t="s">
        <v>572</v>
      </c>
      <c r="O172" s="104" t="s">
        <v>34</v>
      </c>
      <c r="P172" s="104">
        <v>4290581</v>
      </c>
      <c r="Q172" s="106">
        <v>45965</v>
      </c>
      <c r="R172" s="104">
        <v>4409531</v>
      </c>
      <c r="S172" s="129">
        <v>695</v>
      </c>
      <c r="T172" s="108">
        <v>45955</v>
      </c>
      <c r="U172" s="104">
        <v>357</v>
      </c>
      <c r="V172" s="104"/>
      <c r="W172" s="104" t="s">
        <v>40</v>
      </c>
      <c r="X172" s="104" t="s">
        <v>44</v>
      </c>
      <c r="Y172" s="131">
        <v>695</v>
      </c>
      <c r="Z172" s="106">
        <v>45972</v>
      </c>
      <c r="AA172" s="106">
        <v>45977</v>
      </c>
      <c r="AB172" s="110" t="s">
        <v>60</v>
      </c>
      <c r="AC172" s="104"/>
      <c r="AD172" s="113">
        <f>S172-Y172</f>
        <v>0</v>
      </c>
    </row>
    <row r="173" spans="2:30" ht="45" hidden="1" customHeight="1">
      <c r="B173" s="174">
        <v>170</v>
      </c>
      <c r="C173" s="104" t="s">
        <v>183</v>
      </c>
      <c r="D173" s="104" t="s">
        <v>192</v>
      </c>
      <c r="E173" s="104" t="s">
        <v>34</v>
      </c>
      <c r="F173" s="104" t="s">
        <v>35</v>
      </c>
      <c r="G173" s="145" t="s">
        <v>573</v>
      </c>
      <c r="H173" s="104">
        <v>5345</v>
      </c>
      <c r="I173" s="104">
        <v>242</v>
      </c>
      <c r="J173" s="104" t="s">
        <v>46</v>
      </c>
      <c r="K173" s="104">
        <v>598</v>
      </c>
      <c r="L173" s="104">
        <v>89599</v>
      </c>
      <c r="M173" s="104">
        <v>5</v>
      </c>
      <c r="N173" s="104" t="s">
        <v>574</v>
      </c>
      <c r="O173" s="104" t="s">
        <v>34</v>
      </c>
      <c r="P173" s="104">
        <v>4290603</v>
      </c>
      <c r="Q173" s="106">
        <v>45965</v>
      </c>
      <c r="R173" s="104">
        <v>4409533</v>
      </c>
      <c r="S173" s="129">
        <v>980</v>
      </c>
      <c r="T173" s="108">
        <v>45975</v>
      </c>
      <c r="U173" s="104">
        <v>356</v>
      </c>
      <c r="V173" s="104">
        <v>108</v>
      </c>
      <c r="W173" s="104" t="s">
        <v>48</v>
      </c>
      <c r="X173" s="104" t="s">
        <v>94</v>
      </c>
      <c r="Y173" s="131">
        <v>980</v>
      </c>
      <c r="Z173" s="106">
        <v>45972</v>
      </c>
      <c r="AA173" s="106">
        <v>45974</v>
      </c>
      <c r="AB173" s="110" t="s">
        <v>60</v>
      </c>
      <c r="AC173" s="104"/>
      <c r="AD173" s="113">
        <f>S173-Y173</f>
        <v>0</v>
      </c>
    </row>
    <row r="174" spans="2:30" ht="45" hidden="1" customHeight="1">
      <c r="B174" s="174">
        <v>171</v>
      </c>
      <c r="C174" s="104" t="s">
        <v>279</v>
      </c>
      <c r="D174" s="104" t="s">
        <v>575</v>
      </c>
      <c r="E174" s="104" t="s">
        <v>34</v>
      </c>
      <c r="F174" s="104" t="s">
        <v>35</v>
      </c>
      <c r="G174" s="145" t="s">
        <v>576</v>
      </c>
      <c r="H174" s="104">
        <v>5345</v>
      </c>
      <c r="I174" s="104">
        <v>242</v>
      </c>
      <c r="J174" s="104" t="s">
        <v>46</v>
      </c>
      <c r="K174" s="104">
        <v>6</v>
      </c>
      <c r="L174" s="104">
        <v>89882</v>
      </c>
      <c r="M174" s="104">
        <v>5</v>
      </c>
      <c r="N174" s="104" t="s">
        <v>577</v>
      </c>
      <c r="O174" s="104" t="s">
        <v>34</v>
      </c>
      <c r="P174" s="104">
        <v>4290628</v>
      </c>
      <c r="Q174" s="106">
        <v>45965</v>
      </c>
      <c r="R174" s="104">
        <v>4409534</v>
      </c>
      <c r="S174" s="129">
        <v>4369.8999999999996</v>
      </c>
      <c r="T174" s="108" t="s">
        <v>34</v>
      </c>
      <c r="U174" s="104">
        <v>1789</v>
      </c>
      <c r="V174" s="104" t="s">
        <v>34</v>
      </c>
      <c r="W174" s="104" t="s">
        <v>48</v>
      </c>
      <c r="X174" s="104" t="s">
        <v>25</v>
      </c>
      <c r="Y174" s="131">
        <v>4369.8999999999996</v>
      </c>
      <c r="Z174" s="106">
        <v>45974</v>
      </c>
      <c r="AA174" s="106">
        <v>45978</v>
      </c>
      <c r="AB174" s="110" t="s">
        <v>60</v>
      </c>
      <c r="AC174" s="104"/>
      <c r="AD174" s="113">
        <f>S174-Y174</f>
        <v>0</v>
      </c>
    </row>
    <row r="175" spans="2:30" ht="45" hidden="1" customHeight="1">
      <c r="B175" s="174">
        <v>172</v>
      </c>
      <c r="C175" s="104" t="s">
        <v>282</v>
      </c>
      <c r="D175" s="104" t="s">
        <v>200</v>
      </c>
      <c r="E175" s="104">
        <v>38026</v>
      </c>
      <c r="F175" s="104" t="s">
        <v>44</v>
      </c>
      <c r="G175" s="145" t="s">
        <v>578</v>
      </c>
      <c r="H175" s="104">
        <v>2321</v>
      </c>
      <c r="I175" s="104">
        <v>242</v>
      </c>
      <c r="J175" s="104" t="s">
        <v>285</v>
      </c>
      <c r="K175" s="104">
        <v>11943</v>
      </c>
      <c r="L175" s="104">
        <v>89686</v>
      </c>
      <c r="M175" s="104">
        <v>6</v>
      </c>
      <c r="N175" s="104" t="s">
        <v>34</v>
      </c>
      <c r="O175" s="104" t="s">
        <v>34</v>
      </c>
      <c r="P175" s="104">
        <v>4291256</v>
      </c>
      <c r="Q175" s="106">
        <v>45965</v>
      </c>
      <c r="R175" s="104">
        <v>4406381</v>
      </c>
      <c r="S175" s="129">
        <v>8180</v>
      </c>
      <c r="T175" s="108">
        <v>45992</v>
      </c>
      <c r="U175" s="104">
        <v>3131</v>
      </c>
      <c r="V175" s="130" t="s">
        <v>579</v>
      </c>
      <c r="W175" s="104" t="s">
        <v>48</v>
      </c>
      <c r="X175" s="104" t="s">
        <v>44</v>
      </c>
      <c r="Y175" s="131">
        <v>8180</v>
      </c>
      <c r="Z175" s="106">
        <v>45971</v>
      </c>
      <c r="AA175" s="106">
        <v>45979</v>
      </c>
      <c r="AB175" s="110" t="s">
        <v>60</v>
      </c>
      <c r="AC175" s="104"/>
      <c r="AD175" s="113">
        <f>S175-Y175</f>
        <v>0</v>
      </c>
    </row>
    <row r="176" spans="2:30" ht="45" hidden="1" customHeight="1">
      <c r="B176" s="174">
        <v>173</v>
      </c>
      <c r="C176" s="104" t="s">
        <v>183</v>
      </c>
      <c r="D176" s="104" t="s">
        <v>192</v>
      </c>
      <c r="E176" s="104" t="s">
        <v>34</v>
      </c>
      <c r="F176" s="104" t="s">
        <v>35</v>
      </c>
      <c r="G176" s="145" t="s">
        <v>580</v>
      </c>
      <c r="H176" s="104">
        <v>2224</v>
      </c>
      <c r="I176" s="104">
        <v>242</v>
      </c>
      <c r="J176" s="104" t="s">
        <v>46</v>
      </c>
      <c r="K176" s="104">
        <v>487</v>
      </c>
      <c r="L176" s="104">
        <v>89972</v>
      </c>
      <c r="M176" s="104">
        <v>2</v>
      </c>
      <c r="N176" s="104" t="s">
        <v>581</v>
      </c>
      <c r="O176" s="104" t="s">
        <v>34</v>
      </c>
      <c r="P176" s="104">
        <v>4291643</v>
      </c>
      <c r="Q176" s="106">
        <v>45965</v>
      </c>
      <c r="R176" s="104">
        <v>4407055</v>
      </c>
      <c r="S176" s="129">
        <v>3600</v>
      </c>
      <c r="T176" s="108">
        <v>45962</v>
      </c>
      <c r="U176" s="104">
        <v>355</v>
      </c>
      <c r="V176" s="104"/>
      <c r="W176" s="104" t="s">
        <v>40</v>
      </c>
      <c r="X176" s="104" t="s">
        <v>44</v>
      </c>
      <c r="Y176" s="131">
        <v>3600</v>
      </c>
      <c r="Z176" s="106">
        <v>45968</v>
      </c>
      <c r="AA176" s="106">
        <v>45972</v>
      </c>
      <c r="AB176" s="110" t="s">
        <v>60</v>
      </c>
      <c r="AC176" s="104"/>
      <c r="AD176" s="113">
        <f>S176-Y176</f>
        <v>0</v>
      </c>
    </row>
    <row r="177" spans="2:30" ht="45" hidden="1" customHeight="1">
      <c r="B177" s="174">
        <v>174</v>
      </c>
      <c r="C177" s="104" t="s">
        <v>183</v>
      </c>
      <c r="D177" s="104" t="s">
        <v>582</v>
      </c>
      <c r="E177" s="104">
        <v>39950</v>
      </c>
      <c r="F177" s="104" t="s">
        <v>35</v>
      </c>
      <c r="G177" s="145" t="s">
        <v>583</v>
      </c>
      <c r="H177" s="104">
        <v>5525</v>
      </c>
      <c r="I177" s="104">
        <v>242</v>
      </c>
      <c r="J177" s="104" t="s">
        <v>46</v>
      </c>
      <c r="K177" s="104">
        <v>418</v>
      </c>
      <c r="L177" s="103">
        <v>89980</v>
      </c>
      <c r="M177" s="104">
        <v>6</v>
      </c>
      <c r="N177" s="104" t="s">
        <v>34</v>
      </c>
      <c r="O177" s="104" t="s">
        <v>34</v>
      </c>
      <c r="P177" s="104">
        <v>4291999</v>
      </c>
      <c r="Q177" s="106">
        <v>45966</v>
      </c>
      <c r="R177" s="104">
        <v>4406438</v>
      </c>
      <c r="S177" s="129">
        <v>4303.5</v>
      </c>
      <c r="T177" s="108">
        <v>45992</v>
      </c>
      <c r="U177" s="104">
        <v>3184</v>
      </c>
      <c r="V177" s="104" t="s">
        <v>584</v>
      </c>
      <c r="W177" s="104" t="s">
        <v>48</v>
      </c>
      <c r="X177" s="104" t="s">
        <v>25</v>
      </c>
      <c r="Y177" s="131">
        <v>4303.5</v>
      </c>
      <c r="Z177" s="106">
        <v>45973</v>
      </c>
      <c r="AA177" s="106">
        <v>45974</v>
      </c>
      <c r="AB177" s="110" t="s">
        <v>60</v>
      </c>
      <c r="AC177" s="104"/>
      <c r="AD177" s="113">
        <f>S177-Y177</f>
        <v>0</v>
      </c>
    </row>
    <row r="178" spans="2:30" ht="45" hidden="1" customHeight="1">
      <c r="B178" s="174">
        <v>175</v>
      </c>
      <c r="C178" s="104" t="s">
        <v>316</v>
      </c>
      <c r="D178" s="104" t="s">
        <v>585</v>
      </c>
      <c r="E178" s="104">
        <v>38879</v>
      </c>
      <c r="F178" s="104" t="s">
        <v>44</v>
      </c>
      <c r="G178" s="145" t="s">
        <v>586</v>
      </c>
      <c r="H178" s="104">
        <v>5345</v>
      </c>
      <c r="I178" s="104">
        <v>242</v>
      </c>
      <c r="J178" s="104" t="s">
        <v>46</v>
      </c>
      <c r="K178" s="104">
        <v>255612</v>
      </c>
      <c r="L178" s="104">
        <v>90102</v>
      </c>
      <c r="M178" s="104">
        <v>6</v>
      </c>
      <c r="N178" s="104" t="s">
        <v>34</v>
      </c>
      <c r="O178" s="104" t="s">
        <v>34</v>
      </c>
      <c r="P178" s="104">
        <v>4292013</v>
      </c>
      <c r="Q178" s="106">
        <v>45966</v>
      </c>
      <c r="R178" s="104">
        <v>4408235</v>
      </c>
      <c r="S178" s="129">
        <v>1950</v>
      </c>
      <c r="T178" s="108">
        <v>45981</v>
      </c>
      <c r="U178" s="104">
        <v>1358</v>
      </c>
      <c r="V178" s="104" t="s">
        <v>587</v>
      </c>
      <c r="W178" s="104" t="s">
        <v>48</v>
      </c>
      <c r="X178" s="104" t="s">
        <v>44</v>
      </c>
      <c r="Y178" s="222">
        <v>1950</v>
      </c>
      <c r="Z178" s="106">
        <v>45980</v>
      </c>
      <c r="AA178" s="106">
        <v>45985</v>
      </c>
      <c r="AB178" s="104" t="s">
        <v>60</v>
      </c>
      <c r="AC178" s="104"/>
      <c r="AD178" s="113">
        <f>S178-Y178</f>
        <v>0</v>
      </c>
    </row>
    <row r="179" spans="2:30" ht="45" hidden="1" customHeight="1">
      <c r="B179" s="174">
        <v>176</v>
      </c>
      <c r="C179" s="104" t="s">
        <v>316</v>
      </c>
      <c r="D179" s="104" t="s">
        <v>575</v>
      </c>
      <c r="E179" s="104">
        <v>40064</v>
      </c>
      <c r="F179" s="104" t="s">
        <v>35</v>
      </c>
      <c r="G179" s="145" t="s">
        <v>588</v>
      </c>
      <c r="H179" s="104">
        <v>5345</v>
      </c>
      <c r="I179" s="104">
        <v>242</v>
      </c>
      <c r="J179" s="104" t="s">
        <v>46</v>
      </c>
      <c r="K179" s="104">
        <v>7</v>
      </c>
      <c r="L179" s="104">
        <v>90104</v>
      </c>
      <c r="M179" s="104">
        <v>6</v>
      </c>
      <c r="N179" s="104" t="s">
        <v>34</v>
      </c>
      <c r="O179" s="104" t="s">
        <v>34</v>
      </c>
      <c r="P179" s="104">
        <v>4293172</v>
      </c>
      <c r="Q179" s="106">
        <v>45966</v>
      </c>
      <c r="R179" s="104">
        <v>4408825</v>
      </c>
      <c r="S179" s="129">
        <v>10519.8</v>
      </c>
      <c r="T179" s="108">
        <v>45981</v>
      </c>
      <c r="U179" s="104">
        <v>1803</v>
      </c>
      <c r="V179" s="104" t="s">
        <v>589</v>
      </c>
      <c r="W179" s="104" t="s">
        <v>40</v>
      </c>
      <c r="X179" s="104" t="s">
        <v>35</v>
      </c>
      <c r="Y179" s="221">
        <v>10519.8</v>
      </c>
      <c r="Z179" s="106">
        <v>46002</v>
      </c>
      <c r="AA179" s="106">
        <v>46013</v>
      </c>
      <c r="AB179" s="104" t="s">
        <v>60</v>
      </c>
      <c r="AC179" s="104"/>
      <c r="AD179" s="113">
        <f>S179-Y179</f>
        <v>0</v>
      </c>
    </row>
    <row r="180" spans="2:30" ht="45" hidden="1" customHeight="1">
      <c r="B180" s="174">
        <v>177</v>
      </c>
      <c r="C180" s="104" t="s">
        <v>183</v>
      </c>
      <c r="D180" s="104" t="s">
        <v>192</v>
      </c>
      <c r="E180" s="104" t="s">
        <v>34</v>
      </c>
      <c r="F180" s="104" t="s">
        <v>44</v>
      </c>
      <c r="G180" s="145" t="s">
        <v>590</v>
      </c>
      <c r="H180" s="104">
        <v>2313</v>
      </c>
      <c r="I180" s="104">
        <v>242</v>
      </c>
      <c r="J180" s="104" t="s">
        <v>46</v>
      </c>
      <c r="K180" s="104">
        <v>635</v>
      </c>
      <c r="L180" s="104">
        <v>90190</v>
      </c>
      <c r="M180" s="104">
        <v>5</v>
      </c>
      <c r="N180" s="104" t="s">
        <v>591</v>
      </c>
      <c r="O180" s="104" t="s">
        <v>34</v>
      </c>
      <c r="P180" s="104">
        <v>4293189</v>
      </c>
      <c r="Q180" s="106">
        <v>45967</v>
      </c>
      <c r="R180" s="104">
        <v>4409745</v>
      </c>
      <c r="S180" s="129">
        <v>3890</v>
      </c>
      <c r="T180" s="108" t="s">
        <v>34</v>
      </c>
      <c r="U180" s="104">
        <v>358</v>
      </c>
      <c r="V180" s="104"/>
      <c r="W180" s="104" t="s">
        <v>40</v>
      </c>
      <c r="X180" s="104" t="s">
        <v>44</v>
      </c>
      <c r="Y180" s="131">
        <v>3890</v>
      </c>
      <c r="Z180" s="106">
        <v>45972</v>
      </c>
      <c r="AA180" s="106">
        <v>45974</v>
      </c>
      <c r="AB180" s="110" t="s">
        <v>60</v>
      </c>
      <c r="AC180" s="104"/>
      <c r="AD180" s="113">
        <f>S180-Y180</f>
        <v>0</v>
      </c>
    </row>
    <row r="181" spans="2:30" ht="45" hidden="1" customHeight="1">
      <c r="B181" s="174">
        <v>178</v>
      </c>
      <c r="C181" s="104" t="s">
        <v>282</v>
      </c>
      <c r="D181" s="104" t="s">
        <v>592</v>
      </c>
      <c r="E181" s="104">
        <v>39859</v>
      </c>
      <c r="F181" s="104" t="s">
        <v>44</v>
      </c>
      <c r="G181" s="145" t="s">
        <v>593</v>
      </c>
      <c r="H181" s="104">
        <v>1236</v>
      </c>
      <c r="I181" s="104">
        <v>242</v>
      </c>
      <c r="J181" s="104" t="s">
        <v>285</v>
      </c>
      <c r="K181" s="104">
        <v>375</v>
      </c>
      <c r="L181" s="104">
        <v>88494</v>
      </c>
      <c r="M181" s="104">
        <v>6</v>
      </c>
      <c r="N181" s="104" t="s">
        <v>34</v>
      </c>
      <c r="O181" s="104" t="s">
        <v>34</v>
      </c>
      <c r="P181" s="104">
        <v>4293717</v>
      </c>
      <c r="Q181" s="106">
        <v>45967</v>
      </c>
      <c r="R181" s="104">
        <v>4410859</v>
      </c>
      <c r="S181" s="129">
        <v>5291.5</v>
      </c>
      <c r="T181" s="108">
        <v>45992</v>
      </c>
      <c r="U181" s="104">
        <v>4</v>
      </c>
      <c r="V181" s="130" t="s">
        <v>594</v>
      </c>
      <c r="W181" s="104" t="s">
        <v>48</v>
      </c>
      <c r="X181" s="104" t="s">
        <v>25</v>
      </c>
      <c r="Y181" s="131">
        <v>5291.5</v>
      </c>
      <c r="Z181" s="106">
        <v>45973</v>
      </c>
      <c r="AA181" s="122">
        <v>45980</v>
      </c>
      <c r="AB181" s="110" t="s">
        <v>60</v>
      </c>
      <c r="AC181" s="104"/>
      <c r="AD181" s="113">
        <f>S181-Y181</f>
        <v>0</v>
      </c>
    </row>
    <row r="182" spans="2:30" ht="45" hidden="1" customHeight="1">
      <c r="B182" s="174">
        <v>179</v>
      </c>
      <c r="C182" s="104" t="s">
        <v>51</v>
      </c>
      <c r="D182" s="104" t="s">
        <v>595</v>
      </c>
      <c r="E182" s="104" t="s">
        <v>34</v>
      </c>
      <c r="F182" s="104" t="s">
        <v>44</v>
      </c>
      <c r="G182" s="145" t="s">
        <v>596</v>
      </c>
      <c r="H182" s="104">
        <v>4057</v>
      </c>
      <c r="I182" s="104">
        <v>242</v>
      </c>
      <c r="J182" s="104" t="s">
        <v>37</v>
      </c>
      <c r="K182" s="104" t="s">
        <v>597</v>
      </c>
      <c r="L182" s="104">
        <v>90443</v>
      </c>
      <c r="M182" s="104">
        <v>29</v>
      </c>
      <c r="N182" s="104" t="s">
        <v>598</v>
      </c>
      <c r="O182" s="104" t="s">
        <v>34</v>
      </c>
      <c r="P182" s="104">
        <v>4294295</v>
      </c>
      <c r="Q182" s="106">
        <v>45968</v>
      </c>
      <c r="R182" s="104">
        <v>4412724</v>
      </c>
      <c r="S182" s="129">
        <v>12900</v>
      </c>
      <c r="T182" s="108">
        <v>45962</v>
      </c>
      <c r="U182" s="104">
        <v>2359</v>
      </c>
      <c r="V182" s="104"/>
      <c r="W182" s="104" t="s">
        <v>48</v>
      </c>
      <c r="X182" s="104" t="s">
        <v>94</v>
      </c>
      <c r="Y182" s="131">
        <v>12900</v>
      </c>
      <c r="Z182" s="106">
        <v>46062</v>
      </c>
      <c r="AA182" s="106">
        <v>46065</v>
      </c>
      <c r="AB182" s="104" t="s">
        <v>60</v>
      </c>
      <c r="AC182" s="104"/>
      <c r="AD182" s="113">
        <f>S182-Y182</f>
        <v>0</v>
      </c>
    </row>
    <row r="183" spans="2:30" ht="45" customHeight="1">
      <c r="B183" s="174">
        <v>180</v>
      </c>
      <c r="C183" s="104" t="s">
        <v>95</v>
      </c>
      <c r="D183" s="104" t="s">
        <v>599</v>
      </c>
      <c r="E183" s="104" t="s">
        <v>34</v>
      </c>
      <c r="F183" s="104" t="s">
        <v>44</v>
      </c>
      <c r="G183" s="145" t="s">
        <v>600</v>
      </c>
      <c r="H183" s="104">
        <v>5345</v>
      </c>
      <c r="I183" s="104">
        <v>242</v>
      </c>
      <c r="J183" s="104" t="s">
        <v>37</v>
      </c>
      <c r="K183" s="104">
        <v>722672</v>
      </c>
      <c r="L183" s="104" t="s">
        <v>34</v>
      </c>
      <c r="M183" s="104">
        <v>8</v>
      </c>
      <c r="N183" s="104" t="s">
        <v>600</v>
      </c>
      <c r="O183" s="104" t="s">
        <v>34</v>
      </c>
      <c r="P183" s="104">
        <v>4294379</v>
      </c>
      <c r="Q183" s="106">
        <v>45968</v>
      </c>
      <c r="R183" s="104">
        <v>4407395</v>
      </c>
      <c r="S183" s="156">
        <v>1420</v>
      </c>
      <c r="T183" s="108">
        <v>45962</v>
      </c>
      <c r="U183" s="104">
        <v>6605</v>
      </c>
      <c r="V183" s="104" t="s">
        <v>34</v>
      </c>
      <c r="W183" s="104" t="s">
        <v>48</v>
      </c>
      <c r="X183" s="104" t="s">
        <v>94</v>
      </c>
      <c r="Y183" s="131">
        <v>1420</v>
      </c>
      <c r="Z183" s="106">
        <v>45967</v>
      </c>
      <c r="AA183" s="122">
        <v>45968</v>
      </c>
      <c r="AB183" s="110" t="s">
        <v>60</v>
      </c>
      <c r="AC183" s="104"/>
      <c r="AD183" s="113">
        <f>S183-Y183</f>
        <v>0</v>
      </c>
    </row>
    <row r="184" spans="2:30" ht="45" hidden="1" customHeight="1">
      <c r="B184" s="174">
        <v>181</v>
      </c>
      <c r="C184" s="104" t="s">
        <v>241</v>
      </c>
      <c r="D184" s="104" t="s">
        <v>601</v>
      </c>
      <c r="E184" s="104" t="s">
        <v>34</v>
      </c>
      <c r="F184" s="104" t="s">
        <v>44</v>
      </c>
      <c r="G184" s="145" t="s">
        <v>602</v>
      </c>
      <c r="H184" s="104">
        <v>2321</v>
      </c>
      <c r="I184" s="104">
        <v>242</v>
      </c>
      <c r="J184" s="104" t="s">
        <v>37</v>
      </c>
      <c r="K184" s="104">
        <v>700</v>
      </c>
      <c r="L184" s="104">
        <v>90368</v>
      </c>
      <c r="M184" s="104">
        <v>5</v>
      </c>
      <c r="N184" s="104" t="s">
        <v>603</v>
      </c>
      <c r="O184" s="104" t="s">
        <v>34</v>
      </c>
      <c r="P184" s="104">
        <v>4294458</v>
      </c>
      <c r="Q184" s="106">
        <v>45968</v>
      </c>
      <c r="R184" s="104">
        <v>4413212</v>
      </c>
      <c r="S184" s="129">
        <v>34226</v>
      </c>
      <c r="T184" s="108">
        <v>45962</v>
      </c>
      <c r="U184" s="104">
        <v>118</v>
      </c>
      <c r="V184" s="104"/>
      <c r="W184" s="104" t="s">
        <v>48</v>
      </c>
      <c r="X184" s="104" t="s">
        <v>25</v>
      </c>
      <c r="Y184" s="131">
        <v>34226</v>
      </c>
      <c r="Z184" s="106">
        <v>45993</v>
      </c>
      <c r="AA184" s="106">
        <v>45999</v>
      </c>
      <c r="AB184" s="104" t="s">
        <v>60</v>
      </c>
      <c r="AC184" s="104"/>
      <c r="AD184" s="113">
        <f>S184-Y184</f>
        <v>0</v>
      </c>
    </row>
    <row r="185" spans="2:30" ht="45" hidden="1" customHeight="1">
      <c r="B185" s="174">
        <v>182</v>
      </c>
      <c r="C185" s="104" t="s">
        <v>282</v>
      </c>
      <c r="D185" s="104" t="s">
        <v>604</v>
      </c>
      <c r="E185" s="104">
        <v>39789</v>
      </c>
      <c r="F185" s="104" t="s">
        <v>44</v>
      </c>
      <c r="G185" s="145" t="s">
        <v>605</v>
      </c>
      <c r="H185" s="104">
        <v>1228</v>
      </c>
      <c r="I185" s="104">
        <v>242</v>
      </c>
      <c r="J185" s="104" t="s">
        <v>285</v>
      </c>
      <c r="K185" s="104">
        <v>15264</v>
      </c>
      <c r="L185" s="104">
        <v>88594</v>
      </c>
      <c r="M185" s="104">
        <v>6</v>
      </c>
      <c r="N185" s="104" t="s">
        <v>34</v>
      </c>
      <c r="O185" s="104" t="s">
        <v>34</v>
      </c>
      <c r="P185" s="104">
        <v>4296446</v>
      </c>
      <c r="Q185" s="106">
        <v>45971</v>
      </c>
      <c r="R185" s="104">
        <v>4413255</v>
      </c>
      <c r="S185" s="129">
        <v>4549.6000000000004</v>
      </c>
      <c r="T185" s="108">
        <v>45999</v>
      </c>
      <c r="U185" s="116" t="s">
        <v>606</v>
      </c>
      <c r="V185" s="114" t="s">
        <v>607</v>
      </c>
      <c r="W185" s="104" t="s">
        <v>40</v>
      </c>
      <c r="X185" s="104" t="s">
        <v>44</v>
      </c>
      <c r="Y185" s="131">
        <v>4322.12</v>
      </c>
      <c r="Z185" s="106">
        <v>45999</v>
      </c>
      <c r="AA185" s="106">
        <v>46000</v>
      </c>
      <c r="AB185" s="104" t="s">
        <v>60</v>
      </c>
      <c r="AC185" s="104"/>
      <c r="AD185" s="113">
        <f>S185-Y185</f>
        <v>227.48000000000047</v>
      </c>
    </row>
    <row r="186" spans="2:30" ht="45" hidden="1" customHeight="1">
      <c r="B186" s="174">
        <v>183</v>
      </c>
      <c r="C186" s="104" t="s">
        <v>51</v>
      </c>
      <c r="D186" s="104" t="s">
        <v>52</v>
      </c>
      <c r="E186" s="104" t="s">
        <v>34</v>
      </c>
      <c r="F186" s="104" t="s">
        <v>44</v>
      </c>
      <c r="G186" s="145" t="s">
        <v>608</v>
      </c>
      <c r="H186" s="104">
        <v>5345</v>
      </c>
      <c r="I186" s="104">
        <v>242</v>
      </c>
      <c r="J186" s="104" t="s">
        <v>37</v>
      </c>
      <c r="K186" s="104" t="s">
        <v>609</v>
      </c>
      <c r="L186" s="104">
        <v>90496</v>
      </c>
      <c r="M186" s="104">
        <v>5</v>
      </c>
      <c r="N186" s="104" t="s">
        <v>610</v>
      </c>
      <c r="O186" s="104" t="s">
        <v>40</v>
      </c>
      <c r="P186" s="104">
        <v>4296561</v>
      </c>
      <c r="Q186" s="106">
        <v>45971</v>
      </c>
      <c r="R186" s="104">
        <v>4413697</v>
      </c>
      <c r="S186" s="129">
        <v>32191.75</v>
      </c>
      <c r="T186" s="108">
        <v>45962</v>
      </c>
      <c r="U186" s="104">
        <v>338</v>
      </c>
      <c r="V186" s="104"/>
      <c r="W186" s="104" t="s">
        <v>197</v>
      </c>
      <c r="X186" s="104" t="s">
        <v>25</v>
      </c>
      <c r="Y186" s="222">
        <v>32191.75</v>
      </c>
      <c r="Z186" s="106">
        <v>45992</v>
      </c>
      <c r="AA186" s="106">
        <v>45993</v>
      </c>
      <c r="AB186" s="104" t="s">
        <v>60</v>
      </c>
      <c r="AC186" s="104"/>
      <c r="AD186" s="113">
        <f>S186-Y186</f>
        <v>0</v>
      </c>
    </row>
    <row r="187" spans="2:30" ht="45" hidden="1" customHeight="1">
      <c r="B187" s="174">
        <v>184</v>
      </c>
      <c r="C187" s="104" t="s">
        <v>95</v>
      </c>
      <c r="D187" s="104" t="s">
        <v>96</v>
      </c>
      <c r="E187" s="104" t="s">
        <v>34</v>
      </c>
      <c r="F187" s="104" t="s">
        <v>44</v>
      </c>
      <c r="G187" s="145" t="s">
        <v>611</v>
      </c>
      <c r="H187" s="104">
        <v>4502</v>
      </c>
      <c r="I187" s="104">
        <v>332</v>
      </c>
      <c r="J187" s="104" t="s">
        <v>46</v>
      </c>
      <c r="K187" s="104" t="s">
        <v>34</v>
      </c>
      <c r="L187" s="104" t="s">
        <v>34</v>
      </c>
      <c r="M187" s="104">
        <v>2</v>
      </c>
      <c r="N187" s="104" t="s">
        <v>34</v>
      </c>
      <c r="O187" s="104" t="s">
        <v>34</v>
      </c>
      <c r="P187" s="104">
        <v>4297841</v>
      </c>
      <c r="Q187" s="106">
        <v>45972</v>
      </c>
      <c r="R187" s="104">
        <v>4413518</v>
      </c>
      <c r="S187" s="155">
        <v>103000</v>
      </c>
      <c r="T187" s="108"/>
      <c r="U187" s="104">
        <v>743</v>
      </c>
      <c r="V187" s="104" t="s">
        <v>34</v>
      </c>
      <c r="W187" s="104" t="s">
        <v>40</v>
      </c>
      <c r="X187" s="104" t="s">
        <v>35</v>
      </c>
      <c r="Y187" s="221">
        <v>103000</v>
      </c>
      <c r="Z187" s="106">
        <v>46007</v>
      </c>
      <c r="AA187" s="106">
        <v>46008</v>
      </c>
      <c r="AB187" s="104" t="s">
        <v>60</v>
      </c>
      <c r="AC187" s="104"/>
      <c r="AD187" s="113">
        <f>S187-Y187</f>
        <v>0</v>
      </c>
    </row>
    <row r="188" spans="2:30" ht="45" hidden="1" customHeight="1">
      <c r="B188" s="174">
        <v>185</v>
      </c>
      <c r="C188" s="104" t="s">
        <v>51</v>
      </c>
      <c r="D188" s="104" t="s">
        <v>167</v>
      </c>
      <c r="E188" s="104" t="s">
        <v>34</v>
      </c>
      <c r="F188" s="104" t="s">
        <v>44</v>
      </c>
      <c r="G188" s="145" t="s">
        <v>612</v>
      </c>
      <c r="H188" s="104">
        <v>2291</v>
      </c>
      <c r="I188" s="104">
        <v>242</v>
      </c>
      <c r="J188" s="104" t="s">
        <v>285</v>
      </c>
      <c r="K188" s="104">
        <v>113</v>
      </c>
      <c r="L188" s="104">
        <v>90932</v>
      </c>
      <c r="M188" s="104">
        <v>29</v>
      </c>
      <c r="N188" s="104" t="s">
        <v>613</v>
      </c>
      <c r="O188" s="104" t="s">
        <v>34</v>
      </c>
      <c r="P188" s="104">
        <v>4297998</v>
      </c>
      <c r="Q188" s="106">
        <v>45972</v>
      </c>
      <c r="R188" s="104">
        <v>4413854</v>
      </c>
      <c r="S188" s="129">
        <v>25320</v>
      </c>
      <c r="T188" s="108">
        <v>45980</v>
      </c>
      <c r="U188" s="104">
        <v>3</v>
      </c>
      <c r="V188" s="104" t="s">
        <v>34</v>
      </c>
      <c r="W188" s="104" t="s">
        <v>48</v>
      </c>
      <c r="X188" s="104" t="s">
        <v>94</v>
      </c>
      <c r="Y188" s="131">
        <v>25320</v>
      </c>
      <c r="Z188" s="106">
        <v>46101</v>
      </c>
      <c r="AA188" s="106">
        <v>46083</v>
      </c>
      <c r="AB188" s="104" t="s">
        <v>60</v>
      </c>
      <c r="AC188" s="104"/>
      <c r="AD188" s="113">
        <f>S188-Y188</f>
        <v>0</v>
      </c>
    </row>
    <row r="189" spans="2:30" ht="45" hidden="1" customHeight="1">
      <c r="B189" s="174">
        <v>186</v>
      </c>
      <c r="C189" s="104" t="s">
        <v>51</v>
      </c>
      <c r="D189" s="104" t="s">
        <v>614</v>
      </c>
      <c r="E189" s="104" t="s">
        <v>34</v>
      </c>
      <c r="F189" s="104" t="s">
        <v>44</v>
      </c>
      <c r="G189" s="145" t="s">
        <v>615</v>
      </c>
      <c r="H189" s="104">
        <v>5345</v>
      </c>
      <c r="I189" s="104">
        <v>242</v>
      </c>
      <c r="J189" s="104" t="s">
        <v>285</v>
      </c>
      <c r="K189" s="104" t="s">
        <v>616</v>
      </c>
      <c r="L189" s="104">
        <v>91042</v>
      </c>
      <c r="M189" s="104">
        <v>29</v>
      </c>
      <c r="N189" s="104" t="s">
        <v>617</v>
      </c>
      <c r="O189" s="104" t="s">
        <v>34</v>
      </c>
      <c r="P189" s="104">
        <v>4298167</v>
      </c>
      <c r="Q189" s="106">
        <v>45972</v>
      </c>
      <c r="R189" s="104">
        <v>4417448</v>
      </c>
      <c r="S189" s="129">
        <v>276749</v>
      </c>
      <c r="T189" s="108">
        <v>45980</v>
      </c>
      <c r="U189" s="104">
        <v>372</v>
      </c>
      <c r="V189" s="104" t="s">
        <v>34</v>
      </c>
      <c r="W189" s="104" t="s">
        <v>40</v>
      </c>
      <c r="X189" s="104" t="s">
        <v>25</v>
      </c>
      <c r="Y189" s="131">
        <v>138374.5</v>
      </c>
      <c r="Z189" s="106">
        <v>46055</v>
      </c>
      <c r="AA189" s="106">
        <v>46056</v>
      </c>
      <c r="AB189" s="104" t="s">
        <v>60</v>
      </c>
      <c r="AC189" s="104"/>
      <c r="AD189" s="113">
        <f>S189-Y189</f>
        <v>138374.5</v>
      </c>
    </row>
    <row r="190" spans="2:30" ht="45" hidden="1" customHeight="1">
      <c r="B190" s="174">
        <v>187</v>
      </c>
      <c r="C190" s="104" t="s">
        <v>183</v>
      </c>
      <c r="D190" s="104" t="s">
        <v>192</v>
      </c>
      <c r="E190" s="104" t="s">
        <v>34</v>
      </c>
      <c r="F190" s="104" t="s">
        <v>35</v>
      </c>
      <c r="G190" s="145" t="s">
        <v>618</v>
      </c>
      <c r="H190" s="104">
        <v>2488</v>
      </c>
      <c r="I190" s="104">
        <v>242</v>
      </c>
      <c r="J190" s="104" t="s">
        <v>46</v>
      </c>
      <c r="K190" s="104">
        <v>481</v>
      </c>
      <c r="L190" s="104">
        <v>91171</v>
      </c>
      <c r="M190" s="104">
        <v>5</v>
      </c>
      <c r="N190" s="104" t="s">
        <v>619</v>
      </c>
      <c r="O190" s="104"/>
      <c r="P190" s="104">
        <v>4298958</v>
      </c>
      <c r="Q190" s="106">
        <v>45973</v>
      </c>
      <c r="R190" s="104">
        <v>4415557</v>
      </c>
      <c r="S190" s="129">
        <v>985.75</v>
      </c>
      <c r="T190" s="108"/>
      <c r="U190" s="104">
        <v>382</v>
      </c>
      <c r="V190" s="104"/>
      <c r="W190" s="104" t="s">
        <v>48</v>
      </c>
      <c r="X190" s="104" t="s">
        <v>44</v>
      </c>
      <c r="Y190" s="131">
        <v>985.75</v>
      </c>
      <c r="Z190" s="106">
        <v>45978</v>
      </c>
      <c r="AA190" s="106">
        <v>45981</v>
      </c>
      <c r="AB190" s="104" t="s">
        <v>60</v>
      </c>
      <c r="AC190" s="104"/>
      <c r="AD190" s="113">
        <f>S190-Y190</f>
        <v>0</v>
      </c>
    </row>
    <row r="191" spans="2:30" ht="45" hidden="1" customHeight="1">
      <c r="B191" s="174">
        <v>188</v>
      </c>
      <c r="C191" s="104" t="s">
        <v>183</v>
      </c>
      <c r="D191" s="103" t="s">
        <v>192</v>
      </c>
      <c r="E191" s="104" t="s">
        <v>34</v>
      </c>
      <c r="F191" s="104" t="s">
        <v>35</v>
      </c>
      <c r="G191" s="145" t="s">
        <v>620</v>
      </c>
      <c r="H191" s="104">
        <v>2470</v>
      </c>
      <c r="I191" s="104">
        <v>242</v>
      </c>
      <c r="J191" s="104" t="s">
        <v>46</v>
      </c>
      <c r="K191" s="104">
        <v>339</v>
      </c>
      <c r="L191" s="104">
        <v>88117</v>
      </c>
      <c r="M191" s="104">
        <v>5</v>
      </c>
      <c r="N191" s="104" t="s">
        <v>621</v>
      </c>
      <c r="O191" s="104"/>
      <c r="P191" s="104">
        <v>4298985</v>
      </c>
      <c r="Q191" s="106">
        <v>45973</v>
      </c>
      <c r="R191" s="104">
        <v>4415564</v>
      </c>
      <c r="S191" s="129">
        <v>2985</v>
      </c>
      <c r="T191" s="108"/>
      <c r="U191" s="104">
        <v>377</v>
      </c>
      <c r="V191" s="104"/>
      <c r="W191" s="104" t="s">
        <v>48</v>
      </c>
      <c r="X191" s="104" t="s">
        <v>94</v>
      </c>
      <c r="Y191" s="222">
        <v>2985</v>
      </c>
      <c r="Z191" s="106">
        <v>45978</v>
      </c>
      <c r="AA191" s="106">
        <v>45981</v>
      </c>
      <c r="AB191" s="104" t="s">
        <v>60</v>
      </c>
      <c r="AC191" s="104"/>
      <c r="AD191" s="113">
        <f>S191-Y191</f>
        <v>0</v>
      </c>
    </row>
    <row r="192" spans="2:30" ht="45" hidden="1" customHeight="1">
      <c r="B192" s="174">
        <v>189</v>
      </c>
      <c r="C192" s="104" t="s">
        <v>183</v>
      </c>
      <c r="D192" s="104" t="s">
        <v>559</v>
      </c>
      <c r="E192" s="104">
        <v>40150</v>
      </c>
      <c r="F192" s="104" t="s">
        <v>35</v>
      </c>
      <c r="G192" s="145" t="s">
        <v>622</v>
      </c>
      <c r="H192" s="104">
        <v>2291</v>
      </c>
      <c r="I192" s="104">
        <v>242</v>
      </c>
      <c r="J192" s="104" t="s">
        <v>46</v>
      </c>
      <c r="K192" s="104">
        <v>426</v>
      </c>
      <c r="L192" s="104">
        <v>91164</v>
      </c>
      <c r="M192" s="104">
        <v>6</v>
      </c>
      <c r="N192" s="104" t="s">
        <v>34</v>
      </c>
      <c r="O192" s="104"/>
      <c r="P192" s="104">
        <v>4299005</v>
      </c>
      <c r="Q192" s="106">
        <v>45973</v>
      </c>
      <c r="R192" s="104">
        <v>4413957</v>
      </c>
      <c r="S192" s="129">
        <v>2210</v>
      </c>
      <c r="T192" s="108"/>
      <c r="U192" s="104">
        <v>3210</v>
      </c>
      <c r="V192" s="104" t="s">
        <v>623</v>
      </c>
      <c r="W192" s="104" t="s">
        <v>40</v>
      </c>
      <c r="X192" s="104" t="s">
        <v>25</v>
      </c>
      <c r="Y192" s="131">
        <v>2099.5</v>
      </c>
      <c r="Z192" s="106">
        <v>46001</v>
      </c>
      <c r="AA192" s="106">
        <v>46003</v>
      </c>
      <c r="AB192" s="104" t="s">
        <v>60</v>
      </c>
      <c r="AC192" s="104"/>
      <c r="AD192" s="113">
        <f>S192-Y192</f>
        <v>110.5</v>
      </c>
    </row>
    <row r="193" spans="2:30" ht="45" hidden="1" customHeight="1">
      <c r="B193" s="174">
        <v>190</v>
      </c>
      <c r="C193" s="104" t="s">
        <v>183</v>
      </c>
      <c r="D193" s="104" t="s">
        <v>192</v>
      </c>
      <c r="E193" s="104" t="s">
        <v>34</v>
      </c>
      <c r="F193" s="104" t="s">
        <v>35</v>
      </c>
      <c r="G193" s="145" t="s">
        <v>624</v>
      </c>
      <c r="H193" s="104">
        <v>2224</v>
      </c>
      <c r="I193" s="104">
        <v>242</v>
      </c>
      <c r="J193" s="104" t="s">
        <v>46</v>
      </c>
      <c r="K193" s="104">
        <v>634</v>
      </c>
      <c r="L193" s="104">
        <v>91170</v>
      </c>
      <c r="M193" s="104">
        <v>5</v>
      </c>
      <c r="N193" s="104" t="s">
        <v>625</v>
      </c>
      <c r="O193" s="104"/>
      <c r="P193" s="104">
        <v>4299058</v>
      </c>
      <c r="Q193" s="106">
        <v>45973</v>
      </c>
      <c r="R193" s="104">
        <v>4415566</v>
      </c>
      <c r="S193" s="129">
        <v>8960</v>
      </c>
      <c r="T193" s="108"/>
      <c r="U193" s="116" t="s">
        <v>626</v>
      </c>
      <c r="V193" s="104"/>
      <c r="W193" s="104" t="s">
        <v>40</v>
      </c>
      <c r="X193" s="104" t="s">
        <v>94</v>
      </c>
      <c r="Y193" s="131">
        <v>8960</v>
      </c>
      <c r="Z193" s="106">
        <v>45962</v>
      </c>
      <c r="AA193" s="106">
        <v>45993</v>
      </c>
      <c r="AB193" s="104" t="s">
        <v>60</v>
      </c>
      <c r="AC193" s="104"/>
      <c r="AD193" s="113">
        <f>S193-Y193</f>
        <v>0</v>
      </c>
    </row>
    <row r="194" spans="2:30" ht="45" hidden="1" customHeight="1">
      <c r="B194" s="174">
        <v>191</v>
      </c>
      <c r="C194" s="104" t="s">
        <v>183</v>
      </c>
      <c r="D194" s="104" t="s">
        <v>192</v>
      </c>
      <c r="E194" s="104" t="s">
        <v>34</v>
      </c>
      <c r="F194" s="104" t="s">
        <v>35</v>
      </c>
      <c r="G194" s="145" t="s">
        <v>627</v>
      </c>
      <c r="H194" s="104">
        <v>2232</v>
      </c>
      <c r="I194" s="104">
        <v>242</v>
      </c>
      <c r="J194" s="104" t="s">
        <v>46</v>
      </c>
      <c r="K194" s="104">
        <v>478</v>
      </c>
      <c r="L194" s="104">
        <v>91179</v>
      </c>
      <c r="M194" s="104">
        <v>5</v>
      </c>
      <c r="N194" s="104" t="s">
        <v>628</v>
      </c>
      <c r="O194" s="104"/>
      <c r="P194" s="104">
        <v>4299065</v>
      </c>
      <c r="Q194" s="106">
        <v>45973</v>
      </c>
      <c r="R194" s="104">
        <v>4415567</v>
      </c>
      <c r="S194" s="129">
        <v>1985</v>
      </c>
      <c r="T194" s="108"/>
      <c r="U194" s="104">
        <v>379</v>
      </c>
      <c r="V194" s="104"/>
      <c r="W194" s="104" t="s">
        <v>40</v>
      </c>
      <c r="X194" s="104" t="s">
        <v>44</v>
      </c>
      <c r="Y194" s="131">
        <v>1985</v>
      </c>
      <c r="Z194" s="106">
        <v>45978</v>
      </c>
      <c r="AA194" s="106">
        <v>45981</v>
      </c>
      <c r="AB194" s="104" t="s">
        <v>60</v>
      </c>
      <c r="AC194" s="104"/>
      <c r="AD194" s="113">
        <f>S194-Y194</f>
        <v>0</v>
      </c>
    </row>
    <row r="195" spans="2:30" ht="45" hidden="1" customHeight="1">
      <c r="B195" s="174">
        <v>192</v>
      </c>
      <c r="C195" s="104" t="s">
        <v>183</v>
      </c>
      <c r="D195" s="104" t="s">
        <v>192</v>
      </c>
      <c r="E195" s="104" t="s">
        <v>34</v>
      </c>
      <c r="F195" s="104" t="s">
        <v>35</v>
      </c>
      <c r="G195" s="145" t="s">
        <v>629</v>
      </c>
      <c r="H195" s="104">
        <v>2224</v>
      </c>
      <c r="I195" s="104">
        <v>242</v>
      </c>
      <c r="J195" s="104" t="s">
        <v>46</v>
      </c>
      <c r="K195" s="104">
        <v>501</v>
      </c>
      <c r="L195" s="104">
        <v>91182</v>
      </c>
      <c r="M195" s="104">
        <v>5</v>
      </c>
      <c r="N195" s="104" t="s">
        <v>630</v>
      </c>
      <c r="O195" s="104"/>
      <c r="P195" s="104">
        <v>4299191</v>
      </c>
      <c r="Q195" s="106">
        <v>45973</v>
      </c>
      <c r="R195" s="104">
        <v>4415568</v>
      </c>
      <c r="S195" s="129">
        <v>1280</v>
      </c>
      <c r="T195" s="108"/>
      <c r="U195" s="104">
        <v>380</v>
      </c>
      <c r="V195" s="104"/>
      <c r="W195" s="104" t="s">
        <v>40</v>
      </c>
      <c r="X195" s="104" t="s">
        <v>44</v>
      </c>
      <c r="Y195" s="222">
        <v>1280</v>
      </c>
      <c r="Z195" s="106">
        <v>45978</v>
      </c>
      <c r="AA195" s="106">
        <v>45981</v>
      </c>
      <c r="AB195" s="104" t="s">
        <v>60</v>
      </c>
      <c r="AC195" s="104"/>
      <c r="AD195" s="113">
        <f>S195-Y195</f>
        <v>0</v>
      </c>
    </row>
    <row r="196" spans="2:30" ht="45" hidden="1" customHeight="1">
      <c r="B196" s="174">
        <v>193</v>
      </c>
      <c r="C196" s="104" t="s">
        <v>61</v>
      </c>
      <c r="D196" s="104" t="s">
        <v>33</v>
      </c>
      <c r="E196" s="104">
        <v>39919</v>
      </c>
      <c r="F196" s="104" t="s">
        <v>35</v>
      </c>
      <c r="G196" s="145" t="s">
        <v>631</v>
      </c>
      <c r="H196" s="104">
        <v>2330</v>
      </c>
      <c r="I196" s="104">
        <v>242</v>
      </c>
      <c r="J196" s="104" t="s">
        <v>46</v>
      </c>
      <c r="K196" s="104">
        <v>419</v>
      </c>
      <c r="L196" s="104">
        <v>91288</v>
      </c>
      <c r="M196" s="104">
        <v>6</v>
      </c>
      <c r="N196" s="104" t="s">
        <v>34</v>
      </c>
      <c r="O196" s="104"/>
      <c r="P196" s="104">
        <v>4299199</v>
      </c>
      <c r="Q196" s="106">
        <v>45973</v>
      </c>
      <c r="R196" s="104">
        <v>4413962</v>
      </c>
      <c r="S196" s="129">
        <v>2050</v>
      </c>
      <c r="T196" s="108"/>
      <c r="U196" s="104">
        <v>3195</v>
      </c>
      <c r="V196" s="104" t="s">
        <v>632</v>
      </c>
      <c r="W196" s="104" t="s">
        <v>40</v>
      </c>
      <c r="X196" s="104" t="s">
        <v>25</v>
      </c>
      <c r="Y196" s="223">
        <v>1988.5</v>
      </c>
      <c r="Z196" s="106">
        <v>45992</v>
      </c>
      <c r="AA196" s="106">
        <v>45993</v>
      </c>
      <c r="AB196" s="104" t="s">
        <v>60</v>
      </c>
      <c r="AC196" s="104"/>
      <c r="AD196" s="113">
        <f>S196-Y196</f>
        <v>61.5</v>
      </c>
    </row>
    <row r="197" spans="2:30" ht="45" hidden="1" customHeight="1">
      <c r="B197" s="174">
        <v>194</v>
      </c>
      <c r="C197" s="104" t="s">
        <v>183</v>
      </c>
      <c r="D197" s="104" t="s">
        <v>192</v>
      </c>
      <c r="E197" s="104">
        <v>38600</v>
      </c>
      <c r="F197" s="104" t="s">
        <v>35</v>
      </c>
      <c r="G197" s="145" t="s">
        <v>633</v>
      </c>
      <c r="H197" s="104">
        <v>5525</v>
      </c>
      <c r="I197" s="104">
        <v>242</v>
      </c>
      <c r="J197" s="104" t="s">
        <v>46</v>
      </c>
      <c r="K197" s="104">
        <v>502</v>
      </c>
      <c r="L197" s="104">
        <v>91183</v>
      </c>
      <c r="M197" s="104">
        <v>6</v>
      </c>
      <c r="N197" s="104" t="s">
        <v>34</v>
      </c>
      <c r="O197" s="104" t="s">
        <v>34</v>
      </c>
      <c r="P197" s="104">
        <v>4299208</v>
      </c>
      <c r="Q197" s="106">
        <v>45973</v>
      </c>
      <c r="R197" s="104">
        <v>4413968</v>
      </c>
      <c r="S197" s="129">
        <v>785</v>
      </c>
      <c r="T197" s="108">
        <v>45992</v>
      </c>
      <c r="U197" s="116" t="s">
        <v>634</v>
      </c>
      <c r="V197" s="104" t="s">
        <v>635</v>
      </c>
      <c r="W197" s="104" t="s">
        <v>40</v>
      </c>
      <c r="X197" s="104" t="s">
        <v>44</v>
      </c>
      <c r="Y197" s="131">
        <v>785</v>
      </c>
      <c r="Z197" s="106">
        <v>45962</v>
      </c>
      <c r="AA197" s="106">
        <v>45993</v>
      </c>
      <c r="AB197" s="104" t="s">
        <v>60</v>
      </c>
      <c r="AC197" s="104"/>
      <c r="AD197" s="113">
        <f>S197-Y197</f>
        <v>0</v>
      </c>
    </row>
    <row r="198" spans="2:30" ht="45" hidden="1" customHeight="1">
      <c r="B198" s="174">
        <v>195</v>
      </c>
      <c r="C198" s="104" t="s">
        <v>146</v>
      </c>
      <c r="D198" s="104" t="s">
        <v>138</v>
      </c>
      <c r="E198" s="104" t="s">
        <v>34</v>
      </c>
      <c r="F198" s="104" t="s">
        <v>44</v>
      </c>
      <c r="G198" s="145" t="s">
        <v>636</v>
      </c>
      <c r="H198" s="104">
        <v>2283</v>
      </c>
      <c r="I198" s="104">
        <v>242</v>
      </c>
      <c r="J198" s="104" t="s">
        <v>46</v>
      </c>
      <c r="K198" s="104">
        <v>94478</v>
      </c>
      <c r="L198" s="104">
        <v>91219</v>
      </c>
      <c r="M198" s="104">
        <v>5</v>
      </c>
      <c r="N198" s="104" t="s">
        <v>637</v>
      </c>
      <c r="O198" s="104"/>
      <c r="P198" s="104">
        <v>4299233</v>
      </c>
      <c r="Q198" s="106">
        <v>45973</v>
      </c>
      <c r="R198" s="104">
        <v>4415581</v>
      </c>
      <c r="S198" s="129">
        <v>3509.74</v>
      </c>
      <c r="T198" s="108"/>
      <c r="U198" s="104">
        <v>19677</v>
      </c>
      <c r="V198" s="104"/>
      <c r="W198" s="104" t="s">
        <v>40</v>
      </c>
      <c r="X198" s="104" t="s">
        <v>90</v>
      </c>
      <c r="Y198" s="131">
        <v>3509.74</v>
      </c>
      <c r="Z198" s="106">
        <v>45992</v>
      </c>
      <c r="AA198" s="106">
        <v>45996</v>
      </c>
      <c r="AB198" s="104" t="s">
        <v>60</v>
      </c>
      <c r="AC198" s="104"/>
      <c r="AD198" s="113">
        <f>S198-Y198</f>
        <v>0</v>
      </c>
    </row>
    <row r="199" spans="2:30" ht="45" hidden="1" customHeight="1">
      <c r="B199" s="174">
        <v>196</v>
      </c>
      <c r="C199" s="104" t="s">
        <v>282</v>
      </c>
      <c r="D199" s="104" t="s">
        <v>638</v>
      </c>
      <c r="E199" s="104">
        <v>40196</v>
      </c>
      <c r="F199" s="104" t="s">
        <v>44</v>
      </c>
      <c r="G199" s="145" t="s">
        <v>639</v>
      </c>
      <c r="H199" s="104">
        <v>1236</v>
      </c>
      <c r="I199" s="104">
        <v>242</v>
      </c>
      <c r="J199" s="104" t="s">
        <v>46</v>
      </c>
      <c r="K199" s="104">
        <v>244253</v>
      </c>
      <c r="L199" s="104">
        <v>89037</v>
      </c>
      <c r="M199" s="104">
        <v>6</v>
      </c>
      <c r="N199" s="104" t="s">
        <v>34</v>
      </c>
      <c r="O199" s="104" t="s">
        <v>34</v>
      </c>
      <c r="P199" s="104">
        <v>4299366</v>
      </c>
      <c r="Q199" s="106">
        <v>45973</v>
      </c>
      <c r="R199" s="104">
        <v>4413986</v>
      </c>
      <c r="S199" s="129">
        <v>7282.34</v>
      </c>
      <c r="T199" s="108"/>
      <c r="U199" s="119" t="s">
        <v>640</v>
      </c>
      <c r="V199" s="104" t="s">
        <v>641</v>
      </c>
      <c r="W199" s="104" t="s">
        <v>40</v>
      </c>
      <c r="X199" s="104" t="s">
        <v>44</v>
      </c>
      <c r="Y199" s="222">
        <v>7282.34</v>
      </c>
      <c r="Z199" s="106">
        <v>45999</v>
      </c>
      <c r="AA199" s="106">
        <v>45999</v>
      </c>
      <c r="AB199" s="104" t="s">
        <v>60</v>
      </c>
      <c r="AC199" s="104"/>
      <c r="AD199" s="113">
        <f>S199-Y199</f>
        <v>0</v>
      </c>
    </row>
    <row r="200" spans="2:30" ht="45" hidden="1" customHeight="1">
      <c r="B200" s="174">
        <v>197</v>
      </c>
      <c r="C200" s="104" t="s">
        <v>61</v>
      </c>
      <c r="D200" s="104" t="s">
        <v>642</v>
      </c>
      <c r="E200" s="104">
        <v>40223</v>
      </c>
      <c r="F200" s="104" t="s">
        <v>44</v>
      </c>
      <c r="G200" s="145" t="s">
        <v>643</v>
      </c>
      <c r="H200" s="104">
        <v>2488</v>
      </c>
      <c r="I200" s="104">
        <v>242</v>
      </c>
      <c r="J200" s="104" t="s">
        <v>46</v>
      </c>
      <c r="K200" s="104">
        <v>15203</v>
      </c>
      <c r="L200" s="104">
        <v>91312</v>
      </c>
      <c r="M200" s="104">
        <v>6</v>
      </c>
      <c r="N200" s="104"/>
      <c r="O200" s="104"/>
      <c r="P200" s="104">
        <v>4299409</v>
      </c>
      <c r="Q200" s="106">
        <v>45973</v>
      </c>
      <c r="R200" s="104">
        <v>4419988</v>
      </c>
      <c r="S200" s="129">
        <v>3800</v>
      </c>
      <c r="T200" s="108"/>
      <c r="U200" s="104">
        <v>2759</v>
      </c>
      <c r="V200" s="104" t="s">
        <v>644</v>
      </c>
      <c r="W200" s="104" t="s">
        <v>40</v>
      </c>
      <c r="X200" s="104" t="s">
        <v>25</v>
      </c>
      <c r="Y200" s="131">
        <v>3800</v>
      </c>
      <c r="Z200" s="106">
        <v>45995</v>
      </c>
      <c r="AA200" s="106">
        <v>46000</v>
      </c>
      <c r="AB200" s="104" t="s">
        <v>60</v>
      </c>
      <c r="AC200" s="104"/>
      <c r="AD200" s="113">
        <f>S200-Y200</f>
        <v>0</v>
      </c>
    </row>
    <row r="201" spans="2:30" ht="45" hidden="1" customHeight="1">
      <c r="B201" s="174">
        <v>198</v>
      </c>
      <c r="C201" s="104" t="s">
        <v>224</v>
      </c>
      <c r="D201" s="104" t="s">
        <v>645</v>
      </c>
      <c r="E201" s="104">
        <v>39323</v>
      </c>
      <c r="F201" s="104" t="s">
        <v>44</v>
      </c>
      <c r="G201" s="145" t="s">
        <v>646</v>
      </c>
      <c r="H201" s="104">
        <v>1244</v>
      </c>
      <c r="I201" s="104">
        <v>242</v>
      </c>
      <c r="J201" s="104" t="s">
        <v>46</v>
      </c>
      <c r="K201" s="104">
        <v>214085</v>
      </c>
      <c r="L201" s="104">
        <v>91397</v>
      </c>
      <c r="M201" s="104">
        <v>6</v>
      </c>
      <c r="N201" s="104"/>
      <c r="O201" s="104"/>
      <c r="P201" s="104">
        <v>4299447</v>
      </c>
      <c r="Q201" s="106">
        <v>45973</v>
      </c>
      <c r="R201" s="104">
        <v>4414004</v>
      </c>
      <c r="S201" s="129">
        <v>2288</v>
      </c>
      <c r="T201" s="108"/>
      <c r="U201" s="104"/>
      <c r="V201" s="104"/>
      <c r="W201" s="104"/>
      <c r="X201" s="104"/>
      <c r="Y201" s="228"/>
      <c r="Z201" s="106"/>
      <c r="AA201" s="106"/>
      <c r="AB201" s="104" t="s">
        <v>66</v>
      </c>
      <c r="AC201" s="104"/>
      <c r="AD201" s="113">
        <f>S201-Y201</f>
        <v>2288</v>
      </c>
    </row>
    <row r="202" spans="2:30" ht="45" hidden="1" customHeight="1">
      <c r="B202" s="174">
        <v>199</v>
      </c>
      <c r="C202" s="104" t="s">
        <v>32</v>
      </c>
      <c r="D202" s="104" t="s">
        <v>582</v>
      </c>
      <c r="E202" s="104">
        <v>40561</v>
      </c>
      <c r="F202" s="104" t="s">
        <v>35</v>
      </c>
      <c r="G202" s="256" t="s">
        <v>647</v>
      </c>
      <c r="H202" s="104">
        <v>5525</v>
      </c>
      <c r="I202" s="104">
        <v>242</v>
      </c>
      <c r="J202" s="104" t="s">
        <v>46</v>
      </c>
      <c r="K202" s="104">
        <v>424</v>
      </c>
      <c r="L202" s="104">
        <v>91341</v>
      </c>
      <c r="M202" s="104">
        <v>6</v>
      </c>
      <c r="N202" s="104"/>
      <c r="O202" s="104"/>
      <c r="P202" s="104">
        <v>4299464</v>
      </c>
      <c r="Q202" s="106">
        <v>45973</v>
      </c>
      <c r="R202" s="104">
        <v>4413972</v>
      </c>
      <c r="S202" s="129">
        <v>1950</v>
      </c>
      <c r="T202" s="108"/>
      <c r="U202" s="104">
        <v>3190</v>
      </c>
      <c r="V202" s="104" t="s">
        <v>648</v>
      </c>
      <c r="W202" s="104" t="s">
        <v>40</v>
      </c>
      <c r="X202" s="104" t="s">
        <v>25</v>
      </c>
      <c r="Y202" s="131">
        <v>1852.5</v>
      </c>
      <c r="Z202" s="106">
        <v>45992</v>
      </c>
      <c r="AA202" s="106">
        <v>45996</v>
      </c>
      <c r="AB202" s="104" t="s">
        <v>60</v>
      </c>
      <c r="AC202" s="104"/>
      <c r="AD202" s="113">
        <f>S202-Y202</f>
        <v>97.5</v>
      </c>
    </row>
    <row r="203" spans="2:30" ht="45" hidden="1" customHeight="1">
      <c r="B203" s="174">
        <v>200</v>
      </c>
      <c r="C203" s="104" t="s">
        <v>183</v>
      </c>
      <c r="D203" s="104" t="s">
        <v>192</v>
      </c>
      <c r="E203" s="104" t="s">
        <v>34</v>
      </c>
      <c r="F203" s="104" t="s">
        <v>35</v>
      </c>
      <c r="G203" s="145" t="s">
        <v>649</v>
      </c>
      <c r="H203" s="104">
        <v>2232</v>
      </c>
      <c r="I203" s="104">
        <v>242</v>
      </c>
      <c r="J203" s="104" t="s">
        <v>46</v>
      </c>
      <c r="K203" s="104">
        <v>566</v>
      </c>
      <c r="L203" s="104">
        <v>88105</v>
      </c>
      <c r="M203" s="104">
        <v>5</v>
      </c>
      <c r="N203" s="104" t="s">
        <v>650</v>
      </c>
      <c r="O203" s="104"/>
      <c r="P203" s="104">
        <v>4299480</v>
      </c>
      <c r="Q203" s="106">
        <v>45973</v>
      </c>
      <c r="R203" s="104">
        <v>4415575</v>
      </c>
      <c r="S203" s="129">
        <v>695</v>
      </c>
      <c r="T203" s="108"/>
      <c r="U203" s="104">
        <v>381</v>
      </c>
      <c r="V203" s="104"/>
      <c r="W203" s="104" t="s">
        <v>40</v>
      </c>
      <c r="X203" s="104" t="s">
        <v>44</v>
      </c>
      <c r="Y203" s="131">
        <v>695</v>
      </c>
      <c r="Z203" s="106">
        <v>45978</v>
      </c>
      <c r="AA203" s="106">
        <v>45981</v>
      </c>
      <c r="AB203" s="104" t="s">
        <v>60</v>
      </c>
      <c r="AC203" s="104"/>
      <c r="AD203" s="113">
        <f>S203-Y203</f>
        <v>0</v>
      </c>
    </row>
    <row r="204" spans="2:30" ht="45" hidden="1" customHeight="1">
      <c r="B204" s="174">
        <v>201</v>
      </c>
      <c r="C204" s="104" t="s">
        <v>51</v>
      </c>
      <c r="D204" s="104" t="s">
        <v>33</v>
      </c>
      <c r="E204" s="104">
        <v>39795</v>
      </c>
      <c r="F204" s="104" t="s">
        <v>35</v>
      </c>
      <c r="G204" s="145" t="s">
        <v>651</v>
      </c>
      <c r="H204" s="104">
        <v>4600</v>
      </c>
      <c r="I204" s="104">
        <v>242</v>
      </c>
      <c r="J204" s="104" t="s">
        <v>37</v>
      </c>
      <c r="K204" s="104">
        <v>413</v>
      </c>
      <c r="L204" s="104">
        <v>89927</v>
      </c>
      <c r="M204" s="104">
        <v>6</v>
      </c>
      <c r="N204" s="104" t="s">
        <v>34</v>
      </c>
      <c r="O204" s="104" t="s">
        <v>34</v>
      </c>
      <c r="P204" s="104">
        <v>4300333</v>
      </c>
      <c r="Q204" s="106">
        <v>45974</v>
      </c>
      <c r="R204" s="104">
        <v>4416477</v>
      </c>
      <c r="S204" s="129">
        <v>1560</v>
      </c>
      <c r="T204" s="108">
        <v>46001</v>
      </c>
      <c r="U204" s="104">
        <v>3198</v>
      </c>
      <c r="V204" s="104" t="s">
        <v>652</v>
      </c>
      <c r="W204" s="104" t="s">
        <v>40</v>
      </c>
      <c r="X204" s="104" t="s">
        <v>25</v>
      </c>
      <c r="Y204" s="131">
        <v>1482</v>
      </c>
      <c r="Z204" s="106">
        <v>45992</v>
      </c>
      <c r="AA204" s="106">
        <v>45996</v>
      </c>
      <c r="AB204" s="104" t="s">
        <v>60</v>
      </c>
      <c r="AC204" s="104"/>
      <c r="AD204" s="113">
        <f>S204-Y204</f>
        <v>78</v>
      </c>
    </row>
    <row r="205" spans="2:30" ht="45" hidden="1" customHeight="1">
      <c r="B205" s="174">
        <v>202</v>
      </c>
      <c r="C205" s="104" t="s">
        <v>61</v>
      </c>
      <c r="D205" s="104" t="s">
        <v>582</v>
      </c>
      <c r="E205" s="104">
        <v>40562</v>
      </c>
      <c r="F205" s="104" t="s">
        <v>35</v>
      </c>
      <c r="G205" s="145" t="s">
        <v>653</v>
      </c>
      <c r="H205" s="104">
        <v>2224</v>
      </c>
      <c r="I205" s="104">
        <v>242</v>
      </c>
      <c r="J205" s="104" t="s">
        <v>46</v>
      </c>
      <c r="K205" s="104">
        <v>431</v>
      </c>
      <c r="L205" s="104">
        <v>91597</v>
      </c>
      <c r="M205" s="104">
        <v>6</v>
      </c>
      <c r="N205" s="104"/>
      <c r="O205" s="104"/>
      <c r="P205" s="104">
        <v>4300441</v>
      </c>
      <c r="Q205" s="106">
        <v>45974</v>
      </c>
      <c r="R205" s="104">
        <v>4416482</v>
      </c>
      <c r="S205" s="129">
        <v>3480</v>
      </c>
      <c r="T205" s="108">
        <v>46001</v>
      </c>
      <c r="U205" s="104">
        <v>3254</v>
      </c>
      <c r="V205" s="104"/>
      <c r="W205" s="134" t="s">
        <v>48</v>
      </c>
      <c r="X205" s="134" t="s">
        <v>94</v>
      </c>
      <c r="Y205" s="227">
        <v>3306</v>
      </c>
      <c r="Z205" s="106">
        <v>46055</v>
      </c>
      <c r="AA205" s="106">
        <v>46055</v>
      </c>
      <c r="AB205" s="104" t="s">
        <v>60</v>
      </c>
      <c r="AC205" s="104"/>
      <c r="AD205" s="113">
        <f>S205-Y205</f>
        <v>174</v>
      </c>
    </row>
    <row r="206" spans="2:30" ht="45" hidden="1" customHeight="1">
      <c r="B206" s="174">
        <v>203</v>
      </c>
      <c r="C206" s="134" t="s">
        <v>183</v>
      </c>
      <c r="D206" s="134" t="s">
        <v>582</v>
      </c>
      <c r="E206" s="104">
        <v>40563</v>
      </c>
      <c r="F206" s="104" t="s">
        <v>35</v>
      </c>
      <c r="G206" s="254" t="s">
        <v>654</v>
      </c>
      <c r="H206" s="134">
        <v>2224</v>
      </c>
      <c r="I206" s="134">
        <v>242</v>
      </c>
      <c r="J206" s="134" t="s">
        <v>46</v>
      </c>
      <c r="K206" s="134">
        <v>425</v>
      </c>
      <c r="L206" s="134">
        <v>91419</v>
      </c>
      <c r="M206" s="134">
        <v>6</v>
      </c>
      <c r="N206" s="134"/>
      <c r="O206" s="134"/>
      <c r="P206" s="134">
        <v>4300459</v>
      </c>
      <c r="Q206" s="140">
        <v>45974</v>
      </c>
      <c r="R206" s="104">
        <v>4416484</v>
      </c>
      <c r="S206" s="141">
        <v>8885</v>
      </c>
      <c r="T206" s="142">
        <v>45992</v>
      </c>
      <c r="U206" s="134">
        <v>3197</v>
      </c>
      <c r="V206" s="136" t="s">
        <v>655</v>
      </c>
      <c r="W206" s="104" t="s">
        <v>40</v>
      </c>
      <c r="X206" s="104" t="s">
        <v>25</v>
      </c>
      <c r="Y206" s="131">
        <v>8440.75</v>
      </c>
      <c r="Z206" s="144">
        <v>45992</v>
      </c>
      <c r="AA206" s="140">
        <v>45996</v>
      </c>
      <c r="AB206" s="104" t="s">
        <v>60</v>
      </c>
      <c r="AC206" s="134"/>
      <c r="AD206" s="113">
        <f>S206-Y206</f>
        <v>444.25</v>
      </c>
    </row>
    <row r="207" spans="2:30" ht="45" hidden="1" customHeight="1">
      <c r="B207" s="174">
        <v>204</v>
      </c>
      <c r="C207" s="104" t="s">
        <v>183</v>
      </c>
      <c r="D207" s="104" t="s">
        <v>33</v>
      </c>
      <c r="E207" s="104">
        <v>40293</v>
      </c>
      <c r="F207" s="104" t="s">
        <v>35</v>
      </c>
      <c r="G207" s="145" t="s">
        <v>656</v>
      </c>
      <c r="H207" s="104">
        <v>2232</v>
      </c>
      <c r="I207" s="104">
        <v>242</v>
      </c>
      <c r="J207" s="104" t="s">
        <v>46</v>
      </c>
      <c r="K207" s="104">
        <v>429</v>
      </c>
      <c r="L207" s="104">
        <v>91727</v>
      </c>
      <c r="M207" s="104">
        <v>6</v>
      </c>
      <c r="N207" s="104"/>
      <c r="O207" s="104"/>
      <c r="P207" s="104">
        <v>4300581</v>
      </c>
      <c r="Q207" s="106">
        <v>45974</v>
      </c>
      <c r="R207" s="104">
        <v>4416486</v>
      </c>
      <c r="S207" s="129">
        <v>1180</v>
      </c>
      <c r="T207" s="108">
        <v>45992</v>
      </c>
      <c r="U207" s="104">
        <v>3193</v>
      </c>
      <c r="V207" s="104" t="s">
        <v>657</v>
      </c>
      <c r="W207" s="138" t="s">
        <v>40</v>
      </c>
      <c r="X207" s="138" t="s">
        <v>25</v>
      </c>
      <c r="Y207" s="225">
        <v>1121</v>
      </c>
      <c r="Z207" s="106">
        <v>45992</v>
      </c>
      <c r="AA207" s="106">
        <v>45996</v>
      </c>
      <c r="AB207" s="104" t="s">
        <v>60</v>
      </c>
      <c r="AC207" s="104"/>
      <c r="AD207" s="113">
        <f>S207-Y207</f>
        <v>59</v>
      </c>
    </row>
    <row r="208" spans="2:30" ht="45" hidden="1" customHeight="1">
      <c r="B208" s="174">
        <v>205</v>
      </c>
      <c r="C208" s="104" t="s">
        <v>95</v>
      </c>
      <c r="D208" s="104" t="s">
        <v>658</v>
      </c>
      <c r="E208" s="104" t="s">
        <v>34</v>
      </c>
      <c r="F208" s="104" t="s">
        <v>44</v>
      </c>
      <c r="G208" s="145" t="s">
        <v>659</v>
      </c>
      <c r="H208" s="104">
        <v>4502</v>
      </c>
      <c r="I208" s="104">
        <v>332</v>
      </c>
      <c r="J208" s="104" t="s">
        <v>46</v>
      </c>
      <c r="K208" s="104" t="s">
        <v>34</v>
      </c>
      <c r="L208" s="104" t="s">
        <v>34</v>
      </c>
      <c r="M208" s="104" t="s">
        <v>34</v>
      </c>
      <c r="N208" s="104" t="s">
        <v>34</v>
      </c>
      <c r="O208" s="104" t="s">
        <v>34</v>
      </c>
      <c r="P208" s="104">
        <v>4301237</v>
      </c>
      <c r="Q208" s="106">
        <v>45975</v>
      </c>
      <c r="R208" s="104">
        <v>4419146</v>
      </c>
      <c r="S208" s="155">
        <v>36000</v>
      </c>
      <c r="T208" s="108"/>
      <c r="U208" s="104">
        <v>387</v>
      </c>
      <c r="V208" s="104" t="s">
        <v>34</v>
      </c>
      <c r="W208" s="143" t="s">
        <v>40</v>
      </c>
      <c r="X208" s="143" t="s">
        <v>35</v>
      </c>
      <c r="Y208" s="221">
        <v>36000</v>
      </c>
      <c r="Z208" s="106">
        <v>46014</v>
      </c>
      <c r="AA208" s="106">
        <v>46017</v>
      </c>
      <c r="AB208" s="104" t="s">
        <v>60</v>
      </c>
      <c r="AC208" s="104"/>
      <c r="AD208" s="113">
        <f>S208-Y208</f>
        <v>0</v>
      </c>
    </row>
    <row r="209" spans="2:30" ht="45" hidden="1" customHeight="1">
      <c r="B209" s="174">
        <v>206</v>
      </c>
      <c r="C209" s="104" t="s">
        <v>137</v>
      </c>
      <c r="D209" s="104" t="s">
        <v>91</v>
      </c>
      <c r="E209" s="104" t="s">
        <v>34</v>
      </c>
      <c r="F209" s="104" t="s">
        <v>44</v>
      </c>
      <c r="G209" s="145" t="s">
        <v>660</v>
      </c>
      <c r="H209" s="104" t="s">
        <v>661</v>
      </c>
      <c r="I209" s="104">
        <v>5</v>
      </c>
      <c r="J209" s="104" t="s">
        <v>37</v>
      </c>
      <c r="K209" s="104" t="s">
        <v>479</v>
      </c>
      <c r="L209" s="104">
        <v>91149</v>
      </c>
      <c r="M209" s="104">
        <v>2</v>
      </c>
      <c r="N209" s="104" t="s">
        <v>662</v>
      </c>
      <c r="O209" s="104" t="s">
        <v>34</v>
      </c>
      <c r="P209" s="104">
        <v>4301497</v>
      </c>
      <c r="Q209" s="106">
        <v>45975</v>
      </c>
      <c r="R209" s="104">
        <v>4418371</v>
      </c>
      <c r="S209" s="129">
        <v>63500</v>
      </c>
      <c r="T209" s="108">
        <v>45962</v>
      </c>
      <c r="U209" s="116" t="s">
        <v>663</v>
      </c>
      <c r="V209" s="104"/>
      <c r="W209" s="104" t="s">
        <v>48</v>
      </c>
      <c r="X209" s="104" t="s">
        <v>90</v>
      </c>
      <c r="Y209" s="227">
        <v>19428</v>
      </c>
      <c r="Z209" s="106">
        <v>45992</v>
      </c>
      <c r="AA209" s="106">
        <v>45994</v>
      </c>
      <c r="AB209" s="104" t="s">
        <v>54</v>
      </c>
      <c r="AC209" s="104"/>
      <c r="AD209" s="113">
        <v>19698</v>
      </c>
    </row>
    <row r="210" spans="2:30" ht="45" hidden="1" customHeight="1">
      <c r="B210" s="174">
        <v>207</v>
      </c>
      <c r="C210" s="104" t="s">
        <v>137</v>
      </c>
      <c r="D210" s="104" t="s">
        <v>91</v>
      </c>
      <c r="E210" s="104" t="s">
        <v>34</v>
      </c>
      <c r="F210" s="104" t="s">
        <v>44</v>
      </c>
      <c r="G210" s="145" t="s">
        <v>660</v>
      </c>
      <c r="H210" s="104" t="s">
        <v>661</v>
      </c>
      <c r="I210" s="104">
        <v>5</v>
      </c>
      <c r="J210" s="104" t="s">
        <v>37</v>
      </c>
      <c r="K210" s="104" t="s">
        <v>479</v>
      </c>
      <c r="L210" s="104">
        <v>91149</v>
      </c>
      <c r="M210" s="104">
        <v>2</v>
      </c>
      <c r="N210" s="104" t="s">
        <v>662</v>
      </c>
      <c r="O210" s="104" t="s">
        <v>34</v>
      </c>
      <c r="P210" s="104">
        <v>4301497</v>
      </c>
      <c r="Q210" s="106">
        <v>45975</v>
      </c>
      <c r="R210" s="104">
        <v>4418371</v>
      </c>
      <c r="S210" s="129">
        <v>19698</v>
      </c>
      <c r="T210" s="108"/>
      <c r="U210" s="118">
        <v>2102</v>
      </c>
      <c r="V210" s="104"/>
      <c r="W210" s="104"/>
      <c r="X210" s="126"/>
      <c r="Y210" s="131"/>
      <c r="Z210" s="125"/>
      <c r="AA210" s="106"/>
      <c r="AB210" s="104" t="s">
        <v>66</v>
      </c>
      <c r="AC210" s="104" t="s">
        <v>664</v>
      </c>
      <c r="AD210" s="113"/>
    </row>
    <row r="211" spans="2:30" ht="45" hidden="1" customHeight="1">
      <c r="B211" s="174">
        <v>208</v>
      </c>
      <c r="C211" s="104" t="s">
        <v>137</v>
      </c>
      <c r="D211" s="104" t="s">
        <v>91</v>
      </c>
      <c r="E211" s="104" t="s">
        <v>34</v>
      </c>
      <c r="F211" s="104" t="s">
        <v>44</v>
      </c>
      <c r="G211" s="145" t="s">
        <v>660</v>
      </c>
      <c r="H211" s="104" t="s">
        <v>661</v>
      </c>
      <c r="I211" s="104">
        <v>5</v>
      </c>
      <c r="J211" s="104" t="s">
        <v>37</v>
      </c>
      <c r="K211" s="104" t="s">
        <v>479</v>
      </c>
      <c r="L211" s="104">
        <v>91149</v>
      </c>
      <c r="M211" s="104">
        <v>2</v>
      </c>
      <c r="N211" s="104" t="s">
        <v>662</v>
      </c>
      <c r="O211" s="104" t="s">
        <v>34</v>
      </c>
      <c r="P211" s="104">
        <v>4301497</v>
      </c>
      <c r="Q211" s="106">
        <v>45975</v>
      </c>
      <c r="R211" s="104">
        <v>4418371</v>
      </c>
      <c r="S211" s="129">
        <v>44072</v>
      </c>
      <c r="T211" s="108">
        <v>45962</v>
      </c>
      <c r="U211" s="104">
        <v>2073</v>
      </c>
      <c r="V211" s="104"/>
      <c r="W211" s="104" t="s">
        <v>48</v>
      </c>
      <c r="X211" s="126" t="s">
        <v>90</v>
      </c>
      <c r="Y211" s="225">
        <v>24374</v>
      </c>
      <c r="Z211" s="106">
        <v>46000</v>
      </c>
      <c r="AA211" s="106">
        <v>46003</v>
      </c>
      <c r="AB211" s="104" t="s">
        <v>54</v>
      </c>
      <c r="AC211" s="104"/>
      <c r="AD211" s="113">
        <f>S211-Y211</f>
        <v>19698</v>
      </c>
    </row>
    <row r="212" spans="2:30" ht="45" hidden="1" customHeight="1">
      <c r="B212" s="174">
        <v>209</v>
      </c>
      <c r="C212" s="104" t="s">
        <v>137</v>
      </c>
      <c r="D212" s="104" t="s">
        <v>91</v>
      </c>
      <c r="E212" s="104" t="s">
        <v>34</v>
      </c>
      <c r="F212" s="104" t="s">
        <v>44</v>
      </c>
      <c r="G212" s="145" t="s">
        <v>660</v>
      </c>
      <c r="H212" s="104" t="s">
        <v>661</v>
      </c>
      <c r="I212" s="104">
        <v>5</v>
      </c>
      <c r="J212" s="104" t="s">
        <v>37</v>
      </c>
      <c r="K212" s="104" t="s">
        <v>479</v>
      </c>
      <c r="L212" s="104">
        <v>91149</v>
      </c>
      <c r="M212" s="104">
        <v>2</v>
      </c>
      <c r="N212" s="104" t="s">
        <v>662</v>
      </c>
      <c r="O212" s="104" t="s">
        <v>34</v>
      </c>
      <c r="P212" s="104">
        <v>4301497</v>
      </c>
      <c r="Q212" s="106">
        <v>45975</v>
      </c>
      <c r="R212" s="104">
        <v>4418371</v>
      </c>
      <c r="S212" s="166">
        <v>19698</v>
      </c>
      <c r="T212" s="108"/>
      <c r="U212" s="116" t="s">
        <v>665</v>
      </c>
      <c r="V212" s="104"/>
      <c r="W212" s="104" t="s">
        <v>48</v>
      </c>
      <c r="X212" s="104" t="s">
        <v>90</v>
      </c>
      <c r="Y212" s="131">
        <v>19698</v>
      </c>
      <c r="Z212" s="106">
        <v>46027</v>
      </c>
      <c r="AA212" s="106">
        <v>46038</v>
      </c>
      <c r="AB212" s="104" t="s">
        <v>60</v>
      </c>
      <c r="AC212" s="104"/>
      <c r="AD212" s="113">
        <f>S212-Y212</f>
        <v>0</v>
      </c>
    </row>
    <row r="213" spans="2:30" ht="45" hidden="1" customHeight="1">
      <c r="B213" s="174">
        <v>210</v>
      </c>
      <c r="C213" s="104" t="s">
        <v>61</v>
      </c>
      <c r="D213" s="104" t="s">
        <v>666</v>
      </c>
      <c r="E213" s="104">
        <v>40636</v>
      </c>
      <c r="F213" s="104" t="s">
        <v>44</v>
      </c>
      <c r="G213" s="145" t="s">
        <v>667</v>
      </c>
      <c r="H213" s="104">
        <v>2224</v>
      </c>
      <c r="I213" s="104">
        <v>242</v>
      </c>
      <c r="J213" s="104" t="s">
        <v>37</v>
      </c>
      <c r="K213" s="104" t="s">
        <v>668</v>
      </c>
      <c r="L213" s="104">
        <v>91596</v>
      </c>
      <c r="M213" s="104">
        <v>6</v>
      </c>
      <c r="N213" s="104" t="s">
        <v>34</v>
      </c>
      <c r="O213" s="104" t="s">
        <v>34</v>
      </c>
      <c r="P213" s="104">
        <v>4301685</v>
      </c>
      <c r="Q213" s="106">
        <v>45975</v>
      </c>
      <c r="R213" s="104">
        <v>4416585</v>
      </c>
      <c r="S213" s="129">
        <v>15821.17</v>
      </c>
      <c r="T213" s="108">
        <v>45992</v>
      </c>
      <c r="U213" s="104">
        <v>1618</v>
      </c>
      <c r="V213" s="104"/>
      <c r="W213" s="104" t="s">
        <v>106</v>
      </c>
      <c r="X213" s="104" t="s">
        <v>507</v>
      </c>
      <c r="Y213" s="131">
        <v>15346.53</v>
      </c>
      <c r="Z213" s="106">
        <v>46003</v>
      </c>
      <c r="AA213" s="106">
        <v>46035</v>
      </c>
      <c r="AB213" s="104" t="s">
        <v>60</v>
      </c>
      <c r="AC213" s="104"/>
      <c r="AD213" s="113">
        <f>S213-Y213</f>
        <v>474.63999999999942</v>
      </c>
    </row>
    <row r="214" spans="2:30" ht="45" hidden="1" customHeight="1">
      <c r="B214" s="174">
        <v>211</v>
      </c>
      <c r="C214" s="104" t="s">
        <v>80</v>
      </c>
      <c r="D214" s="104" t="s">
        <v>669</v>
      </c>
      <c r="E214" s="104" t="s">
        <v>34</v>
      </c>
      <c r="F214" s="104" t="s">
        <v>44</v>
      </c>
      <c r="G214" s="145" t="s">
        <v>670</v>
      </c>
      <c r="H214" s="104">
        <v>2151</v>
      </c>
      <c r="I214" s="104">
        <v>242</v>
      </c>
      <c r="J214" s="104" t="s">
        <v>285</v>
      </c>
      <c r="K214" s="104">
        <v>1291</v>
      </c>
      <c r="L214" s="104">
        <v>91694</v>
      </c>
      <c r="M214" s="104">
        <v>2</v>
      </c>
      <c r="N214" s="104" t="s">
        <v>671</v>
      </c>
      <c r="O214" s="104" t="s">
        <v>34</v>
      </c>
      <c r="P214" s="104">
        <v>4301709</v>
      </c>
      <c r="Q214" s="106">
        <v>45975</v>
      </c>
      <c r="R214" s="104">
        <v>4416677</v>
      </c>
      <c r="S214" s="129">
        <v>10340</v>
      </c>
      <c r="T214" s="108">
        <v>45981</v>
      </c>
      <c r="U214" s="104">
        <v>17359</v>
      </c>
      <c r="V214" s="104"/>
      <c r="W214" s="104" t="s">
        <v>197</v>
      </c>
      <c r="X214" s="104" t="s">
        <v>94</v>
      </c>
      <c r="Y214" s="131">
        <v>8120</v>
      </c>
      <c r="Z214" s="106">
        <v>45994</v>
      </c>
      <c r="AA214" s="106">
        <v>45996</v>
      </c>
      <c r="AB214" s="104" t="s">
        <v>49</v>
      </c>
      <c r="AC214" s="104" t="s">
        <v>672</v>
      </c>
      <c r="AD214" s="113">
        <f>S214-Y214</f>
        <v>2220</v>
      </c>
    </row>
    <row r="215" spans="2:30" ht="45" hidden="1" customHeight="1">
      <c r="B215" s="174">
        <v>212</v>
      </c>
      <c r="C215" s="104" t="s">
        <v>80</v>
      </c>
      <c r="D215" s="104" t="s">
        <v>673</v>
      </c>
      <c r="E215" s="104" t="s">
        <v>34</v>
      </c>
      <c r="F215" s="104" t="s">
        <v>44</v>
      </c>
      <c r="G215" s="145" t="s">
        <v>670</v>
      </c>
      <c r="H215" s="104">
        <v>2151</v>
      </c>
      <c r="I215" s="104">
        <v>242</v>
      </c>
      <c r="J215" s="104" t="s">
        <v>46</v>
      </c>
      <c r="K215" s="104">
        <v>1291</v>
      </c>
      <c r="L215" s="104">
        <v>91694</v>
      </c>
      <c r="M215" s="104">
        <v>2</v>
      </c>
      <c r="N215" s="104" t="s">
        <v>674</v>
      </c>
      <c r="O215" s="104" t="s">
        <v>34</v>
      </c>
      <c r="P215" s="104">
        <v>4302328</v>
      </c>
      <c r="Q215" s="106">
        <v>45977</v>
      </c>
      <c r="R215" s="104"/>
      <c r="S215" s="129">
        <v>10340</v>
      </c>
      <c r="T215" s="108" t="s">
        <v>34</v>
      </c>
      <c r="U215" s="104"/>
      <c r="V215" s="104"/>
      <c r="W215" s="104"/>
      <c r="X215" s="104"/>
      <c r="Y215" s="131"/>
      <c r="Z215" s="106"/>
      <c r="AA215" s="106"/>
      <c r="AB215" s="104" t="s">
        <v>115</v>
      </c>
      <c r="AC215" s="104" t="s">
        <v>675</v>
      </c>
      <c r="AD215" s="113">
        <f>S215-Y215</f>
        <v>10340</v>
      </c>
    </row>
    <row r="216" spans="2:30" ht="45" hidden="1" customHeight="1">
      <c r="B216" s="174">
        <v>213</v>
      </c>
      <c r="C216" s="104" t="s">
        <v>291</v>
      </c>
      <c r="D216" s="104" t="s">
        <v>33</v>
      </c>
      <c r="E216" s="104">
        <v>40604</v>
      </c>
      <c r="F216" s="104" t="s">
        <v>35</v>
      </c>
      <c r="G216" s="145" t="s">
        <v>676</v>
      </c>
      <c r="H216" s="104">
        <v>2488</v>
      </c>
      <c r="I216" s="104">
        <v>242</v>
      </c>
      <c r="J216" s="104" t="s">
        <v>46</v>
      </c>
      <c r="K216" s="104">
        <v>428</v>
      </c>
      <c r="L216" s="104">
        <v>91957</v>
      </c>
      <c r="M216" s="104">
        <v>6</v>
      </c>
      <c r="N216" s="104" t="s">
        <v>34</v>
      </c>
      <c r="O216" s="104" t="s">
        <v>34</v>
      </c>
      <c r="P216" s="104">
        <v>4302329</v>
      </c>
      <c r="Q216" s="106">
        <v>45977</v>
      </c>
      <c r="R216" s="104">
        <v>4416580</v>
      </c>
      <c r="S216" s="129">
        <v>1790</v>
      </c>
      <c r="T216" s="108">
        <v>45996</v>
      </c>
      <c r="U216" s="104">
        <v>3219</v>
      </c>
      <c r="V216" s="104"/>
      <c r="W216" s="104" t="s">
        <v>106</v>
      </c>
      <c r="X216" s="104" t="s">
        <v>25</v>
      </c>
      <c r="Y216" s="131">
        <v>1700.5</v>
      </c>
      <c r="Z216" s="106">
        <v>46023</v>
      </c>
      <c r="AA216" s="106">
        <v>46029</v>
      </c>
      <c r="AB216" s="104" t="s">
        <v>60</v>
      </c>
      <c r="AC216" s="138"/>
      <c r="AD216" s="113">
        <f>S216-Y216</f>
        <v>89.5</v>
      </c>
    </row>
    <row r="217" spans="2:30" ht="45" hidden="1" customHeight="1">
      <c r="B217" s="174">
        <v>214</v>
      </c>
      <c r="C217" s="104" t="s">
        <v>61</v>
      </c>
      <c r="D217" s="104" t="s">
        <v>192</v>
      </c>
      <c r="E217" s="104" t="s">
        <v>34</v>
      </c>
      <c r="F217" s="104" t="s">
        <v>35</v>
      </c>
      <c r="G217" s="145" t="s">
        <v>677</v>
      </c>
      <c r="H217" s="104">
        <v>4057</v>
      </c>
      <c r="I217" s="104">
        <v>242</v>
      </c>
      <c r="J217" s="104" t="s">
        <v>46</v>
      </c>
      <c r="K217" s="104">
        <v>675</v>
      </c>
      <c r="L217" s="104">
        <v>91702</v>
      </c>
      <c r="M217" s="104">
        <v>5</v>
      </c>
      <c r="N217" s="104" t="s">
        <v>678</v>
      </c>
      <c r="O217" s="104" t="s">
        <v>34</v>
      </c>
      <c r="P217" s="104">
        <v>4302330</v>
      </c>
      <c r="Q217" s="106">
        <v>45977</v>
      </c>
      <c r="R217" s="104">
        <v>4417893</v>
      </c>
      <c r="S217" s="129">
        <v>2244</v>
      </c>
      <c r="T217" s="108" t="s">
        <v>34</v>
      </c>
      <c r="U217" s="104">
        <v>404</v>
      </c>
      <c r="V217" s="104" t="s">
        <v>34</v>
      </c>
      <c r="W217" s="104" t="s">
        <v>48</v>
      </c>
      <c r="X217" s="104" t="s">
        <v>94</v>
      </c>
      <c r="Y217" s="131">
        <v>2244</v>
      </c>
      <c r="Z217" s="106">
        <v>45982</v>
      </c>
      <c r="AA217" s="106">
        <v>45986</v>
      </c>
      <c r="AB217" s="104" t="s">
        <v>60</v>
      </c>
      <c r="AC217" s="104"/>
      <c r="AD217" s="113">
        <f>S217-Y217</f>
        <v>0</v>
      </c>
    </row>
    <row r="218" spans="2:30" ht="45" hidden="1" customHeight="1">
      <c r="B218" s="174">
        <v>215</v>
      </c>
      <c r="C218" s="104" t="s">
        <v>137</v>
      </c>
      <c r="D218" s="104" t="s">
        <v>455</v>
      </c>
      <c r="E218" s="104" t="s">
        <v>34</v>
      </c>
      <c r="F218" s="104" t="s">
        <v>44</v>
      </c>
      <c r="G218" s="145" t="s">
        <v>234</v>
      </c>
      <c r="H218" s="104" t="s">
        <v>679</v>
      </c>
      <c r="I218" s="104">
        <v>5</v>
      </c>
      <c r="J218" s="104" t="s">
        <v>285</v>
      </c>
      <c r="K218" s="104" t="s">
        <v>479</v>
      </c>
      <c r="L218" s="104">
        <v>91141</v>
      </c>
      <c r="M218" s="104">
        <v>2</v>
      </c>
      <c r="N218" s="104" t="s">
        <v>680</v>
      </c>
      <c r="O218" s="104" t="s">
        <v>34</v>
      </c>
      <c r="P218" s="104">
        <v>4303124</v>
      </c>
      <c r="Q218" s="106">
        <v>45978</v>
      </c>
      <c r="R218" s="104">
        <v>4421700</v>
      </c>
      <c r="S218" s="129">
        <v>67802.399999999994</v>
      </c>
      <c r="T218" s="108">
        <v>45985</v>
      </c>
      <c r="U218" s="104">
        <v>45</v>
      </c>
      <c r="V218" s="104"/>
      <c r="W218" s="104" t="s">
        <v>35</v>
      </c>
      <c r="X218" s="104" t="s">
        <v>25</v>
      </c>
      <c r="Y218" s="131">
        <v>67802.399999999994</v>
      </c>
      <c r="Z218" s="106">
        <v>46024</v>
      </c>
      <c r="AA218" s="106">
        <v>46028</v>
      </c>
      <c r="AB218" s="104" t="s">
        <v>60</v>
      </c>
      <c r="AC218" s="104"/>
      <c r="AD218" s="113">
        <f>S218-Y218</f>
        <v>0</v>
      </c>
    </row>
    <row r="219" spans="2:30" ht="45" hidden="1" customHeight="1">
      <c r="B219" s="174">
        <v>216</v>
      </c>
      <c r="C219" s="104" t="s">
        <v>137</v>
      </c>
      <c r="D219" s="104" t="s">
        <v>681</v>
      </c>
      <c r="E219" s="104" t="s">
        <v>34</v>
      </c>
      <c r="F219" s="104" t="s">
        <v>44</v>
      </c>
      <c r="G219" s="145" t="s">
        <v>238</v>
      </c>
      <c r="H219" s="104">
        <v>4472</v>
      </c>
      <c r="I219" s="104">
        <v>5</v>
      </c>
      <c r="J219" s="104" t="s">
        <v>285</v>
      </c>
      <c r="K219" s="104">
        <v>797</v>
      </c>
      <c r="L219" s="104">
        <v>91925</v>
      </c>
      <c r="M219" s="104">
        <v>29</v>
      </c>
      <c r="N219" s="104" t="s">
        <v>682</v>
      </c>
      <c r="O219" s="104" t="s">
        <v>34</v>
      </c>
      <c r="P219" s="104">
        <v>4303197</v>
      </c>
      <c r="Q219" s="106">
        <v>45978</v>
      </c>
      <c r="R219" s="104">
        <v>4423013</v>
      </c>
      <c r="S219" s="129">
        <v>29660</v>
      </c>
      <c r="T219" s="108">
        <v>45962</v>
      </c>
      <c r="U219" s="104">
        <v>377</v>
      </c>
      <c r="V219" s="104" t="s">
        <v>34</v>
      </c>
      <c r="W219" s="104" t="s">
        <v>48</v>
      </c>
      <c r="X219" s="104" t="s">
        <v>25</v>
      </c>
      <c r="Y219" s="131">
        <v>14000</v>
      </c>
      <c r="Z219" s="106">
        <v>46090</v>
      </c>
      <c r="AA219" s="106">
        <v>46092</v>
      </c>
      <c r="AB219" s="104" t="s">
        <v>41</v>
      </c>
      <c r="AC219" s="104"/>
      <c r="AD219" s="113">
        <f>S219-Y219</f>
        <v>15660</v>
      </c>
    </row>
    <row r="220" spans="2:30" ht="45" hidden="1" customHeight="1">
      <c r="B220" s="174">
        <v>217</v>
      </c>
      <c r="C220" s="104" t="s">
        <v>61</v>
      </c>
      <c r="D220" s="104">
        <v>217</v>
      </c>
      <c r="E220" s="104" t="s">
        <v>34</v>
      </c>
      <c r="F220" s="104" t="s">
        <v>35</v>
      </c>
      <c r="G220" s="145" t="s">
        <v>683</v>
      </c>
      <c r="H220" s="104">
        <v>2721</v>
      </c>
      <c r="I220" s="104">
        <v>242</v>
      </c>
      <c r="J220" s="104" t="s">
        <v>37</v>
      </c>
      <c r="K220" s="104">
        <v>391</v>
      </c>
      <c r="L220" s="104">
        <v>91709</v>
      </c>
      <c r="M220" s="104">
        <v>5</v>
      </c>
      <c r="N220" s="104" t="s">
        <v>684</v>
      </c>
      <c r="O220" s="104" t="s">
        <v>34</v>
      </c>
      <c r="P220" s="104">
        <v>4303272</v>
      </c>
      <c r="Q220" s="106">
        <v>45978</v>
      </c>
      <c r="R220" s="104">
        <v>4424780</v>
      </c>
      <c r="S220" s="129">
        <v>765</v>
      </c>
      <c r="T220" s="108">
        <v>45981</v>
      </c>
      <c r="U220" s="104">
        <v>432</v>
      </c>
      <c r="V220" s="104"/>
      <c r="W220" s="104" t="s">
        <v>40</v>
      </c>
      <c r="X220" s="104" t="s">
        <v>90</v>
      </c>
      <c r="Y220" s="131">
        <v>765</v>
      </c>
      <c r="Z220" s="106">
        <v>45992</v>
      </c>
      <c r="AA220" s="106">
        <v>45993</v>
      </c>
      <c r="AB220" s="104" t="s">
        <v>60</v>
      </c>
      <c r="AC220" s="104"/>
      <c r="AD220" s="113">
        <f>S220-Y220</f>
        <v>0</v>
      </c>
    </row>
    <row r="221" spans="2:30" ht="45" hidden="1" customHeight="1">
      <c r="B221" s="174">
        <v>218</v>
      </c>
      <c r="C221" s="104" t="s">
        <v>282</v>
      </c>
      <c r="D221" s="104" t="s">
        <v>157</v>
      </c>
      <c r="E221" s="104">
        <v>40136</v>
      </c>
      <c r="F221" s="104" t="s">
        <v>44</v>
      </c>
      <c r="G221" s="145" t="s">
        <v>685</v>
      </c>
      <c r="H221" s="104">
        <v>1295</v>
      </c>
      <c r="I221" s="104">
        <v>242</v>
      </c>
      <c r="J221" s="104" t="s">
        <v>285</v>
      </c>
      <c r="K221" s="104">
        <v>20824501</v>
      </c>
      <c r="L221" s="104">
        <v>89935</v>
      </c>
      <c r="M221" s="104">
        <v>6</v>
      </c>
      <c r="N221" s="104" t="s">
        <v>34</v>
      </c>
      <c r="O221" s="104" t="s">
        <v>34</v>
      </c>
      <c r="P221" s="104">
        <v>4303417</v>
      </c>
      <c r="Q221" s="106">
        <v>45978</v>
      </c>
      <c r="R221" s="104">
        <v>4422324</v>
      </c>
      <c r="S221" s="129">
        <v>5024.67</v>
      </c>
      <c r="T221" s="108">
        <v>45989</v>
      </c>
      <c r="U221" s="104">
        <v>19580</v>
      </c>
      <c r="V221" s="104"/>
      <c r="W221" s="104" t="s">
        <v>48</v>
      </c>
      <c r="X221" s="104" t="s">
        <v>131</v>
      </c>
      <c r="Y221" s="131">
        <v>5024.67</v>
      </c>
      <c r="Z221" s="106">
        <v>46057</v>
      </c>
      <c r="AA221" s="106">
        <v>46058</v>
      </c>
      <c r="AB221" s="104" t="s">
        <v>60</v>
      </c>
      <c r="AC221" s="104"/>
      <c r="AD221" s="113">
        <f>S221-Y221</f>
        <v>0</v>
      </c>
    </row>
    <row r="222" spans="2:30" ht="45" hidden="1" customHeight="1">
      <c r="B222" s="174">
        <v>219</v>
      </c>
      <c r="C222" s="104" t="s">
        <v>137</v>
      </c>
      <c r="D222" s="104" t="s">
        <v>658</v>
      </c>
      <c r="E222" s="104" t="s">
        <v>34</v>
      </c>
      <c r="F222" s="104" t="s">
        <v>44</v>
      </c>
      <c r="G222" s="145" t="s">
        <v>246</v>
      </c>
      <c r="H222" s="104" t="s">
        <v>247</v>
      </c>
      <c r="I222" s="104">
        <v>5</v>
      </c>
      <c r="J222" s="104" t="s">
        <v>285</v>
      </c>
      <c r="K222" s="104" t="s">
        <v>479</v>
      </c>
      <c r="L222" s="104">
        <v>92041</v>
      </c>
      <c r="M222" s="104">
        <v>2</v>
      </c>
      <c r="N222" s="104" t="s">
        <v>686</v>
      </c>
      <c r="O222" s="104" t="s">
        <v>34</v>
      </c>
      <c r="P222" s="104">
        <v>4303441</v>
      </c>
      <c r="Q222" s="106">
        <v>45978</v>
      </c>
      <c r="R222" s="104">
        <v>4421966</v>
      </c>
      <c r="S222" s="129">
        <v>55000</v>
      </c>
      <c r="T222" s="108">
        <v>45931</v>
      </c>
      <c r="U222" s="104">
        <v>414</v>
      </c>
      <c r="V222" s="104" t="s">
        <v>34</v>
      </c>
      <c r="W222" s="104" t="s">
        <v>40</v>
      </c>
      <c r="X222" s="104" t="s">
        <v>25</v>
      </c>
      <c r="Y222" s="131">
        <v>49499</v>
      </c>
      <c r="Z222" s="106">
        <v>46071</v>
      </c>
      <c r="AA222" s="106">
        <v>46072</v>
      </c>
      <c r="AB222" s="104" t="s">
        <v>60</v>
      </c>
      <c r="AC222" s="104"/>
      <c r="AD222" s="113">
        <f>S222-Y222</f>
        <v>5501</v>
      </c>
    </row>
    <row r="223" spans="2:30" ht="45" hidden="1" customHeight="1">
      <c r="B223" s="174">
        <v>220</v>
      </c>
      <c r="C223" s="104" t="s">
        <v>282</v>
      </c>
      <c r="D223" s="104" t="s">
        <v>687</v>
      </c>
      <c r="E223" s="104" t="s">
        <v>34</v>
      </c>
      <c r="F223" s="104" t="s">
        <v>44</v>
      </c>
      <c r="G223" s="145" t="s">
        <v>688</v>
      </c>
      <c r="H223" s="104">
        <v>1210</v>
      </c>
      <c r="I223" s="104">
        <v>242</v>
      </c>
      <c r="J223" s="104" t="s">
        <v>37</v>
      </c>
      <c r="K223" s="104" t="s">
        <v>687</v>
      </c>
      <c r="L223" s="104">
        <v>91726</v>
      </c>
      <c r="M223" s="104">
        <v>5</v>
      </c>
      <c r="N223" s="104" t="s">
        <v>689</v>
      </c>
      <c r="O223" s="104" t="s">
        <v>34</v>
      </c>
      <c r="P223" s="104">
        <v>4303461</v>
      </c>
      <c r="Q223" s="106">
        <v>45978</v>
      </c>
      <c r="R223" s="104">
        <v>4424790</v>
      </c>
      <c r="S223" s="129">
        <v>11753.77</v>
      </c>
      <c r="T223" s="108">
        <v>45982</v>
      </c>
      <c r="U223" s="104">
        <v>165884</v>
      </c>
      <c r="V223" s="104"/>
      <c r="W223" s="104" t="s">
        <v>40</v>
      </c>
      <c r="X223" s="104" t="s">
        <v>90</v>
      </c>
      <c r="Y223" s="131">
        <v>11753.77</v>
      </c>
      <c r="Z223" s="106">
        <v>45993</v>
      </c>
      <c r="AA223" s="106">
        <v>45994</v>
      </c>
      <c r="AB223" s="104" t="s">
        <v>60</v>
      </c>
      <c r="AC223" s="104"/>
      <c r="AD223" s="113">
        <f>S223-Y223</f>
        <v>0</v>
      </c>
    </row>
    <row r="224" spans="2:30" ht="45" hidden="1" customHeight="1">
      <c r="B224" s="174">
        <v>221</v>
      </c>
      <c r="C224" s="104" t="s">
        <v>51</v>
      </c>
      <c r="D224" s="104" t="s">
        <v>33</v>
      </c>
      <c r="E224" s="104">
        <v>40605</v>
      </c>
      <c r="F224" s="104" t="s">
        <v>35</v>
      </c>
      <c r="G224" s="145" t="s">
        <v>690</v>
      </c>
      <c r="H224" s="104">
        <v>5345</v>
      </c>
      <c r="I224" s="104">
        <v>242</v>
      </c>
      <c r="J224" s="104" t="s">
        <v>37</v>
      </c>
      <c r="K224" s="104" t="s">
        <v>691</v>
      </c>
      <c r="L224" s="104">
        <v>91598</v>
      </c>
      <c r="M224" s="104">
        <v>6</v>
      </c>
      <c r="N224" s="104" t="s">
        <v>34</v>
      </c>
      <c r="O224" s="104" t="s">
        <v>34</v>
      </c>
      <c r="P224" s="104">
        <v>4304011</v>
      </c>
      <c r="Q224" s="106">
        <v>45979</v>
      </c>
      <c r="R224" s="104">
        <v>4422931</v>
      </c>
      <c r="S224" s="129">
        <v>11830</v>
      </c>
      <c r="T224" s="108">
        <v>45981</v>
      </c>
      <c r="U224" s="104">
        <v>3212</v>
      </c>
      <c r="V224" s="104" t="s">
        <v>692</v>
      </c>
      <c r="W224" s="104" t="s">
        <v>40</v>
      </c>
      <c r="X224" s="104" t="s">
        <v>35</v>
      </c>
      <c r="Y224" s="221">
        <v>11238.5</v>
      </c>
      <c r="Z224" s="106">
        <v>46003</v>
      </c>
      <c r="AA224" s="106">
        <v>46006</v>
      </c>
      <c r="AB224" s="104" t="s">
        <v>60</v>
      </c>
      <c r="AC224" s="104"/>
      <c r="AD224" s="113">
        <f>S224-Y224</f>
        <v>591.5</v>
      </c>
    </row>
    <row r="225" spans="2:30" ht="45" hidden="1" customHeight="1">
      <c r="B225" s="174">
        <v>222</v>
      </c>
      <c r="C225" s="104" t="s">
        <v>61</v>
      </c>
      <c r="D225" s="104" t="s">
        <v>693</v>
      </c>
      <c r="E225" s="104" t="s">
        <v>34</v>
      </c>
      <c r="F225" s="104" t="s">
        <v>44</v>
      </c>
      <c r="G225" s="145" t="s">
        <v>694</v>
      </c>
      <c r="H225" s="104">
        <v>5391</v>
      </c>
      <c r="I225" s="104">
        <v>242</v>
      </c>
      <c r="J225" s="104" t="s">
        <v>37</v>
      </c>
      <c r="K225" s="104" t="s">
        <v>695</v>
      </c>
      <c r="L225" s="104">
        <v>92157</v>
      </c>
      <c r="M225" s="104">
        <v>2</v>
      </c>
      <c r="N225" s="104" t="s">
        <v>696</v>
      </c>
      <c r="O225" s="104" t="s">
        <v>34</v>
      </c>
      <c r="P225" s="104">
        <v>4304037</v>
      </c>
      <c r="Q225" s="106">
        <v>45979</v>
      </c>
      <c r="R225" s="104">
        <v>4418364</v>
      </c>
      <c r="S225" s="129">
        <v>1017.28</v>
      </c>
      <c r="T225" s="108">
        <v>45962</v>
      </c>
      <c r="U225" s="104">
        <v>24839</v>
      </c>
      <c r="V225" s="104"/>
      <c r="W225" s="104" t="s">
        <v>106</v>
      </c>
      <c r="X225" s="104" t="s">
        <v>94</v>
      </c>
      <c r="Y225" s="131">
        <v>1017.28</v>
      </c>
      <c r="Z225" s="106">
        <v>45992</v>
      </c>
      <c r="AA225" s="106">
        <v>46029</v>
      </c>
      <c r="AB225" s="104" t="s">
        <v>60</v>
      </c>
      <c r="AC225" s="104" t="s">
        <v>697</v>
      </c>
      <c r="AD225" s="113">
        <f>S225-Y225</f>
        <v>0</v>
      </c>
    </row>
    <row r="226" spans="2:30" ht="45" hidden="1" customHeight="1">
      <c r="B226" s="174">
        <v>223</v>
      </c>
      <c r="C226" s="104" t="s">
        <v>282</v>
      </c>
      <c r="D226" s="104" t="s">
        <v>221</v>
      </c>
      <c r="E226" s="104">
        <v>40605</v>
      </c>
      <c r="F226" s="104" t="s">
        <v>44</v>
      </c>
      <c r="G226" s="145" t="s">
        <v>698</v>
      </c>
      <c r="H226" s="104">
        <v>1210</v>
      </c>
      <c r="I226" s="104">
        <v>242</v>
      </c>
      <c r="J226" s="104" t="s">
        <v>37</v>
      </c>
      <c r="K226" s="104" t="s">
        <v>699</v>
      </c>
      <c r="L226" s="104">
        <v>88593</v>
      </c>
      <c r="M226" s="104">
        <v>6</v>
      </c>
      <c r="N226" s="104" t="s">
        <v>34</v>
      </c>
      <c r="O226" s="104" t="s">
        <v>34</v>
      </c>
      <c r="P226" s="104">
        <v>4304062</v>
      </c>
      <c r="Q226" s="106">
        <v>45979</v>
      </c>
      <c r="R226" s="104">
        <v>4422939</v>
      </c>
      <c r="S226" s="129">
        <v>7895.77</v>
      </c>
      <c r="T226" s="108">
        <v>45996</v>
      </c>
      <c r="U226" s="104">
        <v>2532</v>
      </c>
      <c r="V226" s="104" t="s">
        <v>692</v>
      </c>
      <c r="W226" s="104" t="s">
        <v>40</v>
      </c>
      <c r="X226" s="104" t="s">
        <v>44</v>
      </c>
      <c r="Y226" s="221">
        <v>7895.77</v>
      </c>
      <c r="Z226" s="106">
        <v>46013</v>
      </c>
      <c r="AA226" s="106">
        <v>46015</v>
      </c>
      <c r="AB226" s="104" t="s">
        <v>60</v>
      </c>
      <c r="AC226" s="104"/>
      <c r="AD226" s="113">
        <f>S226-Y226</f>
        <v>0</v>
      </c>
    </row>
    <row r="227" spans="2:30" ht="45" hidden="1" customHeight="1">
      <c r="B227" s="174">
        <v>224</v>
      </c>
      <c r="C227" s="104" t="s">
        <v>282</v>
      </c>
      <c r="D227" s="104" t="s">
        <v>221</v>
      </c>
      <c r="E227" s="104">
        <v>39790</v>
      </c>
      <c r="F227" s="104" t="s">
        <v>44</v>
      </c>
      <c r="G227" s="145" t="s">
        <v>700</v>
      </c>
      <c r="H227" s="104">
        <v>1210</v>
      </c>
      <c r="I227" s="104">
        <v>242</v>
      </c>
      <c r="J227" s="104" t="s">
        <v>37</v>
      </c>
      <c r="K227" s="104" t="s">
        <v>701</v>
      </c>
      <c r="L227" s="104">
        <v>88810</v>
      </c>
      <c r="M227" s="104">
        <v>6</v>
      </c>
      <c r="N227" s="104" t="s">
        <v>34</v>
      </c>
      <c r="O227" s="104" t="s">
        <v>34</v>
      </c>
      <c r="P227" s="104">
        <v>4304072</v>
      </c>
      <c r="Q227" s="106">
        <v>45979</v>
      </c>
      <c r="R227" s="104">
        <v>4422956</v>
      </c>
      <c r="S227" s="129">
        <v>4372.6899999999996</v>
      </c>
      <c r="T227" s="108">
        <v>45996</v>
      </c>
      <c r="U227" s="104">
        <v>2607</v>
      </c>
      <c r="V227" s="104"/>
      <c r="W227" s="104" t="s">
        <v>48</v>
      </c>
      <c r="X227" s="104" t="s">
        <v>94</v>
      </c>
      <c r="Y227" s="131">
        <v>4154.05</v>
      </c>
      <c r="Z227" s="106">
        <v>46045</v>
      </c>
      <c r="AA227" s="106">
        <v>46051</v>
      </c>
      <c r="AB227" s="104" t="s">
        <v>60</v>
      </c>
      <c r="AC227" s="104"/>
      <c r="AD227" s="113">
        <f>S227-Y227</f>
        <v>218.63999999999942</v>
      </c>
    </row>
    <row r="228" spans="2:30" ht="45" hidden="1" customHeight="1">
      <c r="B228" s="174">
        <v>225</v>
      </c>
      <c r="C228" s="104" t="s">
        <v>282</v>
      </c>
      <c r="D228" s="104" t="s">
        <v>702</v>
      </c>
      <c r="E228" s="104">
        <v>40141</v>
      </c>
      <c r="F228" s="104" t="s">
        <v>44</v>
      </c>
      <c r="G228" s="145" t="s">
        <v>703</v>
      </c>
      <c r="H228" s="104">
        <v>1236</v>
      </c>
      <c r="I228" s="104">
        <v>242</v>
      </c>
      <c r="J228" s="104" t="s">
        <v>37</v>
      </c>
      <c r="K228" s="104" t="s">
        <v>704</v>
      </c>
      <c r="L228" s="104">
        <v>89051</v>
      </c>
      <c r="M228" s="104">
        <v>6</v>
      </c>
      <c r="N228" s="104" t="s">
        <v>34</v>
      </c>
      <c r="O228" s="104" t="s">
        <v>34</v>
      </c>
      <c r="P228" s="104">
        <v>4304086</v>
      </c>
      <c r="Q228" s="106">
        <v>45979</v>
      </c>
      <c r="R228" s="104">
        <v>4422960</v>
      </c>
      <c r="S228" s="129">
        <v>3606.6</v>
      </c>
      <c r="T228" s="108">
        <v>45996</v>
      </c>
      <c r="U228" s="104">
        <v>5777</v>
      </c>
      <c r="V228" s="104" t="s">
        <v>705</v>
      </c>
      <c r="W228" s="104" t="s">
        <v>40</v>
      </c>
      <c r="X228" s="104" t="s">
        <v>90</v>
      </c>
      <c r="Y228" s="131">
        <v>3606.6</v>
      </c>
      <c r="Z228" s="106">
        <v>45987</v>
      </c>
      <c r="AA228" s="106">
        <v>45994</v>
      </c>
      <c r="AB228" s="104" t="s">
        <v>60</v>
      </c>
      <c r="AC228" s="104"/>
      <c r="AD228" s="113">
        <f>S228-Y228</f>
        <v>0</v>
      </c>
    </row>
    <row r="229" spans="2:30" ht="45" hidden="1" customHeight="1">
      <c r="B229" s="174">
        <v>226</v>
      </c>
      <c r="C229" s="104" t="s">
        <v>61</v>
      </c>
      <c r="D229" s="104" t="s">
        <v>337</v>
      </c>
      <c r="E229" s="104">
        <v>36375</v>
      </c>
      <c r="F229" s="104" t="s">
        <v>44</v>
      </c>
      <c r="G229" s="145" t="s">
        <v>338</v>
      </c>
      <c r="H229" s="104">
        <v>2232</v>
      </c>
      <c r="I229" s="104">
        <v>242</v>
      </c>
      <c r="J229" s="104" t="s">
        <v>37</v>
      </c>
      <c r="K229" s="104" t="s">
        <v>706</v>
      </c>
      <c r="L229" s="104">
        <v>92364</v>
      </c>
      <c r="M229" s="104">
        <v>6</v>
      </c>
      <c r="N229" s="104" t="s">
        <v>34</v>
      </c>
      <c r="O229" s="104" t="s">
        <v>34</v>
      </c>
      <c r="P229" s="104">
        <v>4304337</v>
      </c>
      <c r="Q229" s="106">
        <v>45979</v>
      </c>
      <c r="R229" s="104">
        <v>4422962</v>
      </c>
      <c r="S229" s="129">
        <v>9461</v>
      </c>
      <c r="T229" s="108">
        <v>45992</v>
      </c>
      <c r="U229" s="104">
        <v>4482</v>
      </c>
      <c r="V229" s="104"/>
      <c r="W229" s="104" t="s">
        <v>106</v>
      </c>
      <c r="X229" s="104" t="s">
        <v>94</v>
      </c>
      <c r="Y229" s="131">
        <v>9177.17</v>
      </c>
      <c r="Z229" s="106">
        <v>46007</v>
      </c>
      <c r="AA229" s="106">
        <v>46029</v>
      </c>
      <c r="AB229" s="104" t="s">
        <v>60</v>
      </c>
      <c r="AC229" s="104"/>
      <c r="AD229" s="113">
        <f>S229-Y229</f>
        <v>283.82999999999993</v>
      </c>
    </row>
    <row r="230" spans="2:30" ht="45" hidden="1" customHeight="1">
      <c r="B230" s="174">
        <v>227</v>
      </c>
      <c r="C230" s="104" t="s">
        <v>279</v>
      </c>
      <c r="D230" s="104" t="s">
        <v>707</v>
      </c>
      <c r="E230" s="104" t="s">
        <v>34</v>
      </c>
      <c r="F230" s="104" t="s">
        <v>44</v>
      </c>
      <c r="G230" s="145" t="s">
        <v>708</v>
      </c>
      <c r="H230" s="104">
        <v>4472</v>
      </c>
      <c r="I230" s="104">
        <v>242</v>
      </c>
      <c r="J230" s="104" t="s">
        <v>46</v>
      </c>
      <c r="K230" s="104" t="s">
        <v>709</v>
      </c>
      <c r="L230" s="104">
        <v>90705</v>
      </c>
      <c r="M230" s="104">
        <v>1</v>
      </c>
      <c r="N230" s="104" t="s">
        <v>34</v>
      </c>
      <c r="O230" s="104" t="s">
        <v>34</v>
      </c>
      <c r="P230" s="104">
        <v>4305359</v>
      </c>
      <c r="Q230" s="106">
        <v>45980</v>
      </c>
      <c r="R230" s="104">
        <v>4431248</v>
      </c>
      <c r="S230" s="129">
        <v>13500</v>
      </c>
      <c r="T230" s="108">
        <v>45996</v>
      </c>
      <c r="U230" s="104">
        <v>96</v>
      </c>
      <c r="V230" s="104"/>
      <c r="W230" s="104" t="s">
        <v>48</v>
      </c>
      <c r="X230" s="104" t="s">
        <v>94</v>
      </c>
      <c r="Y230" s="131">
        <v>13500</v>
      </c>
      <c r="Z230" s="106">
        <v>46032</v>
      </c>
      <c r="AA230" s="106">
        <v>46043</v>
      </c>
      <c r="AB230" s="104" t="s">
        <v>60</v>
      </c>
      <c r="AC230" s="104"/>
      <c r="AD230" s="113">
        <f>S230-Y230</f>
        <v>0</v>
      </c>
    </row>
    <row r="231" spans="2:30" ht="45" hidden="1" customHeight="1">
      <c r="B231" s="174">
        <v>228</v>
      </c>
      <c r="C231" s="104" t="s">
        <v>146</v>
      </c>
      <c r="D231" s="104" t="s">
        <v>710</v>
      </c>
      <c r="E231" s="104" t="s">
        <v>34</v>
      </c>
      <c r="F231" s="104" t="s">
        <v>44</v>
      </c>
      <c r="G231" s="145" t="s">
        <v>711</v>
      </c>
      <c r="H231" s="104">
        <v>4669</v>
      </c>
      <c r="I231" s="104">
        <v>242</v>
      </c>
      <c r="J231" s="104" t="s">
        <v>58</v>
      </c>
      <c r="K231" s="104" t="s">
        <v>712</v>
      </c>
      <c r="L231" s="104">
        <v>92036</v>
      </c>
      <c r="M231" s="104">
        <v>5</v>
      </c>
      <c r="N231" s="104" t="s">
        <v>713</v>
      </c>
      <c r="O231" s="110" t="s">
        <v>94</v>
      </c>
      <c r="P231" s="104">
        <v>4305550</v>
      </c>
      <c r="Q231" s="106">
        <v>45980</v>
      </c>
      <c r="R231" s="104">
        <v>4425739</v>
      </c>
      <c r="S231" s="109">
        <v>14816.9</v>
      </c>
      <c r="T231" s="108">
        <v>45992</v>
      </c>
      <c r="U231" s="104">
        <v>165</v>
      </c>
      <c r="V231" s="104" t="s">
        <v>34</v>
      </c>
      <c r="W231" s="104" t="s">
        <v>48</v>
      </c>
      <c r="X231" s="104" t="s">
        <v>44</v>
      </c>
      <c r="Y231" s="221">
        <v>14816.9</v>
      </c>
      <c r="Z231" s="106">
        <v>45992</v>
      </c>
      <c r="AA231" s="106">
        <v>45993</v>
      </c>
      <c r="AB231" s="104" t="s">
        <v>60</v>
      </c>
      <c r="AC231" s="104"/>
      <c r="AD231" s="113">
        <f>S231-Y231</f>
        <v>0</v>
      </c>
    </row>
    <row r="232" spans="2:30" ht="45" hidden="1" customHeight="1">
      <c r="B232" s="174">
        <v>229</v>
      </c>
      <c r="C232" s="104" t="s">
        <v>316</v>
      </c>
      <c r="D232" s="104" t="s">
        <v>423</v>
      </c>
      <c r="E232" s="104" t="s">
        <v>34</v>
      </c>
      <c r="F232" s="104" t="s">
        <v>44</v>
      </c>
      <c r="G232" s="145" t="s">
        <v>714</v>
      </c>
      <c r="H232" s="104" t="s">
        <v>715</v>
      </c>
      <c r="I232" s="104">
        <v>242</v>
      </c>
      <c r="J232" s="104" t="s">
        <v>58</v>
      </c>
      <c r="K232" s="104" t="s">
        <v>716</v>
      </c>
      <c r="L232" s="104">
        <v>91007</v>
      </c>
      <c r="M232" s="104">
        <v>2</v>
      </c>
      <c r="N232" s="104" t="s">
        <v>717</v>
      </c>
      <c r="O232" s="104" t="s">
        <v>34</v>
      </c>
      <c r="P232" s="104">
        <v>4305605</v>
      </c>
      <c r="Q232" s="106">
        <v>45980</v>
      </c>
      <c r="R232" s="104">
        <v>4419849</v>
      </c>
      <c r="S232" s="109">
        <v>10600</v>
      </c>
      <c r="T232" s="108">
        <v>45989</v>
      </c>
      <c r="U232" s="104">
        <v>200</v>
      </c>
      <c r="V232" s="104" t="s">
        <v>34</v>
      </c>
      <c r="W232" s="104" t="s">
        <v>40</v>
      </c>
      <c r="X232" s="104" t="s">
        <v>35</v>
      </c>
      <c r="Y232" s="221">
        <v>4240</v>
      </c>
      <c r="Z232" s="106">
        <v>46027</v>
      </c>
      <c r="AA232" s="106">
        <v>46029</v>
      </c>
      <c r="AB232" s="104" t="s">
        <v>54</v>
      </c>
      <c r="AC232" s="138"/>
      <c r="AD232" s="113">
        <f>S232-Y232</f>
        <v>6360</v>
      </c>
    </row>
    <row r="233" spans="2:30" ht="45" hidden="1" customHeight="1">
      <c r="B233" s="174">
        <v>230</v>
      </c>
      <c r="C233" s="104" t="s">
        <v>95</v>
      </c>
      <c r="D233" s="104" t="s">
        <v>101</v>
      </c>
      <c r="E233" s="104" t="s">
        <v>34</v>
      </c>
      <c r="F233" s="104" t="s">
        <v>44</v>
      </c>
      <c r="G233" s="145" t="s">
        <v>270</v>
      </c>
      <c r="H233" s="104" t="s">
        <v>718</v>
      </c>
      <c r="I233" s="104">
        <v>5</v>
      </c>
      <c r="J233" s="104" t="s">
        <v>46</v>
      </c>
      <c r="K233" s="104" t="s">
        <v>709</v>
      </c>
      <c r="L233" s="104">
        <v>92192</v>
      </c>
      <c r="M233" s="104">
        <v>1</v>
      </c>
      <c r="N233" s="104" t="s">
        <v>34</v>
      </c>
      <c r="O233" s="104" t="s">
        <v>34</v>
      </c>
      <c r="P233" s="104">
        <v>4305700</v>
      </c>
      <c r="Q233" s="106">
        <v>45980</v>
      </c>
      <c r="R233" s="104">
        <v>4433568</v>
      </c>
      <c r="S233" s="156">
        <v>51350</v>
      </c>
      <c r="T233" s="108">
        <v>46023</v>
      </c>
      <c r="U233" s="104">
        <v>427</v>
      </c>
      <c r="V233" s="104"/>
      <c r="W233" s="104" t="s">
        <v>35</v>
      </c>
      <c r="X233" s="104" t="s">
        <v>25</v>
      </c>
      <c r="Y233" s="131">
        <v>37657.120000000003</v>
      </c>
      <c r="Z233" s="106">
        <v>46024</v>
      </c>
      <c r="AA233" s="106">
        <v>46030</v>
      </c>
      <c r="AB233" s="104" t="s">
        <v>60</v>
      </c>
      <c r="AD233" s="113">
        <f>S233-Y233</f>
        <v>13692.879999999997</v>
      </c>
    </row>
    <row r="234" spans="2:30" ht="45" hidden="1" customHeight="1">
      <c r="B234" s="174">
        <v>231</v>
      </c>
      <c r="C234" s="104" t="s">
        <v>316</v>
      </c>
      <c r="D234" s="104" t="s">
        <v>33</v>
      </c>
      <c r="E234" s="104">
        <v>40743</v>
      </c>
      <c r="F234" s="104" t="s">
        <v>35</v>
      </c>
      <c r="G234" s="145" t="s">
        <v>719</v>
      </c>
      <c r="H234" s="104">
        <v>5345</v>
      </c>
      <c r="I234" s="104">
        <v>242</v>
      </c>
      <c r="J234" s="104" t="s">
        <v>58</v>
      </c>
      <c r="K234" s="104" t="s">
        <v>720</v>
      </c>
      <c r="L234" s="104">
        <v>92547</v>
      </c>
      <c r="M234" s="104">
        <v>6</v>
      </c>
      <c r="N234" s="104" t="s">
        <v>34</v>
      </c>
      <c r="O234" s="104" t="s">
        <v>34</v>
      </c>
      <c r="P234" s="104">
        <v>4306330</v>
      </c>
      <c r="Q234" s="106">
        <v>45981</v>
      </c>
      <c r="R234" s="104">
        <v>4425588</v>
      </c>
      <c r="S234" s="109">
        <v>2546</v>
      </c>
      <c r="T234" s="108">
        <v>45985</v>
      </c>
      <c r="U234" s="104">
        <v>3222</v>
      </c>
      <c r="V234" s="104" t="s">
        <v>721</v>
      </c>
      <c r="W234" s="104" t="s">
        <v>40</v>
      </c>
      <c r="X234" s="104" t="s">
        <v>35</v>
      </c>
      <c r="Y234" s="221">
        <v>2546</v>
      </c>
      <c r="Z234" s="106">
        <v>46023</v>
      </c>
      <c r="AA234" s="106">
        <v>46029</v>
      </c>
      <c r="AB234" s="104" t="s">
        <v>60</v>
      </c>
      <c r="AC234" s="104"/>
      <c r="AD234" s="113">
        <f>S234-Y234</f>
        <v>0</v>
      </c>
    </row>
    <row r="235" spans="2:30" ht="45" hidden="1" customHeight="1">
      <c r="B235" s="174">
        <v>232</v>
      </c>
      <c r="C235" s="104" t="s">
        <v>32</v>
      </c>
      <c r="D235" s="104" t="s">
        <v>192</v>
      </c>
      <c r="E235" s="104" t="s">
        <v>34</v>
      </c>
      <c r="F235" s="104" t="s">
        <v>35</v>
      </c>
      <c r="G235" s="145" t="s">
        <v>722</v>
      </c>
      <c r="H235" s="104">
        <v>2313</v>
      </c>
      <c r="I235" s="104">
        <v>242</v>
      </c>
      <c r="J235" s="104" t="s">
        <v>58</v>
      </c>
      <c r="K235" s="104" t="s">
        <v>723</v>
      </c>
      <c r="L235" s="104">
        <v>92698</v>
      </c>
      <c r="M235" s="104">
        <v>2</v>
      </c>
      <c r="N235" s="104" t="s">
        <v>724</v>
      </c>
      <c r="O235" s="104" t="s">
        <v>34</v>
      </c>
      <c r="P235" s="104">
        <v>4306454</v>
      </c>
      <c r="Q235" s="106">
        <v>45950</v>
      </c>
      <c r="R235" s="104">
        <v>4419852</v>
      </c>
      <c r="S235" s="109">
        <v>1400</v>
      </c>
      <c r="T235" s="108">
        <v>45986</v>
      </c>
      <c r="U235" s="104">
        <v>430</v>
      </c>
      <c r="V235" s="104" t="s">
        <v>34</v>
      </c>
      <c r="W235" s="104" t="s">
        <v>48</v>
      </c>
      <c r="X235" s="104" t="s">
        <v>44</v>
      </c>
      <c r="Y235" s="221">
        <v>1400</v>
      </c>
      <c r="Z235" s="106">
        <v>45992</v>
      </c>
      <c r="AA235" s="106">
        <v>45993</v>
      </c>
      <c r="AB235" s="104" t="s">
        <v>60</v>
      </c>
      <c r="AC235" s="104"/>
      <c r="AD235" s="113">
        <f>S235-Y235</f>
        <v>0</v>
      </c>
    </row>
    <row r="236" spans="2:30" ht="45" hidden="1" customHeight="1">
      <c r="B236" s="174">
        <v>233</v>
      </c>
      <c r="C236" s="104" t="s">
        <v>183</v>
      </c>
      <c r="D236" s="104" t="s">
        <v>192</v>
      </c>
      <c r="E236" s="104" t="s">
        <v>34</v>
      </c>
      <c r="F236" s="104" t="s">
        <v>35</v>
      </c>
      <c r="G236" s="255" t="s">
        <v>620</v>
      </c>
      <c r="H236" s="104">
        <v>2470</v>
      </c>
      <c r="I236" s="104">
        <v>242</v>
      </c>
      <c r="J236" s="104" t="s">
        <v>58</v>
      </c>
      <c r="K236" s="104" t="s">
        <v>725</v>
      </c>
      <c r="L236" s="104">
        <v>88117</v>
      </c>
      <c r="M236" s="104">
        <v>5</v>
      </c>
      <c r="N236" s="104" t="s">
        <v>726</v>
      </c>
      <c r="O236" s="104" t="s">
        <v>40</v>
      </c>
      <c r="P236" s="104">
        <v>4306480</v>
      </c>
      <c r="Q236" s="106">
        <v>45981</v>
      </c>
      <c r="R236" s="104">
        <v>4425736</v>
      </c>
      <c r="S236" s="107">
        <v>2985</v>
      </c>
      <c r="T236" s="108">
        <v>45962</v>
      </c>
      <c r="U236" s="104"/>
      <c r="V236" s="104" t="s">
        <v>727</v>
      </c>
      <c r="W236" s="104"/>
      <c r="X236" s="104"/>
      <c r="Y236" s="131"/>
      <c r="Z236" s="106"/>
      <c r="AA236" s="106"/>
      <c r="AB236" s="104" t="s">
        <v>66</v>
      </c>
      <c r="AC236" s="104" t="s">
        <v>728</v>
      </c>
      <c r="AD236" s="113">
        <f>S236-Y236</f>
        <v>2985</v>
      </c>
    </row>
    <row r="237" spans="2:30" ht="45" hidden="1" customHeight="1">
      <c r="B237" s="174">
        <v>234</v>
      </c>
      <c r="C237" s="104" t="s">
        <v>95</v>
      </c>
      <c r="D237" s="104" t="s">
        <v>33</v>
      </c>
      <c r="E237" s="104">
        <v>40813</v>
      </c>
      <c r="F237" s="104" t="s">
        <v>35</v>
      </c>
      <c r="G237" s="145" t="s">
        <v>729</v>
      </c>
      <c r="H237" s="104">
        <v>2330</v>
      </c>
      <c r="I237" s="104">
        <v>242</v>
      </c>
      <c r="J237" s="104" t="s">
        <v>46</v>
      </c>
      <c r="K237" s="104">
        <v>435</v>
      </c>
      <c r="L237" s="104">
        <v>92652</v>
      </c>
      <c r="M237" s="104">
        <v>6</v>
      </c>
      <c r="N237" s="104" t="s">
        <v>34</v>
      </c>
      <c r="O237" s="104" t="s">
        <v>34</v>
      </c>
      <c r="P237" s="104">
        <v>4306666</v>
      </c>
      <c r="Q237" s="106">
        <v>45981</v>
      </c>
      <c r="R237" s="104">
        <v>4425589</v>
      </c>
      <c r="S237" s="156">
        <v>12450</v>
      </c>
      <c r="T237" s="108">
        <v>45992</v>
      </c>
      <c r="U237" s="104">
        <v>3192</v>
      </c>
      <c r="V237" s="104" t="s">
        <v>730</v>
      </c>
      <c r="W237" s="104" t="s">
        <v>40</v>
      </c>
      <c r="X237" s="104" t="s">
        <v>25</v>
      </c>
      <c r="Y237" s="131">
        <v>11827.5</v>
      </c>
      <c r="Z237" s="106">
        <v>45992</v>
      </c>
      <c r="AA237" s="106">
        <v>45993</v>
      </c>
      <c r="AB237" s="104" t="s">
        <v>60</v>
      </c>
      <c r="AC237" s="104"/>
      <c r="AD237" s="113">
        <f>S237-Y237</f>
        <v>622.5</v>
      </c>
    </row>
    <row r="238" spans="2:30" ht="45" hidden="1" customHeight="1">
      <c r="B238" s="174">
        <v>235</v>
      </c>
      <c r="C238" s="104" t="s">
        <v>95</v>
      </c>
      <c r="D238" s="104" t="s">
        <v>192</v>
      </c>
      <c r="E238" s="104">
        <v>40507</v>
      </c>
      <c r="F238" s="104" t="s">
        <v>44</v>
      </c>
      <c r="G238" s="145" t="s">
        <v>731</v>
      </c>
      <c r="H238" s="104">
        <v>2470</v>
      </c>
      <c r="I238" s="104">
        <v>242</v>
      </c>
      <c r="J238" s="104" t="s">
        <v>46</v>
      </c>
      <c r="K238" s="104" t="s">
        <v>732</v>
      </c>
      <c r="L238" s="104">
        <v>92659</v>
      </c>
      <c r="M238" s="104">
        <v>6</v>
      </c>
      <c r="N238" s="104" t="s">
        <v>34</v>
      </c>
      <c r="O238" s="104" t="s">
        <v>34</v>
      </c>
      <c r="P238" s="104">
        <v>4306674</v>
      </c>
      <c r="Q238" s="106">
        <v>45981</v>
      </c>
      <c r="R238" s="104">
        <v>4425605</v>
      </c>
      <c r="S238" s="156">
        <v>5200</v>
      </c>
      <c r="T238" s="108">
        <v>45992</v>
      </c>
      <c r="U238" s="104">
        <v>448</v>
      </c>
      <c r="V238" s="104" t="s">
        <v>733</v>
      </c>
      <c r="W238" s="104" t="s">
        <v>40</v>
      </c>
      <c r="X238" s="104" t="s">
        <v>44</v>
      </c>
      <c r="Y238" s="131">
        <v>5200</v>
      </c>
      <c r="Z238" s="106">
        <v>45994</v>
      </c>
      <c r="AA238" s="106">
        <v>45994</v>
      </c>
      <c r="AB238" s="104" t="s">
        <v>60</v>
      </c>
      <c r="AC238" s="104"/>
      <c r="AD238" s="113">
        <f>S238-Y238</f>
        <v>0</v>
      </c>
    </row>
    <row r="239" spans="2:30" ht="45" hidden="1" customHeight="1">
      <c r="B239" s="174">
        <v>236</v>
      </c>
      <c r="C239" s="104" t="s">
        <v>146</v>
      </c>
      <c r="D239" s="104" t="s">
        <v>33</v>
      </c>
      <c r="E239" s="104">
        <v>36938</v>
      </c>
      <c r="F239" s="104" t="s">
        <v>35</v>
      </c>
      <c r="G239" s="145" t="s">
        <v>734</v>
      </c>
      <c r="H239" s="104">
        <v>5345</v>
      </c>
      <c r="I239" s="104">
        <v>242</v>
      </c>
      <c r="J239" s="104" t="s">
        <v>58</v>
      </c>
      <c r="K239" s="104" t="s">
        <v>735</v>
      </c>
      <c r="L239" s="104">
        <v>92822</v>
      </c>
      <c r="M239" s="104">
        <v>6</v>
      </c>
      <c r="N239" s="104" t="s">
        <v>34</v>
      </c>
      <c r="O239" s="104" t="s">
        <v>34</v>
      </c>
      <c r="P239" s="104">
        <v>4306768</v>
      </c>
      <c r="Q239" s="106">
        <v>45981</v>
      </c>
      <c r="R239" s="104">
        <v>4425591</v>
      </c>
      <c r="S239" s="109">
        <v>1159</v>
      </c>
      <c r="T239" s="108" t="s">
        <v>34</v>
      </c>
      <c r="U239" s="104">
        <v>3191</v>
      </c>
      <c r="V239" s="104" t="s">
        <v>349</v>
      </c>
      <c r="W239" s="104" t="s">
        <v>48</v>
      </c>
      <c r="X239" s="104" t="s">
        <v>35</v>
      </c>
      <c r="Y239" s="221">
        <v>1159</v>
      </c>
      <c r="Z239" s="106">
        <v>45992</v>
      </c>
      <c r="AA239" s="106">
        <v>45993</v>
      </c>
      <c r="AB239" s="104" t="s">
        <v>60</v>
      </c>
      <c r="AC239" s="104"/>
      <c r="AD239" s="113">
        <f>S239-Y239</f>
        <v>0</v>
      </c>
    </row>
    <row r="240" spans="2:30" ht="45" hidden="1" customHeight="1">
      <c r="B240" s="174">
        <v>237</v>
      </c>
      <c r="C240" s="104" t="s">
        <v>146</v>
      </c>
      <c r="D240" s="104" t="s">
        <v>33</v>
      </c>
      <c r="E240" s="104">
        <v>38250</v>
      </c>
      <c r="F240" s="104" t="s">
        <v>35</v>
      </c>
      <c r="G240" s="145" t="s">
        <v>736</v>
      </c>
      <c r="H240" s="104">
        <v>5345</v>
      </c>
      <c r="I240" s="104">
        <v>242</v>
      </c>
      <c r="J240" s="104" t="s">
        <v>58</v>
      </c>
      <c r="K240" s="104" t="s">
        <v>737</v>
      </c>
      <c r="L240" s="104">
        <v>92823</v>
      </c>
      <c r="M240" s="104">
        <v>6</v>
      </c>
      <c r="N240" s="104" t="s">
        <v>34</v>
      </c>
      <c r="O240" s="104" t="s">
        <v>34</v>
      </c>
      <c r="P240" s="104">
        <v>4308388</v>
      </c>
      <c r="Q240" s="106">
        <v>45983</v>
      </c>
      <c r="R240" s="104">
        <v>4429840</v>
      </c>
      <c r="S240" s="109">
        <v>1558</v>
      </c>
      <c r="T240" s="108">
        <v>45991</v>
      </c>
      <c r="U240" s="104">
        <v>3202</v>
      </c>
      <c r="V240" s="104" t="s">
        <v>738</v>
      </c>
      <c r="W240" s="104" t="s">
        <v>40</v>
      </c>
      <c r="X240" s="104" t="s">
        <v>35</v>
      </c>
      <c r="Y240" s="221">
        <v>1558</v>
      </c>
      <c r="Z240" s="106">
        <v>45993</v>
      </c>
      <c r="AA240" s="106">
        <v>46000</v>
      </c>
      <c r="AB240" s="104" t="s">
        <v>60</v>
      </c>
      <c r="AC240" s="104"/>
      <c r="AD240" s="113">
        <f>S240-Y240</f>
        <v>0</v>
      </c>
    </row>
    <row r="241" spans="2:30" ht="45" hidden="1" customHeight="1">
      <c r="B241" s="174">
        <v>238</v>
      </c>
      <c r="C241" s="104" t="s">
        <v>32</v>
      </c>
      <c r="D241" s="104" t="s">
        <v>739</v>
      </c>
      <c r="E241" s="104">
        <v>40706</v>
      </c>
      <c r="F241" s="104" t="s">
        <v>35</v>
      </c>
      <c r="G241" s="145" t="s">
        <v>740</v>
      </c>
      <c r="H241" s="104">
        <v>2488</v>
      </c>
      <c r="I241" s="104">
        <v>242</v>
      </c>
      <c r="J241" s="104" t="s">
        <v>58</v>
      </c>
      <c r="K241" s="104" t="s">
        <v>741</v>
      </c>
      <c r="L241" s="104">
        <v>93013</v>
      </c>
      <c r="M241" s="104">
        <v>6</v>
      </c>
      <c r="N241" s="104" t="s">
        <v>34</v>
      </c>
      <c r="O241" s="104" t="s">
        <v>34</v>
      </c>
      <c r="P241" s="104">
        <v>4308390</v>
      </c>
      <c r="Q241" s="106">
        <v>45983</v>
      </c>
      <c r="R241" s="104">
        <v>4429848</v>
      </c>
      <c r="S241" s="109">
        <v>5756.4</v>
      </c>
      <c r="T241" s="108">
        <v>45993</v>
      </c>
      <c r="U241" s="104">
        <v>1799</v>
      </c>
      <c r="V241" s="104" t="s">
        <v>742</v>
      </c>
      <c r="W241" s="104" t="s">
        <v>40</v>
      </c>
      <c r="X241" s="104" t="s">
        <v>35</v>
      </c>
      <c r="Y241" s="221">
        <v>5756.4</v>
      </c>
      <c r="Z241" s="106">
        <v>45992</v>
      </c>
      <c r="AA241" s="106">
        <v>46000</v>
      </c>
      <c r="AB241" s="104" t="s">
        <v>60</v>
      </c>
      <c r="AC241" s="104"/>
      <c r="AD241" s="113">
        <f>S241-Y241</f>
        <v>0</v>
      </c>
    </row>
    <row r="242" spans="2:30" ht="45" hidden="1" customHeight="1">
      <c r="B242" s="174">
        <v>239</v>
      </c>
      <c r="C242" s="104" t="s">
        <v>282</v>
      </c>
      <c r="D242" s="104" t="s">
        <v>157</v>
      </c>
      <c r="E242" s="104" t="s">
        <v>34</v>
      </c>
      <c r="F242" s="104" t="s">
        <v>44</v>
      </c>
      <c r="G242" s="145" t="s">
        <v>743</v>
      </c>
      <c r="H242" s="104">
        <v>1295</v>
      </c>
      <c r="I242" s="104">
        <v>242</v>
      </c>
      <c r="J242" s="104" t="s">
        <v>37</v>
      </c>
      <c r="K242" s="104" t="s">
        <v>744</v>
      </c>
      <c r="L242" s="104">
        <v>93001</v>
      </c>
      <c r="M242" s="104">
        <v>29</v>
      </c>
      <c r="N242" s="104" t="s">
        <v>745</v>
      </c>
      <c r="O242" s="104" t="s">
        <v>34</v>
      </c>
      <c r="P242" s="104">
        <v>4308403</v>
      </c>
      <c r="Q242" s="106">
        <v>45983</v>
      </c>
      <c r="R242" s="104">
        <v>4432402</v>
      </c>
      <c r="S242" s="129">
        <v>10838.92</v>
      </c>
      <c r="T242" s="108">
        <v>45996</v>
      </c>
      <c r="U242" s="104">
        <v>19567</v>
      </c>
      <c r="V242" s="104"/>
      <c r="W242" s="104" t="s">
        <v>48</v>
      </c>
      <c r="X242" s="104" t="s">
        <v>94</v>
      </c>
      <c r="Y242" s="131">
        <v>9058.19</v>
      </c>
      <c r="Z242" s="106">
        <v>46056</v>
      </c>
      <c r="AA242" s="106">
        <v>46057</v>
      </c>
      <c r="AB242" s="104" t="s">
        <v>60</v>
      </c>
      <c r="AC242" s="104"/>
      <c r="AD242" s="113">
        <f>S242-Y242</f>
        <v>1780.7299999999996</v>
      </c>
    </row>
    <row r="243" spans="2:30" ht="45" hidden="1" customHeight="1">
      <c r="B243" s="174">
        <v>240</v>
      </c>
      <c r="C243" s="104" t="s">
        <v>282</v>
      </c>
      <c r="D243" s="104" t="s">
        <v>157</v>
      </c>
      <c r="E243" s="104" t="s">
        <v>34</v>
      </c>
      <c r="F243" s="104" t="s">
        <v>44</v>
      </c>
      <c r="G243" s="145" t="s">
        <v>746</v>
      </c>
      <c r="H243" s="104">
        <v>1295</v>
      </c>
      <c r="I243" s="104">
        <v>242</v>
      </c>
      <c r="J243" s="104" t="s">
        <v>37</v>
      </c>
      <c r="K243" s="104" t="s">
        <v>747</v>
      </c>
      <c r="L243" s="104">
        <v>89935</v>
      </c>
      <c r="M243" s="104">
        <v>29</v>
      </c>
      <c r="N243" s="104" t="s">
        <v>748</v>
      </c>
      <c r="O243" s="104" t="s">
        <v>34</v>
      </c>
      <c r="P243" s="104">
        <v>4308404</v>
      </c>
      <c r="Q243" s="106">
        <v>45983</v>
      </c>
      <c r="R243" s="104">
        <v>4425894</v>
      </c>
      <c r="S243" s="129">
        <v>13335.9</v>
      </c>
      <c r="T243" s="108">
        <v>45996</v>
      </c>
      <c r="U243" s="104">
        <v>19568</v>
      </c>
      <c r="V243" s="104"/>
      <c r="W243" s="104" t="s">
        <v>48</v>
      </c>
      <c r="X243" s="104" t="s">
        <v>131</v>
      </c>
      <c r="Y243" s="131">
        <v>8280.93</v>
      </c>
      <c r="Z243" s="106">
        <v>46056</v>
      </c>
      <c r="AA243" s="106">
        <v>46057</v>
      </c>
      <c r="AB243" s="104" t="s">
        <v>60</v>
      </c>
      <c r="AC243" s="104"/>
      <c r="AD243" s="113">
        <f>S243-Y243</f>
        <v>5054.9699999999993</v>
      </c>
    </row>
    <row r="244" spans="2:30" ht="45" hidden="1" customHeight="1">
      <c r="B244" s="174">
        <v>241</v>
      </c>
      <c r="C244" s="104" t="s">
        <v>183</v>
      </c>
      <c r="D244" s="104" t="s">
        <v>192</v>
      </c>
      <c r="E244" s="104" t="s">
        <v>34</v>
      </c>
      <c r="F244" s="104" t="s">
        <v>35</v>
      </c>
      <c r="G244" s="255" t="s">
        <v>749</v>
      </c>
      <c r="H244" s="104">
        <v>2232</v>
      </c>
      <c r="I244" s="104">
        <v>242</v>
      </c>
      <c r="J244" s="104" t="s">
        <v>58</v>
      </c>
      <c r="K244" s="104" t="s">
        <v>750</v>
      </c>
      <c r="L244" s="104">
        <v>88105</v>
      </c>
      <c r="M244" s="104">
        <v>5</v>
      </c>
      <c r="N244" s="104" t="s">
        <v>751</v>
      </c>
      <c r="O244" s="104" t="s">
        <v>40</v>
      </c>
      <c r="P244" s="104">
        <v>4308405</v>
      </c>
      <c r="Q244" s="106">
        <v>45983</v>
      </c>
      <c r="R244" s="104">
        <v>4431058</v>
      </c>
      <c r="S244" s="107">
        <v>695</v>
      </c>
      <c r="T244" s="108">
        <v>45962</v>
      </c>
      <c r="U244" s="116" t="s">
        <v>752</v>
      </c>
      <c r="V244" s="104">
        <v>100</v>
      </c>
      <c r="W244" s="104" t="s">
        <v>48</v>
      </c>
      <c r="X244" s="104" t="s">
        <v>34</v>
      </c>
      <c r="Y244" s="131">
        <v>695</v>
      </c>
      <c r="Z244" s="243" t="s">
        <v>753</v>
      </c>
      <c r="AA244" s="243" t="s">
        <v>754</v>
      </c>
      <c r="AB244" s="104" t="s">
        <v>41</v>
      </c>
      <c r="AC244" s="104"/>
      <c r="AD244" s="113">
        <f>S244-Y244</f>
        <v>0</v>
      </c>
    </row>
    <row r="245" spans="2:30" ht="45" hidden="1" customHeight="1">
      <c r="B245" s="174">
        <v>242</v>
      </c>
      <c r="C245" s="104" t="s">
        <v>282</v>
      </c>
      <c r="D245" s="104" t="s">
        <v>709</v>
      </c>
      <c r="E245" s="104" t="s">
        <v>34</v>
      </c>
      <c r="F245" s="104" t="s">
        <v>44</v>
      </c>
      <c r="G245" s="145" t="s">
        <v>755</v>
      </c>
      <c r="H245" s="104" t="s">
        <v>756</v>
      </c>
      <c r="I245" s="104">
        <v>242</v>
      </c>
      <c r="J245" s="104" t="s">
        <v>37</v>
      </c>
      <c r="K245" s="104" t="s">
        <v>757</v>
      </c>
      <c r="L245" s="104">
        <v>93114</v>
      </c>
      <c r="M245" s="104">
        <v>1</v>
      </c>
      <c r="N245" s="104" t="s">
        <v>34</v>
      </c>
      <c r="O245" s="104" t="s">
        <v>34</v>
      </c>
      <c r="P245" s="104">
        <v>4308412</v>
      </c>
      <c r="Q245" s="106">
        <v>45983</v>
      </c>
      <c r="R245" s="104">
        <v>4430941</v>
      </c>
      <c r="S245" s="147">
        <v>3685</v>
      </c>
      <c r="T245" s="108">
        <v>45999</v>
      </c>
      <c r="U245" s="104">
        <v>707</v>
      </c>
      <c r="V245" s="104"/>
      <c r="W245" s="104" t="s">
        <v>40</v>
      </c>
      <c r="X245" s="104" t="s">
        <v>25</v>
      </c>
      <c r="Y245" s="131">
        <v>1150</v>
      </c>
      <c r="Z245" s="106">
        <v>45993</v>
      </c>
      <c r="AA245" s="106">
        <v>45994</v>
      </c>
      <c r="AB245" s="104" t="s">
        <v>54</v>
      </c>
      <c r="AC245" s="104"/>
      <c r="AD245" s="113">
        <f>S245-Y245</f>
        <v>2535</v>
      </c>
    </row>
    <row r="246" spans="2:30" ht="45" hidden="1" customHeight="1">
      <c r="B246" s="174">
        <v>243</v>
      </c>
      <c r="C246" s="104" t="s">
        <v>95</v>
      </c>
      <c r="D246" s="104" t="s">
        <v>479</v>
      </c>
      <c r="E246" s="104" t="s">
        <v>34</v>
      </c>
      <c r="F246" s="104" t="s">
        <v>44</v>
      </c>
      <c r="G246" s="145" t="s">
        <v>758</v>
      </c>
      <c r="H246" s="104">
        <v>2488</v>
      </c>
      <c r="I246" s="104">
        <v>5</v>
      </c>
      <c r="J246" s="104" t="s">
        <v>37</v>
      </c>
      <c r="K246" s="104" t="s">
        <v>759</v>
      </c>
      <c r="L246" s="104">
        <v>93438</v>
      </c>
      <c r="M246" s="104">
        <v>1</v>
      </c>
      <c r="N246" s="104" t="s">
        <v>34</v>
      </c>
      <c r="O246" s="104" t="s">
        <v>34</v>
      </c>
      <c r="P246" s="104">
        <v>4309831</v>
      </c>
      <c r="Q246" s="106">
        <v>45985</v>
      </c>
      <c r="R246" s="104">
        <v>4435419</v>
      </c>
      <c r="S246" s="149">
        <v>33260</v>
      </c>
      <c r="T246" s="108">
        <v>45992</v>
      </c>
      <c r="U246" s="104">
        <v>19961</v>
      </c>
      <c r="V246" s="104"/>
      <c r="W246" s="104" t="s">
        <v>48</v>
      </c>
      <c r="X246" s="104" t="s">
        <v>94</v>
      </c>
      <c r="Y246" s="131">
        <v>33260</v>
      </c>
      <c r="Z246" s="106">
        <v>46037</v>
      </c>
      <c r="AA246" s="106">
        <v>46038</v>
      </c>
      <c r="AB246" s="104" t="s">
        <v>60</v>
      </c>
      <c r="AC246" s="104"/>
      <c r="AD246" s="113">
        <f>S246-Y246</f>
        <v>0</v>
      </c>
    </row>
    <row r="247" spans="2:30" ht="45" hidden="1" customHeight="1">
      <c r="B247" s="174">
        <v>244</v>
      </c>
      <c r="C247" s="104" t="s">
        <v>95</v>
      </c>
      <c r="D247" s="104" t="s">
        <v>192</v>
      </c>
      <c r="E247" s="104" t="s">
        <v>34</v>
      </c>
      <c r="F247" s="104" t="s">
        <v>44</v>
      </c>
      <c r="G247" s="145" t="s">
        <v>760</v>
      </c>
      <c r="H247" s="104">
        <v>2241</v>
      </c>
      <c r="I247" s="104">
        <v>5</v>
      </c>
      <c r="J247" s="104" t="s">
        <v>37</v>
      </c>
      <c r="K247" s="104" t="s">
        <v>759</v>
      </c>
      <c r="L247" s="104">
        <v>93437</v>
      </c>
      <c r="M247" s="104">
        <v>1</v>
      </c>
      <c r="N247" s="104" t="s">
        <v>34</v>
      </c>
      <c r="O247" s="104" t="s">
        <v>34</v>
      </c>
      <c r="P247" s="104">
        <v>4309902</v>
      </c>
      <c r="Q247" s="106">
        <v>45985</v>
      </c>
      <c r="R247" s="104">
        <v>4439067</v>
      </c>
      <c r="S247" s="149">
        <v>19831.97</v>
      </c>
      <c r="T247" s="108">
        <v>45992</v>
      </c>
      <c r="U247" s="104">
        <v>829</v>
      </c>
      <c r="V247" s="104"/>
      <c r="W247" s="104" t="s">
        <v>48</v>
      </c>
      <c r="X247" s="104" t="s">
        <v>131</v>
      </c>
      <c r="Y247" s="131">
        <v>19831.97</v>
      </c>
      <c r="Z247" s="106">
        <v>46097</v>
      </c>
      <c r="AA247" s="106">
        <v>46097</v>
      </c>
      <c r="AB247" s="104" t="s">
        <v>60</v>
      </c>
      <c r="AC247" s="104"/>
      <c r="AD247" s="113">
        <f>S247-Y247</f>
        <v>0</v>
      </c>
    </row>
    <row r="248" spans="2:30" ht="45" hidden="1" customHeight="1">
      <c r="B248" s="174">
        <v>245</v>
      </c>
      <c r="C248" s="104" t="s">
        <v>183</v>
      </c>
      <c r="D248" s="104" t="s">
        <v>33</v>
      </c>
      <c r="E248" s="104">
        <v>40744</v>
      </c>
      <c r="F248" s="104" t="s">
        <v>35</v>
      </c>
      <c r="G248" s="145" t="s">
        <v>761</v>
      </c>
      <c r="H248" s="104">
        <v>2224</v>
      </c>
      <c r="I248" s="104">
        <v>242</v>
      </c>
      <c r="J248" s="104" t="s">
        <v>58</v>
      </c>
      <c r="K248" s="104" t="s">
        <v>762</v>
      </c>
      <c r="L248" s="104">
        <v>93556</v>
      </c>
      <c r="M248" s="104">
        <v>6</v>
      </c>
      <c r="N248" s="104" t="s">
        <v>34</v>
      </c>
      <c r="O248" s="104" t="s">
        <v>34</v>
      </c>
      <c r="P248" s="104">
        <v>4310556</v>
      </c>
      <c r="Q248" s="106">
        <v>45986</v>
      </c>
      <c r="R248" s="104">
        <v>4429851</v>
      </c>
      <c r="S248" s="109">
        <v>8740</v>
      </c>
      <c r="T248" s="108">
        <v>45992</v>
      </c>
      <c r="U248" s="104">
        <v>3214</v>
      </c>
      <c r="V248" s="104" t="s">
        <v>763</v>
      </c>
      <c r="W248" s="104" t="s">
        <v>40</v>
      </c>
      <c r="X248" s="113" t="s">
        <v>35</v>
      </c>
      <c r="Y248" s="221">
        <v>8740</v>
      </c>
      <c r="Z248" s="106">
        <v>46007</v>
      </c>
      <c r="AA248" s="106">
        <v>46008</v>
      </c>
      <c r="AB248" s="104" t="s">
        <v>60</v>
      </c>
      <c r="AC248" s="104"/>
      <c r="AD248" s="113">
        <f>S248-Y248</f>
        <v>0</v>
      </c>
    </row>
    <row r="249" spans="2:30" ht="45" hidden="1" customHeight="1">
      <c r="B249" s="174">
        <v>246</v>
      </c>
      <c r="C249" s="104" t="s">
        <v>291</v>
      </c>
      <c r="D249" s="104" t="s">
        <v>33</v>
      </c>
      <c r="E249" s="104">
        <v>39792</v>
      </c>
      <c r="F249" s="104" t="s">
        <v>35</v>
      </c>
      <c r="G249" s="145" t="s">
        <v>764</v>
      </c>
      <c r="H249" s="104">
        <v>2488</v>
      </c>
      <c r="I249" s="104">
        <v>242</v>
      </c>
      <c r="J249" s="104" t="s">
        <v>58</v>
      </c>
      <c r="K249" s="104" t="s">
        <v>765</v>
      </c>
      <c r="L249" s="104">
        <v>93626</v>
      </c>
      <c r="M249" s="104">
        <v>6</v>
      </c>
      <c r="N249" s="104" t="s">
        <v>34</v>
      </c>
      <c r="O249" s="104" t="s">
        <v>34</v>
      </c>
      <c r="P249" s="104">
        <v>4310565</v>
      </c>
      <c r="Q249" s="106">
        <v>45986</v>
      </c>
      <c r="R249" s="104">
        <v>4429854</v>
      </c>
      <c r="S249" s="109">
        <v>1919</v>
      </c>
      <c r="T249" s="108">
        <v>45992</v>
      </c>
      <c r="U249" s="104">
        <v>3218</v>
      </c>
      <c r="V249" s="104" t="s">
        <v>766</v>
      </c>
      <c r="W249" s="104" t="s">
        <v>40</v>
      </c>
      <c r="X249" s="104" t="s">
        <v>35</v>
      </c>
      <c r="Y249" s="221">
        <v>1919</v>
      </c>
      <c r="Z249" s="106">
        <v>46023</v>
      </c>
      <c r="AA249" s="106">
        <v>46031</v>
      </c>
      <c r="AB249" s="104" t="s">
        <v>60</v>
      </c>
      <c r="AC249" s="104"/>
      <c r="AD249" s="113">
        <f>S249-Y249</f>
        <v>0</v>
      </c>
    </row>
    <row r="250" spans="2:30" ht="45" hidden="1" customHeight="1">
      <c r="B250" s="174">
        <v>247</v>
      </c>
      <c r="C250" s="104" t="s">
        <v>95</v>
      </c>
      <c r="D250" s="182" t="s">
        <v>767</v>
      </c>
      <c r="E250" s="104" t="s">
        <v>34</v>
      </c>
      <c r="F250" s="104" t="s">
        <v>44</v>
      </c>
      <c r="G250" s="145" t="s">
        <v>758</v>
      </c>
      <c r="H250" s="104">
        <v>2224</v>
      </c>
      <c r="I250" s="104">
        <v>5</v>
      </c>
      <c r="J250" s="104" t="s">
        <v>46</v>
      </c>
      <c r="K250" s="104" t="s">
        <v>479</v>
      </c>
      <c r="L250" s="104">
        <v>93545</v>
      </c>
      <c r="M250" s="104">
        <v>1</v>
      </c>
      <c r="N250" s="104" t="s">
        <v>34</v>
      </c>
      <c r="O250" s="104" t="s">
        <v>34</v>
      </c>
      <c r="P250" s="104">
        <v>4310932</v>
      </c>
      <c r="Q250" s="106">
        <v>45986</v>
      </c>
      <c r="R250" s="104">
        <v>4439065</v>
      </c>
      <c r="S250" s="156" t="s">
        <v>479</v>
      </c>
      <c r="T250" s="108">
        <v>46001</v>
      </c>
      <c r="U250" s="104">
        <v>741</v>
      </c>
      <c r="V250" s="104"/>
      <c r="W250" s="104" t="s">
        <v>40</v>
      </c>
      <c r="X250" s="104" t="s">
        <v>25</v>
      </c>
      <c r="Y250" s="131">
        <v>57500</v>
      </c>
      <c r="Z250" s="106">
        <v>46002</v>
      </c>
      <c r="AA250" s="106">
        <v>46003</v>
      </c>
      <c r="AB250" s="104" t="s">
        <v>60</v>
      </c>
      <c r="AC250" s="104"/>
      <c r="AD250" s="113" t="e">
        <f>S250-Y250</f>
        <v>#VALUE!</v>
      </c>
    </row>
    <row r="251" spans="2:30" ht="45" hidden="1" customHeight="1">
      <c r="B251" s="174">
        <v>248</v>
      </c>
      <c r="C251" s="104" t="s">
        <v>291</v>
      </c>
      <c r="D251" s="104" t="s">
        <v>33</v>
      </c>
      <c r="E251" s="104">
        <v>39918</v>
      </c>
      <c r="F251" s="104" t="s">
        <v>35</v>
      </c>
      <c r="G251" s="145" t="s">
        <v>768</v>
      </c>
      <c r="H251" s="104">
        <v>2488</v>
      </c>
      <c r="I251" s="104">
        <v>242</v>
      </c>
      <c r="J251" s="104" t="s">
        <v>58</v>
      </c>
      <c r="K251" s="104" t="s">
        <v>769</v>
      </c>
      <c r="L251" s="104">
        <v>93606</v>
      </c>
      <c r="M251" s="104">
        <v>6</v>
      </c>
      <c r="N251" s="104" t="s">
        <v>34</v>
      </c>
      <c r="O251" s="104" t="s">
        <v>34</v>
      </c>
      <c r="P251" s="104">
        <v>4311145</v>
      </c>
      <c r="Q251" s="106">
        <v>45986</v>
      </c>
      <c r="R251" s="104">
        <v>4429856</v>
      </c>
      <c r="S251" s="109">
        <v>1282.5</v>
      </c>
      <c r="T251" s="108">
        <v>46001</v>
      </c>
      <c r="U251" s="104">
        <v>3204</v>
      </c>
      <c r="V251" s="104" t="s">
        <v>770</v>
      </c>
      <c r="W251" s="104" t="s">
        <v>40</v>
      </c>
      <c r="X251" s="104" t="s">
        <v>35</v>
      </c>
      <c r="Y251" s="224">
        <v>1282.5</v>
      </c>
      <c r="Z251" s="106">
        <v>45994</v>
      </c>
      <c r="AA251" s="106">
        <v>46000</v>
      </c>
      <c r="AB251" s="104" t="s">
        <v>60</v>
      </c>
      <c r="AC251" s="104"/>
      <c r="AD251" s="113">
        <f>S251-Y251</f>
        <v>0</v>
      </c>
    </row>
    <row r="252" spans="2:30" ht="45" hidden="1" customHeight="1">
      <c r="B252" s="174">
        <v>249</v>
      </c>
      <c r="C252" s="104" t="s">
        <v>183</v>
      </c>
      <c r="D252" s="104" t="s">
        <v>642</v>
      </c>
      <c r="E252" s="104">
        <v>40222</v>
      </c>
      <c r="F252" s="104" t="s">
        <v>44</v>
      </c>
      <c r="G252" s="145" t="s">
        <v>771</v>
      </c>
      <c r="H252" s="104">
        <v>4057</v>
      </c>
      <c r="I252" s="104">
        <v>242</v>
      </c>
      <c r="J252" s="104" t="s">
        <v>58</v>
      </c>
      <c r="K252" s="104" t="s">
        <v>772</v>
      </c>
      <c r="L252" s="104">
        <v>93797</v>
      </c>
      <c r="M252" s="104">
        <v>6</v>
      </c>
      <c r="N252" s="104" t="s">
        <v>34</v>
      </c>
      <c r="O252" s="104" t="s">
        <v>34</v>
      </c>
      <c r="P252" s="104">
        <v>4311964</v>
      </c>
      <c r="Q252" s="106">
        <v>45987</v>
      </c>
      <c r="R252" s="104">
        <v>4431154</v>
      </c>
      <c r="S252" s="109">
        <v>5200</v>
      </c>
      <c r="T252" s="108">
        <v>46001</v>
      </c>
      <c r="U252" s="104">
        <v>2768</v>
      </c>
      <c r="V252" s="104" t="s">
        <v>773</v>
      </c>
      <c r="W252" s="104" t="s">
        <v>48</v>
      </c>
      <c r="X252" s="126" t="s">
        <v>35</v>
      </c>
      <c r="Y252" s="221">
        <v>5200</v>
      </c>
      <c r="Z252" s="125">
        <v>46010</v>
      </c>
      <c r="AA252" s="106">
        <v>46013</v>
      </c>
      <c r="AB252" s="104" t="s">
        <v>60</v>
      </c>
      <c r="AC252" s="104"/>
      <c r="AD252" s="113">
        <f>S252-Y252</f>
        <v>0</v>
      </c>
    </row>
    <row r="253" spans="2:30" ht="45" hidden="1" customHeight="1">
      <c r="B253" s="174">
        <v>250</v>
      </c>
      <c r="C253" s="104" t="s">
        <v>183</v>
      </c>
      <c r="D253" s="104" t="s">
        <v>192</v>
      </c>
      <c r="E253" s="104" t="s">
        <v>34</v>
      </c>
      <c r="F253" s="104" t="s">
        <v>35</v>
      </c>
      <c r="G253" s="145" t="s">
        <v>774</v>
      </c>
      <c r="H253" s="104">
        <v>5525</v>
      </c>
      <c r="I253" s="104">
        <v>242</v>
      </c>
      <c r="J253" s="104" t="s">
        <v>58</v>
      </c>
      <c r="K253" s="104" t="s">
        <v>775</v>
      </c>
      <c r="L253" s="104">
        <v>94090</v>
      </c>
      <c r="M253" s="104">
        <v>5</v>
      </c>
      <c r="N253" s="104" t="s">
        <v>776</v>
      </c>
      <c r="O253" s="104" t="s">
        <v>40</v>
      </c>
      <c r="P253" s="104">
        <v>4317391</v>
      </c>
      <c r="Q253" s="130">
        <v>45992</v>
      </c>
      <c r="R253" s="104">
        <v>4434679</v>
      </c>
      <c r="S253" s="109">
        <v>1895</v>
      </c>
      <c r="T253" s="108">
        <v>46001</v>
      </c>
      <c r="U253" s="104">
        <v>451</v>
      </c>
      <c r="V253" s="104" t="s">
        <v>777</v>
      </c>
      <c r="W253" s="104" t="s">
        <v>40</v>
      </c>
      <c r="X253" s="104" t="s">
        <v>44</v>
      </c>
      <c r="Y253" s="226">
        <v>1895</v>
      </c>
      <c r="Z253" s="106">
        <v>45996</v>
      </c>
      <c r="AA253" s="106">
        <v>46000</v>
      </c>
      <c r="AB253" s="104" t="s">
        <v>60</v>
      </c>
      <c r="AC253" s="104"/>
      <c r="AD253" s="113">
        <f>S253-Y253</f>
        <v>0</v>
      </c>
    </row>
    <row r="254" spans="2:30" ht="45" hidden="1" customHeight="1">
      <c r="B254" s="174">
        <v>251</v>
      </c>
      <c r="C254" s="104" t="s">
        <v>183</v>
      </c>
      <c r="D254" s="104" t="s">
        <v>192</v>
      </c>
      <c r="E254" s="104" t="s">
        <v>34</v>
      </c>
      <c r="F254" s="104" t="s">
        <v>35</v>
      </c>
      <c r="G254" s="145" t="s">
        <v>778</v>
      </c>
      <c r="H254" s="104">
        <v>2224</v>
      </c>
      <c r="I254" s="104">
        <v>242</v>
      </c>
      <c r="J254" s="104" t="s">
        <v>58</v>
      </c>
      <c r="K254" s="104" t="s">
        <v>779</v>
      </c>
      <c r="L254" s="104">
        <v>94094</v>
      </c>
      <c r="M254" s="104">
        <v>5</v>
      </c>
      <c r="N254" s="104" t="s">
        <v>780</v>
      </c>
      <c r="O254" s="104" t="s">
        <v>40</v>
      </c>
      <c r="P254" s="104">
        <v>4317402</v>
      </c>
      <c r="Q254" s="130">
        <v>45992</v>
      </c>
      <c r="R254" s="104">
        <v>4434656</v>
      </c>
      <c r="S254" s="109">
        <v>3880</v>
      </c>
      <c r="T254" s="108">
        <v>46001</v>
      </c>
      <c r="U254" s="104">
        <v>452</v>
      </c>
      <c r="V254" s="104" t="s">
        <v>781</v>
      </c>
      <c r="W254" s="104" t="s">
        <v>40</v>
      </c>
      <c r="X254" s="104" t="s">
        <v>44</v>
      </c>
      <c r="Y254" s="221">
        <v>3880</v>
      </c>
      <c r="Z254" s="106">
        <v>45996</v>
      </c>
      <c r="AA254" s="106">
        <v>46000</v>
      </c>
      <c r="AB254" s="104" t="s">
        <v>60</v>
      </c>
      <c r="AC254" s="104"/>
      <c r="AD254" s="113">
        <f>S254-Y254</f>
        <v>0</v>
      </c>
    </row>
    <row r="255" spans="2:30" ht="45" hidden="1" customHeight="1">
      <c r="B255" s="174">
        <v>252</v>
      </c>
      <c r="C255" s="104" t="s">
        <v>183</v>
      </c>
      <c r="D255" s="104" t="s">
        <v>192</v>
      </c>
      <c r="E255" s="104" t="s">
        <v>34</v>
      </c>
      <c r="F255" s="104" t="s">
        <v>35</v>
      </c>
      <c r="G255" s="145" t="s">
        <v>782</v>
      </c>
      <c r="H255" s="104">
        <v>1228</v>
      </c>
      <c r="I255" s="104">
        <v>242</v>
      </c>
      <c r="J255" s="104" t="s">
        <v>58</v>
      </c>
      <c r="K255" s="104" t="s">
        <v>783</v>
      </c>
      <c r="L255" s="104">
        <v>94097</v>
      </c>
      <c r="M255" s="104">
        <v>5</v>
      </c>
      <c r="N255" s="104" t="s">
        <v>784</v>
      </c>
      <c r="O255" s="104" t="s">
        <v>40</v>
      </c>
      <c r="P255" s="104">
        <v>4317411</v>
      </c>
      <c r="Q255" s="130">
        <v>45992</v>
      </c>
      <c r="R255" s="104">
        <v>4434682</v>
      </c>
      <c r="S255" s="109">
        <v>2820</v>
      </c>
      <c r="T255" s="108">
        <v>46001</v>
      </c>
      <c r="U255" s="104">
        <v>454</v>
      </c>
      <c r="V255" s="104" t="s">
        <v>785</v>
      </c>
      <c r="W255" s="104" t="s">
        <v>40</v>
      </c>
      <c r="X255" s="104" t="s">
        <v>44</v>
      </c>
      <c r="Y255" s="221">
        <v>2820</v>
      </c>
      <c r="Z255" s="106">
        <v>45996</v>
      </c>
      <c r="AA255" s="106">
        <v>46000</v>
      </c>
      <c r="AB255" s="104" t="s">
        <v>60</v>
      </c>
      <c r="AC255" s="104"/>
      <c r="AD255" s="113">
        <f>S255-Y255</f>
        <v>0</v>
      </c>
    </row>
    <row r="256" spans="2:30" ht="45" hidden="1" customHeight="1">
      <c r="B256" s="174">
        <v>253</v>
      </c>
      <c r="C256" s="104" t="s">
        <v>183</v>
      </c>
      <c r="D256" s="104" t="s">
        <v>192</v>
      </c>
      <c r="E256" s="104" t="s">
        <v>34</v>
      </c>
      <c r="F256" s="104" t="s">
        <v>35</v>
      </c>
      <c r="G256" s="145" t="s">
        <v>786</v>
      </c>
      <c r="H256" s="104">
        <v>2232</v>
      </c>
      <c r="I256" s="104">
        <v>242</v>
      </c>
      <c r="J256" s="104" t="s">
        <v>58</v>
      </c>
      <c r="K256" s="104" t="s">
        <v>787</v>
      </c>
      <c r="L256" s="104">
        <v>94098</v>
      </c>
      <c r="M256" s="104">
        <v>5</v>
      </c>
      <c r="N256" s="104" t="s">
        <v>788</v>
      </c>
      <c r="O256" s="104" t="s">
        <v>40</v>
      </c>
      <c r="P256" s="104">
        <v>4317414</v>
      </c>
      <c r="Q256" s="130">
        <v>45992</v>
      </c>
      <c r="R256" s="104">
        <v>4434659</v>
      </c>
      <c r="S256" s="109">
        <v>830</v>
      </c>
      <c r="T256" s="108">
        <v>46001</v>
      </c>
      <c r="U256" s="104">
        <v>453</v>
      </c>
      <c r="V256" s="104" t="s">
        <v>789</v>
      </c>
      <c r="W256" s="104" t="s">
        <v>40</v>
      </c>
      <c r="X256" s="104" t="s">
        <v>44</v>
      </c>
      <c r="Y256" s="221">
        <v>830</v>
      </c>
      <c r="Z256" s="106">
        <v>45996</v>
      </c>
      <c r="AA256" s="106">
        <v>46000</v>
      </c>
      <c r="AB256" s="104" t="s">
        <v>60</v>
      </c>
      <c r="AC256" s="104"/>
      <c r="AD256" s="113">
        <f>S256-Y256</f>
        <v>0</v>
      </c>
    </row>
    <row r="257" spans="2:30" ht="45" hidden="1" customHeight="1">
      <c r="B257" s="174">
        <v>254</v>
      </c>
      <c r="C257" s="104" t="s">
        <v>70</v>
      </c>
      <c r="D257" s="103" t="s">
        <v>192</v>
      </c>
      <c r="E257" s="104" t="s">
        <v>34</v>
      </c>
      <c r="F257" s="104" t="s">
        <v>44</v>
      </c>
      <c r="G257" s="145" t="s">
        <v>790</v>
      </c>
      <c r="H257" s="104">
        <v>2224</v>
      </c>
      <c r="I257" s="104">
        <v>242</v>
      </c>
      <c r="J257" s="104" t="s">
        <v>58</v>
      </c>
      <c r="K257" s="104" t="s">
        <v>791</v>
      </c>
      <c r="L257" s="104">
        <v>94208</v>
      </c>
      <c r="M257" s="104">
        <v>5</v>
      </c>
      <c r="N257" s="104" t="s">
        <v>792</v>
      </c>
      <c r="O257" s="104" t="s">
        <v>48</v>
      </c>
      <c r="P257" s="104">
        <v>4317690</v>
      </c>
      <c r="Q257" s="130">
        <v>45992</v>
      </c>
      <c r="R257" s="104">
        <v>4434675</v>
      </c>
      <c r="S257" s="109">
        <v>950</v>
      </c>
      <c r="T257" s="108">
        <v>46001</v>
      </c>
      <c r="U257" s="104">
        <v>455</v>
      </c>
      <c r="V257" s="104" t="s">
        <v>34</v>
      </c>
      <c r="W257" s="104" t="s">
        <v>40</v>
      </c>
      <c r="X257" s="104" t="s">
        <v>44</v>
      </c>
      <c r="Y257" s="221">
        <v>950</v>
      </c>
      <c r="Z257" s="106">
        <v>45996</v>
      </c>
      <c r="AA257" s="106">
        <v>46000</v>
      </c>
      <c r="AB257" s="104" t="s">
        <v>60</v>
      </c>
      <c r="AC257" s="104"/>
      <c r="AD257" s="113">
        <f>S257-Y257</f>
        <v>0</v>
      </c>
    </row>
    <row r="258" spans="2:30" ht="45" hidden="1" customHeight="1">
      <c r="B258" s="174">
        <v>255</v>
      </c>
      <c r="C258" s="104" t="s">
        <v>95</v>
      </c>
      <c r="D258" s="104" t="s">
        <v>793</v>
      </c>
      <c r="E258" s="104" t="s">
        <v>34</v>
      </c>
      <c r="F258" s="104" t="s">
        <v>44</v>
      </c>
      <c r="G258" s="145" t="s">
        <v>794</v>
      </c>
      <c r="H258" s="104">
        <v>2119</v>
      </c>
      <c r="I258" s="104">
        <v>242</v>
      </c>
      <c r="J258" s="104" t="s">
        <v>46</v>
      </c>
      <c r="K258" s="104"/>
      <c r="L258" s="104">
        <v>94217</v>
      </c>
      <c r="M258" s="104">
        <v>5</v>
      </c>
      <c r="N258" s="104" t="s">
        <v>795</v>
      </c>
      <c r="O258" s="104"/>
      <c r="P258" s="104">
        <v>4318297</v>
      </c>
      <c r="Q258" s="106">
        <v>45993</v>
      </c>
      <c r="R258" s="104">
        <v>4438892</v>
      </c>
      <c r="S258" s="156">
        <v>950</v>
      </c>
      <c r="T258" s="108" t="s">
        <v>34</v>
      </c>
      <c r="U258" s="104">
        <v>116</v>
      </c>
      <c r="V258" s="104"/>
      <c r="W258" s="104" t="s">
        <v>48</v>
      </c>
      <c r="X258" s="104" t="s">
        <v>25</v>
      </c>
      <c r="Y258" s="131">
        <v>950</v>
      </c>
      <c r="Z258" s="106">
        <v>46002</v>
      </c>
      <c r="AA258" s="106">
        <v>46003</v>
      </c>
      <c r="AB258" s="104" t="s">
        <v>60</v>
      </c>
      <c r="AC258" s="104"/>
      <c r="AD258" s="113">
        <f>S258-Y258</f>
        <v>0</v>
      </c>
    </row>
    <row r="259" spans="2:30" ht="45" hidden="1" customHeight="1">
      <c r="B259" s="174">
        <v>256</v>
      </c>
      <c r="C259" s="104" t="s">
        <v>282</v>
      </c>
      <c r="D259" s="104" t="s">
        <v>796</v>
      </c>
      <c r="E259" s="104">
        <v>39682</v>
      </c>
      <c r="F259" s="104" t="s">
        <v>44</v>
      </c>
      <c r="G259" s="145" t="s">
        <v>797</v>
      </c>
      <c r="H259" s="104">
        <v>1210</v>
      </c>
      <c r="I259" s="104">
        <v>242</v>
      </c>
      <c r="J259" s="104" t="s">
        <v>46</v>
      </c>
      <c r="K259" s="148">
        <v>59646</v>
      </c>
      <c r="L259" s="104">
        <v>88489</v>
      </c>
      <c r="M259" s="104">
        <v>6</v>
      </c>
      <c r="N259" s="104"/>
      <c r="O259" s="104"/>
      <c r="P259" s="104">
        <v>4318768</v>
      </c>
      <c r="Q259" s="106">
        <v>45993</v>
      </c>
      <c r="R259" s="104">
        <v>4435991</v>
      </c>
      <c r="S259" s="129">
        <v>3960</v>
      </c>
      <c r="T259" s="108">
        <v>46017</v>
      </c>
      <c r="U259" s="104">
        <v>10614</v>
      </c>
      <c r="V259" s="110"/>
      <c r="W259" s="104" t="s">
        <v>40</v>
      </c>
      <c r="X259" s="104" t="s">
        <v>44</v>
      </c>
      <c r="Y259" s="221">
        <v>3960</v>
      </c>
      <c r="Z259" s="106">
        <v>46010</v>
      </c>
      <c r="AA259" s="106">
        <v>46013</v>
      </c>
      <c r="AB259" s="104" t="s">
        <v>60</v>
      </c>
      <c r="AC259" s="104"/>
      <c r="AD259" s="113">
        <f>S259-Y259</f>
        <v>0</v>
      </c>
    </row>
    <row r="260" spans="2:30" ht="45" hidden="1" customHeight="1">
      <c r="B260" s="174">
        <v>257</v>
      </c>
      <c r="C260" s="104" t="s">
        <v>798</v>
      </c>
      <c r="D260" s="104" t="s">
        <v>101</v>
      </c>
      <c r="E260" s="104" t="s">
        <v>34</v>
      </c>
      <c r="F260" s="104" t="s">
        <v>44</v>
      </c>
      <c r="G260" s="145" t="s">
        <v>799</v>
      </c>
      <c r="H260" s="104">
        <v>2283</v>
      </c>
      <c r="I260" s="104">
        <v>242</v>
      </c>
      <c r="J260" s="104" t="s">
        <v>46</v>
      </c>
      <c r="K260" s="104" t="s">
        <v>479</v>
      </c>
      <c r="L260" s="104">
        <v>94175</v>
      </c>
      <c r="M260" s="104">
        <v>1</v>
      </c>
      <c r="N260" s="104"/>
      <c r="O260" s="104"/>
      <c r="P260" s="104" t="s">
        <v>800</v>
      </c>
      <c r="Q260" s="106">
        <v>45993</v>
      </c>
      <c r="R260" s="104">
        <v>4437436</v>
      </c>
      <c r="S260" s="129">
        <v>8150</v>
      </c>
      <c r="T260" s="108">
        <v>46011</v>
      </c>
      <c r="U260" s="104">
        <v>497</v>
      </c>
      <c r="V260" s="104" t="s">
        <v>34</v>
      </c>
      <c r="W260" s="104" t="s">
        <v>48</v>
      </c>
      <c r="X260" s="104" t="s">
        <v>131</v>
      </c>
      <c r="Y260" s="131">
        <v>8150</v>
      </c>
      <c r="Z260" s="106">
        <v>46083</v>
      </c>
      <c r="AA260" s="106">
        <v>46091</v>
      </c>
      <c r="AB260" s="104" t="s">
        <v>60</v>
      </c>
      <c r="AC260" s="104"/>
      <c r="AD260" s="113">
        <f>S260-Y260</f>
        <v>0</v>
      </c>
    </row>
    <row r="261" spans="2:30" ht="45" hidden="1" customHeight="1">
      <c r="B261" s="174">
        <v>258</v>
      </c>
      <c r="C261" s="104" t="s">
        <v>282</v>
      </c>
      <c r="D261" s="104" t="s">
        <v>801</v>
      </c>
      <c r="E261" s="104" t="s">
        <v>34</v>
      </c>
      <c r="F261" s="104" t="s">
        <v>44</v>
      </c>
      <c r="G261" s="145" t="s">
        <v>802</v>
      </c>
      <c r="H261" s="104">
        <v>1236</v>
      </c>
      <c r="I261" s="104">
        <v>242</v>
      </c>
      <c r="J261" s="104" t="s">
        <v>46</v>
      </c>
      <c r="K261" s="104">
        <v>214</v>
      </c>
      <c r="L261" s="104">
        <v>94433</v>
      </c>
      <c r="M261" s="104">
        <v>29</v>
      </c>
      <c r="N261" s="104" t="s">
        <v>803</v>
      </c>
      <c r="O261" s="104"/>
      <c r="P261" s="104">
        <v>4318855</v>
      </c>
      <c r="Q261" s="106">
        <v>45993</v>
      </c>
      <c r="R261" s="110">
        <v>4438975</v>
      </c>
      <c r="S261" s="129">
        <v>1100</v>
      </c>
      <c r="T261" s="108">
        <v>45996</v>
      </c>
      <c r="U261" s="104">
        <v>413</v>
      </c>
      <c r="V261" s="104"/>
      <c r="W261" s="104" t="s">
        <v>40</v>
      </c>
      <c r="X261" s="104" t="s">
        <v>25</v>
      </c>
      <c r="Y261" s="131">
        <v>1100</v>
      </c>
      <c r="Z261" s="106">
        <v>46001</v>
      </c>
      <c r="AA261" s="106">
        <v>46003</v>
      </c>
      <c r="AB261" s="104" t="s">
        <v>60</v>
      </c>
      <c r="AC261" s="104"/>
      <c r="AD261" s="113">
        <f>S261-Y261</f>
        <v>0</v>
      </c>
    </row>
    <row r="262" spans="2:30" ht="45" hidden="1" customHeight="1">
      <c r="B262" s="174">
        <v>259</v>
      </c>
      <c r="C262" s="104" t="s">
        <v>61</v>
      </c>
      <c r="D262" s="104" t="s">
        <v>337</v>
      </c>
      <c r="E262" s="104">
        <v>36375</v>
      </c>
      <c r="F262" s="104" t="s">
        <v>44</v>
      </c>
      <c r="G262" s="145" t="s">
        <v>804</v>
      </c>
      <c r="H262" s="104">
        <v>2232</v>
      </c>
      <c r="I262" s="104">
        <v>242</v>
      </c>
      <c r="J262" s="104" t="s">
        <v>46</v>
      </c>
      <c r="K262" s="104">
        <v>127404</v>
      </c>
      <c r="L262" s="104">
        <v>94904</v>
      </c>
      <c r="M262" s="104">
        <v>6</v>
      </c>
      <c r="N262" s="104"/>
      <c r="O262" s="104"/>
      <c r="P262" s="104">
        <v>4318908</v>
      </c>
      <c r="Q262" s="106">
        <v>45993</v>
      </c>
      <c r="R262" s="104">
        <v>4437429</v>
      </c>
      <c r="S262" s="129">
        <v>23955.119999999999</v>
      </c>
      <c r="T262" s="108">
        <v>46023</v>
      </c>
      <c r="U262" s="104">
        <v>268</v>
      </c>
      <c r="V262" s="104">
        <v>36375</v>
      </c>
      <c r="W262" s="104" t="s">
        <v>48</v>
      </c>
      <c r="X262" s="104" t="s">
        <v>94</v>
      </c>
      <c r="Y262" s="131">
        <v>23953.91</v>
      </c>
      <c r="Z262" s="106">
        <v>46045</v>
      </c>
      <c r="AA262" s="106">
        <v>46049</v>
      </c>
      <c r="AB262" s="104" t="s">
        <v>60</v>
      </c>
      <c r="AC262" s="104"/>
      <c r="AD262" s="113">
        <f>S262-Y262</f>
        <v>1.2099999999991269</v>
      </c>
    </row>
    <row r="263" spans="2:30" ht="45" hidden="1" customHeight="1">
      <c r="B263" s="174">
        <v>260</v>
      </c>
      <c r="C263" s="104" t="s">
        <v>291</v>
      </c>
      <c r="D263" s="104" t="s">
        <v>805</v>
      </c>
      <c r="E263" s="104" t="s">
        <v>34</v>
      </c>
      <c r="F263" s="104" t="s">
        <v>44</v>
      </c>
      <c r="G263" s="145" t="s">
        <v>806</v>
      </c>
      <c r="H263" s="104">
        <v>2488</v>
      </c>
      <c r="I263" s="104">
        <v>5</v>
      </c>
      <c r="J263" s="104" t="s">
        <v>58</v>
      </c>
      <c r="K263" s="104" t="s">
        <v>807</v>
      </c>
      <c r="L263" s="104">
        <v>94653</v>
      </c>
      <c r="M263" s="104">
        <v>1</v>
      </c>
      <c r="N263" s="104" t="s">
        <v>34</v>
      </c>
      <c r="O263" s="104" t="s">
        <v>34</v>
      </c>
      <c r="P263" s="104">
        <v>4318988</v>
      </c>
      <c r="Q263" s="106">
        <v>45993</v>
      </c>
      <c r="R263" s="104">
        <v>4442220</v>
      </c>
      <c r="S263" s="109">
        <v>7600</v>
      </c>
      <c r="T263" s="108">
        <v>46001</v>
      </c>
      <c r="U263" s="104">
        <v>4</v>
      </c>
      <c r="V263" s="104" t="s">
        <v>34</v>
      </c>
      <c r="W263" s="104" t="s">
        <v>48</v>
      </c>
      <c r="X263" s="104" t="s">
        <v>35</v>
      </c>
      <c r="Y263" s="221">
        <v>7600</v>
      </c>
      <c r="Z263" s="106">
        <v>46031</v>
      </c>
      <c r="AA263" s="106">
        <v>46036</v>
      </c>
      <c r="AB263" s="104" t="s">
        <v>60</v>
      </c>
      <c r="AC263" s="104"/>
      <c r="AD263" s="113">
        <f>S263-Y263</f>
        <v>0</v>
      </c>
    </row>
    <row r="264" spans="2:30" ht="45" hidden="1" customHeight="1">
      <c r="B264" s="174">
        <v>261</v>
      </c>
      <c r="C264" s="104" t="s">
        <v>95</v>
      </c>
      <c r="D264" s="104" t="s">
        <v>808</v>
      </c>
      <c r="E264" s="104" t="s">
        <v>34</v>
      </c>
      <c r="F264" s="104" t="s">
        <v>44</v>
      </c>
      <c r="G264" s="145" t="s">
        <v>809</v>
      </c>
      <c r="H264" s="104">
        <v>4502</v>
      </c>
      <c r="I264" s="104">
        <v>332</v>
      </c>
      <c r="J264" s="104" t="s">
        <v>46</v>
      </c>
      <c r="K264" s="104" t="s">
        <v>34</v>
      </c>
      <c r="L264" s="104" t="s">
        <v>34</v>
      </c>
      <c r="M264" s="104" t="s">
        <v>34</v>
      </c>
      <c r="N264" s="104" t="s">
        <v>34</v>
      </c>
      <c r="O264" s="104" t="s">
        <v>34</v>
      </c>
      <c r="P264" s="104">
        <v>4319032</v>
      </c>
      <c r="Q264" s="106">
        <v>45993</v>
      </c>
      <c r="R264" s="104">
        <v>4434743</v>
      </c>
      <c r="S264" s="156">
        <v>13450</v>
      </c>
      <c r="T264" s="108"/>
      <c r="U264" s="104">
        <v>1204</v>
      </c>
      <c r="V264" s="104"/>
      <c r="W264" s="104" t="s">
        <v>40</v>
      </c>
      <c r="X264" s="104" t="s">
        <v>44</v>
      </c>
      <c r="Y264" s="131">
        <v>13450</v>
      </c>
      <c r="Z264" s="106">
        <v>46002</v>
      </c>
      <c r="AA264" s="106">
        <v>46003</v>
      </c>
      <c r="AB264" s="104" t="s">
        <v>60</v>
      </c>
      <c r="AC264" s="104"/>
      <c r="AD264" s="113">
        <f>S264-Y264</f>
        <v>0</v>
      </c>
    </row>
    <row r="265" spans="2:30" ht="45" hidden="1" customHeight="1">
      <c r="B265" s="174">
        <v>262</v>
      </c>
      <c r="C265" s="104" t="s">
        <v>810</v>
      </c>
      <c r="D265" s="104" t="s">
        <v>811</v>
      </c>
      <c r="E265" s="104" t="s">
        <v>34</v>
      </c>
      <c r="F265" s="104" t="s">
        <v>44</v>
      </c>
      <c r="G265" s="145" t="s">
        <v>812</v>
      </c>
      <c r="H265" s="104">
        <v>2488</v>
      </c>
      <c r="I265" s="104">
        <v>242</v>
      </c>
      <c r="J265" s="104" t="s">
        <v>58</v>
      </c>
      <c r="K265" s="104" t="s">
        <v>813</v>
      </c>
      <c r="L265" s="104">
        <v>94946</v>
      </c>
      <c r="M265" s="104">
        <v>29</v>
      </c>
      <c r="N265" s="104" t="s">
        <v>814</v>
      </c>
      <c r="O265" s="104" t="s">
        <v>34</v>
      </c>
      <c r="P265" s="104">
        <v>4319066</v>
      </c>
      <c r="Q265" s="106">
        <v>45993</v>
      </c>
      <c r="R265" s="104">
        <v>4438253</v>
      </c>
      <c r="S265" s="109">
        <v>10815.75</v>
      </c>
      <c r="T265" s="108">
        <v>46023</v>
      </c>
      <c r="U265" s="104"/>
      <c r="V265" s="104"/>
      <c r="W265" s="104"/>
      <c r="X265" s="104"/>
      <c r="Y265" s="131"/>
      <c r="Z265" s="106"/>
      <c r="AA265" s="106"/>
      <c r="AB265" s="104" t="s">
        <v>66</v>
      </c>
      <c r="AC265" s="104"/>
      <c r="AD265" s="113">
        <f>S265-Y265</f>
        <v>10815.75</v>
      </c>
    </row>
    <row r="266" spans="2:30" ht="45" hidden="1" customHeight="1">
      <c r="B266" s="174">
        <v>263</v>
      </c>
      <c r="C266" s="104" t="s">
        <v>282</v>
      </c>
      <c r="D266" s="104" t="s">
        <v>815</v>
      </c>
      <c r="E266" s="104"/>
      <c r="F266" s="104" t="s">
        <v>44</v>
      </c>
      <c r="G266" s="145" t="s">
        <v>816</v>
      </c>
      <c r="H266" s="104">
        <v>94409</v>
      </c>
      <c r="I266" s="104">
        <v>242</v>
      </c>
      <c r="J266" s="104" t="s">
        <v>46</v>
      </c>
      <c r="K266" s="104">
        <v>392</v>
      </c>
      <c r="L266" s="104">
        <v>94409</v>
      </c>
      <c r="M266" s="104">
        <v>5</v>
      </c>
      <c r="N266" s="104" t="s">
        <v>817</v>
      </c>
      <c r="O266" s="104" t="s">
        <v>34</v>
      </c>
      <c r="P266" s="104">
        <v>4320302</v>
      </c>
      <c r="Q266" s="106">
        <v>45994</v>
      </c>
      <c r="R266" s="104">
        <v>4440413</v>
      </c>
      <c r="S266" s="129">
        <v>2390</v>
      </c>
      <c r="T266" s="108"/>
      <c r="U266" s="104"/>
      <c r="V266" s="104"/>
      <c r="W266" s="104"/>
      <c r="X266" s="104"/>
      <c r="Y266" s="131"/>
      <c r="Z266" s="106"/>
      <c r="AA266" s="106"/>
      <c r="AB266" s="104" t="s">
        <v>66</v>
      </c>
      <c r="AC266" s="104"/>
      <c r="AD266" s="113">
        <f>S266-Y266</f>
        <v>2390</v>
      </c>
    </row>
    <row r="267" spans="2:30" ht="45" hidden="1" customHeight="1">
      <c r="B267" s="174">
        <v>264</v>
      </c>
      <c r="C267" s="104" t="s">
        <v>291</v>
      </c>
      <c r="D267" s="104" t="s">
        <v>33</v>
      </c>
      <c r="E267" s="104">
        <v>41358</v>
      </c>
      <c r="F267" s="104" t="s">
        <v>35</v>
      </c>
      <c r="G267" s="257" t="s">
        <v>818</v>
      </c>
      <c r="H267" s="104">
        <v>2488</v>
      </c>
      <c r="I267" s="104">
        <v>242</v>
      </c>
      <c r="J267" s="104" t="s">
        <v>58</v>
      </c>
      <c r="K267" s="104" t="s">
        <v>819</v>
      </c>
      <c r="L267" s="104">
        <v>95167</v>
      </c>
      <c r="M267" s="104">
        <v>6</v>
      </c>
      <c r="N267" s="104" t="s">
        <v>34</v>
      </c>
      <c r="O267" s="104" t="s">
        <v>34</v>
      </c>
      <c r="P267" s="104">
        <v>4321227</v>
      </c>
      <c r="Q267" s="106">
        <v>45995</v>
      </c>
      <c r="R267" s="104">
        <v>4436040</v>
      </c>
      <c r="S267" s="109">
        <v>883.5</v>
      </c>
      <c r="T267" s="108">
        <v>45992</v>
      </c>
      <c r="U267" s="104">
        <v>3209</v>
      </c>
      <c r="V267" s="104" t="s">
        <v>820</v>
      </c>
      <c r="W267" s="104" t="s">
        <v>40</v>
      </c>
      <c r="X267" s="104" t="s">
        <v>35</v>
      </c>
      <c r="Y267" s="131">
        <v>883.5</v>
      </c>
      <c r="Z267" s="106">
        <v>46001</v>
      </c>
      <c r="AA267" s="106">
        <v>46002</v>
      </c>
      <c r="AB267" s="104" t="s">
        <v>60</v>
      </c>
      <c r="AC267" s="104"/>
      <c r="AD267" s="113">
        <f>S267-Y267</f>
        <v>0</v>
      </c>
    </row>
    <row r="268" spans="2:30" ht="45" hidden="1" customHeight="1">
      <c r="B268" s="174">
        <v>265</v>
      </c>
      <c r="C268" s="104" t="s">
        <v>146</v>
      </c>
      <c r="D268" s="104" t="s">
        <v>350</v>
      </c>
      <c r="E268" s="104">
        <v>40688</v>
      </c>
      <c r="F268" s="104" t="s">
        <v>44</v>
      </c>
      <c r="G268" s="145" t="s">
        <v>821</v>
      </c>
      <c r="H268" s="104">
        <v>2291</v>
      </c>
      <c r="I268" s="104">
        <v>242</v>
      </c>
      <c r="J268" s="104" t="s">
        <v>58</v>
      </c>
      <c r="K268" s="104" t="s">
        <v>822</v>
      </c>
      <c r="L268" s="104">
        <v>95152</v>
      </c>
      <c r="M268" s="104">
        <v>6</v>
      </c>
      <c r="N268" s="104" t="s">
        <v>34</v>
      </c>
      <c r="O268" s="104" t="s">
        <v>34</v>
      </c>
      <c r="P268" s="104">
        <v>4321296</v>
      </c>
      <c r="Q268" s="106">
        <v>45995</v>
      </c>
      <c r="R268" s="104">
        <v>4436223</v>
      </c>
      <c r="S268" s="109">
        <v>2109</v>
      </c>
      <c r="T268" s="108">
        <v>45992</v>
      </c>
      <c r="U268" s="104">
        <v>5201</v>
      </c>
      <c r="V268" s="104" t="s">
        <v>34</v>
      </c>
      <c r="W268" s="104" t="s">
        <v>35</v>
      </c>
      <c r="X268" s="104" t="s">
        <v>35</v>
      </c>
      <c r="Y268" s="221">
        <v>2109</v>
      </c>
      <c r="Z268" s="106">
        <v>46034</v>
      </c>
      <c r="AA268" s="106">
        <v>46036</v>
      </c>
      <c r="AB268" s="104" t="s">
        <v>41</v>
      </c>
      <c r="AC268" s="104"/>
      <c r="AD268" s="113">
        <f>S268-Y268</f>
        <v>0</v>
      </c>
    </row>
    <row r="269" spans="2:30" ht="45" hidden="1" customHeight="1">
      <c r="B269" s="174">
        <v>266</v>
      </c>
      <c r="C269" s="104" t="s">
        <v>146</v>
      </c>
      <c r="D269" s="104" t="s">
        <v>350</v>
      </c>
      <c r="E269" s="104">
        <v>40688</v>
      </c>
      <c r="F269" s="104" t="s">
        <v>44</v>
      </c>
      <c r="G269" s="145" t="s">
        <v>823</v>
      </c>
      <c r="H269" s="104">
        <v>2283</v>
      </c>
      <c r="I269" s="104">
        <v>242</v>
      </c>
      <c r="J269" s="104" t="s">
        <v>58</v>
      </c>
      <c r="K269" s="104" t="s">
        <v>824</v>
      </c>
      <c r="L269" s="104">
        <v>95153</v>
      </c>
      <c r="M269" s="104">
        <v>6</v>
      </c>
      <c r="N269" s="104" t="s">
        <v>34</v>
      </c>
      <c r="O269" s="104" t="s">
        <v>34</v>
      </c>
      <c r="P269" s="104">
        <v>4321300</v>
      </c>
      <c r="Q269" s="106">
        <v>45995</v>
      </c>
      <c r="R269" s="104">
        <v>4436059</v>
      </c>
      <c r="S269" s="109">
        <v>2640</v>
      </c>
      <c r="T269" s="108">
        <v>45992</v>
      </c>
      <c r="U269" s="104">
        <v>5150</v>
      </c>
      <c r="V269" s="114" t="s">
        <v>825</v>
      </c>
      <c r="W269" s="104" t="s">
        <v>40</v>
      </c>
      <c r="X269" s="104" t="s">
        <v>35</v>
      </c>
      <c r="Y269" s="221">
        <v>2640</v>
      </c>
      <c r="Z269" s="106">
        <v>46000</v>
      </c>
      <c r="AA269" s="106">
        <v>46008</v>
      </c>
      <c r="AB269" s="104" t="s">
        <v>60</v>
      </c>
      <c r="AC269" s="104"/>
      <c r="AD269" s="113">
        <f>S269-Y269</f>
        <v>0</v>
      </c>
    </row>
    <row r="270" spans="2:30" ht="45" hidden="1" customHeight="1">
      <c r="B270" s="174">
        <v>267</v>
      </c>
      <c r="C270" s="104" t="s">
        <v>291</v>
      </c>
      <c r="D270" s="104" t="s">
        <v>33</v>
      </c>
      <c r="E270" s="104">
        <v>41359</v>
      </c>
      <c r="F270" s="104" t="s">
        <v>35</v>
      </c>
      <c r="G270" s="145" t="s">
        <v>826</v>
      </c>
      <c r="H270" s="104">
        <v>2488</v>
      </c>
      <c r="I270" s="104">
        <v>242</v>
      </c>
      <c r="J270" s="104" t="s">
        <v>58</v>
      </c>
      <c r="K270" s="104" t="s">
        <v>827</v>
      </c>
      <c r="L270" s="104">
        <v>95172</v>
      </c>
      <c r="M270" s="104">
        <v>6</v>
      </c>
      <c r="N270" s="105" t="s">
        <v>34</v>
      </c>
      <c r="O270" s="104" t="s">
        <v>34</v>
      </c>
      <c r="P270" s="104">
        <v>4321310</v>
      </c>
      <c r="Q270" s="106">
        <v>45995</v>
      </c>
      <c r="R270" s="104">
        <v>4436044</v>
      </c>
      <c r="S270" s="109">
        <v>665</v>
      </c>
      <c r="T270" s="108">
        <v>45992</v>
      </c>
      <c r="U270" s="104">
        <v>3211</v>
      </c>
      <c r="V270" s="104" t="s">
        <v>828</v>
      </c>
      <c r="W270" s="104" t="s">
        <v>40</v>
      </c>
      <c r="X270" s="104" t="s">
        <v>35</v>
      </c>
      <c r="Y270" s="221">
        <v>665</v>
      </c>
      <c r="Z270" s="106">
        <v>46001</v>
      </c>
      <c r="AA270" s="106">
        <v>46008</v>
      </c>
      <c r="AB270" s="104" t="s">
        <v>60</v>
      </c>
      <c r="AC270" s="104"/>
      <c r="AD270" s="113">
        <f>S270-Y270</f>
        <v>0</v>
      </c>
    </row>
    <row r="271" spans="2:30" ht="45" hidden="1" customHeight="1">
      <c r="B271" s="174">
        <v>268</v>
      </c>
      <c r="C271" s="104" t="s">
        <v>146</v>
      </c>
      <c r="D271" s="104" t="s">
        <v>350</v>
      </c>
      <c r="E271" s="104">
        <v>40688</v>
      </c>
      <c r="F271" s="104" t="s">
        <v>44</v>
      </c>
      <c r="G271" s="145" t="s">
        <v>829</v>
      </c>
      <c r="H271" s="104">
        <v>2291</v>
      </c>
      <c r="I271" s="104">
        <v>242</v>
      </c>
      <c r="J271" s="104" t="s">
        <v>58</v>
      </c>
      <c r="K271" s="104" t="s">
        <v>830</v>
      </c>
      <c r="L271" s="104">
        <v>95166</v>
      </c>
      <c r="M271" s="104">
        <v>6</v>
      </c>
      <c r="N271" s="104" t="s">
        <v>34</v>
      </c>
      <c r="O271" s="104" t="s">
        <v>34</v>
      </c>
      <c r="P271" s="104">
        <v>4321339</v>
      </c>
      <c r="Q271" s="106">
        <v>45995</v>
      </c>
      <c r="R271" s="104">
        <v>4436227</v>
      </c>
      <c r="S271" s="109">
        <v>1828</v>
      </c>
      <c r="T271" s="108">
        <v>45992</v>
      </c>
      <c r="U271" s="104">
        <v>5200</v>
      </c>
      <c r="V271" s="104" t="s">
        <v>34</v>
      </c>
      <c r="W271" s="104" t="s">
        <v>40</v>
      </c>
      <c r="X271" s="104" t="s">
        <v>35</v>
      </c>
      <c r="Y271" s="221">
        <v>1828</v>
      </c>
      <c r="Z271" s="106">
        <v>46034</v>
      </c>
      <c r="AA271" s="106">
        <v>46036</v>
      </c>
      <c r="AB271" s="104" t="s">
        <v>41</v>
      </c>
      <c r="AC271" s="104"/>
      <c r="AD271" s="113">
        <f>S271-Y271</f>
        <v>0</v>
      </c>
    </row>
    <row r="272" spans="2:30" ht="45" hidden="1" customHeight="1">
      <c r="B272" s="174">
        <v>269</v>
      </c>
      <c r="C272" s="104" t="s">
        <v>291</v>
      </c>
      <c r="D272" s="104" t="s">
        <v>513</v>
      </c>
      <c r="E272" s="104">
        <v>41368</v>
      </c>
      <c r="F272" s="104" t="s">
        <v>44</v>
      </c>
      <c r="G272" s="145" t="s">
        <v>831</v>
      </c>
      <c r="H272" s="104">
        <v>2224</v>
      </c>
      <c r="I272" s="104">
        <v>170</v>
      </c>
      <c r="J272" s="104" t="s">
        <v>58</v>
      </c>
      <c r="K272" s="104" t="s">
        <v>832</v>
      </c>
      <c r="L272" s="104">
        <v>95189</v>
      </c>
      <c r="M272" s="104">
        <v>6</v>
      </c>
      <c r="N272" s="104" t="s">
        <v>34</v>
      </c>
      <c r="O272" s="104" t="s">
        <v>34</v>
      </c>
      <c r="P272" s="104">
        <v>4321352</v>
      </c>
      <c r="Q272" s="106">
        <v>45995</v>
      </c>
      <c r="R272" s="104">
        <v>4436232</v>
      </c>
      <c r="S272" s="109">
        <v>1440</v>
      </c>
      <c r="T272" s="108">
        <v>45992</v>
      </c>
      <c r="U272" s="104">
        <v>4325</v>
      </c>
      <c r="V272" s="104" t="s">
        <v>833</v>
      </c>
      <c r="W272" s="104" t="s">
        <v>40</v>
      </c>
      <c r="X272" s="104" t="s">
        <v>35</v>
      </c>
      <c r="Y272" s="221">
        <v>1440</v>
      </c>
      <c r="Z272" s="106">
        <v>46000</v>
      </c>
      <c r="AA272" s="106">
        <v>46006</v>
      </c>
      <c r="AB272" s="104" t="s">
        <v>60</v>
      </c>
      <c r="AC272" s="104"/>
      <c r="AD272" s="113">
        <f>S272-Y272</f>
        <v>0</v>
      </c>
    </row>
    <row r="273" spans="2:30" ht="45" hidden="1" customHeight="1">
      <c r="B273" s="174">
        <v>270</v>
      </c>
      <c r="C273" s="104" t="s">
        <v>183</v>
      </c>
      <c r="D273" s="104" t="s">
        <v>33</v>
      </c>
      <c r="E273" s="104">
        <v>40292</v>
      </c>
      <c r="F273" s="104" t="s">
        <v>35</v>
      </c>
      <c r="G273" s="145" t="s">
        <v>834</v>
      </c>
      <c r="H273" s="104">
        <v>2224</v>
      </c>
      <c r="I273" s="104">
        <v>242</v>
      </c>
      <c r="J273" s="104" t="s">
        <v>58</v>
      </c>
      <c r="K273" s="104" t="s">
        <v>835</v>
      </c>
      <c r="L273" s="104">
        <v>95252</v>
      </c>
      <c r="M273" s="104">
        <v>5</v>
      </c>
      <c r="N273" s="104" t="s">
        <v>836</v>
      </c>
      <c r="O273" s="104" t="s">
        <v>40</v>
      </c>
      <c r="P273" s="104">
        <v>4322113</v>
      </c>
      <c r="Q273" s="106">
        <v>45996</v>
      </c>
      <c r="R273" s="104">
        <v>4435043</v>
      </c>
      <c r="S273" s="109">
        <v>510</v>
      </c>
      <c r="T273" s="108">
        <v>46023</v>
      </c>
      <c r="U273" s="104">
        <v>3208</v>
      </c>
      <c r="V273" s="104" t="s">
        <v>837</v>
      </c>
      <c r="W273" s="104" t="s">
        <v>40</v>
      </c>
      <c r="X273" s="104" t="s">
        <v>35</v>
      </c>
      <c r="Y273" s="221">
        <v>510</v>
      </c>
      <c r="Z273" s="106">
        <v>45999</v>
      </c>
      <c r="AA273" s="106">
        <v>46001</v>
      </c>
      <c r="AB273" s="104" t="s">
        <v>60</v>
      </c>
      <c r="AC273" s="104"/>
      <c r="AD273" s="113">
        <f>S273-Y273</f>
        <v>0</v>
      </c>
    </row>
    <row r="274" spans="2:30" ht="45" hidden="1" customHeight="1">
      <c r="B274" s="174">
        <v>271</v>
      </c>
      <c r="C274" s="104" t="s">
        <v>291</v>
      </c>
      <c r="D274" s="104" t="s">
        <v>138</v>
      </c>
      <c r="E274" s="104">
        <v>41291</v>
      </c>
      <c r="F274" s="104" t="s">
        <v>44</v>
      </c>
      <c r="G274" s="145" t="s">
        <v>838</v>
      </c>
      <c r="H274" s="104">
        <v>2488</v>
      </c>
      <c r="I274" s="104">
        <v>242</v>
      </c>
      <c r="J274" s="104" t="s">
        <v>58</v>
      </c>
      <c r="K274" s="104" t="s">
        <v>839</v>
      </c>
      <c r="L274" s="104">
        <v>94860</v>
      </c>
      <c r="M274" s="104">
        <v>6</v>
      </c>
      <c r="N274" s="104" t="s">
        <v>34</v>
      </c>
      <c r="O274" s="104" t="s">
        <v>34</v>
      </c>
      <c r="P274" s="104">
        <v>4322173</v>
      </c>
      <c r="Q274" s="106">
        <v>45996</v>
      </c>
      <c r="R274" s="104">
        <v>4437745</v>
      </c>
      <c r="S274" s="109">
        <v>21585.64</v>
      </c>
      <c r="T274" s="108" t="s">
        <v>840</v>
      </c>
      <c r="U274" s="104">
        <v>19814</v>
      </c>
      <c r="V274" s="104" t="s">
        <v>841</v>
      </c>
      <c r="W274" s="104" t="s">
        <v>40</v>
      </c>
      <c r="X274" s="104" t="s">
        <v>44</v>
      </c>
      <c r="Y274" s="221">
        <v>21585.64</v>
      </c>
      <c r="Z274" s="106">
        <v>46024</v>
      </c>
      <c r="AA274" s="106">
        <v>46029</v>
      </c>
      <c r="AB274" s="104" t="s">
        <v>60</v>
      </c>
      <c r="AC274" s="104"/>
      <c r="AD274" s="113">
        <f>S274-Y274</f>
        <v>0</v>
      </c>
    </row>
    <row r="275" spans="2:30" ht="45" hidden="1" customHeight="1">
      <c r="B275" s="174">
        <v>272</v>
      </c>
      <c r="C275" s="104" t="s">
        <v>32</v>
      </c>
      <c r="D275" s="104" t="s">
        <v>192</v>
      </c>
      <c r="E275" s="104">
        <v>41123</v>
      </c>
      <c r="F275" s="104" t="s">
        <v>35</v>
      </c>
      <c r="G275" s="145" t="s">
        <v>842</v>
      </c>
      <c r="H275" s="104">
        <v>2283</v>
      </c>
      <c r="I275" s="104">
        <v>242</v>
      </c>
      <c r="J275" s="104" t="s">
        <v>58</v>
      </c>
      <c r="K275" s="104" t="s">
        <v>843</v>
      </c>
      <c r="L275" s="104">
        <v>95253</v>
      </c>
      <c r="M275" s="104">
        <v>5</v>
      </c>
      <c r="N275" s="104" t="s">
        <v>844</v>
      </c>
      <c r="O275" s="104" t="s">
        <v>40</v>
      </c>
      <c r="P275" s="104">
        <v>4322180</v>
      </c>
      <c r="Q275" s="106">
        <v>45996</v>
      </c>
      <c r="R275" s="104">
        <v>4442194</v>
      </c>
      <c r="S275" s="109">
        <v>2000</v>
      </c>
      <c r="T275" s="108">
        <v>45992</v>
      </c>
      <c r="U275" s="104">
        <v>490</v>
      </c>
      <c r="V275" s="104" t="s">
        <v>845</v>
      </c>
      <c r="W275" s="104" t="s">
        <v>40</v>
      </c>
      <c r="X275" s="104" t="s">
        <v>44</v>
      </c>
      <c r="Y275" s="221">
        <v>2000</v>
      </c>
      <c r="Z275" s="106">
        <v>46008</v>
      </c>
      <c r="AA275" s="106">
        <v>46009</v>
      </c>
      <c r="AB275" s="104" t="s">
        <v>60</v>
      </c>
      <c r="AC275" s="104"/>
      <c r="AD275" s="113">
        <f>S275-Y275</f>
        <v>0</v>
      </c>
    </row>
    <row r="276" spans="2:30" ht="45" hidden="1" customHeight="1">
      <c r="B276" s="174">
        <v>273</v>
      </c>
      <c r="C276" s="104" t="s">
        <v>224</v>
      </c>
      <c r="D276" s="104" t="s">
        <v>846</v>
      </c>
      <c r="E276" s="104">
        <v>41367</v>
      </c>
      <c r="F276" s="104" t="s">
        <v>44</v>
      </c>
      <c r="G276" s="145" t="s">
        <v>847</v>
      </c>
      <c r="H276" s="104">
        <v>1171</v>
      </c>
      <c r="I276" s="104">
        <v>242</v>
      </c>
      <c r="J276" s="104" t="s">
        <v>46</v>
      </c>
      <c r="K276" s="104">
        <v>539</v>
      </c>
      <c r="L276" s="104">
        <v>95397</v>
      </c>
      <c r="M276" s="104">
        <v>6</v>
      </c>
      <c r="N276" s="104" t="s">
        <v>34</v>
      </c>
      <c r="O276" s="104" t="s">
        <v>34</v>
      </c>
      <c r="P276" s="104">
        <v>4322881</v>
      </c>
      <c r="Q276" s="106">
        <v>45996</v>
      </c>
      <c r="R276" s="104">
        <v>4438594</v>
      </c>
      <c r="S276" s="129">
        <v>4460</v>
      </c>
      <c r="T276" s="108">
        <v>46023</v>
      </c>
      <c r="U276" s="104">
        <v>6112</v>
      </c>
      <c r="V276" s="104"/>
      <c r="W276" s="104" t="s">
        <v>48</v>
      </c>
      <c r="X276" s="104" t="s">
        <v>25</v>
      </c>
      <c r="Y276" s="131">
        <v>4460</v>
      </c>
      <c r="Z276" s="106">
        <v>46030</v>
      </c>
      <c r="AA276" s="106">
        <v>46038</v>
      </c>
      <c r="AB276" s="104" t="s">
        <v>41</v>
      </c>
      <c r="AC276" s="104"/>
      <c r="AD276" s="113">
        <f>S276-Y276</f>
        <v>0</v>
      </c>
    </row>
    <row r="277" spans="2:30" ht="45" hidden="1" customHeight="1">
      <c r="B277" s="174">
        <v>274</v>
      </c>
      <c r="C277" s="104" t="s">
        <v>282</v>
      </c>
      <c r="D277" s="104" t="s">
        <v>33</v>
      </c>
      <c r="E277" s="104">
        <v>41815</v>
      </c>
      <c r="F277" s="104" t="s">
        <v>35</v>
      </c>
      <c r="G277" s="145" t="s">
        <v>848</v>
      </c>
      <c r="H277" s="104">
        <v>2330</v>
      </c>
      <c r="I277" s="104">
        <v>242</v>
      </c>
      <c r="J277" s="104" t="s">
        <v>46</v>
      </c>
      <c r="K277" s="104">
        <v>443</v>
      </c>
      <c r="L277" s="104">
        <v>95354</v>
      </c>
      <c r="M277" s="104">
        <v>5</v>
      </c>
      <c r="N277" s="104" t="s">
        <v>849</v>
      </c>
      <c r="O277" s="104" t="s">
        <v>34</v>
      </c>
      <c r="P277" s="164">
        <v>4323156</v>
      </c>
      <c r="Q277" s="106">
        <v>45997</v>
      </c>
      <c r="R277" s="104">
        <v>4442193</v>
      </c>
      <c r="S277" s="129">
        <v>2050</v>
      </c>
      <c r="T277" s="108">
        <v>45999</v>
      </c>
      <c r="U277" s="104">
        <v>3217</v>
      </c>
      <c r="V277" s="104"/>
      <c r="W277" s="104" t="s">
        <v>106</v>
      </c>
      <c r="X277" s="104" t="s">
        <v>25</v>
      </c>
      <c r="Y277" s="131">
        <v>2050</v>
      </c>
      <c r="Z277" s="106">
        <v>46023</v>
      </c>
      <c r="AA277" s="106">
        <v>46030</v>
      </c>
      <c r="AB277" s="104" t="s">
        <v>60</v>
      </c>
      <c r="AC277" s="104"/>
      <c r="AD277" s="113">
        <f>S277-Y277</f>
        <v>0</v>
      </c>
    </row>
    <row r="278" spans="2:30" ht="45" hidden="1" customHeight="1">
      <c r="B278" s="174">
        <v>275</v>
      </c>
      <c r="C278" s="104" t="s">
        <v>95</v>
      </c>
      <c r="D278" s="104" t="s">
        <v>850</v>
      </c>
      <c r="E278" s="104">
        <v>40999</v>
      </c>
      <c r="F278" s="104" t="s">
        <v>44</v>
      </c>
      <c r="G278" s="145" t="s">
        <v>851</v>
      </c>
      <c r="H278" s="104">
        <v>1236</v>
      </c>
      <c r="I278" s="104">
        <v>242</v>
      </c>
      <c r="J278" s="104" t="s">
        <v>46</v>
      </c>
      <c r="K278" s="104">
        <v>11797</v>
      </c>
      <c r="L278" s="104">
        <v>95341</v>
      </c>
      <c r="M278" s="104">
        <v>6</v>
      </c>
      <c r="N278" s="104" t="s">
        <v>34</v>
      </c>
      <c r="O278" s="104" t="s">
        <v>34</v>
      </c>
      <c r="P278" s="104">
        <v>4323160</v>
      </c>
      <c r="Q278" s="106">
        <v>45997</v>
      </c>
      <c r="R278" s="104">
        <v>4438597</v>
      </c>
      <c r="S278" s="156">
        <v>9544</v>
      </c>
      <c r="T278" s="108"/>
      <c r="U278" s="104">
        <v>1609</v>
      </c>
      <c r="V278" s="110">
        <v>599</v>
      </c>
      <c r="W278" s="104" t="s">
        <v>40</v>
      </c>
      <c r="X278" s="104" t="s">
        <v>35</v>
      </c>
      <c r="Y278" s="221">
        <v>9544</v>
      </c>
      <c r="Z278" s="106">
        <v>46007</v>
      </c>
      <c r="AA278" s="106">
        <v>46013</v>
      </c>
      <c r="AB278" s="104" t="s">
        <v>60</v>
      </c>
      <c r="AC278" s="104"/>
      <c r="AD278" s="113">
        <f>S278-Y278</f>
        <v>0</v>
      </c>
    </row>
    <row r="279" spans="2:30" ht="45" hidden="1" customHeight="1">
      <c r="B279" s="174">
        <v>276</v>
      </c>
      <c r="C279" s="104" t="s">
        <v>95</v>
      </c>
      <c r="D279" s="104" t="s">
        <v>96</v>
      </c>
      <c r="E279" s="104" t="s">
        <v>34</v>
      </c>
      <c r="F279" s="104" t="s">
        <v>44</v>
      </c>
      <c r="G279" s="145" t="s">
        <v>852</v>
      </c>
      <c r="H279" s="104" t="s">
        <v>853</v>
      </c>
      <c r="I279" s="104">
        <v>242</v>
      </c>
      <c r="J279" s="104" t="s">
        <v>854</v>
      </c>
      <c r="K279" s="104" t="s">
        <v>855</v>
      </c>
      <c r="L279" s="104">
        <v>95656</v>
      </c>
      <c r="M279" s="104">
        <v>1</v>
      </c>
      <c r="N279" s="104" t="s">
        <v>34</v>
      </c>
      <c r="O279" s="104" t="s">
        <v>34</v>
      </c>
      <c r="P279" s="104">
        <v>4324396</v>
      </c>
      <c r="Q279" s="106">
        <v>45999</v>
      </c>
      <c r="R279" s="104">
        <v>4444044</v>
      </c>
      <c r="S279" s="156">
        <v>38800</v>
      </c>
      <c r="T279" s="108"/>
      <c r="U279" s="119" t="s">
        <v>856</v>
      </c>
      <c r="V279" s="104"/>
      <c r="W279" s="104" t="s">
        <v>40</v>
      </c>
      <c r="X279" s="104" t="s">
        <v>25</v>
      </c>
      <c r="Y279" s="131">
        <v>38800</v>
      </c>
      <c r="Z279" s="106">
        <v>46056</v>
      </c>
      <c r="AA279" s="106">
        <v>46057</v>
      </c>
      <c r="AB279" s="104" t="s">
        <v>41</v>
      </c>
      <c r="AC279" s="118" t="s">
        <v>857</v>
      </c>
      <c r="AD279" s="113"/>
    </row>
    <row r="280" spans="2:30" ht="45" hidden="1" customHeight="1">
      <c r="B280" s="174">
        <v>277</v>
      </c>
      <c r="C280" s="104" t="s">
        <v>95</v>
      </c>
      <c r="D280" s="104" t="s">
        <v>858</v>
      </c>
      <c r="E280" s="104" t="s">
        <v>34</v>
      </c>
      <c r="F280" s="104" t="s">
        <v>44</v>
      </c>
      <c r="G280" s="145" t="s">
        <v>859</v>
      </c>
      <c r="H280" s="104">
        <v>4502</v>
      </c>
      <c r="I280" s="104">
        <v>332</v>
      </c>
      <c r="J280" s="104" t="s">
        <v>46</v>
      </c>
      <c r="K280" s="104" t="s">
        <v>34</v>
      </c>
      <c r="L280" s="104" t="s">
        <v>34</v>
      </c>
      <c r="M280" s="104">
        <v>2</v>
      </c>
      <c r="N280" s="104" t="s">
        <v>34</v>
      </c>
      <c r="O280" s="104" t="s">
        <v>34</v>
      </c>
      <c r="P280" s="104">
        <v>4324527</v>
      </c>
      <c r="Q280" s="106">
        <v>45999</v>
      </c>
      <c r="R280" s="104">
        <v>4439389</v>
      </c>
      <c r="S280" s="156">
        <v>122000</v>
      </c>
      <c r="T280" s="108"/>
      <c r="U280" s="104">
        <v>494</v>
      </c>
      <c r="V280" s="104" t="s">
        <v>34</v>
      </c>
      <c r="W280" s="104" t="s">
        <v>48</v>
      </c>
      <c r="X280" s="104" t="s">
        <v>44</v>
      </c>
      <c r="Y280" s="221">
        <v>59652</v>
      </c>
      <c r="Z280" s="106">
        <v>46010</v>
      </c>
      <c r="AA280" s="106">
        <v>46013</v>
      </c>
      <c r="AB280" s="104" t="s">
        <v>60</v>
      </c>
      <c r="AC280" s="104"/>
      <c r="AD280" s="113">
        <f>S280-Y280</f>
        <v>62348</v>
      </c>
    </row>
    <row r="281" spans="2:30" ht="45" hidden="1" customHeight="1">
      <c r="B281" s="174">
        <v>278</v>
      </c>
      <c r="C281" s="104" t="s">
        <v>291</v>
      </c>
      <c r="D281" s="104" t="s">
        <v>33</v>
      </c>
      <c r="E281" s="104">
        <v>41782</v>
      </c>
      <c r="F281" s="104" t="s">
        <v>35</v>
      </c>
      <c r="G281" s="145" t="s">
        <v>860</v>
      </c>
      <c r="H281" s="104">
        <v>2488</v>
      </c>
      <c r="I281" s="104">
        <v>242</v>
      </c>
      <c r="J281" s="104" t="s">
        <v>58</v>
      </c>
      <c r="K281" s="104" t="s">
        <v>861</v>
      </c>
      <c r="L281" s="104">
        <v>95460</v>
      </c>
      <c r="M281" s="104">
        <v>6</v>
      </c>
      <c r="N281" s="104" t="s">
        <v>34</v>
      </c>
      <c r="O281" s="104" t="s">
        <v>34</v>
      </c>
      <c r="P281" s="104">
        <v>4324813</v>
      </c>
      <c r="Q281" s="106">
        <v>46000</v>
      </c>
      <c r="R281" s="104">
        <v>4442917</v>
      </c>
      <c r="S281" s="109">
        <v>1349</v>
      </c>
      <c r="T281" s="108">
        <v>45999</v>
      </c>
      <c r="U281" s="104">
        <v>3223</v>
      </c>
      <c r="V281" s="104" t="s">
        <v>862</v>
      </c>
      <c r="W281" s="104" t="s">
        <v>40</v>
      </c>
      <c r="X281" s="104" t="s">
        <v>35</v>
      </c>
      <c r="Y281" s="221">
        <v>1349</v>
      </c>
      <c r="Z281" s="106">
        <v>46023</v>
      </c>
      <c r="AA281" s="106">
        <v>46031</v>
      </c>
      <c r="AB281" s="104" t="s">
        <v>60</v>
      </c>
      <c r="AC281" s="104"/>
      <c r="AD281" s="113">
        <f>S281-Y281</f>
        <v>0</v>
      </c>
    </row>
    <row r="282" spans="2:30" ht="45" hidden="1" customHeight="1">
      <c r="B282" s="174">
        <v>279</v>
      </c>
      <c r="C282" s="104" t="s">
        <v>282</v>
      </c>
      <c r="D282" s="104" t="s">
        <v>863</v>
      </c>
      <c r="E282" s="104" t="s">
        <v>34</v>
      </c>
      <c r="F282" s="104" t="s">
        <v>44</v>
      </c>
      <c r="G282" s="145" t="s">
        <v>864</v>
      </c>
      <c r="H282" s="104" t="s">
        <v>865</v>
      </c>
      <c r="I282" s="104">
        <v>242</v>
      </c>
      <c r="J282" s="104" t="s">
        <v>46</v>
      </c>
      <c r="K282" s="104">
        <v>824</v>
      </c>
      <c r="L282" s="104">
        <v>95846</v>
      </c>
      <c r="M282" s="104">
        <v>5</v>
      </c>
      <c r="N282" s="104" t="s">
        <v>866</v>
      </c>
      <c r="O282" s="104" t="s">
        <v>48</v>
      </c>
      <c r="P282" s="104">
        <v>4325016</v>
      </c>
      <c r="Q282" s="106">
        <v>46000</v>
      </c>
      <c r="R282" s="104">
        <v>4445641</v>
      </c>
      <c r="S282" s="129">
        <v>2290</v>
      </c>
      <c r="T282" s="108"/>
      <c r="U282" s="104">
        <v>728</v>
      </c>
      <c r="V282" s="104" t="s">
        <v>34</v>
      </c>
      <c r="W282" s="104" t="s">
        <v>40</v>
      </c>
      <c r="X282" s="104" t="s">
        <v>35</v>
      </c>
      <c r="Y282" s="131">
        <v>150</v>
      </c>
      <c r="Z282" s="106">
        <v>46008</v>
      </c>
      <c r="AA282" s="106">
        <v>46010</v>
      </c>
      <c r="AB282" s="104" t="s">
        <v>60</v>
      </c>
      <c r="AC282" s="104"/>
      <c r="AD282" s="113">
        <f>S282-Y282</f>
        <v>2140</v>
      </c>
    </row>
    <row r="283" spans="2:30" ht="45" hidden="1" customHeight="1">
      <c r="B283" s="174">
        <v>280</v>
      </c>
      <c r="C283" s="104" t="s">
        <v>146</v>
      </c>
      <c r="D283" s="104" t="s">
        <v>350</v>
      </c>
      <c r="E283" s="104">
        <v>40140</v>
      </c>
      <c r="F283" s="104" t="s">
        <v>44</v>
      </c>
      <c r="G283" s="145" t="s">
        <v>867</v>
      </c>
      <c r="H283" s="104">
        <v>4057</v>
      </c>
      <c r="I283" s="104">
        <v>242</v>
      </c>
      <c r="J283" s="104" t="s">
        <v>58</v>
      </c>
      <c r="K283" s="104" t="s">
        <v>868</v>
      </c>
      <c r="L283" s="104">
        <v>95155</v>
      </c>
      <c r="M283" s="104">
        <v>6</v>
      </c>
      <c r="N283" s="104" t="s">
        <v>34</v>
      </c>
      <c r="O283" s="104" t="s">
        <v>34</v>
      </c>
      <c r="P283" s="104">
        <v>4325100</v>
      </c>
      <c r="Q283" s="106">
        <v>46000</v>
      </c>
      <c r="R283" s="104">
        <v>4448058</v>
      </c>
      <c r="S283" s="109">
        <v>6752</v>
      </c>
      <c r="T283" s="108">
        <v>45992</v>
      </c>
      <c r="U283" s="104">
        <v>5226</v>
      </c>
      <c r="V283" s="104"/>
      <c r="W283" s="104" t="s">
        <v>48</v>
      </c>
      <c r="X283" s="104" t="s">
        <v>25</v>
      </c>
      <c r="Y283" s="221">
        <v>6752</v>
      </c>
      <c r="Z283" s="106">
        <v>46044</v>
      </c>
      <c r="AA283" s="106">
        <v>46049</v>
      </c>
      <c r="AB283" s="104" t="s">
        <v>41</v>
      </c>
      <c r="AC283" s="104"/>
      <c r="AD283" s="113">
        <f>S283-Y283</f>
        <v>0</v>
      </c>
    </row>
    <row r="284" spans="2:30" ht="45" hidden="1" customHeight="1">
      <c r="B284" s="174">
        <v>281</v>
      </c>
      <c r="C284" s="104" t="s">
        <v>146</v>
      </c>
      <c r="D284" s="104" t="s">
        <v>350</v>
      </c>
      <c r="E284" s="104">
        <v>40688</v>
      </c>
      <c r="F284" s="104" t="s">
        <v>44</v>
      </c>
      <c r="G284" s="145" t="s">
        <v>867</v>
      </c>
      <c r="H284" s="104">
        <v>2275</v>
      </c>
      <c r="I284" s="104">
        <v>242</v>
      </c>
      <c r="J284" s="104" t="s">
        <v>58</v>
      </c>
      <c r="K284" s="104" t="s">
        <v>869</v>
      </c>
      <c r="L284" s="104">
        <v>95165</v>
      </c>
      <c r="M284" s="104">
        <v>6</v>
      </c>
      <c r="N284" s="104" t="s">
        <v>34</v>
      </c>
      <c r="O284" s="104" t="s">
        <v>34</v>
      </c>
      <c r="P284" s="104">
        <v>4325111</v>
      </c>
      <c r="Q284" s="106">
        <v>46000</v>
      </c>
      <c r="R284" s="104">
        <v>4448059</v>
      </c>
      <c r="S284" s="109">
        <v>6240</v>
      </c>
      <c r="T284" s="108">
        <v>45992</v>
      </c>
      <c r="U284" s="104">
        <v>5176</v>
      </c>
      <c r="V284" s="110"/>
      <c r="W284" s="104" t="s">
        <v>48</v>
      </c>
      <c r="X284" s="104" t="s">
        <v>35</v>
      </c>
      <c r="Y284" s="221">
        <v>6240</v>
      </c>
      <c r="Z284" s="106">
        <v>46013</v>
      </c>
      <c r="AA284" s="106">
        <v>46014</v>
      </c>
      <c r="AB284" s="104" t="s">
        <v>60</v>
      </c>
      <c r="AC284" s="104"/>
      <c r="AD284" s="113">
        <f>S284-Y284</f>
        <v>0</v>
      </c>
    </row>
    <row r="285" spans="2:30" ht="45" hidden="1" customHeight="1">
      <c r="B285" s="174">
        <v>282</v>
      </c>
      <c r="C285" s="104" t="s">
        <v>282</v>
      </c>
      <c r="D285" s="104" t="s">
        <v>192</v>
      </c>
      <c r="E285" s="104">
        <v>41666</v>
      </c>
      <c r="F285" s="104" t="s">
        <v>35</v>
      </c>
      <c r="G285" s="145" t="s">
        <v>870</v>
      </c>
      <c r="H285" s="104">
        <v>1236</v>
      </c>
      <c r="I285" s="104">
        <v>242</v>
      </c>
      <c r="J285" s="104" t="s">
        <v>46</v>
      </c>
      <c r="K285" s="104">
        <v>779</v>
      </c>
      <c r="L285" s="104">
        <v>94504</v>
      </c>
      <c r="M285" s="104">
        <v>6</v>
      </c>
      <c r="N285" s="104"/>
      <c r="O285" s="104"/>
      <c r="P285" s="104">
        <v>4325532</v>
      </c>
      <c r="Q285" s="106">
        <v>46000</v>
      </c>
      <c r="R285" s="104">
        <v>4442938</v>
      </c>
      <c r="S285" s="129">
        <v>7850</v>
      </c>
      <c r="T285" s="108"/>
      <c r="U285" s="104">
        <v>489</v>
      </c>
      <c r="V285" s="104" t="s">
        <v>871</v>
      </c>
      <c r="W285" s="104" t="s">
        <v>40</v>
      </c>
      <c r="X285" s="104" t="s">
        <v>44</v>
      </c>
      <c r="Y285" s="221">
        <v>7850</v>
      </c>
      <c r="Z285" s="106">
        <v>46008</v>
      </c>
      <c r="AA285" s="106">
        <v>46010</v>
      </c>
      <c r="AB285" s="104" t="s">
        <v>60</v>
      </c>
      <c r="AC285" s="104"/>
      <c r="AD285" s="113">
        <f>S285-Y285</f>
        <v>0</v>
      </c>
    </row>
    <row r="286" spans="2:30" ht="45" hidden="1" customHeight="1">
      <c r="B286" s="174">
        <v>283</v>
      </c>
      <c r="C286" s="104" t="s">
        <v>282</v>
      </c>
      <c r="D286" s="104" t="s">
        <v>872</v>
      </c>
      <c r="E286" s="104">
        <v>41640</v>
      </c>
      <c r="F286" s="104" t="s">
        <v>44</v>
      </c>
      <c r="G286" s="145" t="s">
        <v>873</v>
      </c>
      <c r="H286" s="104">
        <v>1210</v>
      </c>
      <c r="I286" s="104">
        <v>242</v>
      </c>
      <c r="J286" s="104" t="s">
        <v>46</v>
      </c>
      <c r="K286" s="104">
        <v>12110</v>
      </c>
      <c r="L286" s="104">
        <v>94028</v>
      </c>
      <c r="M286" s="104">
        <v>6</v>
      </c>
      <c r="N286" s="104"/>
      <c r="O286" s="104"/>
      <c r="P286" s="104">
        <v>4325760</v>
      </c>
      <c r="Q286" s="106">
        <v>46000</v>
      </c>
      <c r="R286" s="104">
        <v>4442825</v>
      </c>
      <c r="S286" s="129">
        <v>6500</v>
      </c>
      <c r="T286" s="108"/>
      <c r="U286" s="119" t="s">
        <v>874</v>
      </c>
      <c r="V286" s="104"/>
      <c r="W286" s="104" t="s">
        <v>48</v>
      </c>
      <c r="X286" s="104" t="s">
        <v>44</v>
      </c>
      <c r="Y286" s="131">
        <v>6500</v>
      </c>
      <c r="Z286" s="106">
        <v>46072</v>
      </c>
      <c r="AA286" s="106">
        <v>46078</v>
      </c>
      <c r="AB286" s="104" t="s">
        <v>41</v>
      </c>
      <c r="AC286" s="104"/>
      <c r="AD286" s="113">
        <f>S286-Y286</f>
        <v>0</v>
      </c>
    </row>
    <row r="287" spans="2:30" ht="45" hidden="1" customHeight="1">
      <c r="B287" s="174">
        <v>284</v>
      </c>
      <c r="C287" s="104" t="s">
        <v>282</v>
      </c>
      <c r="D287" s="104" t="s">
        <v>796</v>
      </c>
      <c r="E287" s="134">
        <v>39683</v>
      </c>
      <c r="F287" s="104" t="s">
        <v>44</v>
      </c>
      <c r="G287" s="145" t="s">
        <v>875</v>
      </c>
      <c r="H287" s="104">
        <v>1210</v>
      </c>
      <c r="I287" s="104">
        <v>242</v>
      </c>
      <c r="J287" s="104" t="s">
        <v>46</v>
      </c>
      <c r="K287" s="104">
        <v>59666</v>
      </c>
      <c r="L287" s="104">
        <v>88490</v>
      </c>
      <c r="M287" s="104">
        <v>6</v>
      </c>
      <c r="N287" s="104"/>
      <c r="O287" s="104"/>
      <c r="P287" s="104">
        <v>4325848</v>
      </c>
      <c r="Q287" s="106">
        <v>46000</v>
      </c>
      <c r="R287" s="104">
        <v>4442827</v>
      </c>
      <c r="S287" s="129">
        <v>3010</v>
      </c>
      <c r="T287" s="108"/>
      <c r="U287" s="104">
        <v>10678</v>
      </c>
      <c r="V287" s="104"/>
      <c r="W287" s="104" t="s">
        <v>48</v>
      </c>
      <c r="X287" s="104" t="s">
        <v>94</v>
      </c>
      <c r="Y287" s="131">
        <v>3010</v>
      </c>
      <c r="Z287" s="106">
        <v>46035</v>
      </c>
      <c r="AA287" s="106">
        <v>46043</v>
      </c>
      <c r="AB287" s="104" t="s">
        <v>41</v>
      </c>
      <c r="AC287" s="104"/>
      <c r="AD287" s="113">
        <f>S287-Y287</f>
        <v>0</v>
      </c>
    </row>
    <row r="288" spans="2:30" ht="45" hidden="1" customHeight="1">
      <c r="B288" s="174">
        <v>285</v>
      </c>
      <c r="C288" s="104" t="s">
        <v>282</v>
      </c>
      <c r="D288" s="182" t="s">
        <v>801</v>
      </c>
      <c r="E288" s="104">
        <v>41942</v>
      </c>
      <c r="F288" s="104" t="s">
        <v>44</v>
      </c>
      <c r="G288" s="145" t="s">
        <v>876</v>
      </c>
      <c r="H288" s="104">
        <v>1236</v>
      </c>
      <c r="I288" s="104">
        <v>242</v>
      </c>
      <c r="J288" s="104" t="s">
        <v>46</v>
      </c>
      <c r="K288" s="104">
        <v>218</v>
      </c>
      <c r="L288" s="104">
        <v>95381</v>
      </c>
      <c r="M288" s="104">
        <v>6</v>
      </c>
      <c r="N288" s="104" t="s">
        <v>34</v>
      </c>
      <c r="O288" s="104" t="s">
        <v>34</v>
      </c>
      <c r="P288" s="104">
        <v>4329122</v>
      </c>
      <c r="Q288" s="106">
        <v>46003</v>
      </c>
      <c r="R288" s="104">
        <v>4446895</v>
      </c>
      <c r="S288" s="129">
        <v>550</v>
      </c>
      <c r="T288" s="108">
        <v>46010</v>
      </c>
      <c r="U288" s="104">
        <v>422</v>
      </c>
      <c r="V288" s="110"/>
      <c r="W288" s="104" t="s">
        <v>40</v>
      </c>
      <c r="X288" s="104" t="s">
        <v>35</v>
      </c>
      <c r="Y288" s="221">
        <v>550</v>
      </c>
      <c r="Z288" s="106">
        <v>46009</v>
      </c>
      <c r="AA288" s="106">
        <v>46013</v>
      </c>
      <c r="AB288" s="104" t="s">
        <v>60</v>
      </c>
      <c r="AC288" s="104"/>
      <c r="AD288" s="113">
        <f>S288-Y288</f>
        <v>0</v>
      </c>
    </row>
    <row r="289" spans="2:31" ht="45" hidden="1" customHeight="1">
      <c r="B289" s="174">
        <v>286</v>
      </c>
      <c r="C289" s="104" t="s">
        <v>80</v>
      </c>
      <c r="D289" s="104" t="s">
        <v>877</v>
      </c>
      <c r="E289" s="104"/>
      <c r="F289" s="104" t="s">
        <v>44</v>
      </c>
      <c r="G289" s="145" t="s">
        <v>878</v>
      </c>
      <c r="H289" s="104">
        <v>2224</v>
      </c>
      <c r="I289" s="104">
        <v>242</v>
      </c>
      <c r="J289" s="104" t="s">
        <v>46</v>
      </c>
      <c r="K289" s="104" t="s">
        <v>879</v>
      </c>
      <c r="L289" s="187">
        <v>96579</v>
      </c>
      <c r="M289" s="104">
        <v>2</v>
      </c>
      <c r="N289" s="104" t="s">
        <v>880</v>
      </c>
      <c r="O289" s="104" t="s">
        <v>34</v>
      </c>
      <c r="P289" s="104">
        <v>4329978</v>
      </c>
      <c r="Q289" s="106">
        <v>46003</v>
      </c>
      <c r="R289" s="104">
        <v>4442232</v>
      </c>
      <c r="S289" s="129">
        <v>47666.84</v>
      </c>
      <c r="T289" s="108"/>
      <c r="U289" s="104"/>
      <c r="V289" s="104"/>
      <c r="W289" s="104"/>
      <c r="X289" s="104"/>
      <c r="Y289" s="131"/>
      <c r="Z289" s="106"/>
      <c r="AA289" s="106"/>
      <c r="AB289" s="104" t="s">
        <v>66</v>
      </c>
      <c r="AC289" s="104"/>
      <c r="AD289" s="113">
        <f>S289-Y289</f>
        <v>47666.84</v>
      </c>
    </row>
    <row r="290" spans="2:31" ht="45" hidden="1" customHeight="1">
      <c r="B290" s="174">
        <v>287</v>
      </c>
      <c r="C290" s="126" t="s">
        <v>282</v>
      </c>
      <c r="D290" s="104" t="s">
        <v>881</v>
      </c>
      <c r="E290" s="104" t="s">
        <v>882</v>
      </c>
      <c r="F290" s="104" t="s">
        <v>35</v>
      </c>
      <c r="G290" s="145" t="s">
        <v>883</v>
      </c>
      <c r="H290" s="135">
        <v>1210</v>
      </c>
      <c r="I290" s="104">
        <v>242</v>
      </c>
      <c r="J290" s="104" t="s">
        <v>46</v>
      </c>
      <c r="K290" s="104">
        <v>592</v>
      </c>
      <c r="L290" s="104">
        <v>95616</v>
      </c>
      <c r="M290" s="104">
        <v>5</v>
      </c>
      <c r="N290" s="104" t="s">
        <v>884</v>
      </c>
      <c r="O290" s="104" t="s">
        <v>34</v>
      </c>
      <c r="P290" s="104">
        <v>4330105</v>
      </c>
      <c r="Q290" s="106">
        <v>46003</v>
      </c>
      <c r="R290" s="104">
        <v>4449857</v>
      </c>
      <c r="S290" s="129">
        <v>1985</v>
      </c>
      <c r="T290" s="108"/>
      <c r="U290" s="104">
        <v>515</v>
      </c>
      <c r="V290" s="110"/>
      <c r="W290" s="104" t="s">
        <v>40</v>
      </c>
      <c r="X290" s="104" t="s">
        <v>44</v>
      </c>
      <c r="Y290" s="221">
        <v>1985</v>
      </c>
      <c r="Z290" s="106">
        <v>46013</v>
      </c>
      <c r="AA290" s="106">
        <v>46014</v>
      </c>
      <c r="AB290" s="104" t="s">
        <v>60</v>
      </c>
      <c r="AC290" s="104"/>
      <c r="AD290" s="113">
        <f>S290-Y290</f>
        <v>0</v>
      </c>
    </row>
    <row r="291" spans="2:31" ht="45" hidden="1" customHeight="1">
      <c r="B291" s="174">
        <v>288</v>
      </c>
      <c r="C291" s="126" t="s">
        <v>282</v>
      </c>
      <c r="D291" s="104" t="s">
        <v>881</v>
      </c>
      <c r="E291" s="104" t="s">
        <v>885</v>
      </c>
      <c r="F291" s="104" t="s">
        <v>35</v>
      </c>
      <c r="G291" s="145" t="s">
        <v>886</v>
      </c>
      <c r="H291" s="135">
        <v>1210</v>
      </c>
      <c r="I291" s="104">
        <v>242</v>
      </c>
      <c r="J291" s="104" t="s">
        <v>46</v>
      </c>
      <c r="K291" s="104">
        <v>676</v>
      </c>
      <c r="L291" s="104">
        <v>95616</v>
      </c>
      <c r="M291" s="104">
        <v>5</v>
      </c>
      <c r="N291" s="104" t="s">
        <v>884</v>
      </c>
      <c r="O291" s="104" t="s">
        <v>34</v>
      </c>
      <c r="P291" s="103">
        <v>4330173</v>
      </c>
      <c r="Q291" s="106">
        <v>46003</v>
      </c>
      <c r="R291" s="110">
        <v>4448046</v>
      </c>
      <c r="S291" s="129">
        <v>1680</v>
      </c>
      <c r="T291" s="108"/>
      <c r="U291" s="104">
        <v>505</v>
      </c>
      <c r="V291" s="110"/>
      <c r="W291" s="104" t="s">
        <v>48</v>
      </c>
      <c r="X291" s="104" t="s">
        <v>44</v>
      </c>
      <c r="Y291" s="221">
        <v>1680</v>
      </c>
      <c r="Z291" s="106">
        <v>46010</v>
      </c>
      <c r="AA291" s="106">
        <v>46013</v>
      </c>
      <c r="AB291" s="104" t="s">
        <v>60</v>
      </c>
      <c r="AC291" s="104"/>
      <c r="AD291" s="113">
        <f>S291-Y291</f>
        <v>0</v>
      </c>
    </row>
    <row r="292" spans="2:31" ht="45" hidden="1" customHeight="1">
      <c r="B292" s="174">
        <v>289</v>
      </c>
      <c r="C292" s="104" t="s">
        <v>282</v>
      </c>
      <c r="D292" s="138" t="s">
        <v>881</v>
      </c>
      <c r="E292" s="181">
        <v>39965</v>
      </c>
      <c r="F292" s="104" t="s">
        <v>35</v>
      </c>
      <c r="G292" s="258" t="s">
        <v>887</v>
      </c>
      <c r="H292" s="104">
        <v>1228</v>
      </c>
      <c r="I292" s="104">
        <v>242</v>
      </c>
      <c r="J292" s="104" t="s">
        <v>46</v>
      </c>
      <c r="K292" s="104">
        <v>637</v>
      </c>
      <c r="L292" s="104">
        <v>95619</v>
      </c>
      <c r="M292" s="104">
        <v>5</v>
      </c>
      <c r="N292" s="104" t="s">
        <v>888</v>
      </c>
      <c r="O292" s="104" t="s">
        <v>34</v>
      </c>
      <c r="P292" s="104">
        <v>4330273</v>
      </c>
      <c r="Q292" s="106">
        <v>46003</v>
      </c>
      <c r="R292" s="110">
        <v>4448043</v>
      </c>
      <c r="S292" s="129">
        <v>1350</v>
      </c>
      <c r="T292" s="108"/>
      <c r="U292" s="104">
        <v>506</v>
      </c>
      <c r="V292" s="104" t="s">
        <v>889</v>
      </c>
      <c r="W292" s="104" t="s">
        <v>40</v>
      </c>
      <c r="X292" s="104" t="s">
        <v>44</v>
      </c>
      <c r="Y292" s="221">
        <v>1350</v>
      </c>
      <c r="Z292" s="106">
        <v>46010</v>
      </c>
      <c r="AA292" s="106">
        <v>46013</v>
      </c>
      <c r="AB292" s="104" t="s">
        <v>60</v>
      </c>
      <c r="AC292" s="104"/>
      <c r="AD292" s="113">
        <f>S292-Y292</f>
        <v>0</v>
      </c>
    </row>
    <row r="293" spans="2:31" ht="45" hidden="1" customHeight="1">
      <c r="B293" s="174">
        <v>290</v>
      </c>
      <c r="C293" s="104" t="s">
        <v>80</v>
      </c>
      <c r="D293" s="104" t="s">
        <v>81</v>
      </c>
      <c r="E293" s="104" t="s">
        <v>34</v>
      </c>
      <c r="F293" s="104" t="s">
        <v>44</v>
      </c>
      <c r="G293" s="145" t="s">
        <v>890</v>
      </c>
      <c r="H293" s="104">
        <v>2224</v>
      </c>
      <c r="I293" s="104">
        <v>242</v>
      </c>
      <c r="J293" s="104" t="s">
        <v>58</v>
      </c>
      <c r="K293" s="104" t="s">
        <v>891</v>
      </c>
      <c r="L293" s="104">
        <v>96579</v>
      </c>
      <c r="M293" s="104">
        <v>5</v>
      </c>
      <c r="N293" s="104" t="s">
        <v>892</v>
      </c>
      <c r="O293" s="104" t="s">
        <v>34</v>
      </c>
      <c r="P293" s="104">
        <v>4330433</v>
      </c>
      <c r="Q293" s="106">
        <v>46004</v>
      </c>
      <c r="R293" s="110"/>
      <c r="S293" s="146">
        <v>22383.66</v>
      </c>
      <c r="T293" s="108"/>
      <c r="U293" s="104"/>
      <c r="V293" s="104"/>
      <c r="W293" s="104"/>
      <c r="X293" s="104"/>
      <c r="Y293" s="131"/>
      <c r="Z293" s="106"/>
      <c r="AA293" s="106"/>
      <c r="AB293" s="104" t="s">
        <v>115</v>
      </c>
      <c r="AC293" s="104" t="s">
        <v>893</v>
      </c>
      <c r="AD293" s="113">
        <f>S293-Y293</f>
        <v>22383.66</v>
      </c>
      <c r="AE293" s="101" t="e">
        <v>#VALUE!</v>
      </c>
    </row>
    <row r="294" spans="2:31" ht="45" hidden="1" customHeight="1">
      <c r="B294" s="174">
        <v>291</v>
      </c>
      <c r="C294" s="104" t="s">
        <v>70</v>
      </c>
      <c r="D294" s="104" t="s">
        <v>894</v>
      </c>
      <c r="E294" s="104">
        <v>42254</v>
      </c>
      <c r="F294" s="104" t="s">
        <v>44</v>
      </c>
      <c r="G294" s="145" t="s">
        <v>895</v>
      </c>
      <c r="H294" s="104">
        <v>2216</v>
      </c>
      <c r="I294" s="104">
        <v>242</v>
      </c>
      <c r="J294" s="104" t="s">
        <v>58</v>
      </c>
      <c r="K294" s="104" t="s">
        <v>896</v>
      </c>
      <c r="L294" s="104">
        <v>96589</v>
      </c>
      <c r="M294" s="104">
        <v>6</v>
      </c>
      <c r="N294" s="104" t="s">
        <v>34</v>
      </c>
      <c r="O294" s="104" t="s">
        <v>34</v>
      </c>
      <c r="P294" s="104">
        <v>4330435</v>
      </c>
      <c r="Q294" s="106">
        <v>46004</v>
      </c>
      <c r="R294" s="104">
        <v>4448025</v>
      </c>
      <c r="S294" s="109">
        <v>900</v>
      </c>
      <c r="T294" s="108"/>
      <c r="U294" s="104">
        <v>117</v>
      </c>
      <c r="V294" s="104" t="s">
        <v>897</v>
      </c>
      <c r="W294" s="104" t="s">
        <v>40</v>
      </c>
      <c r="X294" s="104" t="s">
        <v>35</v>
      </c>
      <c r="Y294" s="131">
        <v>900</v>
      </c>
      <c r="Z294" s="106">
        <v>46014</v>
      </c>
      <c r="AA294" s="106">
        <v>46015</v>
      </c>
      <c r="AB294" s="104" t="s">
        <v>60</v>
      </c>
      <c r="AC294" s="104"/>
      <c r="AD294" s="113">
        <f>S294-Y294</f>
        <v>0</v>
      </c>
    </row>
    <row r="295" spans="2:31" ht="45" customHeight="1">
      <c r="B295" s="174">
        <v>292</v>
      </c>
      <c r="C295" s="104" t="s">
        <v>70</v>
      </c>
      <c r="D295" s="104" t="s">
        <v>254</v>
      </c>
      <c r="E295" s="104" t="s">
        <v>34</v>
      </c>
      <c r="F295" s="104" t="s">
        <v>44</v>
      </c>
      <c r="G295" s="145" t="s">
        <v>898</v>
      </c>
      <c r="H295" s="104">
        <v>4057</v>
      </c>
      <c r="I295" s="104">
        <v>242</v>
      </c>
      <c r="J295" s="104" t="s">
        <v>58</v>
      </c>
      <c r="K295" s="104" t="s">
        <v>899</v>
      </c>
      <c r="L295" s="104">
        <v>95447</v>
      </c>
      <c r="M295" s="104">
        <v>8</v>
      </c>
      <c r="N295" s="104" t="s">
        <v>900</v>
      </c>
      <c r="O295" s="104" t="s">
        <v>34</v>
      </c>
      <c r="P295" s="104">
        <v>4330454</v>
      </c>
      <c r="Q295" s="106">
        <v>46004</v>
      </c>
      <c r="R295" s="104">
        <v>4442183</v>
      </c>
      <c r="S295" s="109">
        <v>6998</v>
      </c>
      <c r="T295" s="108">
        <v>45992</v>
      </c>
      <c r="U295" s="104">
        <v>6614</v>
      </c>
      <c r="V295" s="104" t="s">
        <v>34</v>
      </c>
      <c r="W295" s="104" t="s">
        <v>40</v>
      </c>
      <c r="X295" s="148" t="s">
        <v>44</v>
      </c>
      <c r="Y295" s="221">
        <v>6998</v>
      </c>
      <c r="Z295" s="106">
        <v>46001</v>
      </c>
      <c r="AA295" s="106">
        <v>46006</v>
      </c>
      <c r="AB295" s="104" t="s">
        <v>60</v>
      </c>
      <c r="AC295" s="104" t="s">
        <v>901</v>
      </c>
      <c r="AD295" s="113">
        <f>S295-Y295</f>
        <v>0</v>
      </c>
    </row>
    <row r="296" spans="2:31" ht="45" hidden="1" customHeight="1">
      <c r="B296" s="174">
        <v>293</v>
      </c>
      <c r="C296" s="104" t="s">
        <v>137</v>
      </c>
      <c r="D296" s="104" t="s">
        <v>902</v>
      </c>
      <c r="E296" s="104" t="s">
        <v>34</v>
      </c>
      <c r="F296" s="104" t="s">
        <v>44</v>
      </c>
      <c r="G296" s="145" t="s">
        <v>816</v>
      </c>
      <c r="H296" s="104">
        <v>2330</v>
      </c>
      <c r="I296" s="104">
        <v>242</v>
      </c>
      <c r="J296" s="104" t="s">
        <v>58</v>
      </c>
      <c r="K296" s="104" t="s">
        <v>903</v>
      </c>
      <c r="L296" s="104">
        <v>96607</v>
      </c>
      <c r="M296" s="104">
        <v>5</v>
      </c>
      <c r="N296" s="104" t="s">
        <v>904</v>
      </c>
      <c r="O296" s="104" t="s">
        <v>40</v>
      </c>
      <c r="P296" s="104">
        <v>4330721</v>
      </c>
      <c r="Q296" s="106">
        <v>46006</v>
      </c>
      <c r="R296" s="104">
        <v>4453930</v>
      </c>
      <c r="S296" s="109">
        <v>3024</v>
      </c>
      <c r="T296" s="108"/>
      <c r="U296" s="104"/>
      <c r="V296" s="104"/>
      <c r="W296" s="104"/>
      <c r="X296" s="104"/>
      <c r="Y296" s="131"/>
      <c r="Z296" s="106"/>
      <c r="AA296" s="106"/>
      <c r="AB296" s="104" t="s">
        <v>66</v>
      </c>
      <c r="AC296" s="104"/>
      <c r="AD296" s="113">
        <f>S296-Y296</f>
        <v>3024</v>
      </c>
    </row>
    <row r="297" spans="2:31" ht="45" hidden="1" customHeight="1">
      <c r="B297" s="174">
        <v>294</v>
      </c>
      <c r="C297" s="104" t="s">
        <v>70</v>
      </c>
      <c r="D297" s="104" t="s">
        <v>905</v>
      </c>
      <c r="E297" s="104" t="s">
        <v>34</v>
      </c>
      <c r="F297" s="104" t="s">
        <v>44</v>
      </c>
      <c r="G297" s="145" t="s">
        <v>906</v>
      </c>
      <c r="H297" s="104">
        <v>2216</v>
      </c>
      <c r="I297" s="104">
        <v>242</v>
      </c>
      <c r="J297" s="104" t="s">
        <v>58</v>
      </c>
      <c r="K297" s="104" t="s">
        <v>907</v>
      </c>
      <c r="L297" s="104">
        <v>96451</v>
      </c>
      <c r="M297" s="104">
        <v>5</v>
      </c>
      <c r="N297" s="104" t="s">
        <v>908</v>
      </c>
      <c r="O297" s="104" t="s">
        <v>40</v>
      </c>
      <c r="P297" s="104">
        <v>4330779</v>
      </c>
      <c r="Q297" s="106">
        <v>46006</v>
      </c>
      <c r="R297" s="104">
        <v>4452933</v>
      </c>
      <c r="S297" s="109">
        <v>1080</v>
      </c>
      <c r="T297" s="108">
        <v>46010</v>
      </c>
      <c r="U297" s="104">
        <v>121</v>
      </c>
      <c r="V297" s="104"/>
      <c r="W297" s="104" t="s">
        <v>48</v>
      </c>
      <c r="X297" s="104" t="s">
        <v>25</v>
      </c>
      <c r="Y297" s="131">
        <v>1080</v>
      </c>
      <c r="Z297" s="106">
        <v>46057</v>
      </c>
      <c r="AA297" s="106">
        <v>46065</v>
      </c>
      <c r="AB297" s="104" t="s">
        <v>41</v>
      </c>
      <c r="AC297" s="104"/>
      <c r="AD297" s="113">
        <f>S297-Y297</f>
        <v>0</v>
      </c>
    </row>
    <row r="298" spans="2:31" ht="45" hidden="1" customHeight="1">
      <c r="B298" s="174">
        <v>295</v>
      </c>
      <c r="C298" s="104" t="s">
        <v>282</v>
      </c>
      <c r="D298" s="104" t="s">
        <v>192</v>
      </c>
      <c r="E298" s="104" t="s">
        <v>909</v>
      </c>
      <c r="F298" s="104" t="s">
        <v>35</v>
      </c>
      <c r="G298" s="145" t="s">
        <v>910</v>
      </c>
      <c r="H298" s="104">
        <v>2330</v>
      </c>
      <c r="I298" s="104">
        <v>242</v>
      </c>
      <c r="J298" s="104" t="s">
        <v>58</v>
      </c>
      <c r="K298" s="104" t="s">
        <v>911</v>
      </c>
      <c r="L298" s="104">
        <v>95621</v>
      </c>
      <c r="M298" s="104">
        <v>5</v>
      </c>
      <c r="N298" s="104" t="s">
        <v>912</v>
      </c>
      <c r="O298" s="104" t="s">
        <v>40</v>
      </c>
      <c r="P298" s="104">
        <v>4330790</v>
      </c>
      <c r="Q298" s="106">
        <v>46006</v>
      </c>
      <c r="R298" s="104">
        <v>4453071</v>
      </c>
      <c r="S298" s="109">
        <v>6403.76</v>
      </c>
      <c r="T298" s="108"/>
      <c r="U298" s="104">
        <v>518</v>
      </c>
      <c r="V298" s="104" t="s">
        <v>34</v>
      </c>
      <c r="W298" s="104" t="s">
        <v>48</v>
      </c>
      <c r="X298" s="104" t="s">
        <v>44</v>
      </c>
      <c r="Y298" s="131">
        <v>6403.76</v>
      </c>
      <c r="Z298" s="106">
        <v>46017</v>
      </c>
      <c r="AA298" s="106">
        <v>46020</v>
      </c>
      <c r="AB298" s="104" t="s">
        <v>60</v>
      </c>
      <c r="AC298" s="104"/>
      <c r="AD298" s="113">
        <f>S298-Y298</f>
        <v>0</v>
      </c>
    </row>
    <row r="299" spans="2:31" ht="45" hidden="1" customHeight="1">
      <c r="B299" s="174">
        <v>296</v>
      </c>
      <c r="C299" s="104" t="s">
        <v>70</v>
      </c>
      <c r="D299" s="104" t="s">
        <v>192</v>
      </c>
      <c r="E299" s="104" t="s">
        <v>34</v>
      </c>
      <c r="F299" s="104" t="s">
        <v>35</v>
      </c>
      <c r="G299" s="145" t="s">
        <v>913</v>
      </c>
      <c r="H299" s="104">
        <v>2291</v>
      </c>
      <c r="I299" s="104">
        <v>242</v>
      </c>
      <c r="J299" s="104" t="s">
        <v>58</v>
      </c>
      <c r="K299" s="104" t="s">
        <v>914</v>
      </c>
      <c r="L299" s="104">
        <v>96452</v>
      </c>
      <c r="M299" s="104">
        <v>5</v>
      </c>
      <c r="N299" s="104" t="s">
        <v>915</v>
      </c>
      <c r="O299" s="104" t="s">
        <v>40</v>
      </c>
      <c r="P299" s="104">
        <v>4331183</v>
      </c>
      <c r="Q299" s="106">
        <v>46006</v>
      </c>
      <c r="R299" s="104">
        <v>4452043</v>
      </c>
      <c r="S299" s="109">
        <v>1860</v>
      </c>
      <c r="T299" s="108">
        <v>46010</v>
      </c>
      <c r="U299" s="104">
        <v>519</v>
      </c>
      <c r="V299" s="104" t="s">
        <v>34</v>
      </c>
      <c r="W299" s="104" t="s">
        <v>40</v>
      </c>
      <c r="X299" s="104" t="s">
        <v>44</v>
      </c>
      <c r="Y299" s="131">
        <v>1860</v>
      </c>
      <c r="Z299" s="106">
        <v>46017</v>
      </c>
      <c r="AA299" s="106">
        <v>46020</v>
      </c>
      <c r="AB299" s="104" t="s">
        <v>60</v>
      </c>
      <c r="AC299" s="104"/>
      <c r="AD299" s="113">
        <f>S299-Y299</f>
        <v>0</v>
      </c>
    </row>
    <row r="300" spans="2:31" ht="45" hidden="1" customHeight="1">
      <c r="B300" s="174">
        <v>297</v>
      </c>
      <c r="C300" s="104" t="s">
        <v>61</v>
      </c>
      <c r="D300" s="104" t="s">
        <v>916</v>
      </c>
      <c r="E300" s="104" t="s">
        <v>34</v>
      </c>
      <c r="F300" s="104" t="s">
        <v>44</v>
      </c>
      <c r="G300" s="145" t="s">
        <v>917</v>
      </c>
      <c r="H300" s="104">
        <v>1228</v>
      </c>
      <c r="I300" s="104">
        <v>242</v>
      </c>
      <c r="J300" s="104" t="s">
        <v>58</v>
      </c>
      <c r="K300" s="104" t="s">
        <v>918</v>
      </c>
      <c r="L300" s="104">
        <v>96044</v>
      </c>
      <c r="M300" s="104">
        <v>29</v>
      </c>
      <c r="N300" s="104" t="s">
        <v>919</v>
      </c>
      <c r="O300" s="104" t="s">
        <v>34</v>
      </c>
      <c r="P300" s="104">
        <v>4331892</v>
      </c>
      <c r="Q300" s="106">
        <v>46007</v>
      </c>
      <c r="R300" s="104">
        <v>4462966</v>
      </c>
      <c r="S300" s="109">
        <v>44500</v>
      </c>
      <c r="T300" s="108">
        <v>46054</v>
      </c>
      <c r="U300" s="104">
        <v>280</v>
      </c>
      <c r="V300" s="104" t="s">
        <v>34</v>
      </c>
      <c r="W300" s="104" t="s">
        <v>40</v>
      </c>
      <c r="X300" s="104" t="s">
        <v>44</v>
      </c>
      <c r="Y300" s="131">
        <v>44500</v>
      </c>
      <c r="Z300" s="106">
        <v>46114</v>
      </c>
      <c r="AA300" s="106">
        <v>46119</v>
      </c>
      <c r="AB300" s="104" t="s">
        <v>41</v>
      </c>
      <c r="AC300" s="104"/>
      <c r="AD300" s="113">
        <f>S300-Y300</f>
        <v>0</v>
      </c>
    </row>
    <row r="301" spans="2:31" ht="45" hidden="1" customHeight="1">
      <c r="B301" s="174">
        <v>298</v>
      </c>
      <c r="C301" s="104" t="s">
        <v>61</v>
      </c>
      <c r="D301" s="104" t="s">
        <v>916</v>
      </c>
      <c r="E301" s="104" t="s">
        <v>34</v>
      </c>
      <c r="F301" s="104" t="s">
        <v>44</v>
      </c>
      <c r="G301" s="145" t="s">
        <v>920</v>
      </c>
      <c r="H301" s="104">
        <v>1228</v>
      </c>
      <c r="I301" s="104">
        <v>242</v>
      </c>
      <c r="J301" s="104" t="s">
        <v>58</v>
      </c>
      <c r="K301" s="104" t="s">
        <v>921</v>
      </c>
      <c r="L301" s="104">
        <v>96040</v>
      </c>
      <c r="M301" s="104">
        <v>29</v>
      </c>
      <c r="N301" s="104" t="s">
        <v>919</v>
      </c>
      <c r="O301" s="104" t="s">
        <v>34</v>
      </c>
      <c r="P301" s="104">
        <v>4331901</v>
      </c>
      <c r="Q301" s="106">
        <v>46007</v>
      </c>
      <c r="R301" s="104">
        <v>4462967</v>
      </c>
      <c r="S301" s="109">
        <v>19885</v>
      </c>
      <c r="T301" s="108">
        <v>46082</v>
      </c>
      <c r="U301" s="104">
        <v>279</v>
      </c>
      <c r="V301" s="104" t="s">
        <v>34</v>
      </c>
      <c r="W301" s="104" t="s">
        <v>48</v>
      </c>
      <c r="X301" s="104" t="s">
        <v>131</v>
      </c>
      <c r="Y301" s="131">
        <v>19885</v>
      </c>
      <c r="Z301" s="106">
        <v>46114</v>
      </c>
      <c r="AA301" s="106">
        <v>46119</v>
      </c>
      <c r="AB301" s="104" t="s">
        <v>41</v>
      </c>
      <c r="AC301" s="104"/>
      <c r="AD301" s="113">
        <f>S301-Y301</f>
        <v>0</v>
      </c>
    </row>
    <row r="302" spans="2:31" ht="45" hidden="1" customHeight="1">
      <c r="B302" s="174">
        <v>299</v>
      </c>
      <c r="C302" s="104" t="s">
        <v>70</v>
      </c>
      <c r="D302" s="104" t="s">
        <v>33</v>
      </c>
      <c r="E302" s="104">
        <v>42410</v>
      </c>
      <c r="F302" s="104" t="s">
        <v>35</v>
      </c>
      <c r="G302" s="145" t="s">
        <v>922</v>
      </c>
      <c r="H302" s="104">
        <v>2291</v>
      </c>
      <c r="I302" s="104">
        <v>242</v>
      </c>
      <c r="J302" s="104" t="s">
        <v>58</v>
      </c>
      <c r="K302" s="104" t="s">
        <v>923</v>
      </c>
      <c r="L302" s="104">
        <v>96888</v>
      </c>
      <c r="M302" s="104">
        <v>6</v>
      </c>
      <c r="N302" s="104" t="s">
        <v>34</v>
      </c>
      <c r="O302" s="104" t="s">
        <v>34</v>
      </c>
      <c r="P302" s="104">
        <v>4332711</v>
      </c>
      <c r="Q302" s="106">
        <v>46007</v>
      </c>
      <c r="R302" s="104">
        <v>4449923</v>
      </c>
      <c r="S302" s="109">
        <v>7153.5</v>
      </c>
      <c r="T302" s="108">
        <v>45992</v>
      </c>
      <c r="U302" s="104">
        <v>3231</v>
      </c>
      <c r="V302" s="104" t="s">
        <v>924</v>
      </c>
      <c r="W302" s="104" t="s">
        <v>40</v>
      </c>
      <c r="X302" s="104" t="s">
        <v>44</v>
      </c>
      <c r="Y302" s="221">
        <v>7153.5</v>
      </c>
      <c r="Z302" s="106">
        <v>46027</v>
      </c>
      <c r="AA302" s="106">
        <v>46034</v>
      </c>
      <c r="AB302" s="104" t="s">
        <v>41</v>
      </c>
      <c r="AC302" s="104"/>
      <c r="AD302" s="113">
        <f>S302-Y302</f>
        <v>0</v>
      </c>
    </row>
    <row r="303" spans="2:31" ht="45" hidden="1" customHeight="1">
      <c r="B303" s="174">
        <v>300</v>
      </c>
      <c r="C303" s="104" t="s">
        <v>95</v>
      </c>
      <c r="D303" s="104" t="s">
        <v>925</v>
      </c>
      <c r="E303" s="104">
        <v>42548</v>
      </c>
      <c r="F303" s="104" t="s">
        <v>44</v>
      </c>
      <c r="G303" s="145" t="s">
        <v>926</v>
      </c>
      <c r="H303" s="104">
        <v>2291</v>
      </c>
      <c r="I303" s="104">
        <v>242</v>
      </c>
      <c r="J303" s="104" t="s">
        <v>58</v>
      </c>
      <c r="K303" s="104" t="s">
        <v>927</v>
      </c>
      <c r="L303" s="104">
        <v>96594</v>
      </c>
      <c r="M303" s="104">
        <v>6</v>
      </c>
      <c r="N303" s="104" t="s">
        <v>34</v>
      </c>
      <c r="O303" s="104" t="s">
        <v>34</v>
      </c>
      <c r="P303" s="104">
        <v>4332876</v>
      </c>
      <c r="Q303" s="106">
        <v>46007</v>
      </c>
      <c r="R303" s="104">
        <v>4450017</v>
      </c>
      <c r="S303" s="155">
        <v>2139.8200000000002</v>
      </c>
      <c r="T303" s="108">
        <v>46010</v>
      </c>
      <c r="U303" s="104">
        <v>2622</v>
      </c>
      <c r="V303" s="110"/>
      <c r="W303" s="104" t="s">
        <v>40</v>
      </c>
      <c r="X303" s="104" t="s">
        <v>44</v>
      </c>
      <c r="Y303" s="221">
        <v>2139.8200000000002</v>
      </c>
      <c r="Z303" s="106">
        <v>46014</v>
      </c>
      <c r="AA303" s="106">
        <v>46015</v>
      </c>
      <c r="AB303" s="104" t="s">
        <v>60</v>
      </c>
      <c r="AC303" s="104"/>
      <c r="AD303" s="113">
        <f>S303-Y303</f>
        <v>0</v>
      </c>
    </row>
    <row r="304" spans="2:31" ht="45" hidden="1" customHeight="1">
      <c r="B304" s="174">
        <v>301</v>
      </c>
      <c r="C304" s="104" t="s">
        <v>146</v>
      </c>
      <c r="D304" s="103" t="s">
        <v>192</v>
      </c>
      <c r="E304" s="104" t="s">
        <v>928</v>
      </c>
      <c r="F304" s="104" t="s">
        <v>35</v>
      </c>
      <c r="G304" s="145" t="s">
        <v>929</v>
      </c>
      <c r="H304" s="104">
        <v>2291</v>
      </c>
      <c r="I304" s="104">
        <v>242</v>
      </c>
      <c r="J304" s="104" t="s">
        <v>58</v>
      </c>
      <c r="K304" s="104" t="s">
        <v>930</v>
      </c>
      <c r="L304" s="104">
        <v>96924</v>
      </c>
      <c r="M304" s="104">
        <v>5</v>
      </c>
      <c r="N304" s="104" t="s">
        <v>931</v>
      </c>
      <c r="O304" s="104" t="s">
        <v>40</v>
      </c>
      <c r="P304" s="104">
        <v>4333691</v>
      </c>
      <c r="Q304" s="106">
        <v>46008</v>
      </c>
      <c r="R304" s="104">
        <v>4449854</v>
      </c>
      <c r="S304" s="109">
        <v>1400</v>
      </c>
      <c r="T304" s="108">
        <v>45992</v>
      </c>
      <c r="U304" s="104">
        <v>517</v>
      </c>
      <c r="V304" s="104" t="s">
        <v>34</v>
      </c>
      <c r="W304" s="104" t="s">
        <v>40</v>
      </c>
      <c r="X304" s="104" t="s">
        <v>44</v>
      </c>
      <c r="Y304" s="221">
        <v>1400</v>
      </c>
      <c r="Z304" s="106">
        <v>46014</v>
      </c>
      <c r="AA304" s="106">
        <v>46015</v>
      </c>
      <c r="AB304" s="104" t="s">
        <v>60</v>
      </c>
      <c r="AC304" s="104"/>
      <c r="AD304" s="113">
        <f>S304-Y304</f>
        <v>0</v>
      </c>
    </row>
    <row r="305" spans="2:30" ht="45" hidden="1" customHeight="1">
      <c r="B305" s="174">
        <v>302</v>
      </c>
      <c r="C305" s="104" t="s">
        <v>146</v>
      </c>
      <c r="D305" s="104" t="s">
        <v>192</v>
      </c>
      <c r="E305" s="104">
        <v>41833</v>
      </c>
      <c r="F305" s="104" t="s">
        <v>35</v>
      </c>
      <c r="G305" s="145" t="s">
        <v>932</v>
      </c>
      <c r="H305" s="104">
        <v>2291</v>
      </c>
      <c r="I305" s="104">
        <v>242</v>
      </c>
      <c r="J305" s="104" t="s">
        <v>58</v>
      </c>
      <c r="K305" s="104" t="s">
        <v>933</v>
      </c>
      <c r="L305" s="104">
        <v>96930</v>
      </c>
      <c r="M305" s="104">
        <v>5</v>
      </c>
      <c r="N305" s="104" t="s">
        <v>934</v>
      </c>
      <c r="O305" s="104" t="s">
        <v>40</v>
      </c>
      <c r="P305" s="104">
        <v>4333757</v>
      </c>
      <c r="Q305" s="106">
        <v>46008</v>
      </c>
      <c r="R305" s="104">
        <v>4449844</v>
      </c>
      <c r="S305" s="109">
        <v>680</v>
      </c>
      <c r="T305" s="108">
        <v>45992</v>
      </c>
      <c r="U305" s="104">
        <v>514</v>
      </c>
      <c r="V305" s="104" t="s">
        <v>935</v>
      </c>
      <c r="W305" s="104" t="s">
        <v>40</v>
      </c>
      <c r="X305" s="104" t="s">
        <v>44</v>
      </c>
      <c r="Y305" s="221">
        <v>680</v>
      </c>
      <c r="Z305" s="106">
        <v>46013</v>
      </c>
      <c r="AA305" s="106">
        <v>46015</v>
      </c>
      <c r="AB305" s="104" t="s">
        <v>60</v>
      </c>
      <c r="AC305" s="104"/>
      <c r="AD305" s="113">
        <f>S305-Y305</f>
        <v>0</v>
      </c>
    </row>
    <row r="306" spans="2:30" ht="45" hidden="1" customHeight="1">
      <c r="B306" s="174">
        <v>303</v>
      </c>
      <c r="C306" s="104" t="s">
        <v>146</v>
      </c>
      <c r="D306" s="104" t="s">
        <v>192</v>
      </c>
      <c r="E306" s="104">
        <v>41981</v>
      </c>
      <c r="F306" s="104" t="s">
        <v>35</v>
      </c>
      <c r="G306" s="145" t="s">
        <v>936</v>
      </c>
      <c r="H306" s="104">
        <v>5345</v>
      </c>
      <c r="I306" s="104">
        <v>242</v>
      </c>
      <c r="J306" s="104" t="s">
        <v>58</v>
      </c>
      <c r="K306" s="104" t="s">
        <v>937</v>
      </c>
      <c r="L306" s="104">
        <v>96934</v>
      </c>
      <c r="M306" s="104">
        <v>5</v>
      </c>
      <c r="N306" s="104" t="s">
        <v>938</v>
      </c>
      <c r="O306" s="104" t="s">
        <v>40</v>
      </c>
      <c r="P306" s="104">
        <v>4333762</v>
      </c>
      <c r="Q306" s="106">
        <v>46008</v>
      </c>
      <c r="R306" s="104">
        <v>4449851</v>
      </c>
      <c r="S306" s="109">
        <v>1390</v>
      </c>
      <c r="T306" s="108">
        <v>45992</v>
      </c>
      <c r="U306" s="104">
        <v>513</v>
      </c>
      <c r="V306" s="104" t="s">
        <v>939</v>
      </c>
      <c r="W306" s="104" t="s">
        <v>40</v>
      </c>
      <c r="X306" s="104" t="s">
        <v>44</v>
      </c>
      <c r="Y306" s="221">
        <v>1390</v>
      </c>
      <c r="Z306" s="106">
        <v>46013</v>
      </c>
      <c r="AA306" s="106">
        <v>46015</v>
      </c>
      <c r="AB306" s="104" t="s">
        <v>60</v>
      </c>
      <c r="AC306" s="104"/>
      <c r="AD306" s="113">
        <f>S306-Y306</f>
        <v>0</v>
      </c>
    </row>
    <row r="307" spans="2:30" ht="45" hidden="1" customHeight="1">
      <c r="B307" s="174">
        <v>304</v>
      </c>
      <c r="C307" s="104" t="s">
        <v>146</v>
      </c>
      <c r="D307" s="104" t="s">
        <v>710</v>
      </c>
      <c r="E307" s="104" t="s">
        <v>34</v>
      </c>
      <c r="F307" s="104" t="s">
        <v>44</v>
      </c>
      <c r="G307" s="145" t="s">
        <v>940</v>
      </c>
      <c r="H307" s="104">
        <v>4669</v>
      </c>
      <c r="I307" s="104">
        <v>242</v>
      </c>
      <c r="J307" s="104" t="s">
        <v>58</v>
      </c>
      <c r="K307" s="104" t="s">
        <v>941</v>
      </c>
      <c r="L307" s="104">
        <v>96894</v>
      </c>
      <c r="M307" s="104">
        <v>5</v>
      </c>
      <c r="N307" s="104" t="s">
        <v>942</v>
      </c>
      <c r="O307" s="104" t="s">
        <v>40</v>
      </c>
      <c r="P307" s="104">
        <v>4333983</v>
      </c>
      <c r="Q307" s="106">
        <v>46008</v>
      </c>
      <c r="R307" s="104">
        <v>4453924</v>
      </c>
      <c r="S307" s="109">
        <v>5164.25</v>
      </c>
      <c r="T307" s="108">
        <v>45992</v>
      </c>
      <c r="U307" s="104">
        <v>193</v>
      </c>
      <c r="V307" s="104" t="s">
        <v>34</v>
      </c>
      <c r="W307" s="104" t="s">
        <v>48</v>
      </c>
      <c r="X307" s="104" t="s">
        <v>44</v>
      </c>
      <c r="Y307" s="131">
        <v>5164.25</v>
      </c>
      <c r="Z307" s="106">
        <v>46020</v>
      </c>
      <c r="AA307" s="106">
        <v>46020</v>
      </c>
      <c r="AB307" s="104" t="s">
        <v>60</v>
      </c>
      <c r="AC307" s="104"/>
      <c r="AD307" s="113">
        <f>S307-Y307</f>
        <v>0</v>
      </c>
    </row>
    <row r="308" spans="2:30" ht="45" hidden="1" customHeight="1">
      <c r="B308" s="174">
        <v>305</v>
      </c>
      <c r="C308" s="104" t="s">
        <v>316</v>
      </c>
      <c r="D308" s="104" t="s">
        <v>33</v>
      </c>
      <c r="E308" s="104">
        <v>41816</v>
      </c>
      <c r="F308" s="104" t="s">
        <v>35</v>
      </c>
      <c r="G308" s="145" t="s">
        <v>943</v>
      </c>
      <c r="H308" s="104">
        <v>5345</v>
      </c>
      <c r="I308" s="104">
        <v>242</v>
      </c>
      <c r="J308" s="104" t="s">
        <v>58</v>
      </c>
      <c r="K308" s="104" t="s">
        <v>944</v>
      </c>
      <c r="L308" s="104">
        <v>97005</v>
      </c>
      <c r="M308" s="104">
        <v>6</v>
      </c>
      <c r="N308" s="104" t="s">
        <v>34</v>
      </c>
      <c r="O308" s="104" t="s">
        <v>34</v>
      </c>
      <c r="P308" s="104">
        <v>4334262</v>
      </c>
      <c r="Q308" s="106">
        <v>46008</v>
      </c>
      <c r="R308" s="104">
        <v>4449919</v>
      </c>
      <c r="S308" s="109">
        <v>807.5</v>
      </c>
      <c r="T308" s="108">
        <v>45992</v>
      </c>
      <c r="U308" s="104">
        <v>3221</v>
      </c>
      <c r="V308" s="104" t="s">
        <v>945</v>
      </c>
      <c r="W308" s="104" t="s">
        <v>40</v>
      </c>
      <c r="X308" s="104" t="s">
        <v>35</v>
      </c>
      <c r="Y308" s="221">
        <v>807.5</v>
      </c>
      <c r="Z308" s="106">
        <v>46023</v>
      </c>
      <c r="AA308" s="106">
        <v>46029</v>
      </c>
      <c r="AB308" s="104" t="s">
        <v>60</v>
      </c>
      <c r="AC308" s="104"/>
      <c r="AD308" s="113">
        <f>S308-Y308</f>
        <v>0</v>
      </c>
    </row>
    <row r="309" spans="2:30" ht="45" hidden="1" customHeight="1">
      <c r="B309" s="174">
        <v>306</v>
      </c>
      <c r="C309" s="104" t="s">
        <v>316</v>
      </c>
      <c r="D309" s="104" t="s">
        <v>33</v>
      </c>
      <c r="E309" s="104">
        <v>38251</v>
      </c>
      <c r="F309" s="104" t="s">
        <v>35</v>
      </c>
      <c r="G309" s="145" t="s">
        <v>946</v>
      </c>
      <c r="H309" s="104">
        <v>5345</v>
      </c>
      <c r="I309" s="104">
        <v>242</v>
      </c>
      <c r="J309" s="104" t="s">
        <v>58</v>
      </c>
      <c r="K309" s="104" t="s">
        <v>947</v>
      </c>
      <c r="L309" s="104">
        <v>97004</v>
      </c>
      <c r="M309" s="104">
        <v>6</v>
      </c>
      <c r="N309" s="104" t="s">
        <v>34</v>
      </c>
      <c r="O309" s="104" t="s">
        <v>34</v>
      </c>
      <c r="P309" s="104">
        <v>4334273</v>
      </c>
      <c r="Q309" s="106">
        <v>46008</v>
      </c>
      <c r="R309" s="104">
        <v>4449921</v>
      </c>
      <c r="S309" s="169">
        <v>3572</v>
      </c>
      <c r="T309" s="108">
        <v>45992</v>
      </c>
      <c r="U309" s="104">
        <v>3253</v>
      </c>
      <c r="V309" s="149"/>
      <c r="W309" s="104" t="s">
        <v>48</v>
      </c>
      <c r="X309" s="104" t="s">
        <v>25</v>
      </c>
      <c r="Y309" s="131">
        <v>3572</v>
      </c>
      <c r="Z309" s="106">
        <v>46055</v>
      </c>
      <c r="AA309" s="106">
        <v>46084</v>
      </c>
      <c r="AB309" s="104" t="s">
        <v>41</v>
      </c>
      <c r="AC309" s="104"/>
      <c r="AD309" s="113">
        <f>S309-Y309</f>
        <v>0</v>
      </c>
    </row>
    <row r="310" spans="2:30" ht="45" hidden="1" customHeight="1">
      <c r="B310" s="174">
        <v>307</v>
      </c>
      <c r="C310" s="104" t="s">
        <v>282</v>
      </c>
      <c r="D310" s="104" t="s">
        <v>948</v>
      </c>
      <c r="E310" s="104">
        <v>41641</v>
      </c>
      <c r="F310" s="104" t="s">
        <v>44</v>
      </c>
      <c r="G310" s="145" t="s">
        <v>949</v>
      </c>
      <c r="H310" s="104">
        <v>1228</v>
      </c>
      <c r="I310" s="104">
        <v>242</v>
      </c>
      <c r="J310" s="104" t="s">
        <v>58</v>
      </c>
      <c r="K310" s="104" t="s">
        <v>950</v>
      </c>
      <c r="L310" s="104">
        <v>93996</v>
      </c>
      <c r="M310" s="104">
        <v>6</v>
      </c>
      <c r="N310" s="104" t="s">
        <v>34</v>
      </c>
      <c r="O310" s="104" t="s">
        <v>34</v>
      </c>
      <c r="P310" s="104">
        <v>4334979</v>
      </c>
      <c r="Q310" s="106">
        <v>46009</v>
      </c>
      <c r="R310" s="104">
        <v>4451837</v>
      </c>
      <c r="S310" s="109">
        <v>5920</v>
      </c>
      <c r="T310" s="108">
        <v>46038</v>
      </c>
      <c r="U310" s="104">
        <v>3226</v>
      </c>
      <c r="V310" s="104"/>
      <c r="W310" s="104" t="s">
        <v>48</v>
      </c>
      <c r="X310" s="104" t="s">
        <v>44</v>
      </c>
      <c r="Y310" s="131">
        <v>5920</v>
      </c>
      <c r="Z310" s="106">
        <v>46072</v>
      </c>
      <c r="AA310" s="106">
        <v>46080</v>
      </c>
      <c r="AB310" s="104" t="s">
        <v>41</v>
      </c>
      <c r="AC310" s="104"/>
      <c r="AD310" s="113">
        <f>S310-Y310</f>
        <v>0</v>
      </c>
    </row>
    <row r="311" spans="2:30" ht="45" hidden="1" customHeight="1">
      <c r="B311" s="174">
        <v>308</v>
      </c>
      <c r="C311" s="104" t="s">
        <v>282</v>
      </c>
      <c r="D311" s="104" t="s">
        <v>33</v>
      </c>
      <c r="E311" s="104">
        <v>42210</v>
      </c>
      <c r="F311" s="104" t="s">
        <v>35</v>
      </c>
      <c r="G311" s="145" t="s">
        <v>951</v>
      </c>
      <c r="H311" s="104">
        <v>1236</v>
      </c>
      <c r="I311" s="104">
        <v>242</v>
      </c>
      <c r="J311" s="104" t="s">
        <v>58</v>
      </c>
      <c r="K311" s="104" t="s">
        <v>952</v>
      </c>
      <c r="L311" s="103">
        <v>97218</v>
      </c>
      <c r="M311" s="104">
        <v>6</v>
      </c>
      <c r="N311" s="104" t="s">
        <v>34</v>
      </c>
      <c r="O311" s="104" t="s">
        <v>34</v>
      </c>
      <c r="P311" s="104">
        <v>4335854</v>
      </c>
      <c r="Q311" s="106">
        <v>46010</v>
      </c>
      <c r="R311" s="104">
        <v>4452048</v>
      </c>
      <c r="S311" s="109">
        <v>10695</v>
      </c>
      <c r="T311" s="108">
        <v>46038</v>
      </c>
      <c r="U311" s="104">
        <v>3224</v>
      </c>
      <c r="V311" s="104" t="s">
        <v>953</v>
      </c>
      <c r="W311" s="104" t="s">
        <v>40</v>
      </c>
      <c r="X311" s="104" t="s">
        <v>35</v>
      </c>
      <c r="Y311" s="221">
        <v>10695</v>
      </c>
      <c r="Z311" s="106">
        <v>46023</v>
      </c>
      <c r="AA311" s="106">
        <v>46029</v>
      </c>
      <c r="AB311" s="104" t="s">
        <v>60</v>
      </c>
      <c r="AC311" s="104"/>
      <c r="AD311" s="113">
        <f>S311-Y311</f>
        <v>0</v>
      </c>
    </row>
    <row r="312" spans="2:30" ht="45" hidden="1" customHeight="1">
      <c r="B312" s="174">
        <v>309</v>
      </c>
      <c r="C312" s="104" t="s">
        <v>61</v>
      </c>
      <c r="D312" s="104" t="s">
        <v>323</v>
      </c>
      <c r="E312" s="104">
        <v>41758</v>
      </c>
      <c r="F312" s="104" t="s">
        <v>44</v>
      </c>
      <c r="G312" s="145" t="s">
        <v>954</v>
      </c>
      <c r="H312" s="104">
        <v>1236</v>
      </c>
      <c r="I312" s="104">
        <v>242</v>
      </c>
      <c r="J312" s="104" t="s">
        <v>58</v>
      </c>
      <c r="K312" s="104" t="s">
        <v>955</v>
      </c>
      <c r="L312" s="104">
        <v>97219</v>
      </c>
      <c r="M312" s="104">
        <v>6</v>
      </c>
      <c r="N312" s="104" t="s">
        <v>34</v>
      </c>
      <c r="O312" s="104" t="s">
        <v>34</v>
      </c>
      <c r="P312" s="104">
        <v>4335862</v>
      </c>
      <c r="Q312" s="106">
        <v>46010</v>
      </c>
      <c r="R312" s="104">
        <v>4462803</v>
      </c>
      <c r="S312" s="109">
        <v>2821.4</v>
      </c>
      <c r="T312" s="108">
        <v>46023</v>
      </c>
      <c r="U312" s="104">
        <v>158</v>
      </c>
      <c r="V312" s="104"/>
      <c r="W312" s="104" t="s">
        <v>48</v>
      </c>
      <c r="X312" s="104" t="s">
        <v>106</v>
      </c>
      <c r="Y312" s="131">
        <v>2800</v>
      </c>
      <c r="Z312" s="106">
        <v>46041</v>
      </c>
      <c r="AA312" s="106">
        <v>46049</v>
      </c>
      <c r="AB312" s="104" t="s">
        <v>41</v>
      </c>
      <c r="AC312" s="104"/>
      <c r="AD312" s="113">
        <f>S312-Y312</f>
        <v>21.400000000000091</v>
      </c>
    </row>
    <row r="313" spans="2:30" ht="45" hidden="1" customHeight="1">
      <c r="B313" s="174">
        <v>310</v>
      </c>
      <c r="C313" s="104" t="s">
        <v>146</v>
      </c>
      <c r="D313" s="104" t="s">
        <v>323</v>
      </c>
      <c r="E313" s="104">
        <v>41758</v>
      </c>
      <c r="F313" s="104" t="s">
        <v>44</v>
      </c>
      <c r="G313" s="145" t="s">
        <v>956</v>
      </c>
      <c r="H313" s="104">
        <v>2291</v>
      </c>
      <c r="I313" s="104">
        <v>242</v>
      </c>
      <c r="J313" s="104" t="s">
        <v>58</v>
      </c>
      <c r="K313" s="104" t="s">
        <v>957</v>
      </c>
      <c r="L313" s="104">
        <v>97223</v>
      </c>
      <c r="M313" s="104">
        <v>6</v>
      </c>
      <c r="N313" s="104" t="s">
        <v>34</v>
      </c>
      <c r="O313" s="104" t="s">
        <v>34</v>
      </c>
      <c r="P313" s="104">
        <v>4335900</v>
      </c>
      <c r="Q313" s="106">
        <v>46010</v>
      </c>
      <c r="R313" s="110">
        <v>4462805</v>
      </c>
      <c r="S313" s="109">
        <v>885.1</v>
      </c>
      <c r="T313" s="108">
        <v>45992</v>
      </c>
      <c r="U313" s="104">
        <v>159</v>
      </c>
      <c r="V313" s="104"/>
      <c r="W313" s="104" t="s">
        <v>48</v>
      </c>
      <c r="X313" s="104" t="s">
        <v>25</v>
      </c>
      <c r="Y313" s="131">
        <v>885.1</v>
      </c>
      <c r="Z313" s="106">
        <v>46041</v>
      </c>
      <c r="AA313" s="106">
        <v>46049</v>
      </c>
      <c r="AB313" s="104" t="s">
        <v>41</v>
      </c>
      <c r="AC313" s="104"/>
      <c r="AD313" s="113">
        <f>S313-Y313</f>
        <v>0</v>
      </c>
    </row>
    <row r="314" spans="2:30" ht="45" hidden="1" customHeight="1">
      <c r="B314" s="174">
        <v>311</v>
      </c>
      <c r="C314" s="104" t="s">
        <v>282</v>
      </c>
      <c r="D314" s="104" t="s">
        <v>958</v>
      </c>
      <c r="E314" s="104">
        <v>41743</v>
      </c>
      <c r="F314" s="104" t="s">
        <v>44</v>
      </c>
      <c r="G314" s="145" t="s">
        <v>959</v>
      </c>
      <c r="H314" s="104">
        <v>5525</v>
      </c>
      <c r="I314" s="104">
        <v>242</v>
      </c>
      <c r="J314" s="104" t="s">
        <v>58</v>
      </c>
      <c r="K314" s="104" t="s">
        <v>960</v>
      </c>
      <c r="L314" s="104">
        <v>94717</v>
      </c>
      <c r="M314" s="104">
        <v>6</v>
      </c>
      <c r="N314" s="104" t="s">
        <v>34</v>
      </c>
      <c r="O314" s="104" t="s">
        <v>34</v>
      </c>
      <c r="P314" s="104">
        <v>4335908</v>
      </c>
      <c r="Q314" s="106">
        <v>46010</v>
      </c>
      <c r="R314" s="104">
        <v>4452563</v>
      </c>
      <c r="S314" s="109">
        <v>13600</v>
      </c>
      <c r="T314" s="108">
        <v>46034</v>
      </c>
      <c r="U314" s="104">
        <v>26</v>
      </c>
      <c r="V314" s="104" t="s">
        <v>961</v>
      </c>
      <c r="W314" s="104" t="s">
        <v>48</v>
      </c>
      <c r="X314" s="104" t="s">
        <v>35</v>
      </c>
      <c r="Y314" s="221">
        <v>13600</v>
      </c>
      <c r="Z314" s="106">
        <v>46028</v>
      </c>
      <c r="AA314" s="106">
        <v>46034</v>
      </c>
      <c r="AB314" s="104" t="s">
        <v>41</v>
      </c>
      <c r="AC314" s="104"/>
      <c r="AD314" s="113">
        <f>S314-Y314</f>
        <v>0</v>
      </c>
    </row>
    <row r="315" spans="2:30" ht="45" hidden="1" customHeight="1">
      <c r="B315" s="174">
        <v>312</v>
      </c>
      <c r="C315" s="104" t="s">
        <v>95</v>
      </c>
      <c r="D315" s="104" t="s">
        <v>962</v>
      </c>
      <c r="E315" s="103">
        <v>42320</v>
      </c>
      <c r="F315" s="104" t="s">
        <v>44</v>
      </c>
      <c r="G315" s="145" t="s">
        <v>963</v>
      </c>
      <c r="H315" s="104" t="s">
        <v>964</v>
      </c>
      <c r="I315" s="104" t="s">
        <v>965</v>
      </c>
      <c r="J315" s="104" t="s">
        <v>58</v>
      </c>
      <c r="K315" s="104" t="s">
        <v>966</v>
      </c>
      <c r="L315" s="104">
        <v>97244</v>
      </c>
      <c r="M315" s="104">
        <v>6</v>
      </c>
      <c r="N315" s="104" t="s">
        <v>34</v>
      </c>
      <c r="O315" s="104" t="s">
        <v>34</v>
      </c>
      <c r="P315" s="104">
        <v>4335930</v>
      </c>
      <c r="Q315" s="106">
        <v>46010</v>
      </c>
      <c r="R315" s="104">
        <v>4452550</v>
      </c>
      <c r="S315" s="155">
        <v>3640</v>
      </c>
      <c r="T315" s="108">
        <v>46032</v>
      </c>
      <c r="U315" s="104">
        <v>46160</v>
      </c>
      <c r="V315" s="104"/>
      <c r="W315" s="104" t="s">
        <v>48</v>
      </c>
      <c r="X315" s="104" t="s">
        <v>94</v>
      </c>
      <c r="Y315" s="131">
        <v>3640</v>
      </c>
      <c r="Z315" s="106">
        <v>46035</v>
      </c>
      <c r="AA315" s="106">
        <v>46038</v>
      </c>
      <c r="AB315" s="104" t="s">
        <v>41</v>
      </c>
      <c r="AC315" s="162"/>
      <c r="AD315" s="113">
        <f>S315-Y315</f>
        <v>0</v>
      </c>
    </row>
    <row r="316" spans="2:30" ht="45" hidden="1" customHeight="1">
      <c r="B316" s="174">
        <v>313</v>
      </c>
      <c r="C316" s="104" t="s">
        <v>291</v>
      </c>
      <c r="D316" s="104" t="s">
        <v>33</v>
      </c>
      <c r="E316" s="104">
        <v>42561</v>
      </c>
      <c r="F316" s="104" t="s">
        <v>35</v>
      </c>
      <c r="G316" s="145" t="s">
        <v>967</v>
      </c>
      <c r="H316" s="104">
        <v>2488</v>
      </c>
      <c r="I316" s="104">
        <v>242</v>
      </c>
      <c r="J316" s="104" t="s">
        <v>58</v>
      </c>
      <c r="K316" s="104" t="s">
        <v>968</v>
      </c>
      <c r="L316" s="104">
        <v>97358</v>
      </c>
      <c r="M316" s="104">
        <v>6</v>
      </c>
      <c r="N316" s="104" t="s">
        <v>34</v>
      </c>
      <c r="O316" s="104" t="s">
        <v>34</v>
      </c>
      <c r="P316" s="104">
        <v>4336121</v>
      </c>
      <c r="Q316" s="106">
        <v>46010</v>
      </c>
      <c r="R316" s="104">
        <v>4452061</v>
      </c>
      <c r="S316" s="109">
        <v>3999</v>
      </c>
      <c r="T316" s="108">
        <v>46012</v>
      </c>
      <c r="U316" s="104">
        <v>3261</v>
      </c>
      <c r="V316" s="104"/>
      <c r="W316" s="104" t="s">
        <v>40</v>
      </c>
      <c r="X316" s="104" t="s">
        <v>25</v>
      </c>
      <c r="Y316" s="131">
        <v>3999</v>
      </c>
      <c r="Z316" s="106">
        <v>46056</v>
      </c>
      <c r="AA316" s="106">
        <v>46059</v>
      </c>
      <c r="AB316" s="104" t="s">
        <v>41</v>
      </c>
      <c r="AC316" s="104"/>
      <c r="AD316" s="113">
        <f>S316-Y316</f>
        <v>0</v>
      </c>
    </row>
    <row r="317" spans="2:30" ht="45" hidden="1" customHeight="1">
      <c r="B317" s="174">
        <v>314</v>
      </c>
      <c r="C317" s="104" t="s">
        <v>95</v>
      </c>
      <c r="D317" s="104" t="s">
        <v>237</v>
      </c>
      <c r="E317" s="104" t="s">
        <v>34</v>
      </c>
      <c r="F317" s="104" t="s">
        <v>44</v>
      </c>
      <c r="G317" s="145" t="s">
        <v>969</v>
      </c>
      <c r="H317" s="104">
        <v>2470</v>
      </c>
      <c r="I317" s="104">
        <v>5</v>
      </c>
      <c r="J317" s="104" t="s">
        <v>58</v>
      </c>
      <c r="K317" s="104" t="s">
        <v>970</v>
      </c>
      <c r="L317" s="104">
        <v>97362</v>
      </c>
      <c r="M317" s="104">
        <v>5</v>
      </c>
      <c r="N317" s="104" t="s">
        <v>971</v>
      </c>
      <c r="O317" s="104" t="s">
        <v>40</v>
      </c>
      <c r="P317" s="104">
        <v>4336162</v>
      </c>
      <c r="Q317" s="106">
        <v>46010</v>
      </c>
      <c r="R317" s="104">
        <v>4462881</v>
      </c>
      <c r="S317" s="155">
        <v>3250</v>
      </c>
      <c r="T317" s="108">
        <v>46012</v>
      </c>
      <c r="U317" s="104">
        <v>374</v>
      </c>
      <c r="V317" s="104"/>
      <c r="W317" s="104" t="s">
        <v>48</v>
      </c>
      <c r="X317" s="104" t="s">
        <v>25</v>
      </c>
      <c r="Y317" s="131">
        <v>3250</v>
      </c>
      <c r="Z317" s="106">
        <v>46078</v>
      </c>
      <c r="AA317" s="106"/>
      <c r="AB317" s="104" t="s">
        <v>41</v>
      </c>
      <c r="AC317" s="118" t="s">
        <v>857</v>
      </c>
      <c r="AD317" s="113">
        <f>S317-Y317</f>
        <v>0</v>
      </c>
    </row>
    <row r="318" spans="2:30" ht="45" hidden="1" customHeight="1">
      <c r="B318" s="174">
        <v>315</v>
      </c>
      <c r="C318" s="104" t="s">
        <v>95</v>
      </c>
      <c r="D318" s="104" t="s">
        <v>138</v>
      </c>
      <c r="E318" s="104">
        <v>42132</v>
      </c>
      <c r="F318" s="104" t="s">
        <v>44</v>
      </c>
      <c r="G318" s="145" t="s">
        <v>972</v>
      </c>
      <c r="H318" s="104">
        <v>4669</v>
      </c>
      <c r="I318" s="104">
        <v>242</v>
      </c>
      <c r="J318" s="104" t="s">
        <v>58</v>
      </c>
      <c r="K318" s="104" t="s">
        <v>973</v>
      </c>
      <c r="L318" s="104">
        <v>97363</v>
      </c>
      <c r="M318" s="104">
        <v>6</v>
      </c>
      <c r="N318" s="104" t="s">
        <v>34</v>
      </c>
      <c r="O318" s="104" t="s">
        <v>34</v>
      </c>
      <c r="P318" s="104">
        <v>4337574</v>
      </c>
      <c r="Q318" s="106">
        <v>46013</v>
      </c>
      <c r="R318" s="104">
        <v>4455033</v>
      </c>
      <c r="S318" s="155">
        <v>9916.2000000000007</v>
      </c>
      <c r="T318" s="108"/>
      <c r="U318" s="104">
        <v>19926</v>
      </c>
      <c r="V318" s="110"/>
      <c r="W318" s="104" t="s">
        <v>40</v>
      </c>
      <c r="X318" s="104" t="s">
        <v>131</v>
      </c>
      <c r="Y318" s="221">
        <v>9916.2000000000007</v>
      </c>
      <c r="Z318" s="106">
        <v>46035</v>
      </c>
      <c r="AA318" s="106">
        <v>46038</v>
      </c>
      <c r="AB318" s="104" t="s">
        <v>41</v>
      </c>
      <c r="AC318" s="104"/>
      <c r="AD318" s="113">
        <f>S318-Y318</f>
        <v>0</v>
      </c>
    </row>
    <row r="319" spans="2:30" ht="45" hidden="1" customHeight="1">
      <c r="B319" s="174">
        <v>316</v>
      </c>
      <c r="C319" s="104" t="s">
        <v>70</v>
      </c>
      <c r="D319" s="104" t="s">
        <v>192</v>
      </c>
      <c r="E319" s="104" t="s">
        <v>974</v>
      </c>
      <c r="F319" s="104" t="s">
        <v>35</v>
      </c>
      <c r="G319" s="145" t="s">
        <v>975</v>
      </c>
      <c r="H319" s="104">
        <v>2291</v>
      </c>
      <c r="I319" s="104">
        <v>242</v>
      </c>
      <c r="J319" s="104" t="s">
        <v>58</v>
      </c>
      <c r="K319" s="104" t="s">
        <v>976</v>
      </c>
      <c r="L319" s="104">
        <v>97376</v>
      </c>
      <c r="M319" s="104">
        <v>5</v>
      </c>
      <c r="N319" s="104" t="s">
        <v>977</v>
      </c>
      <c r="O319" s="104" t="s">
        <v>40</v>
      </c>
      <c r="P319" s="104">
        <v>4337585</v>
      </c>
      <c r="Q319" s="106">
        <v>46013</v>
      </c>
      <c r="R319" s="104">
        <v>4454001</v>
      </c>
      <c r="S319" s="109">
        <v>3687</v>
      </c>
      <c r="T319" s="108">
        <v>46012</v>
      </c>
      <c r="U319" s="104">
        <v>536</v>
      </c>
      <c r="V319" s="110"/>
      <c r="W319" s="104" t="s">
        <v>40</v>
      </c>
      <c r="X319" s="104" t="s">
        <v>44</v>
      </c>
      <c r="Y319" s="131">
        <v>3687</v>
      </c>
      <c r="Z319" s="106">
        <v>46017</v>
      </c>
      <c r="AA319" s="106">
        <v>46020</v>
      </c>
      <c r="AB319" s="104" t="s">
        <v>60</v>
      </c>
      <c r="AC319" s="104"/>
      <c r="AD319" s="113">
        <f>S319-Y319</f>
        <v>0</v>
      </c>
    </row>
    <row r="320" spans="2:30" ht="45" hidden="1" customHeight="1">
      <c r="B320" s="174">
        <v>317</v>
      </c>
      <c r="C320" s="104" t="s">
        <v>282</v>
      </c>
      <c r="D320" s="104" t="s">
        <v>978</v>
      </c>
      <c r="E320" s="104">
        <v>41500</v>
      </c>
      <c r="F320" s="104" t="s">
        <v>44</v>
      </c>
      <c r="G320" s="145" t="s">
        <v>979</v>
      </c>
      <c r="H320" s="104">
        <v>1228</v>
      </c>
      <c r="I320" s="104">
        <v>242</v>
      </c>
      <c r="J320" s="104" t="s">
        <v>58</v>
      </c>
      <c r="K320" s="104" t="s">
        <v>980</v>
      </c>
      <c r="L320" s="104">
        <v>92289</v>
      </c>
      <c r="M320" s="104">
        <v>6</v>
      </c>
      <c r="N320" s="104" t="s">
        <v>981</v>
      </c>
      <c r="O320" s="104" t="s">
        <v>34</v>
      </c>
      <c r="P320" s="104">
        <v>4338648</v>
      </c>
      <c r="Q320" s="106">
        <v>46013</v>
      </c>
      <c r="R320" s="104">
        <v>4460815</v>
      </c>
      <c r="S320" s="109">
        <v>30041.9</v>
      </c>
      <c r="T320" s="108">
        <v>46023</v>
      </c>
      <c r="U320" s="104">
        <v>2098</v>
      </c>
      <c r="V320" s="104"/>
      <c r="W320" s="104" t="s">
        <v>48</v>
      </c>
      <c r="X320" s="104" t="s">
        <v>25</v>
      </c>
      <c r="Y320" s="131">
        <v>30041.9</v>
      </c>
      <c r="Z320" s="106">
        <v>46064</v>
      </c>
      <c r="AA320" s="106">
        <v>46078</v>
      </c>
      <c r="AB320" s="104" t="s">
        <v>41</v>
      </c>
      <c r="AC320" s="104"/>
      <c r="AD320" s="113">
        <f>S320-Y320</f>
        <v>0</v>
      </c>
    </row>
    <row r="321" spans="2:30" ht="45" hidden="1" customHeight="1">
      <c r="B321" s="174">
        <v>318</v>
      </c>
      <c r="C321" s="104" t="s">
        <v>70</v>
      </c>
      <c r="D321" s="104" t="s">
        <v>142</v>
      </c>
      <c r="E321" s="104">
        <v>41757</v>
      </c>
      <c r="F321" s="104" t="s">
        <v>44</v>
      </c>
      <c r="G321" s="145" t="s">
        <v>982</v>
      </c>
      <c r="H321" s="104">
        <v>5345</v>
      </c>
      <c r="I321" s="104">
        <v>242</v>
      </c>
      <c r="J321" s="104" t="s">
        <v>58</v>
      </c>
      <c r="K321" s="104" t="s">
        <v>983</v>
      </c>
      <c r="L321" s="104">
        <v>97208</v>
      </c>
      <c r="M321" s="104">
        <v>6</v>
      </c>
      <c r="N321" s="104" t="s">
        <v>34</v>
      </c>
      <c r="O321" s="104" t="s">
        <v>34</v>
      </c>
      <c r="P321" s="104">
        <v>4338670</v>
      </c>
      <c r="Q321" s="106">
        <v>46013</v>
      </c>
      <c r="R321" s="104">
        <v>4461326</v>
      </c>
      <c r="S321" s="109">
        <v>40053.78</v>
      </c>
      <c r="T321" s="108">
        <v>46023</v>
      </c>
      <c r="U321" s="104">
        <v>167</v>
      </c>
      <c r="V321" s="104" t="s">
        <v>34</v>
      </c>
      <c r="W321" s="104" t="s">
        <v>40</v>
      </c>
      <c r="X321" s="104" t="s">
        <v>385</v>
      </c>
      <c r="Y321" s="131">
        <v>3744</v>
      </c>
      <c r="Z321" s="106">
        <v>46085</v>
      </c>
      <c r="AA321" s="106">
        <v>46097</v>
      </c>
      <c r="AB321" s="104" t="s">
        <v>41</v>
      </c>
      <c r="AC321" s="104"/>
      <c r="AD321" s="113">
        <f>S321-Y321</f>
        <v>36309.78</v>
      </c>
    </row>
    <row r="322" spans="2:30" ht="45" hidden="1" customHeight="1">
      <c r="B322" s="174">
        <v>319</v>
      </c>
      <c r="C322" s="104" t="s">
        <v>137</v>
      </c>
      <c r="D322" s="104" t="s">
        <v>984</v>
      </c>
      <c r="E322" s="104" t="s">
        <v>34</v>
      </c>
      <c r="F322" s="104" t="s">
        <v>44</v>
      </c>
      <c r="G322" s="145" t="s">
        <v>246</v>
      </c>
      <c r="H322" s="104" t="s">
        <v>985</v>
      </c>
      <c r="I322" s="104">
        <v>5</v>
      </c>
      <c r="J322" s="104" t="s">
        <v>58</v>
      </c>
      <c r="K322" s="104" t="s">
        <v>986</v>
      </c>
      <c r="L322" s="104">
        <v>97217</v>
      </c>
      <c r="M322" s="104">
        <v>1</v>
      </c>
      <c r="N322" s="104" t="s">
        <v>34</v>
      </c>
      <c r="O322" s="104" t="s">
        <v>34</v>
      </c>
      <c r="P322" s="104">
        <v>4338697</v>
      </c>
      <c r="Q322" s="106">
        <v>46014</v>
      </c>
      <c r="R322" s="104">
        <v>4465538</v>
      </c>
      <c r="S322" s="109">
        <v>52200</v>
      </c>
      <c r="T322" s="108">
        <v>46023</v>
      </c>
      <c r="U322" s="104">
        <v>426</v>
      </c>
      <c r="V322" s="104" t="s">
        <v>34</v>
      </c>
      <c r="W322" s="104" t="s">
        <v>40</v>
      </c>
      <c r="X322" s="104" t="s">
        <v>25</v>
      </c>
      <c r="Y322" s="131">
        <v>25832</v>
      </c>
      <c r="Z322" s="106">
        <v>46105</v>
      </c>
      <c r="AA322" s="106">
        <v>46106</v>
      </c>
      <c r="AB322" s="104" t="s">
        <v>41</v>
      </c>
      <c r="AC322" s="104"/>
      <c r="AD322" s="113">
        <f>S322-Y322</f>
        <v>26368</v>
      </c>
    </row>
    <row r="323" spans="2:30" ht="45" hidden="1" customHeight="1">
      <c r="B323" s="174">
        <v>320</v>
      </c>
      <c r="C323" s="104" t="s">
        <v>95</v>
      </c>
      <c r="D323" s="104" t="s">
        <v>96</v>
      </c>
      <c r="E323" s="104" t="s">
        <v>34</v>
      </c>
      <c r="F323" s="104" t="s">
        <v>44</v>
      </c>
      <c r="G323" s="145" t="s">
        <v>987</v>
      </c>
      <c r="H323" s="104">
        <v>2071</v>
      </c>
      <c r="I323" s="104">
        <v>5</v>
      </c>
      <c r="J323" s="104" t="s">
        <v>58</v>
      </c>
      <c r="K323" s="104" t="s">
        <v>988</v>
      </c>
      <c r="L323" s="104">
        <v>97357</v>
      </c>
      <c r="M323" s="104">
        <v>1</v>
      </c>
      <c r="N323" s="104" t="s">
        <v>34</v>
      </c>
      <c r="O323" s="104" t="s">
        <v>34</v>
      </c>
      <c r="P323" s="104">
        <v>4338751</v>
      </c>
      <c r="Q323" s="130">
        <v>46013</v>
      </c>
      <c r="R323" s="104">
        <v>4460334</v>
      </c>
      <c r="S323" s="155">
        <v>10500</v>
      </c>
      <c r="T323" s="108"/>
      <c r="U323" s="104">
        <v>767</v>
      </c>
      <c r="V323" s="104"/>
      <c r="W323" s="104" t="s">
        <v>48</v>
      </c>
      <c r="X323" s="104" t="s">
        <v>25</v>
      </c>
      <c r="Y323" s="131">
        <v>10500</v>
      </c>
      <c r="Z323" s="106">
        <v>46062</v>
      </c>
      <c r="AA323" s="106">
        <v>46063</v>
      </c>
      <c r="AB323" s="104" t="s">
        <v>41</v>
      </c>
      <c r="AC323" s="104" t="s">
        <v>857</v>
      </c>
      <c r="AD323" s="113">
        <f>S323-Y323</f>
        <v>0</v>
      </c>
    </row>
    <row r="324" spans="2:30" ht="45" hidden="1" customHeight="1">
      <c r="B324" s="174">
        <v>321</v>
      </c>
      <c r="C324" s="104" t="s">
        <v>282</v>
      </c>
      <c r="D324" s="104" t="s">
        <v>989</v>
      </c>
      <c r="E324" s="104" t="s">
        <v>34</v>
      </c>
      <c r="F324" s="104" t="s">
        <v>44</v>
      </c>
      <c r="G324" s="145" t="s">
        <v>990</v>
      </c>
      <c r="H324" s="104">
        <v>1210</v>
      </c>
      <c r="I324" s="104">
        <v>242</v>
      </c>
      <c r="J324" s="104" t="s">
        <v>58</v>
      </c>
      <c r="K324" s="104" t="s">
        <v>991</v>
      </c>
      <c r="L324" s="104">
        <v>97400</v>
      </c>
      <c r="M324" s="104">
        <v>29</v>
      </c>
      <c r="N324" s="104" t="s">
        <v>992</v>
      </c>
      <c r="O324" s="104" t="s">
        <v>34</v>
      </c>
      <c r="P324" s="104">
        <v>4338767</v>
      </c>
      <c r="Q324" s="130">
        <v>46013</v>
      </c>
      <c r="R324" s="104">
        <v>4466124</v>
      </c>
      <c r="S324" s="109">
        <v>165095.5</v>
      </c>
      <c r="T324" s="108">
        <v>46054</v>
      </c>
      <c r="U324" s="104">
        <v>3635</v>
      </c>
      <c r="V324" s="104" t="s">
        <v>34</v>
      </c>
      <c r="W324" s="104" t="s">
        <v>48</v>
      </c>
      <c r="X324" s="104" t="s">
        <v>94</v>
      </c>
      <c r="Y324" s="131">
        <v>70775.5</v>
      </c>
      <c r="Z324" s="106">
        <v>46097</v>
      </c>
      <c r="AA324" s="106">
        <v>46106</v>
      </c>
      <c r="AB324" s="104" t="s">
        <v>41</v>
      </c>
      <c r="AC324" s="104"/>
      <c r="AD324" s="113">
        <f>S324-Y324</f>
        <v>94320</v>
      </c>
    </row>
    <row r="325" spans="2:30" ht="45" hidden="1" customHeight="1">
      <c r="B325" s="174">
        <v>322</v>
      </c>
      <c r="C325" s="104" t="s">
        <v>279</v>
      </c>
      <c r="D325" s="104" t="s">
        <v>33</v>
      </c>
      <c r="E325" s="104">
        <v>42570</v>
      </c>
      <c r="F325" s="104" t="s">
        <v>35</v>
      </c>
      <c r="G325" s="145" t="s">
        <v>993</v>
      </c>
      <c r="H325" s="104">
        <v>5345</v>
      </c>
      <c r="I325" s="104">
        <v>242</v>
      </c>
      <c r="J325" s="104" t="s">
        <v>58</v>
      </c>
      <c r="K325" s="104" t="s">
        <v>994</v>
      </c>
      <c r="L325" s="104">
        <v>97602</v>
      </c>
      <c r="M325" s="104">
        <v>6</v>
      </c>
      <c r="N325" s="104" t="s">
        <v>34</v>
      </c>
      <c r="O325" s="104" t="s">
        <v>34</v>
      </c>
      <c r="P325" s="104">
        <v>4338792</v>
      </c>
      <c r="Q325" s="130">
        <v>46013</v>
      </c>
      <c r="R325" s="104">
        <v>4456214</v>
      </c>
      <c r="S325" s="109">
        <v>1995</v>
      </c>
      <c r="T325" s="108">
        <v>46357</v>
      </c>
      <c r="U325" s="104">
        <v>3225</v>
      </c>
      <c r="V325" s="104" t="s">
        <v>995</v>
      </c>
      <c r="W325" s="104" t="s">
        <v>40</v>
      </c>
      <c r="X325" s="104" t="s">
        <v>35</v>
      </c>
      <c r="Y325" s="221">
        <v>1995</v>
      </c>
      <c r="Z325" s="106">
        <v>46023</v>
      </c>
      <c r="AA325" s="106">
        <v>46029</v>
      </c>
      <c r="AB325" s="104" t="s">
        <v>60</v>
      </c>
      <c r="AC325" s="104"/>
      <c r="AD325" s="113">
        <f>S325-Y325</f>
        <v>0</v>
      </c>
    </row>
    <row r="326" spans="2:30" ht="45" hidden="1" customHeight="1">
      <c r="B326" s="174">
        <v>323</v>
      </c>
      <c r="C326" s="104" t="s">
        <v>282</v>
      </c>
      <c r="D326" s="104" t="s">
        <v>687</v>
      </c>
      <c r="E326" s="104" t="s">
        <v>34</v>
      </c>
      <c r="F326" s="104" t="s">
        <v>44</v>
      </c>
      <c r="G326" s="145" t="s">
        <v>996</v>
      </c>
      <c r="H326" s="104">
        <v>1210</v>
      </c>
      <c r="I326" s="104">
        <v>242</v>
      </c>
      <c r="J326" s="104" t="s">
        <v>58</v>
      </c>
      <c r="K326" s="104" t="s">
        <v>997</v>
      </c>
      <c r="L326" s="104">
        <v>97666</v>
      </c>
      <c r="M326" s="104">
        <v>29</v>
      </c>
      <c r="N326" s="104" t="s">
        <v>998</v>
      </c>
      <c r="O326" s="104" t="s">
        <v>34</v>
      </c>
      <c r="P326" s="104">
        <v>4338811</v>
      </c>
      <c r="Q326" s="130">
        <v>46013</v>
      </c>
      <c r="R326" s="104">
        <v>4460307</v>
      </c>
      <c r="S326" s="109">
        <v>42181.08</v>
      </c>
      <c r="T326" s="108">
        <v>46023</v>
      </c>
      <c r="U326" s="104"/>
      <c r="V326" s="104"/>
      <c r="W326" s="104"/>
      <c r="X326" s="104"/>
      <c r="Y326" s="131"/>
      <c r="Z326" s="106"/>
      <c r="AA326" s="106"/>
      <c r="AB326" s="104" t="s">
        <v>66</v>
      </c>
      <c r="AC326" s="104"/>
      <c r="AD326" s="113">
        <f>S326-Y326</f>
        <v>42181.08</v>
      </c>
    </row>
    <row r="327" spans="2:30" ht="45" hidden="1" customHeight="1">
      <c r="B327" s="174">
        <v>324</v>
      </c>
      <c r="C327" s="104" t="s">
        <v>32</v>
      </c>
      <c r="D327" s="104" t="s">
        <v>192</v>
      </c>
      <c r="E327" s="104">
        <v>42406</v>
      </c>
      <c r="F327" s="104" t="s">
        <v>35</v>
      </c>
      <c r="G327" s="145" t="s">
        <v>999</v>
      </c>
      <c r="H327" s="104">
        <v>2232</v>
      </c>
      <c r="I327" s="104">
        <v>242</v>
      </c>
      <c r="J327" s="104" t="s">
        <v>58</v>
      </c>
      <c r="K327" s="104" t="s">
        <v>1000</v>
      </c>
      <c r="L327" s="104">
        <v>97421</v>
      </c>
      <c r="M327" s="104">
        <v>5</v>
      </c>
      <c r="N327" s="104" t="s">
        <v>1001</v>
      </c>
      <c r="O327" s="104" t="s">
        <v>40</v>
      </c>
      <c r="P327" s="104">
        <v>4338821</v>
      </c>
      <c r="Q327" s="130">
        <v>46013</v>
      </c>
      <c r="R327" s="104">
        <v>4454034</v>
      </c>
      <c r="S327" s="109">
        <v>3768</v>
      </c>
      <c r="T327" s="108">
        <v>46357</v>
      </c>
      <c r="U327" s="104">
        <v>537</v>
      </c>
      <c r="V327" s="104" t="s">
        <v>1002</v>
      </c>
      <c r="W327" s="104" t="s">
        <v>40</v>
      </c>
      <c r="X327" s="104" t="s">
        <v>44</v>
      </c>
      <c r="Y327" s="131">
        <v>3768</v>
      </c>
      <c r="Z327" s="106">
        <v>46017</v>
      </c>
      <c r="AA327" s="106">
        <v>46020</v>
      </c>
      <c r="AB327" s="104" t="s">
        <v>60</v>
      </c>
      <c r="AC327" s="104"/>
      <c r="AD327" s="113">
        <f>S327-Y327</f>
        <v>0</v>
      </c>
    </row>
    <row r="328" spans="2:30" ht="45" hidden="1" customHeight="1">
      <c r="B328" s="174">
        <v>325</v>
      </c>
      <c r="C328" s="104" t="s">
        <v>183</v>
      </c>
      <c r="D328" s="104" t="s">
        <v>33</v>
      </c>
      <c r="E328" s="104" t="s">
        <v>34</v>
      </c>
      <c r="F328" s="104" t="s">
        <v>44</v>
      </c>
      <c r="G328" s="145" t="s">
        <v>1003</v>
      </c>
      <c r="H328" s="104">
        <v>5525</v>
      </c>
      <c r="I328" s="104">
        <v>242</v>
      </c>
      <c r="J328" s="104" t="s">
        <v>58</v>
      </c>
      <c r="K328" s="104" t="s">
        <v>1004</v>
      </c>
      <c r="L328" s="104">
        <v>97140</v>
      </c>
      <c r="M328" s="104">
        <v>1</v>
      </c>
      <c r="N328" s="104" t="s">
        <v>34</v>
      </c>
      <c r="O328" s="104" t="s">
        <v>34</v>
      </c>
      <c r="P328" s="104">
        <v>4339990</v>
      </c>
      <c r="Q328" s="106">
        <v>46014</v>
      </c>
      <c r="R328" s="104">
        <v>4460326</v>
      </c>
      <c r="S328" s="109">
        <v>2900</v>
      </c>
      <c r="T328" s="108">
        <v>46023</v>
      </c>
      <c r="U328" s="116" t="s">
        <v>1005</v>
      </c>
      <c r="V328" s="104" t="s">
        <v>34</v>
      </c>
      <c r="W328" s="104" t="s">
        <v>48</v>
      </c>
      <c r="X328" s="104" t="s">
        <v>25</v>
      </c>
      <c r="Y328" s="131">
        <v>2900</v>
      </c>
      <c r="Z328" s="243" t="s">
        <v>1006</v>
      </c>
      <c r="AA328" s="106">
        <v>46146</v>
      </c>
      <c r="AB328" s="104" t="s">
        <v>41</v>
      </c>
      <c r="AC328" s="104"/>
      <c r="AD328" s="113">
        <f>S328-Y328</f>
        <v>0</v>
      </c>
    </row>
    <row r="329" spans="2:30" ht="45" hidden="1" customHeight="1">
      <c r="B329" s="174">
        <v>326</v>
      </c>
      <c r="C329" s="104" t="s">
        <v>95</v>
      </c>
      <c r="D329" s="104" t="s">
        <v>138</v>
      </c>
      <c r="E329" s="104">
        <v>42132</v>
      </c>
      <c r="F329" s="104" t="s">
        <v>44</v>
      </c>
      <c r="G329" s="145" t="s">
        <v>1007</v>
      </c>
      <c r="H329" s="104">
        <v>2224</v>
      </c>
      <c r="I329" s="104">
        <v>242</v>
      </c>
      <c r="J329" s="104" t="s">
        <v>58</v>
      </c>
      <c r="K329" s="104" t="s">
        <v>1008</v>
      </c>
      <c r="L329" s="104">
        <v>97371</v>
      </c>
      <c r="M329" s="104">
        <v>6</v>
      </c>
      <c r="N329" s="104" t="s">
        <v>34</v>
      </c>
      <c r="O329" s="104" t="s">
        <v>34</v>
      </c>
      <c r="P329" s="104">
        <v>4339996</v>
      </c>
      <c r="Q329" s="106">
        <v>46014</v>
      </c>
      <c r="R329" s="104">
        <v>4457110</v>
      </c>
      <c r="S329" s="155">
        <v>17000</v>
      </c>
      <c r="T329" s="108">
        <v>19846</v>
      </c>
      <c r="U329" s="104">
        <v>19846</v>
      </c>
      <c r="V329" s="110" t="s">
        <v>1009</v>
      </c>
      <c r="W329" s="104" t="s">
        <v>40</v>
      </c>
      <c r="X329" s="104" t="s">
        <v>44</v>
      </c>
      <c r="Y329" s="221">
        <v>17000</v>
      </c>
      <c r="Z329" s="106">
        <v>46027</v>
      </c>
      <c r="AA329" s="106">
        <v>46029</v>
      </c>
      <c r="AB329" s="104" t="s">
        <v>60</v>
      </c>
      <c r="AC329" s="104"/>
      <c r="AD329" s="113">
        <f>S329-Y329</f>
        <v>0</v>
      </c>
    </row>
    <row r="330" spans="2:30" ht="45" hidden="1" customHeight="1">
      <c r="B330" s="174">
        <v>327</v>
      </c>
      <c r="C330" s="104" t="s">
        <v>95</v>
      </c>
      <c r="D330" s="104" t="s">
        <v>138</v>
      </c>
      <c r="E330" s="104">
        <v>42132</v>
      </c>
      <c r="F330" s="104" t="s">
        <v>44</v>
      </c>
      <c r="G330" s="145" t="s">
        <v>1010</v>
      </c>
      <c r="H330" s="104">
        <v>2224</v>
      </c>
      <c r="I330" s="104">
        <v>242</v>
      </c>
      <c r="J330" s="104" t="s">
        <v>58</v>
      </c>
      <c r="K330" s="104" t="s">
        <v>1011</v>
      </c>
      <c r="L330" s="104">
        <v>97372</v>
      </c>
      <c r="M330" s="104">
        <v>6</v>
      </c>
      <c r="N330" s="104" t="s">
        <v>34</v>
      </c>
      <c r="O330" s="104" t="s">
        <v>34</v>
      </c>
      <c r="P330" s="104">
        <v>4340002</v>
      </c>
      <c r="Q330" s="106">
        <v>46014</v>
      </c>
      <c r="R330" s="104">
        <v>4457112</v>
      </c>
      <c r="S330" s="155">
        <v>10200</v>
      </c>
      <c r="T330" s="108"/>
      <c r="U330" s="104">
        <v>19847</v>
      </c>
      <c r="V330" s="110" t="s">
        <v>1009</v>
      </c>
      <c r="W330" s="104" t="s">
        <v>40</v>
      </c>
      <c r="X330" s="104" t="s">
        <v>44</v>
      </c>
      <c r="Y330" s="221">
        <v>10200</v>
      </c>
      <c r="Z330" s="106">
        <v>46027</v>
      </c>
      <c r="AA330" s="106">
        <v>46029</v>
      </c>
      <c r="AB330" s="104" t="s">
        <v>60</v>
      </c>
      <c r="AC330" s="104"/>
      <c r="AD330" s="113">
        <f>S330-Y330</f>
        <v>0</v>
      </c>
    </row>
    <row r="331" spans="2:30" ht="45" hidden="1" customHeight="1">
      <c r="B331" s="174">
        <v>328</v>
      </c>
      <c r="C331" s="104" t="s">
        <v>32</v>
      </c>
      <c r="D331" s="104" t="s">
        <v>192</v>
      </c>
      <c r="E331" s="104" t="s">
        <v>34</v>
      </c>
      <c r="F331" s="104" t="s">
        <v>35</v>
      </c>
      <c r="G331" s="145" t="s">
        <v>1012</v>
      </c>
      <c r="H331" s="104">
        <v>2232</v>
      </c>
      <c r="I331" s="104">
        <v>242</v>
      </c>
      <c r="J331" s="104" t="s">
        <v>58</v>
      </c>
      <c r="K331" s="104" t="s">
        <v>1013</v>
      </c>
      <c r="L331" s="104">
        <v>97410</v>
      </c>
      <c r="M331" s="104">
        <v>5</v>
      </c>
      <c r="N331" s="104" t="s">
        <v>1014</v>
      </c>
      <c r="O331" s="104" t="s">
        <v>40</v>
      </c>
      <c r="P331" s="104">
        <v>4340020</v>
      </c>
      <c r="Q331" s="130">
        <v>46014</v>
      </c>
      <c r="R331" s="104">
        <v>4454031</v>
      </c>
      <c r="S331" s="146">
        <v>395</v>
      </c>
      <c r="T331" s="108">
        <v>46357</v>
      </c>
      <c r="U331" s="104">
        <v>538</v>
      </c>
      <c r="V331" s="104" t="s">
        <v>1015</v>
      </c>
      <c r="W331" s="104" t="s">
        <v>40</v>
      </c>
      <c r="X331" s="104" t="s">
        <v>44</v>
      </c>
      <c r="Y331" s="131">
        <v>395</v>
      </c>
      <c r="Z331" s="106">
        <v>46017</v>
      </c>
      <c r="AA331" s="106">
        <v>46020</v>
      </c>
      <c r="AB331" s="104" t="s">
        <v>60</v>
      </c>
      <c r="AC331" s="104"/>
      <c r="AD331" s="113">
        <f>S331-Y331</f>
        <v>0</v>
      </c>
    </row>
    <row r="332" spans="2:30" ht="45" hidden="1" customHeight="1">
      <c r="B332" s="174">
        <v>329</v>
      </c>
      <c r="C332" s="104" t="s">
        <v>70</v>
      </c>
      <c r="D332" s="104" t="s">
        <v>1016</v>
      </c>
      <c r="E332" s="104">
        <v>40284</v>
      </c>
      <c r="F332" s="104" t="s">
        <v>44</v>
      </c>
      <c r="G332" s="145" t="s">
        <v>1017</v>
      </c>
      <c r="H332" s="104">
        <v>2275</v>
      </c>
      <c r="I332" s="104">
        <v>242</v>
      </c>
      <c r="J332" s="104" t="s">
        <v>58</v>
      </c>
      <c r="K332" s="104" t="s">
        <v>1018</v>
      </c>
      <c r="L332" s="104">
        <v>97676</v>
      </c>
      <c r="M332" s="104">
        <v>6</v>
      </c>
      <c r="N332" s="104" t="s">
        <v>34</v>
      </c>
      <c r="O332" s="104" t="s">
        <v>34</v>
      </c>
      <c r="P332" s="104">
        <v>4340049</v>
      </c>
      <c r="Q332" s="106">
        <v>46014</v>
      </c>
      <c r="R332" s="104">
        <v>4462889</v>
      </c>
      <c r="S332" s="109">
        <v>8259.89</v>
      </c>
      <c r="T332" s="108">
        <v>46023</v>
      </c>
      <c r="U332" s="116" t="s">
        <v>1019</v>
      </c>
      <c r="V332" s="110"/>
      <c r="W332" s="104" t="s">
        <v>48</v>
      </c>
      <c r="X332" s="104" t="s">
        <v>44</v>
      </c>
      <c r="Y332" s="221">
        <v>8259.89</v>
      </c>
      <c r="Z332" s="106">
        <v>46056</v>
      </c>
      <c r="AA332" s="106">
        <v>46058</v>
      </c>
      <c r="AB332" s="104" t="s">
        <v>41</v>
      </c>
      <c r="AC332" s="104"/>
      <c r="AD332" s="113">
        <f>S332-Y332</f>
        <v>0</v>
      </c>
    </row>
    <row r="333" spans="2:30" ht="39" hidden="1" customHeight="1">
      <c r="B333" s="174">
        <v>330</v>
      </c>
      <c r="C333" s="104" t="s">
        <v>183</v>
      </c>
      <c r="D333" s="104" t="s">
        <v>948</v>
      </c>
      <c r="E333" s="104">
        <v>42126</v>
      </c>
      <c r="F333" s="104" t="s">
        <v>44</v>
      </c>
      <c r="G333" s="145" t="s">
        <v>1020</v>
      </c>
      <c r="H333" s="104">
        <v>2488</v>
      </c>
      <c r="I333" s="104">
        <v>242</v>
      </c>
      <c r="J333" s="104" t="s">
        <v>58</v>
      </c>
      <c r="K333" s="104" t="s">
        <v>1021</v>
      </c>
      <c r="L333" s="104">
        <v>97763</v>
      </c>
      <c r="M333" s="104">
        <v>6</v>
      </c>
      <c r="N333" s="104" t="s">
        <v>34</v>
      </c>
      <c r="O333" s="104" t="s">
        <v>34</v>
      </c>
      <c r="P333" s="104">
        <v>4340057</v>
      </c>
      <c r="Q333" s="106">
        <v>46014</v>
      </c>
      <c r="R333" s="104">
        <v>4456279</v>
      </c>
      <c r="S333" s="109">
        <v>5800</v>
      </c>
      <c r="T333" s="108">
        <v>46023</v>
      </c>
      <c r="U333" s="104">
        <v>3227</v>
      </c>
      <c r="V333" s="104"/>
      <c r="W333" s="104" t="s">
        <v>48</v>
      </c>
      <c r="X333" s="104" t="s">
        <v>44</v>
      </c>
      <c r="Y333" s="131">
        <v>5800</v>
      </c>
      <c r="Z333" s="106">
        <v>46072</v>
      </c>
      <c r="AA333" s="106">
        <v>46077</v>
      </c>
      <c r="AB333" s="104" t="s">
        <v>41</v>
      </c>
      <c r="AC333" s="104"/>
      <c r="AD333" s="113">
        <f>S333-Y333</f>
        <v>0</v>
      </c>
    </row>
    <row r="334" spans="2:30" ht="45" hidden="1" customHeight="1">
      <c r="B334" s="174">
        <v>331</v>
      </c>
      <c r="C334" s="104" t="s">
        <v>183</v>
      </c>
      <c r="D334" s="104" t="s">
        <v>575</v>
      </c>
      <c r="E334" s="104">
        <v>42171</v>
      </c>
      <c r="F334" s="104" t="s">
        <v>35</v>
      </c>
      <c r="G334" s="145" t="s">
        <v>1022</v>
      </c>
      <c r="H334" s="104">
        <v>2224</v>
      </c>
      <c r="I334" s="104">
        <v>242</v>
      </c>
      <c r="J334" s="104" t="s">
        <v>58</v>
      </c>
      <c r="K334" s="104" t="s">
        <v>1023</v>
      </c>
      <c r="L334" s="104">
        <v>97764</v>
      </c>
      <c r="M334" s="104">
        <v>6</v>
      </c>
      <c r="N334" s="104" t="s">
        <v>34</v>
      </c>
      <c r="O334" s="104" t="s">
        <v>34</v>
      </c>
      <c r="P334" s="104">
        <v>4340070</v>
      </c>
      <c r="Q334" s="106">
        <v>46014</v>
      </c>
      <c r="R334" s="104">
        <v>4456219</v>
      </c>
      <c r="S334" s="109">
        <v>4259.8999999999996</v>
      </c>
      <c r="T334" s="108">
        <v>46023</v>
      </c>
      <c r="U334" s="104">
        <v>1833</v>
      </c>
      <c r="V334" s="104"/>
      <c r="W334" s="104" t="s">
        <v>40</v>
      </c>
      <c r="X334" s="104" t="s">
        <v>25</v>
      </c>
      <c r="Y334" s="131">
        <v>4259.8999999999996</v>
      </c>
      <c r="Z334" s="106">
        <v>46055</v>
      </c>
      <c r="AA334" s="106">
        <v>46063</v>
      </c>
      <c r="AB334" s="104" t="s">
        <v>41</v>
      </c>
      <c r="AC334" s="104"/>
      <c r="AD334" s="113">
        <f>S334-Y334</f>
        <v>0</v>
      </c>
    </row>
    <row r="335" spans="2:30" ht="45" hidden="1" customHeight="1">
      <c r="B335" s="174">
        <v>332</v>
      </c>
      <c r="C335" s="104" t="s">
        <v>61</v>
      </c>
      <c r="D335" s="104" t="s">
        <v>81</v>
      </c>
      <c r="E335" s="104" t="s">
        <v>34</v>
      </c>
      <c r="F335" s="104" t="s">
        <v>44</v>
      </c>
      <c r="G335" s="145" t="s">
        <v>1024</v>
      </c>
      <c r="H335" s="104">
        <v>2224</v>
      </c>
      <c r="I335" s="104">
        <v>242</v>
      </c>
      <c r="J335" s="104" t="s">
        <v>58</v>
      </c>
      <c r="K335" s="104" t="s">
        <v>1025</v>
      </c>
      <c r="L335" s="104">
        <v>97841</v>
      </c>
      <c r="M335" s="104">
        <v>5</v>
      </c>
      <c r="N335" s="104" t="s">
        <v>1026</v>
      </c>
      <c r="O335" s="104" t="s">
        <v>40</v>
      </c>
      <c r="P335" s="104">
        <v>4340072</v>
      </c>
      <c r="Q335" s="106">
        <v>46014</v>
      </c>
      <c r="R335" s="110">
        <v>4473496</v>
      </c>
      <c r="S335" s="146">
        <v>4709.79</v>
      </c>
      <c r="T335" s="108">
        <v>46357</v>
      </c>
      <c r="U335" s="104">
        <v>5778</v>
      </c>
      <c r="V335" s="104" t="s">
        <v>34</v>
      </c>
      <c r="W335" s="104" t="s">
        <v>40</v>
      </c>
      <c r="X335" s="104" t="s">
        <v>44</v>
      </c>
      <c r="Y335" s="131">
        <v>4709.79</v>
      </c>
      <c r="Z335" s="106">
        <v>46066</v>
      </c>
      <c r="AA335" s="106">
        <v>46073</v>
      </c>
      <c r="AB335" s="104" t="s">
        <v>41</v>
      </c>
      <c r="AC335" s="118"/>
      <c r="AD335" s="113">
        <f>S335-Y335</f>
        <v>0</v>
      </c>
    </row>
    <row r="336" spans="2:30" ht="45" hidden="1" customHeight="1">
      <c r="B336" s="174">
        <v>333</v>
      </c>
      <c r="C336" s="104" t="s">
        <v>95</v>
      </c>
      <c r="D336" s="104" t="s">
        <v>138</v>
      </c>
      <c r="E336" s="104">
        <v>42132</v>
      </c>
      <c r="F336" s="104" t="s">
        <v>44</v>
      </c>
      <c r="G336" s="145" t="s">
        <v>1027</v>
      </c>
      <c r="H336" s="104">
        <v>4057</v>
      </c>
      <c r="I336" s="104">
        <v>242</v>
      </c>
      <c r="J336" s="104" t="s">
        <v>46</v>
      </c>
      <c r="K336" s="104" t="s">
        <v>138</v>
      </c>
      <c r="L336" s="104">
        <v>97960</v>
      </c>
      <c r="M336" s="104">
        <v>6</v>
      </c>
      <c r="N336" s="104"/>
      <c r="O336" s="104"/>
      <c r="P336" s="104">
        <v>4341348</v>
      </c>
      <c r="Q336" s="106">
        <v>46017</v>
      </c>
      <c r="R336" s="104">
        <v>4458274</v>
      </c>
      <c r="S336" s="156">
        <v>8970.24</v>
      </c>
      <c r="T336" s="108">
        <v>45677</v>
      </c>
      <c r="U336" s="104" t="s">
        <v>1028</v>
      </c>
      <c r="V336" s="104"/>
      <c r="W336" s="104" t="s">
        <v>48</v>
      </c>
      <c r="X336" s="104" t="s">
        <v>94</v>
      </c>
      <c r="Y336" s="131">
        <v>8340</v>
      </c>
      <c r="Z336" s="106">
        <v>46042</v>
      </c>
      <c r="AA336" s="106">
        <v>46043</v>
      </c>
      <c r="AB336" s="104" t="s">
        <v>41</v>
      </c>
      <c r="AC336" s="104"/>
      <c r="AD336" s="113">
        <f>S336-Y336</f>
        <v>630.23999999999978</v>
      </c>
    </row>
    <row r="337" spans="2:30" ht="45" hidden="1" customHeight="1">
      <c r="B337" s="174">
        <v>334</v>
      </c>
      <c r="C337" s="104" t="s">
        <v>80</v>
      </c>
      <c r="D337" s="104" t="s">
        <v>81</v>
      </c>
      <c r="E337" s="104" t="s">
        <v>34</v>
      </c>
      <c r="F337" s="104" t="s">
        <v>44</v>
      </c>
      <c r="G337" s="145" t="s">
        <v>1029</v>
      </c>
      <c r="H337" s="104">
        <v>2488</v>
      </c>
      <c r="I337" s="104">
        <v>242</v>
      </c>
      <c r="J337" s="104" t="s">
        <v>46</v>
      </c>
      <c r="K337" s="104" t="s">
        <v>1030</v>
      </c>
      <c r="L337" s="104">
        <v>97992</v>
      </c>
      <c r="M337" s="104">
        <v>29</v>
      </c>
      <c r="N337" s="104" t="s">
        <v>1031</v>
      </c>
      <c r="O337" s="104"/>
      <c r="P337" s="104">
        <v>4343441</v>
      </c>
      <c r="Q337" s="106">
        <v>46020</v>
      </c>
      <c r="R337" s="104">
        <v>4456993</v>
      </c>
      <c r="S337" s="129">
        <v>10924.01</v>
      </c>
      <c r="T337" s="108">
        <v>46026</v>
      </c>
      <c r="U337" s="104"/>
      <c r="V337" s="104"/>
      <c r="W337" s="104"/>
      <c r="X337" s="104"/>
      <c r="Y337" s="131"/>
      <c r="Z337" s="106"/>
      <c r="AA337" s="106"/>
      <c r="AB337" s="104" t="s">
        <v>66</v>
      </c>
      <c r="AC337" s="104"/>
      <c r="AD337" s="113">
        <f>S337-Y337</f>
        <v>10924.01</v>
      </c>
    </row>
    <row r="338" spans="2:30" ht="45" hidden="1" customHeight="1">
      <c r="B338" s="174">
        <v>335</v>
      </c>
      <c r="C338" s="104" t="s">
        <v>70</v>
      </c>
      <c r="D338" s="104" t="s">
        <v>323</v>
      </c>
      <c r="E338" s="104">
        <v>42617</v>
      </c>
      <c r="F338" s="104" t="s">
        <v>44</v>
      </c>
      <c r="G338" s="145" t="s">
        <v>1032</v>
      </c>
      <c r="H338" s="104">
        <v>4057</v>
      </c>
      <c r="I338" s="104">
        <v>242</v>
      </c>
      <c r="J338" s="104" t="s">
        <v>58</v>
      </c>
      <c r="K338" s="104" t="s">
        <v>1033</v>
      </c>
      <c r="L338" s="104">
        <v>98534</v>
      </c>
      <c r="M338" s="104">
        <v>6</v>
      </c>
      <c r="N338" s="104" t="s">
        <v>34</v>
      </c>
      <c r="O338" s="104" t="s">
        <v>34</v>
      </c>
      <c r="P338" s="104">
        <v>4348310</v>
      </c>
      <c r="Q338" s="106">
        <v>46027</v>
      </c>
      <c r="R338" s="104">
        <v>4465547</v>
      </c>
      <c r="S338" s="109">
        <v>5900</v>
      </c>
      <c r="T338" s="108">
        <v>46023</v>
      </c>
      <c r="U338" s="104">
        <v>164</v>
      </c>
      <c r="V338" s="104"/>
      <c r="W338" s="104" t="s">
        <v>48</v>
      </c>
      <c r="X338" s="104" t="s">
        <v>25</v>
      </c>
      <c r="Y338" s="131">
        <v>5900</v>
      </c>
      <c r="Z338" s="106">
        <v>46058</v>
      </c>
      <c r="AA338" s="106">
        <v>46062</v>
      </c>
      <c r="AB338" s="104" t="s">
        <v>60</v>
      </c>
      <c r="AC338" s="104"/>
      <c r="AD338" s="113">
        <f>S338-Y338</f>
        <v>0</v>
      </c>
    </row>
    <row r="339" spans="2:30" ht="45" hidden="1" customHeight="1">
      <c r="B339" s="174">
        <v>336</v>
      </c>
      <c r="C339" s="104" t="s">
        <v>51</v>
      </c>
      <c r="D339" s="104" t="s">
        <v>1034</v>
      </c>
      <c r="E339" s="104">
        <v>43172</v>
      </c>
      <c r="F339" s="104" t="s">
        <v>44</v>
      </c>
      <c r="G339" s="145" t="s">
        <v>1035</v>
      </c>
      <c r="H339" s="104">
        <v>2291</v>
      </c>
      <c r="I339" s="104">
        <v>242</v>
      </c>
      <c r="J339" s="104" t="s">
        <v>46</v>
      </c>
      <c r="K339" s="104">
        <v>9444</v>
      </c>
      <c r="L339" s="104">
        <v>99134</v>
      </c>
      <c r="M339" s="104">
        <v>6</v>
      </c>
      <c r="N339" s="104"/>
      <c r="O339" s="104"/>
      <c r="P339" s="104">
        <v>4351150</v>
      </c>
      <c r="Q339" s="106">
        <v>46028</v>
      </c>
      <c r="R339" s="104">
        <v>4468772</v>
      </c>
      <c r="S339" s="129">
        <v>4775</v>
      </c>
      <c r="T339" s="108">
        <v>46043</v>
      </c>
      <c r="U339" s="104">
        <v>1437</v>
      </c>
      <c r="V339" s="104">
        <v>2100</v>
      </c>
      <c r="W339" s="104" t="s">
        <v>48</v>
      </c>
      <c r="X339" s="104" t="s">
        <v>25</v>
      </c>
      <c r="Y339" s="131">
        <v>4775</v>
      </c>
      <c r="Z339" s="106">
        <v>46042</v>
      </c>
      <c r="AA339" s="106">
        <v>46048</v>
      </c>
      <c r="AB339" s="104" t="s">
        <v>60</v>
      </c>
      <c r="AC339" s="104"/>
      <c r="AD339" s="113">
        <f>S339-Y339</f>
        <v>0</v>
      </c>
    </row>
    <row r="340" spans="2:30" ht="45" hidden="1" customHeight="1">
      <c r="B340" s="174">
        <v>337</v>
      </c>
      <c r="C340" s="104" t="s">
        <v>137</v>
      </c>
      <c r="D340" s="104" t="s">
        <v>1036</v>
      </c>
      <c r="E340" s="104"/>
      <c r="F340" s="104" t="s">
        <v>44</v>
      </c>
      <c r="G340" s="145" t="s">
        <v>1037</v>
      </c>
      <c r="H340" s="104">
        <v>2071</v>
      </c>
      <c r="I340" s="104">
        <v>5</v>
      </c>
      <c r="J340" s="104" t="s">
        <v>46</v>
      </c>
      <c r="K340" s="104">
        <v>119</v>
      </c>
      <c r="L340" s="104">
        <v>98808</v>
      </c>
      <c r="M340" s="104">
        <v>5</v>
      </c>
      <c r="N340" s="104" t="s">
        <v>1038</v>
      </c>
      <c r="O340" s="104"/>
      <c r="P340" s="104">
        <v>4351229</v>
      </c>
      <c r="Q340" s="106">
        <v>46028</v>
      </c>
      <c r="R340" s="104">
        <v>4465334</v>
      </c>
      <c r="S340" s="109">
        <v>4315</v>
      </c>
      <c r="T340" s="108"/>
      <c r="U340" s="104" t="s">
        <v>1039</v>
      </c>
      <c r="V340" s="104"/>
      <c r="W340" s="104" t="s">
        <v>48</v>
      </c>
      <c r="X340" s="104" t="s">
        <v>131</v>
      </c>
      <c r="Y340" s="131">
        <v>4315</v>
      </c>
      <c r="Z340" s="106">
        <v>46035</v>
      </c>
      <c r="AA340" s="106">
        <v>46066</v>
      </c>
      <c r="AB340" s="104" t="s">
        <v>60</v>
      </c>
      <c r="AC340" s="104"/>
      <c r="AD340" s="113">
        <f>S340-Y340</f>
        <v>0</v>
      </c>
    </row>
    <row r="341" spans="2:30" ht="45" hidden="1" customHeight="1">
      <c r="B341" s="174">
        <v>338</v>
      </c>
      <c r="C341" s="104" t="s">
        <v>51</v>
      </c>
      <c r="D341" s="104" t="s">
        <v>1040</v>
      </c>
      <c r="E341" s="104" t="s">
        <v>1041</v>
      </c>
      <c r="F341" s="104" t="s">
        <v>35</v>
      </c>
      <c r="G341" s="145" t="s">
        <v>1042</v>
      </c>
      <c r="H341" s="104">
        <v>2291</v>
      </c>
      <c r="I341" s="104">
        <v>242</v>
      </c>
      <c r="J341" s="104" t="s">
        <v>46</v>
      </c>
      <c r="K341" s="104">
        <v>918</v>
      </c>
      <c r="L341" s="104">
        <v>99006</v>
      </c>
      <c r="M341" s="104">
        <v>5</v>
      </c>
      <c r="N341" s="104" t="s">
        <v>1043</v>
      </c>
      <c r="O341" s="104"/>
      <c r="P341" s="104">
        <v>4352069</v>
      </c>
      <c r="Q341" s="106">
        <v>46029</v>
      </c>
      <c r="R341" s="104">
        <v>4465355</v>
      </c>
      <c r="S341" s="109">
        <v>1785</v>
      </c>
      <c r="T341" s="108"/>
      <c r="U341" s="104">
        <v>605</v>
      </c>
      <c r="V341" s="104"/>
      <c r="W341" s="104" t="s">
        <v>48</v>
      </c>
      <c r="X341" s="104" t="s">
        <v>131</v>
      </c>
      <c r="Y341" s="131">
        <v>1785</v>
      </c>
      <c r="Z341" s="106">
        <v>46042</v>
      </c>
      <c r="AA341" s="106">
        <v>46059</v>
      </c>
      <c r="AB341" s="104" t="s">
        <v>60</v>
      </c>
      <c r="AC341" s="104"/>
      <c r="AD341" s="113">
        <f>S341-Y341</f>
        <v>0</v>
      </c>
    </row>
    <row r="342" spans="2:30" ht="45" hidden="1" customHeight="1">
      <c r="B342" s="174">
        <v>339</v>
      </c>
      <c r="C342" s="104" t="s">
        <v>70</v>
      </c>
      <c r="D342" s="104" t="s">
        <v>142</v>
      </c>
      <c r="E342" s="104" t="s">
        <v>1044</v>
      </c>
      <c r="F342" s="104" t="s">
        <v>44</v>
      </c>
      <c r="G342" s="145" t="s">
        <v>1045</v>
      </c>
      <c r="H342" s="104">
        <v>2291</v>
      </c>
      <c r="I342" s="104">
        <v>242</v>
      </c>
      <c r="J342" s="104" t="s">
        <v>70</v>
      </c>
      <c r="K342" s="104" t="s">
        <v>1046</v>
      </c>
      <c r="L342" s="104">
        <v>99170</v>
      </c>
      <c r="M342" s="104">
        <v>2</v>
      </c>
      <c r="N342" s="104" t="s">
        <v>1047</v>
      </c>
      <c r="O342" s="104" t="s">
        <v>34</v>
      </c>
      <c r="P342" s="104">
        <v>4352661</v>
      </c>
      <c r="Q342" s="106">
        <v>46029</v>
      </c>
      <c r="R342" s="104">
        <v>4468039</v>
      </c>
      <c r="S342" s="109">
        <v>45045.8</v>
      </c>
      <c r="T342" s="108">
        <v>46043</v>
      </c>
      <c r="U342" s="119" t="s">
        <v>1048</v>
      </c>
      <c r="V342" s="104"/>
      <c r="W342" s="104" t="s">
        <v>40</v>
      </c>
      <c r="X342" s="104" t="s">
        <v>44</v>
      </c>
      <c r="Y342" s="131">
        <v>12434</v>
      </c>
      <c r="Z342" s="106">
        <v>46083</v>
      </c>
      <c r="AA342" s="106">
        <v>46083</v>
      </c>
      <c r="AB342" s="104" t="s">
        <v>41</v>
      </c>
      <c r="AC342" s="104"/>
      <c r="AD342" s="113">
        <f>S342-Y342</f>
        <v>32611.800000000003</v>
      </c>
    </row>
    <row r="343" spans="2:30" ht="45" hidden="1" customHeight="1">
      <c r="B343" s="174">
        <v>340</v>
      </c>
      <c r="C343" s="104" t="s">
        <v>291</v>
      </c>
      <c r="D343" s="104" t="s">
        <v>33</v>
      </c>
      <c r="E343" s="104">
        <v>43168</v>
      </c>
      <c r="F343" s="104" t="s">
        <v>35</v>
      </c>
      <c r="G343" s="145" t="s">
        <v>1049</v>
      </c>
      <c r="H343" s="104">
        <v>2224</v>
      </c>
      <c r="I343" s="104">
        <v>242</v>
      </c>
      <c r="J343" s="104" t="s">
        <v>46</v>
      </c>
      <c r="K343" s="104">
        <v>455</v>
      </c>
      <c r="L343" s="104">
        <v>99296</v>
      </c>
      <c r="M343" s="104">
        <v>6</v>
      </c>
      <c r="N343" s="104" t="s">
        <v>34</v>
      </c>
      <c r="O343" s="104" t="s">
        <v>34</v>
      </c>
      <c r="P343" s="104">
        <v>4353367</v>
      </c>
      <c r="Q343" s="106">
        <v>46030</v>
      </c>
      <c r="R343" s="104">
        <v>4469036</v>
      </c>
      <c r="S343" s="129">
        <v>2420</v>
      </c>
      <c r="T343" s="108"/>
      <c r="U343" s="104">
        <v>3245</v>
      </c>
      <c r="V343" s="104"/>
      <c r="W343" s="104" t="s">
        <v>48</v>
      </c>
      <c r="X343" s="104" t="s">
        <v>25</v>
      </c>
      <c r="Y343" s="131">
        <v>2420</v>
      </c>
      <c r="Z343" s="106">
        <v>46036</v>
      </c>
      <c r="AA343" s="106">
        <v>46038</v>
      </c>
      <c r="AB343" s="104" t="s">
        <v>60</v>
      </c>
      <c r="AC343" s="104"/>
      <c r="AD343" s="113">
        <f>S343-Y343</f>
        <v>0</v>
      </c>
    </row>
    <row r="344" spans="2:30" ht="45" hidden="1" customHeight="1">
      <c r="B344" s="174">
        <v>341</v>
      </c>
      <c r="C344" s="104" t="s">
        <v>291</v>
      </c>
      <c r="D344" s="104" t="s">
        <v>805</v>
      </c>
      <c r="E344" s="104" t="s">
        <v>34</v>
      </c>
      <c r="F344" s="104" t="s">
        <v>44</v>
      </c>
      <c r="G344" s="145" t="s">
        <v>1050</v>
      </c>
      <c r="H344" s="104">
        <v>2488</v>
      </c>
      <c r="I344" s="104">
        <v>242</v>
      </c>
      <c r="J344" s="104" t="s">
        <v>46</v>
      </c>
      <c r="K344" s="104" t="s">
        <v>709</v>
      </c>
      <c r="L344" s="104">
        <v>99291</v>
      </c>
      <c r="M344" s="104">
        <v>1</v>
      </c>
      <c r="N344" s="104"/>
      <c r="O344" s="104"/>
      <c r="P344" s="104">
        <v>4353384</v>
      </c>
      <c r="Q344" s="106">
        <v>46030</v>
      </c>
      <c r="R344" s="104">
        <v>4471520</v>
      </c>
      <c r="S344" s="129">
        <v>12500</v>
      </c>
      <c r="T344" s="108">
        <v>46048</v>
      </c>
      <c r="U344" s="104">
        <v>6</v>
      </c>
      <c r="V344" s="104" t="s">
        <v>34</v>
      </c>
      <c r="W344" s="104" t="s">
        <v>48</v>
      </c>
      <c r="X344" s="104" t="s">
        <v>25</v>
      </c>
      <c r="Y344" s="131">
        <v>12500</v>
      </c>
      <c r="Z344" s="106">
        <v>46063</v>
      </c>
      <c r="AA344" s="106">
        <v>46065</v>
      </c>
      <c r="AB344" s="104" t="s">
        <v>60</v>
      </c>
      <c r="AC344" s="104"/>
      <c r="AD344" s="113">
        <f>S344-Y344</f>
        <v>0</v>
      </c>
    </row>
    <row r="345" spans="2:30" ht="45" hidden="1" customHeight="1">
      <c r="B345" s="174">
        <v>342</v>
      </c>
      <c r="C345" s="104" t="s">
        <v>70</v>
      </c>
      <c r="D345" s="104" t="s">
        <v>459</v>
      </c>
      <c r="E345" s="104">
        <v>41750</v>
      </c>
      <c r="F345" s="104" t="s">
        <v>44</v>
      </c>
      <c r="G345" s="145" t="s">
        <v>1051</v>
      </c>
      <c r="H345" s="104">
        <v>2291</v>
      </c>
      <c r="I345" s="104">
        <v>242</v>
      </c>
      <c r="J345" s="104" t="s">
        <v>58</v>
      </c>
      <c r="K345" s="104" t="s">
        <v>1052</v>
      </c>
      <c r="L345" s="104">
        <v>99479</v>
      </c>
      <c r="M345" s="104">
        <v>6</v>
      </c>
      <c r="N345" s="104" t="s">
        <v>34</v>
      </c>
      <c r="O345" s="104" t="s">
        <v>34</v>
      </c>
      <c r="P345" s="104">
        <v>4353433</v>
      </c>
      <c r="Q345" s="106">
        <v>46030</v>
      </c>
      <c r="R345" s="104">
        <v>4469047</v>
      </c>
      <c r="S345" s="109">
        <v>5300</v>
      </c>
      <c r="T345" s="108">
        <v>46054</v>
      </c>
      <c r="U345" s="104">
        <v>1435</v>
      </c>
      <c r="V345" s="104"/>
      <c r="W345" s="104" t="s">
        <v>48</v>
      </c>
      <c r="X345" s="104" t="s">
        <v>25</v>
      </c>
      <c r="Y345" s="131">
        <v>5300</v>
      </c>
      <c r="Z345" s="106">
        <v>46041</v>
      </c>
      <c r="AA345" s="106">
        <v>46050</v>
      </c>
      <c r="AB345" s="104" t="s">
        <v>60</v>
      </c>
      <c r="AC345" s="104"/>
      <c r="AD345" s="113">
        <f>S345-Y345</f>
        <v>0</v>
      </c>
    </row>
    <row r="346" spans="2:30" ht="45" hidden="1" customHeight="1">
      <c r="B346" s="174">
        <v>343</v>
      </c>
      <c r="C346" s="104" t="s">
        <v>70</v>
      </c>
      <c r="D346" s="104" t="s">
        <v>323</v>
      </c>
      <c r="E346" s="104">
        <v>42805</v>
      </c>
      <c r="F346" s="104" t="s">
        <v>44</v>
      </c>
      <c r="G346" s="145" t="s">
        <v>1053</v>
      </c>
      <c r="H346" s="104">
        <v>2283</v>
      </c>
      <c r="I346" s="104">
        <v>242</v>
      </c>
      <c r="J346" s="104" t="s">
        <v>58</v>
      </c>
      <c r="K346" s="104" t="s">
        <v>1054</v>
      </c>
      <c r="L346" s="104">
        <v>99619</v>
      </c>
      <c r="M346" s="104">
        <v>6</v>
      </c>
      <c r="N346" s="104" t="s">
        <v>34</v>
      </c>
      <c r="O346" s="104" t="s">
        <v>34</v>
      </c>
      <c r="P346" s="104">
        <v>4353480</v>
      </c>
      <c r="Q346" s="106">
        <v>46030</v>
      </c>
      <c r="R346" s="104">
        <v>4469048</v>
      </c>
      <c r="S346" s="109">
        <v>3898.2</v>
      </c>
      <c r="T346" s="108">
        <v>46054</v>
      </c>
      <c r="U346" s="104">
        <v>162</v>
      </c>
      <c r="V346" s="104"/>
      <c r="W346" s="104" t="s">
        <v>48</v>
      </c>
      <c r="X346" s="104" t="s">
        <v>25</v>
      </c>
      <c r="Y346" s="131">
        <v>3898.2</v>
      </c>
      <c r="Z346" s="106">
        <v>46055</v>
      </c>
      <c r="AA346" s="106">
        <v>46062</v>
      </c>
      <c r="AB346" s="104" t="s">
        <v>60</v>
      </c>
      <c r="AC346" s="104"/>
      <c r="AD346" s="113">
        <f>S346-Y346</f>
        <v>0</v>
      </c>
    </row>
    <row r="347" spans="2:30" ht="45" hidden="1" customHeight="1">
      <c r="B347" s="174">
        <v>344</v>
      </c>
      <c r="C347" s="104" t="s">
        <v>70</v>
      </c>
      <c r="D347" s="104" t="s">
        <v>1055</v>
      </c>
      <c r="E347" s="104" t="s">
        <v>34</v>
      </c>
      <c r="F347" s="104" t="s">
        <v>44</v>
      </c>
      <c r="G347" s="145" t="s">
        <v>1056</v>
      </c>
      <c r="H347" s="104">
        <v>1171</v>
      </c>
      <c r="I347" s="104">
        <v>242</v>
      </c>
      <c r="J347" s="104" t="s">
        <v>58</v>
      </c>
      <c r="K347" s="104" t="s">
        <v>1057</v>
      </c>
      <c r="L347" s="104">
        <v>98699</v>
      </c>
      <c r="M347" s="104">
        <v>5</v>
      </c>
      <c r="N347" s="104" t="s">
        <v>1058</v>
      </c>
      <c r="O347" s="104" t="s">
        <v>48</v>
      </c>
      <c r="P347" s="104">
        <v>4354005</v>
      </c>
      <c r="Q347" s="106">
        <v>46032</v>
      </c>
      <c r="R347" s="110">
        <v>4472826</v>
      </c>
      <c r="S347" s="146">
        <v>2209.37</v>
      </c>
      <c r="T347" s="108">
        <v>46023</v>
      </c>
      <c r="U347" s="104"/>
      <c r="V347" s="104"/>
      <c r="W347" s="104"/>
      <c r="X347" s="104"/>
      <c r="Y347" s="131"/>
      <c r="Z347" s="106"/>
      <c r="AA347" s="106"/>
      <c r="AB347" s="104" t="s">
        <v>66</v>
      </c>
      <c r="AC347" s="118"/>
      <c r="AD347" s="113">
        <f>S347-Y347</f>
        <v>2209.37</v>
      </c>
    </row>
    <row r="348" spans="2:30" ht="45" hidden="1" customHeight="1">
      <c r="B348" s="174">
        <v>345</v>
      </c>
      <c r="C348" s="104" t="s">
        <v>51</v>
      </c>
      <c r="D348" s="104" t="s">
        <v>1059</v>
      </c>
      <c r="E348" s="104"/>
      <c r="F348" s="104" t="s">
        <v>44</v>
      </c>
      <c r="G348" s="145" t="s">
        <v>1060</v>
      </c>
      <c r="H348" s="104">
        <v>4588</v>
      </c>
      <c r="I348" s="104">
        <v>242</v>
      </c>
      <c r="J348" s="104" t="s">
        <v>46</v>
      </c>
      <c r="K348" s="104">
        <v>32857</v>
      </c>
      <c r="L348" s="104">
        <v>99692</v>
      </c>
      <c r="M348" s="104">
        <v>29</v>
      </c>
      <c r="N348" s="104" t="s">
        <v>1061</v>
      </c>
      <c r="O348" s="104"/>
      <c r="P348" s="104">
        <v>4354865</v>
      </c>
      <c r="Q348" s="106">
        <v>46031</v>
      </c>
      <c r="R348" s="104">
        <v>4481290</v>
      </c>
      <c r="S348" s="129">
        <v>99140</v>
      </c>
      <c r="T348" s="108"/>
      <c r="U348" s="104"/>
      <c r="V348" s="104"/>
      <c r="W348" s="104"/>
      <c r="X348" s="104"/>
      <c r="Y348" s="131"/>
      <c r="Z348" s="106"/>
      <c r="AA348" s="106"/>
      <c r="AB348" s="104" t="s">
        <v>66</v>
      </c>
      <c r="AC348" s="104"/>
      <c r="AD348" s="113">
        <f>S348-Y348</f>
        <v>99140</v>
      </c>
    </row>
    <row r="349" spans="2:30" ht="45" hidden="1" customHeight="1">
      <c r="B349" s="174">
        <v>346</v>
      </c>
      <c r="C349" s="104" t="s">
        <v>291</v>
      </c>
      <c r="D349" s="104" t="s">
        <v>582</v>
      </c>
      <c r="E349" s="104">
        <v>42766</v>
      </c>
      <c r="F349" s="104" t="s">
        <v>35</v>
      </c>
      <c r="G349" s="145" t="s">
        <v>1062</v>
      </c>
      <c r="H349" s="104">
        <v>2224</v>
      </c>
      <c r="I349" s="104">
        <v>242</v>
      </c>
      <c r="J349" s="104" t="s">
        <v>46</v>
      </c>
      <c r="K349" s="104">
        <v>462</v>
      </c>
      <c r="L349" s="104">
        <v>99864</v>
      </c>
      <c r="M349" s="104">
        <v>6</v>
      </c>
      <c r="N349" s="104"/>
      <c r="O349" s="104"/>
      <c r="P349" s="104">
        <v>4355439</v>
      </c>
      <c r="Q349" s="106">
        <v>46031</v>
      </c>
      <c r="R349" s="104">
        <v>4472612</v>
      </c>
      <c r="S349" s="129">
        <v>3200</v>
      </c>
      <c r="T349" s="108"/>
      <c r="U349" s="104">
        <v>3252</v>
      </c>
      <c r="V349" s="104"/>
      <c r="W349" s="104" t="s">
        <v>48</v>
      </c>
      <c r="X349" s="104" t="s">
        <v>25</v>
      </c>
      <c r="Y349" s="131">
        <v>3200</v>
      </c>
      <c r="Z349" s="106">
        <v>46055</v>
      </c>
      <c r="AA349" s="106">
        <v>46059</v>
      </c>
      <c r="AB349" s="104" t="s">
        <v>60</v>
      </c>
      <c r="AC349" s="104"/>
      <c r="AD349" s="113">
        <f>S349-Y349</f>
        <v>0</v>
      </c>
    </row>
    <row r="350" spans="2:30" ht="45" hidden="1" customHeight="1">
      <c r="B350" s="174">
        <v>347</v>
      </c>
      <c r="C350" s="104" t="s">
        <v>1063</v>
      </c>
      <c r="D350" s="104" t="s">
        <v>1064</v>
      </c>
      <c r="E350" s="104"/>
      <c r="F350" s="104" t="s">
        <v>44</v>
      </c>
      <c r="G350" s="145" t="s">
        <v>1065</v>
      </c>
      <c r="H350" s="104">
        <v>4600</v>
      </c>
      <c r="I350" s="104">
        <v>242</v>
      </c>
      <c r="J350" s="104" t="s">
        <v>46</v>
      </c>
      <c r="K350" s="104">
        <v>241</v>
      </c>
      <c r="L350" s="104">
        <v>99663</v>
      </c>
      <c r="M350" s="104">
        <v>29</v>
      </c>
      <c r="N350" s="104" t="s">
        <v>1066</v>
      </c>
      <c r="O350" s="104"/>
      <c r="P350" s="104">
        <v>4355462</v>
      </c>
      <c r="Q350" s="106">
        <v>46031</v>
      </c>
      <c r="R350" s="104">
        <v>4472849</v>
      </c>
      <c r="S350" s="129">
        <v>6366.24</v>
      </c>
      <c r="T350" s="108"/>
      <c r="U350" s="104">
        <v>371</v>
      </c>
      <c r="V350" s="104"/>
      <c r="W350" s="104" t="s">
        <v>48</v>
      </c>
      <c r="X350" s="104" t="s">
        <v>25</v>
      </c>
      <c r="Y350" s="131">
        <v>6366.24</v>
      </c>
      <c r="Z350" s="106">
        <v>46055</v>
      </c>
      <c r="AA350" s="106">
        <v>46056</v>
      </c>
      <c r="AB350" s="104" t="s">
        <v>60</v>
      </c>
      <c r="AC350" s="104"/>
      <c r="AD350" s="113">
        <f>S350-Y350</f>
        <v>0</v>
      </c>
    </row>
    <row r="351" spans="2:30" ht="45" hidden="1" customHeight="1">
      <c r="B351" s="174">
        <v>348</v>
      </c>
      <c r="C351" s="104" t="s">
        <v>32</v>
      </c>
      <c r="D351" s="104" t="s">
        <v>192</v>
      </c>
      <c r="E351" s="104">
        <v>42809</v>
      </c>
      <c r="F351" s="104" t="s">
        <v>35</v>
      </c>
      <c r="G351" s="145" t="s">
        <v>1067</v>
      </c>
      <c r="H351" s="104">
        <v>2291</v>
      </c>
      <c r="I351" s="104">
        <v>242</v>
      </c>
      <c r="J351" s="104" t="s">
        <v>58</v>
      </c>
      <c r="K351" s="104" t="s">
        <v>1068</v>
      </c>
      <c r="L351" s="104">
        <v>98048</v>
      </c>
      <c r="M351" s="104">
        <v>5</v>
      </c>
      <c r="N351" s="104" t="s">
        <v>1069</v>
      </c>
      <c r="O351" s="104" t="s">
        <v>40</v>
      </c>
      <c r="P351" s="104">
        <v>4355678</v>
      </c>
      <c r="Q351" s="106">
        <v>46032</v>
      </c>
      <c r="R351" s="110">
        <v>4472720</v>
      </c>
      <c r="S351" s="146">
        <v>2680</v>
      </c>
      <c r="T351" s="108">
        <v>46026</v>
      </c>
      <c r="U351" s="104">
        <v>606</v>
      </c>
      <c r="V351" s="104" t="s">
        <v>1070</v>
      </c>
      <c r="W351" s="104" t="s">
        <v>48</v>
      </c>
      <c r="X351" s="104" t="s">
        <v>94</v>
      </c>
      <c r="Y351" s="131">
        <v>2680</v>
      </c>
      <c r="Z351" s="106">
        <v>46042</v>
      </c>
      <c r="AA351" s="106">
        <v>46059</v>
      </c>
      <c r="AB351" s="104" t="s">
        <v>60</v>
      </c>
      <c r="AC351" s="104"/>
      <c r="AD351" s="113">
        <f>S351-Y351</f>
        <v>0</v>
      </c>
    </row>
    <row r="352" spans="2:30" ht="45" hidden="1" customHeight="1">
      <c r="B352" s="174">
        <v>349</v>
      </c>
      <c r="C352" s="104" t="s">
        <v>70</v>
      </c>
      <c r="D352" s="104" t="s">
        <v>192</v>
      </c>
      <c r="E352" s="104" t="s">
        <v>1071</v>
      </c>
      <c r="F352" s="104" t="s">
        <v>35</v>
      </c>
      <c r="G352" s="145" t="s">
        <v>1072</v>
      </c>
      <c r="H352" s="104">
        <v>4588</v>
      </c>
      <c r="I352" s="104">
        <v>242</v>
      </c>
      <c r="J352" s="104" t="s">
        <v>58</v>
      </c>
      <c r="K352" s="104" t="s">
        <v>1073</v>
      </c>
      <c r="L352" s="104">
        <v>99421</v>
      </c>
      <c r="M352" s="104">
        <v>5</v>
      </c>
      <c r="N352" s="104" t="s">
        <v>1074</v>
      </c>
      <c r="O352" s="104" t="s">
        <v>40</v>
      </c>
      <c r="P352" s="104">
        <v>4355691</v>
      </c>
      <c r="Q352" s="106">
        <v>46032</v>
      </c>
      <c r="R352" s="110">
        <v>4472718</v>
      </c>
      <c r="S352" s="146">
        <v>3560</v>
      </c>
      <c r="T352" s="108">
        <v>46043</v>
      </c>
      <c r="U352" s="104">
        <v>607</v>
      </c>
      <c r="V352" s="104"/>
      <c r="W352" s="104" t="s">
        <v>48</v>
      </c>
      <c r="X352" s="104" t="s">
        <v>94</v>
      </c>
      <c r="Y352" s="131">
        <v>3560</v>
      </c>
      <c r="Z352" s="106">
        <v>46042</v>
      </c>
      <c r="AA352" s="106">
        <v>46065</v>
      </c>
      <c r="AB352" s="104" t="s">
        <v>60</v>
      </c>
      <c r="AC352" s="104"/>
      <c r="AD352" s="113">
        <f>S352-Y352</f>
        <v>0</v>
      </c>
    </row>
    <row r="353" spans="2:30" ht="45" hidden="1" customHeight="1">
      <c r="B353" s="174">
        <v>350</v>
      </c>
      <c r="C353" s="104" t="s">
        <v>70</v>
      </c>
      <c r="D353" s="104" t="s">
        <v>138</v>
      </c>
      <c r="E353" s="104">
        <v>43493</v>
      </c>
      <c r="F353" s="104" t="s">
        <v>44</v>
      </c>
      <c r="G353" s="145" t="s">
        <v>1075</v>
      </c>
      <c r="H353" s="104">
        <v>2283</v>
      </c>
      <c r="I353" s="104">
        <v>242</v>
      </c>
      <c r="J353" s="104" t="s">
        <v>58</v>
      </c>
      <c r="K353" s="104" t="s">
        <v>1076</v>
      </c>
      <c r="L353" s="104">
        <v>99314</v>
      </c>
      <c r="M353" s="104">
        <v>6</v>
      </c>
      <c r="N353" s="104" t="s">
        <v>34</v>
      </c>
      <c r="O353" s="104" t="s">
        <v>34</v>
      </c>
      <c r="P353" s="104">
        <v>4355697</v>
      </c>
      <c r="Q353" s="106">
        <v>46032</v>
      </c>
      <c r="R353" s="110">
        <v>4477561</v>
      </c>
      <c r="S353" s="146">
        <v>25810.69</v>
      </c>
      <c r="T353" s="108">
        <v>46023</v>
      </c>
      <c r="U353" s="104">
        <v>20017</v>
      </c>
      <c r="V353" s="104"/>
      <c r="W353" s="104" t="s">
        <v>48</v>
      </c>
      <c r="X353" s="104" t="s">
        <v>94</v>
      </c>
      <c r="Y353" s="131">
        <v>24500</v>
      </c>
      <c r="Z353" s="106">
        <v>46055</v>
      </c>
      <c r="AA353" s="106">
        <v>46056</v>
      </c>
      <c r="AB353" s="104" t="s">
        <v>60</v>
      </c>
      <c r="AC353" s="104"/>
      <c r="AD353" s="113">
        <f>S353-Y353</f>
        <v>1310.6899999999987</v>
      </c>
    </row>
    <row r="354" spans="2:30" ht="45" hidden="1" customHeight="1">
      <c r="B354" s="174">
        <v>351</v>
      </c>
      <c r="C354" s="104" t="s">
        <v>70</v>
      </c>
      <c r="D354" s="104" t="s">
        <v>138</v>
      </c>
      <c r="E354" s="104">
        <v>43493</v>
      </c>
      <c r="F354" s="104" t="s">
        <v>44</v>
      </c>
      <c r="G354" s="145" t="s">
        <v>1077</v>
      </c>
      <c r="H354" s="104">
        <v>2291</v>
      </c>
      <c r="I354" s="104">
        <v>242</v>
      </c>
      <c r="J354" s="104" t="s">
        <v>58</v>
      </c>
      <c r="K354" s="104" t="s">
        <v>1078</v>
      </c>
      <c r="L354" s="104">
        <v>99383</v>
      </c>
      <c r="M354" s="104">
        <v>6</v>
      </c>
      <c r="N354" s="104" t="s">
        <v>34</v>
      </c>
      <c r="O354" s="104" t="s">
        <v>34</v>
      </c>
      <c r="P354" s="104">
        <v>4355700</v>
      </c>
      <c r="Q354" s="106">
        <v>46032</v>
      </c>
      <c r="R354" s="110">
        <v>4477562</v>
      </c>
      <c r="S354" s="146">
        <v>25031.200000000001</v>
      </c>
      <c r="T354" s="108">
        <v>46023</v>
      </c>
      <c r="U354" s="104">
        <v>20018</v>
      </c>
      <c r="V354" s="104"/>
      <c r="W354" s="104" t="s">
        <v>48</v>
      </c>
      <c r="X354" s="104" t="s">
        <v>131</v>
      </c>
      <c r="Y354" s="131">
        <v>23780</v>
      </c>
      <c r="Z354" s="106">
        <v>46055</v>
      </c>
      <c r="AA354" s="106">
        <v>46056</v>
      </c>
      <c r="AB354" s="104" t="s">
        <v>60</v>
      </c>
      <c r="AC354" s="104"/>
      <c r="AD354" s="113">
        <f>S354-Y354</f>
        <v>1251.2000000000007</v>
      </c>
    </row>
    <row r="355" spans="2:30" ht="45" hidden="1" customHeight="1">
      <c r="B355" s="174">
        <v>352</v>
      </c>
      <c r="C355" s="104" t="s">
        <v>70</v>
      </c>
      <c r="D355" s="104" t="s">
        <v>142</v>
      </c>
      <c r="E355" s="104">
        <v>41757</v>
      </c>
      <c r="F355" s="104" t="s">
        <v>44</v>
      </c>
      <c r="G355" s="145" t="s">
        <v>1079</v>
      </c>
      <c r="H355" s="104">
        <v>4057</v>
      </c>
      <c r="I355" s="104">
        <v>242</v>
      </c>
      <c r="J355" s="104" t="s">
        <v>58</v>
      </c>
      <c r="K355" s="104" t="s">
        <v>1080</v>
      </c>
      <c r="L355" s="104">
        <v>99709</v>
      </c>
      <c r="M355" s="104">
        <v>6</v>
      </c>
      <c r="N355" s="104" t="s">
        <v>34</v>
      </c>
      <c r="O355" s="104" t="s">
        <v>34</v>
      </c>
      <c r="P355" s="104">
        <v>4355702</v>
      </c>
      <c r="Q355" s="106">
        <v>46032</v>
      </c>
      <c r="R355" s="104">
        <v>4468585</v>
      </c>
      <c r="S355" s="109">
        <v>43549.7</v>
      </c>
      <c r="T355" s="108">
        <v>46054</v>
      </c>
      <c r="U355" s="104">
        <v>180</v>
      </c>
      <c r="V355" s="104" t="s">
        <v>34</v>
      </c>
      <c r="W355" s="104" t="s">
        <v>48</v>
      </c>
      <c r="X355" s="104" t="s">
        <v>1081</v>
      </c>
      <c r="Y355" s="131">
        <v>3744</v>
      </c>
      <c r="Z355" s="106">
        <v>46087</v>
      </c>
      <c r="AA355" s="106">
        <v>46097</v>
      </c>
      <c r="AB355" s="104" t="s">
        <v>41</v>
      </c>
      <c r="AC355" s="104"/>
      <c r="AD355" s="113">
        <f>S355-Y355</f>
        <v>39805.699999999997</v>
      </c>
    </row>
    <row r="356" spans="2:30" ht="45" hidden="1" customHeight="1">
      <c r="B356" s="174">
        <v>353</v>
      </c>
      <c r="C356" s="104" t="s">
        <v>183</v>
      </c>
      <c r="D356" s="104" t="s">
        <v>33</v>
      </c>
      <c r="E356" s="104">
        <v>43549</v>
      </c>
      <c r="F356" s="104" t="s">
        <v>35</v>
      </c>
      <c r="G356" s="145" t="s">
        <v>1082</v>
      </c>
      <c r="H356" s="104">
        <v>2224</v>
      </c>
      <c r="I356" s="104">
        <v>242</v>
      </c>
      <c r="J356" s="104" t="s">
        <v>58</v>
      </c>
      <c r="K356" s="104" t="s">
        <v>1083</v>
      </c>
      <c r="L356" s="104">
        <v>99710</v>
      </c>
      <c r="M356" s="104">
        <v>6</v>
      </c>
      <c r="N356" s="104" t="s">
        <v>34</v>
      </c>
      <c r="O356" s="104" t="s">
        <v>34</v>
      </c>
      <c r="P356" s="104">
        <v>4355759</v>
      </c>
      <c r="Q356" s="106">
        <v>46032</v>
      </c>
      <c r="R356" s="110">
        <v>4472749</v>
      </c>
      <c r="S356" s="146">
        <v>2800</v>
      </c>
      <c r="T356" s="108">
        <v>46054</v>
      </c>
      <c r="U356" s="104">
        <v>3262</v>
      </c>
      <c r="V356" s="104"/>
      <c r="W356" s="104" t="s">
        <v>48</v>
      </c>
      <c r="X356" s="104" t="s">
        <v>25</v>
      </c>
      <c r="Y356" s="131">
        <v>2800</v>
      </c>
      <c r="Z356" s="106">
        <v>46056</v>
      </c>
      <c r="AA356" s="106">
        <v>46065</v>
      </c>
      <c r="AB356" s="104" t="s">
        <v>60</v>
      </c>
      <c r="AC356" s="104"/>
      <c r="AD356" s="113">
        <f>S356-Y356</f>
        <v>0</v>
      </c>
    </row>
    <row r="357" spans="2:30" ht="45" hidden="1" customHeight="1">
      <c r="B357" s="174">
        <v>354</v>
      </c>
      <c r="C357" s="104" t="s">
        <v>70</v>
      </c>
      <c r="D357" s="104" t="s">
        <v>33</v>
      </c>
      <c r="E357" s="104">
        <v>42639</v>
      </c>
      <c r="F357" s="104" t="s">
        <v>35</v>
      </c>
      <c r="G357" s="145" t="s">
        <v>1084</v>
      </c>
      <c r="H357" s="104">
        <v>5345</v>
      </c>
      <c r="I357" s="104">
        <v>242</v>
      </c>
      <c r="J357" s="104" t="s">
        <v>58</v>
      </c>
      <c r="K357" s="104" t="s">
        <v>1085</v>
      </c>
      <c r="L357" s="104">
        <v>99712</v>
      </c>
      <c r="M357" s="104">
        <v>6</v>
      </c>
      <c r="N357" s="104" t="s">
        <v>34</v>
      </c>
      <c r="O357" s="104" t="s">
        <v>34</v>
      </c>
      <c r="P357" s="104">
        <v>4355763</v>
      </c>
      <c r="Q357" s="106">
        <v>46032</v>
      </c>
      <c r="R357" s="110">
        <v>4472750</v>
      </c>
      <c r="S357" s="146">
        <v>6150</v>
      </c>
      <c r="T357" s="108">
        <v>46054</v>
      </c>
      <c r="U357" s="104"/>
      <c r="V357" s="104"/>
      <c r="W357" s="104"/>
      <c r="X357" s="104"/>
      <c r="Y357" s="131"/>
      <c r="Z357" s="106"/>
      <c r="AA357" s="106"/>
      <c r="AB357" s="104" t="s">
        <v>66</v>
      </c>
      <c r="AC357" s="104"/>
      <c r="AD357" s="113">
        <f>S357-Y357</f>
        <v>6150</v>
      </c>
    </row>
    <row r="358" spans="2:30" ht="45" hidden="1" customHeight="1">
      <c r="B358" s="174">
        <v>355</v>
      </c>
      <c r="C358" s="104" t="s">
        <v>316</v>
      </c>
      <c r="D358" s="104" t="s">
        <v>33</v>
      </c>
      <c r="E358" s="104">
        <v>42765</v>
      </c>
      <c r="F358" s="104" t="s">
        <v>35</v>
      </c>
      <c r="G358" s="145" t="s">
        <v>1086</v>
      </c>
      <c r="H358" s="104">
        <v>5345</v>
      </c>
      <c r="I358" s="104">
        <v>242</v>
      </c>
      <c r="J358" s="104" t="s">
        <v>58</v>
      </c>
      <c r="K358" s="104" t="s">
        <v>1087</v>
      </c>
      <c r="L358" s="104">
        <v>99782</v>
      </c>
      <c r="M358" s="104">
        <v>6</v>
      </c>
      <c r="N358" s="104" t="s">
        <v>34</v>
      </c>
      <c r="O358" s="104" t="s">
        <v>34</v>
      </c>
      <c r="P358" s="104">
        <v>4355767</v>
      </c>
      <c r="Q358" s="106">
        <v>46032</v>
      </c>
      <c r="R358" s="110">
        <v>4472748</v>
      </c>
      <c r="S358" s="146">
        <v>4450</v>
      </c>
      <c r="T358" s="108">
        <v>46023</v>
      </c>
      <c r="U358" s="104">
        <v>3321</v>
      </c>
      <c r="V358" s="104" t="s">
        <v>34</v>
      </c>
      <c r="W358" s="104" t="s">
        <v>40</v>
      </c>
      <c r="X358" s="104" t="s">
        <v>25</v>
      </c>
      <c r="Y358" s="131">
        <v>4450</v>
      </c>
      <c r="Z358" s="106">
        <v>46092</v>
      </c>
      <c r="AA358" s="106">
        <v>46104</v>
      </c>
      <c r="AB358" s="104" t="s">
        <v>41</v>
      </c>
      <c r="AC358" s="104"/>
      <c r="AD358" s="113">
        <f>S358-Y358</f>
        <v>0</v>
      </c>
    </row>
    <row r="359" spans="2:30" ht="45" hidden="1" customHeight="1">
      <c r="B359" s="174">
        <v>356</v>
      </c>
      <c r="C359" s="104" t="s">
        <v>183</v>
      </c>
      <c r="D359" s="104" t="s">
        <v>1088</v>
      </c>
      <c r="E359" s="104">
        <v>41747</v>
      </c>
      <c r="F359" s="104" t="s">
        <v>44</v>
      </c>
      <c r="G359" s="145" t="s">
        <v>1089</v>
      </c>
      <c r="H359" s="104">
        <v>2291</v>
      </c>
      <c r="I359" s="104">
        <v>242</v>
      </c>
      <c r="J359" s="104" t="s">
        <v>58</v>
      </c>
      <c r="K359" s="104" t="s">
        <v>1090</v>
      </c>
      <c r="L359" s="104">
        <v>99733</v>
      </c>
      <c r="M359" s="104">
        <v>6</v>
      </c>
      <c r="N359" s="104" t="s">
        <v>34</v>
      </c>
      <c r="O359" s="104" t="s">
        <v>34</v>
      </c>
      <c r="P359" s="104">
        <v>4355769</v>
      </c>
      <c r="Q359" s="106">
        <v>46032</v>
      </c>
      <c r="R359" s="110">
        <v>4475549</v>
      </c>
      <c r="S359" s="146">
        <v>14872.26</v>
      </c>
      <c r="T359" s="108">
        <v>46054</v>
      </c>
      <c r="U359" s="104">
        <v>3430</v>
      </c>
      <c r="V359" s="104"/>
      <c r="W359" s="104" t="s">
        <v>1091</v>
      </c>
      <c r="X359" s="104" t="s">
        <v>94</v>
      </c>
      <c r="Y359" s="131">
        <v>14827.26</v>
      </c>
      <c r="Z359" s="106">
        <v>46134</v>
      </c>
      <c r="AA359" s="106">
        <v>46134</v>
      </c>
      <c r="AB359" s="104" t="s">
        <v>41</v>
      </c>
      <c r="AC359" s="104"/>
      <c r="AD359" s="113">
        <f>S359-Y359</f>
        <v>45</v>
      </c>
    </row>
    <row r="360" spans="2:30" ht="45" hidden="1" customHeight="1">
      <c r="B360" s="174">
        <v>357</v>
      </c>
      <c r="C360" s="104" t="s">
        <v>183</v>
      </c>
      <c r="D360" s="104" t="s">
        <v>192</v>
      </c>
      <c r="E360" s="104">
        <v>43556</v>
      </c>
      <c r="F360" s="104" t="s">
        <v>35</v>
      </c>
      <c r="G360" s="145" t="s">
        <v>1092</v>
      </c>
      <c r="H360" s="104">
        <v>2224</v>
      </c>
      <c r="I360" s="104">
        <v>242</v>
      </c>
      <c r="J360" s="104" t="s">
        <v>58</v>
      </c>
      <c r="K360" s="104" t="s">
        <v>1093</v>
      </c>
      <c r="L360" s="104">
        <v>100001</v>
      </c>
      <c r="M360" s="104">
        <v>6</v>
      </c>
      <c r="N360" s="104" t="s">
        <v>34</v>
      </c>
      <c r="O360" s="104" t="s">
        <v>34</v>
      </c>
      <c r="P360" s="104">
        <v>4357079</v>
      </c>
      <c r="Q360" s="106">
        <v>46034</v>
      </c>
      <c r="R360" s="110">
        <v>4472747</v>
      </c>
      <c r="S360" s="160">
        <v>2888</v>
      </c>
      <c r="T360" s="108"/>
      <c r="U360" s="104">
        <v>767</v>
      </c>
      <c r="V360" s="104"/>
      <c r="W360" s="104" t="s">
        <v>48</v>
      </c>
      <c r="X360" s="104" t="s">
        <v>131</v>
      </c>
      <c r="Y360" s="216">
        <v>2888</v>
      </c>
      <c r="Z360" s="106">
        <v>46079</v>
      </c>
      <c r="AA360" s="106">
        <v>46091</v>
      </c>
      <c r="AB360" s="104" t="s">
        <v>41</v>
      </c>
      <c r="AC360" s="104"/>
      <c r="AD360" s="113">
        <f>S360-Y360</f>
        <v>0</v>
      </c>
    </row>
    <row r="361" spans="2:30" ht="45" hidden="1" customHeight="1">
      <c r="B361" s="174">
        <v>358</v>
      </c>
      <c r="C361" s="104" t="s">
        <v>183</v>
      </c>
      <c r="D361" s="104" t="s">
        <v>575</v>
      </c>
      <c r="E361" s="104">
        <v>43184</v>
      </c>
      <c r="F361" s="104" t="s">
        <v>35</v>
      </c>
      <c r="G361" s="145" t="s">
        <v>1094</v>
      </c>
      <c r="H361" s="104">
        <v>5525</v>
      </c>
      <c r="I361" s="104">
        <v>242</v>
      </c>
      <c r="J361" s="104" t="s">
        <v>58</v>
      </c>
      <c r="K361" s="104" t="s">
        <v>1095</v>
      </c>
      <c r="L361" s="104">
        <v>100003</v>
      </c>
      <c r="M361" s="104">
        <v>6</v>
      </c>
      <c r="N361" s="104" t="s">
        <v>34</v>
      </c>
      <c r="O361" s="104" t="s">
        <v>34</v>
      </c>
      <c r="P361" s="104">
        <v>4357104</v>
      </c>
      <c r="Q361" s="106">
        <v>46034</v>
      </c>
      <c r="R361" s="110">
        <v>4472751</v>
      </c>
      <c r="S361" s="160">
        <v>1789.9</v>
      </c>
      <c r="T361" s="108"/>
      <c r="U361" s="104">
        <v>1827</v>
      </c>
      <c r="V361" s="104"/>
      <c r="W361" s="104" t="s">
        <v>48</v>
      </c>
      <c r="X361" s="104" t="s">
        <v>25</v>
      </c>
      <c r="Y361" s="216"/>
      <c r="Z361" s="106"/>
      <c r="AA361" s="106"/>
      <c r="AB361" s="104" t="s">
        <v>60</v>
      </c>
      <c r="AC361" s="104"/>
      <c r="AD361" s="113">
        <f>S361-Y361</f>
        <v>1789.9</v>
      </c>
    </row>
    <row r="362" spans="2:30" ht="45" hidden="1" customHeight="1">
      <c r="B362" s="174">
        <v>359</v>
      </c>
      <c r="C362" s="104" t="s">
        <v>70</v>
      </c>
      <c r="D362" s="104" t="s">
        <v>575</v>
      </c>
      <c r="E362" s="104">
        <v>43689</v>
      </c>
      <c r="F362" s="104" t="s">
        <v>35</v>
      </c>
      <c r="G362" s="145" t="s">
        <v>1096</v>
      </c>
      <c r="H362" s="104">
        <v>2275</v>
      </c>
      <c r="I362" s="104">
        <v>242</v>
      </c>
      <c r="J362" s="104" t="s">
        <v>58</v>
      </c>
      <c r="K362" s="104" t="s">
        <v>1097</v>
      </c>
      <c r="L362" s="104">
        <v>100103</v>
      </c>
      <c r="M362" s="104">
        <v>6</v>
      </c>
      <c r="N362" s="104" t="s">
        <v>34</v>
      </c>
      <c r="O362" s="104" t="s">
        <v>34</v>
      </c>
      <c r="P362" s="104">
        <v>4358863</v>
      </c>
      <c r="Q362" s="106">
        <v>46036</v>
      </c>
      <c r="R362" s="110">
        <v>4478304</v>
      </c>
      <c r="S362" s="160">
        <v>759.9</v>
      </c>
      <c r="T362" s="108" t="s">
        <v>34</v>
      </c>
      <c r="U362" s="104">
        <v>1859</v>
      </c>
      <c r="V362" s="104" t="s">
        <v>34</v>
      </c>
      <c r="W362" s="104" t="s">
        <v>40</v>
      </c>
      <c r="X362" s="104" t="s">
        <v>25</v>
      </c>
      <c r="Y362" s="216">
        <v>759.9</v>
      </c>
      <c r="Z362" s="106">
        <v>46085</v>
      </c>
      <c r="AA362" s="106">
        <v>46098</v>
      </c>
      <c r="AB362" s="104" t="s">
        <v>41</v>
      </c>
      <c r="AC362" s="104"/>
      <c r="AD362" s="113">
        <f>S362-Y362</f>
        <v>0</v>
      </c>
    </row>
    <row r="363" spans="2:30" ht="45" hidden="1" customHeight="1">
      <c r="B363" s="174">
        <v>360</v>
      </c>
      <c r="C363" s="104" t="s">
        <v>70</v>
      </c>
      <c r="D363" s="104" t="s">
        <v>575</v>
      </c>
      <c r="E363" s="104">
        <v>43551</v>
      </c>
      <c r="F363" s="104" t="s">
        <v>35</v>
      </c>
      <c r="G363" s="145" t="s">
        <v>1098</v>
      </c>
      <c r="H363" s="104">
        <v>2291</v>
      </c>
      <c r="I363" s="104">
        <v>170</v>
      </c>
      <c r="J363" s="104" t="s">
        <v>58</v>
      </c>
      <c r="K363" s="104" t="s">
        <v>1099</v>
      </c>
      <c r="L363" s="104">
        <v>100101</v>
      </c>
      <c r="M363" s="104">
        <v>6</v>
      </c>
      <c r="N363" s="104" t="s">
        <v>34</v>
      </c>
      <c r="O363" s="104" t="s">
        <v>34</v>
      </c>
      <c r="P363" s="104">
        <v>4358867</v>
      </c>
      <c r="Q363" s="106">
        <v>46036</v>
      </c>
      <c r="R363" s="110">
        <v>4478295</v>
      </c>
      <c r="S363" s="160">
        <v>1743.4</v>
      </c>
      <c r="T363" s="108"/>
      <c r="U363" s="104">
        <v>1828</v>
      </c>
      <c r="V363" s="104"/>
      <c r="W363" s="104" t="s">
        <v>40</v>
      </c>
      <c r="X363" s="104" t="s">
        <v>385</v>
      </c>
      <c r="Y363" s="216">
        <v>1743.4</v>
      </c>
      <c r="Z363" s="106">
        <v>46055</v>
      </c>
      <c r="AA363" s="106">
        <v>46057</v>
      </c>
      <c r="AB363" s="104" t="s">
        <v>60</v>
      </c>
      <c r="AC363" s="104"/>
      <c r="AD363" s="113">
        <f>S363-Y363</f>
        <v>0</v>
      </c>
    </row>
    <row r="364" spans="2:30" ht="45" hidden="1" customHeight="1">
      <c r="B364" s="174">
        <v>361</v>
      </c>
      <c r="C364" s="104" t="s">
        <v>70</v>
      </c>
      <c r="D364" s="104" t="s">
        <v>575</v>
      </c>
      <c r="E364" s="104">
        <v>43551</v>
      </c>
      <c r="F364" s="104" t="s">
        <v>35</v>
      </c>
      <c r="G364" s="145" t="s">
        <v>1100</v>
      </c>
      <c r="H364" s="104">
        <v>2275</v>
      </c>
      <c r="I364" s="104">
        <v>242</v>
      </c>
      <c r="J364" s="104" t="s">
        <v>58</v>
      </c>
      <c r="K364" s="104" t="s">
        <v>1101</v>
      </c>
      <c r="L364" s="104">
        <v>100118</v>
      </c>
      <c r="M364" s="104">
        <v>6</v>
      </c>
      <c r="N364" s="104" t="s">
        <v>34</v>
      </c>
      <c r="O364" s="104" t="s">
        <v>34</v>
      </c>
      <c r="P364" s="104">
        <v>4358873</v>
      </c>
      <c r="Q364" s="106">
        <v>46036</v>
      </c>
      <c r="R364" s="110">
        <v>4478305</v>
      </c>
      <c r="S364" s="160">
        <v>1239.9000000000001</v>
      </c>
      <c r="T364" s="108"/>
      <c r="U364" s="104">
        <v>1829</v>
      </c>
      <c r="V364" s="104"/>
      <c r="W364" s="104" t="s">
        <v>48</v>
      </c>
      <c r="X364" s="104" t="s">
        <v>131</v>
      </c>
      <c r="Y364" s="216">
        <v>1239.9000000000001</v>
      </c>
      <c r="Z364" s="106">
        <v>46055</v>
      </c>
      <c r="AA364" s="106">
        <v>46057</v>
      </c>
      <c r="AB364" s="104" t="s">
        <v>60</v>
      </c>
      <c r="AC364" s="104"/>
      <c r="AD364" s="113">
        <f>S364-Y364</f>
        <v>0</v>
      </c>
    </row>
    <row r="365" spans="2:30" ht="45" hidden="1" customHeight="1">
      <c r="B365" s="174">
        <v>362</v>
      </c>
      <c r="C365" s="104" t="s">
        <v>316</v>
      </c>
      <c r="D365" s="104" t="s">
        <v>33</v>
      </c>
      <c r="E365" s="104">
        <v>43884</v>
      </c>
      <c r="F365" s="104" t="s">
        <v>35</v>
      </c>
      <c r="G365" s="145" t="s">
        <v>1102</v>
      </c>
      <c r="H365" s="104">
        <v>5345</v>
      </c>
      <c r="I365" s="104">
        <v>242</v>
      </c>
      <c r="J365" s="104" t="s">
        <v>58</v>
      </c>
      <c r="K365" s="104" t="s">
        <v>1103</v>
      </c>
      <c r="L365" s="104">
        <v>100238</v>
      </c>
      <c r="M365" s="104">
        <v>6</v>
      </c>
      <c r="N365" s="104" t="s">
        <v>34</v>
      </c>
      <c r="O365" s="104" t="s">
        <v>34</v>
      </c>
      <c r="P365" s="104">
        <v>4358879</v>
      </c>
      <c r="Q365" s="106">
        <v>46036</v>
      </c>
      <c r="R365" s="110">
        <v>4478277</v>
      </c>
      <c r="S365" s="160">
        <v>1720</v>
      </c>
      <c r="T365" s="108"/>
      <c r="U365" s="104">
        <v>3260</v>
      </c>
      <c r="V365" s="104"/>
      <c r="W365" s="104" t="s">
        <v>40</v>
      </c>
      <c r="X365" s="104" t="s">
        <v>25</v>
      </c>
      <c r="Y365" s="216">
        <v>1720</v>
      </c>
      <c r="Z365" s="106">
        <v>46056</v>
      </c>
      <c r="AA365" s="106">
        <v>46064</v>
      </c>
      <c r="AB365" s="104" t="s">
        <v>60</v>
      </c>
      <c r="AC365" s="104"/>
      <c r="AD365" s="113">
        <f>S365-Y365</f>
        <v>0</v>
      </c>
    </row>
    <row r="366" spans="2:30" ht="45" hidden="1" customHeight="1">
      <c r="B366" s="174">
        <v>363</v>
      </c>
      <c r="C366" s="104" t="s">
        <v>146</v>
      </c>
      <c r="D366" s="104" t="s">
        <v>350</v>
      </c>
      <c r="E366" s="104">
        <v>40688</v>
      </c>
      <c r="F366" s="104" t="s">
        <v>44</v>
      </c>
      <c r="G366" s="145" t="s">
        <v>1104</v>
      </c>
      <c r="H366" s="104">
        <v>4057</v>
      </c>
      <c r="I366" s="104">
        <v>242</v>
      </c>
      <c r="J366" s="104" t="s">
        <v>58</v>
      </c>
      <c r="K366" s="104" t="s">
        <v>1105</v>
      </c>
      <c r="L366" s="104">
        <v>100450</v>
      </c>
      <c r="M366" s="104">
        <v>6</v>
      </c>
      <c r="N366" s="104" t="s">
        <v>34</v>
      </c>
      <c r="O366" s="104" t="s">
        <v>34</v>
      </c>
      <c r="P366" s="104">
        <v>4358971</v>
      </c>
      <c r="Q366" s="106">
        <v>46036</v>
      </c>
      <c r="R366" s="110">
        <v>4478324</v>
      </c>
      <c r="S366" s="160">
        <v>4770</v>
      </c>
      <c r="T366" s="108"/>
      <c r="U366" s="104">
        <v>5248</v>
      </c>
      <c r="V366" s="104"/>
      <c r="W366" s="104" t="s">
        <v>48</v>
      </c>
      <c r="X366" s="104" t="s">
        <v>25</v>
      </c>
      <c r="Y366" s="216">
        <v>4770</v>
      </c>
      <c r="Z366" s="106">
        <v>46057</v>
      </c>
      <c r="AA366" s="106">
        <v>46070</v>
      </c>
      <c r="AB366" s="104" t="s">
        <v>41</v>
      </c>
      <c r="AC366" s="104"/>
      <c r="AD366" s="113">
        <f>S366-Y366</f>
        <v>0</v>
      </c>
    </row>
    <row r="367" spans="2:30" ht="45" hidden="1" customHeight="1">
      <c r="B367" s="174">
        <v>364</v>
      </c>
      <c r="C367" s="104" t="s">
        <v>70</v>
      </c>
      <c r="D367" s="104" t="s">
        <v>575</v>
      </c>
      <c r="E367" s="104">
        <v>43688</v>
      </c>
      <c r="F367" s="104" t="s">
        <v>35</v>
      </c>
      <c r="G367" s="145" t="s">
        <v>1106</v>
      </c>
      <c r="H367" s="104">
        <v>2224</v>
      </c>
      <c r="I367" s="104">
        <v>170</v>
      </c>
      <c r="J367" s="104" t="s">
        <v>58</v>
      </c>
      <c r="K367" s="104" t="s">
        <v>1107</v>
      </c>
      <c r="L367" s="104">
        <v>100122</v>
      </c>
      <c r="M367" s="104">
        <v>6</v>
      </c>
      <c r="N367" s="104" t="s">
        <v>34</v>
      </c>
      <c r="O367" s="104" t="s">
        <v>34</v>
      </c>
      <c r="P367" s="104">
        <v>4359129</v>
      </c>
      <c r="Q367" s="106">
        <v>46036</v>
      </c>
      <c r="R367" s="110">
        <v>4478303</v>
      </c>
      <c r="S367" s="167">
        <v>7159.9</v>
      </c>
      <c r="T367" s="108"/>
      <c r="U367" s="104">
        <v>1832</v>
      </c>
      <c r="V367" s="104"/>
      <c r="W367" s="104" t="s">
        <v>48</v>
      </c>
      <c r="X367" s="104" t="s">
        <v>25</v>
      </c>
      <c r="Y367" s="216">
        <v>7159.9</v>
      </c>
      <c r="Z367" s="106">
        <v>46055</v>
      </c>
      <c r="AA367" s="106">
        <v>46065</v>
      </c>
      <c r="AB367" s="104" t="s">
        <v>60</v>
      </c>
      <c r="AC367" s="104"/>
      <c r="AD367" s="113">
        <f>S367-Y367</f>
        <v>0</v>
      </c>
    </row>
    <row r="368" spans="2:30" ht="45" hidden="1" customHeight="1">
      <c r="B368" s="174">
        <v>365</v>
      </c>
      <c r="C368" s="104" t="s">
        <v>70</v>
      </c>
      <c r="D368" s="104" t="s">
        <v>1108</v>
      </c>
      <c r="E368" s="104" t="s">
        <v>34</v>
      </c>
      <c r="F368" s="104" t="s">
        <v>44</v>
      </c>
      <c r="G368" s="145" t="s">
        <v>1109</v>
      </c>
      <c r="H368" s="104">
        <v>5345</v>
      </c>
      <c r="I368" s="104">
        <v>242</v>
      </c>
      <c r="J368" s="104" t="s">
        <v>58</v>
      </c>
      <c r="K368" s="104" t="s">
        <v>1110</v>
      </c>
      <c r="L368" s="104">
        <v>97334</v>
      </c>
      <c r="M368" s="104">
        <v>29</v>
      </c>
      <c r="N368" s="104" t="s">
        <v>1111</v>
      </c>
      <c r="O368" s="104" t="s">
        <v>34</v>
      </c>
      <c r="P368" s="104">
        <v>4359165</v>
      </c>
      <c r="Q368" s="106">
        <v>46036</v>
      </c>
      <c r="R368" s="110">
        <v>4488763</v>
      </c>
      <c r="S368" s="160">
        <v>98619.33</v>
      </c>
      <c r="T368" s="108"/>
      <c r="U368" s="104"/>
      <c r="V368" s="104"/>
      <c r="W368" s="104"/>
      <c r="X368" s="104"/>
      <c r="Y368" s="216"/>
      <c r="Z368" s="106"/>
      <c r="AA368" s="106"/>
      <c r="AB368" s="104" t="s">
        <v>66</v>
      </c>
      <c r="AC368" s="104"/>
      <c r="AD368" s="113">
        <f>S368-Y368</f>
        <v>98619.33</v>
      </c>
    </row>
    <row r="369" spans="2:30" ht="45" hidden="1" customHeight="1">
      <c r="B369" s="174">
        <v>366</v>
      </c>
      <c r="C369" s="104" t="s">
        <v>183</v>
      </c>
      <c r="D369" s="104" t="s">
        <v>192</v>
      </c>
      <c r="E369" s="104" t="s">
        <v>1112</v>
      </c>
      <c r="F369" s="104" t="s">
        <v>35</v>
      </c>
      <c r="G369" s="145" t="s">
        <v>1113</v>
      </c>
      <c r="H369" s="104">
        <v>2291</v>
      </c>
      <c r="I369" s="104">
        <v>242</v>
      </c>
      <c r="J369" s="104" t="s">
        <v>58</v>
      </c>
      <c r="K369" s="104" t="s">
        <v>1114</v>
      </c>
      <c r="L369" s="104">
        <v>99996</v>
      </c>
      <c r="M369" s="104">
        <v>5</v>
      </c>
      <c r="N369" s="104" t="s">
        <v>1115</v>
      </c>
      <c r="O369" s="104" t="s">
        <v>40</v>
      </c>
      <c r="P369" s="104">
        <v>4359205</v>
      </c>
      <c r="Q369" s="106">
        <v>46036</v>
      </c>
      <c r="R369" s="110">
        <v>4481412</v>
      </c>
      <c r="S369" s="160">
        <v>4950</v>
      </c>
      <c r="T369" s="108"/>
      <c r="U369" s="104">
        <v>628</v>
      </c>
      <c r="V369" s="104"/>
      <c r="W369" s="104" t="s">
        <v>48</v>
      </c>
      <c r="X369" s="104" t="s">
        <v>131</v>
      </c>
      <c r="Y369" s="216">
        <v>4950</v>
      </c>
      <c r="Z369" s="106">
        <v>46050</v>
      </c>
      <c r="AA369" s="106">
        <v>46065</v>
      </c>
      <c r="AB369" s="104" t="s">
        <v>60</v>
      </c>
      <c r="AC369" s="104"/>
      <c r="AD369" s="113">
        <f>S369-Y369</f>
        <v>0</v>
      </c>
    </row>
    <row r="370" spans="2:30" ht="45" hidden="1" customHeight="1">
      <c r="B370" s="174">
        <v>367</v>
      </c>
      <c r="C370" s="104" t="s">
        <v>137</v>
      </c>
      <c r="D370" s="104" t="s">
        <v>1116</v>
      </c>
      <c r="E370" s="104" t="s">
        <v>34</v>
      </c>
      <c r="F370" s="104" t="s">
        <v>44</v>
      </c>
      <c r="G370" s="145" t="s">
        <v>1117</v>
      </c>
      <c r="H370" s="104">
        <v>2071</v>
      </c>
      <c r="I370" s="104">
        <v>242</v>
      </c>
      <c r="J370" s="104" t="s">
        <v>1118</v>
      </c>
      <c r="K370" s="104" t="s">
        <v>1119</v>
      </c>
      <c r="L370" s="104">
        <v>98834</v>
      </c>
      <c r="M370" s="104">
        <v>29</v>
      </c>
      <c r="N370" s="104" t="s">
        <v>1120</v>
      </c>
      <c r="O370" s="104" t="s">
        <v>34</v>
      </c>
      <c r="P370" s="119" t="s">
        <v>1121</v>
      </c>
      <c r="Q370" s="106">
        <v>46036</v>
      </c>
      <c r="R370" s="110">
        <v>4503660</v>
      </c>
      <c r="S370" s="160">
        <v>41790</v>
      </c>
      <c r="T370" s="108"/>
      <c r="U370" s="104"/>
      <c r="V370" s="104"/>
      <c r="W370" s="104"/>
      <c r="X370" s="104"/>
      <c r="Y370" s="216"/>
      <c r="Z370" s="106"/>
      <c r="AA370" s="106"/>
      <c r="AB370" s="104" t="s">
        <v>66</v>
      </c>
      <c r="AC370" s="104"/>
      <c r="AD370" s="113">
        <f>S370-Y370</f>
        <v>41790</v>
      </c>
    </row>
    <row r="371" spans="2:30" ht="45" hidden="1" customHeight="1">
      <c r="B371" s="174">
        <v>368</v>
      </c>
      <c r="C371" s="104" t="s">
        <v>137</v>
      </c>
      <c r="D371" s="104" t="s">
        <v>409</v>
      </c>
      <c r="E371" s="104" t="s">
        <v>34</v>
      </c>
      <c r="F371" s="104" t="s">
        <v>44</v>
      </c>
      <c r="G371" s="145" t="s">
        <v>234</v>
      </c>
      <c r="H371" s="104" t="s">
        <v>679</v>
      </c>
      <c r="I371" s="104">
        <v>5</v>
      </c>
      <c r="J371" s="104" t="s">
        <v>1118</v>
      </c>
      <c r="K371" s="104" t="s">
        <v>1122</v>
      </c>
      <c r="L371" s="104">
        <v>99887</v>
      </c>
      <c r="M371" s="104">
        <v>2</v>
      </c>
      <c r="N371" s="104" t="s">
        <v>680</v>
      </c>
      <c r="O371" s="104" t="s">
        <v>34</v>
      </c>
      <c r="P371" s="104">
        <v>4359817</v>
      </c>
      <c r="Q371" s="106">
        <v>46036</v>
      </c>
      <c r="R371" s="110">
        <v>4474583</v>
      </c>
      <c r="S371" s="160">
        <v>68500</v>
      </c>
      <c r="T371" s="108"/>
      <c r="U371" s="104">
        <v>58</v>
      </c>
      <c r="V371" s="104" t="s">
        <v>34</v>
      </c>
      <c r="W371" s="104" t="s">
        <v>40</v>
      </c>
      <c r="X371" s="104" t="s">
        <v>25</v>
      </c>
      <c r="Y371" s="216">
        <v>32995.17</v>
      </c>
      <c r="Z371" s="106">
        <v>46071</v>
      </c>
      <c r="AA371" s="106">
        <v>46072</v>
      </c>
      <c r="AB371" s="104" t="s">
        <v>41</v>
      </c>
      <c r="AC371" s="104"/>
      <c r="AD371" s="113">
        <f>S371-Y371</f>
        <v>35504.83</v>
      </c>
    </row>
    <row r="372" spans="2:30" ht="45" hidden="1" customHeight="1">
      <c r="B372" s="174">
        <v>369</v>
      </c>
      <c r="C372" s="104" t="s">
        <v>137</v>
      </c>
      <c r="D372" s="104" t="s">
        <v>902</v>
      </c>
      <c r="E372" s="104" t="s">
        <v>34</v>
      </c>
      <c r="F372" s="104" t="s">
        <v>44</v>
      </c>
      <c r="G372" s="145" t="s">
        <v>1123</v>
      </c>
      <c r="H372" s="104">
        <v>2330</v>
      </c>
      <c r="I372" s="104">
        <v>242</v>
      </c>
      <c r="J372" s="104" t="s">
        <v>1118</v>
      </c>
      <c r="K372" s="104">
        <v>517</v>
      </c>
      <c r="L372" s="104">
        <v>100332</v>
      </c>
      <c r="M372" s="104">
        <v>5</v>
      </c>
      <c r="N372" s="104" t="s">
        <v>1124</v>
      </c>
      <c r="O372" s="110"/>
      <c r="P372" s="104">
        <v>4359839</v>
      </c>
      <c r="Q372" s="106">
        <v>46036</v>
      </c>
      <c r="R372" s="110">
        <v>4481548</v>
      </c>
      <c r="S372" s="160">
        <v>3024</v>
      </c>
      <c r="T372" s="108"/>
      <c r="U372" s="104">
        <v>2729</v>
      </c>
      <c r="V372" s="104"/>
      <c r="W372" s="104" t="s">
        <v>48</v>
      </c>
      <c r="X372" s="104" t="s">
        <v>25</v>
      </c>
      <c r="Y372" s="216">
        <v>3024</v>
      </c>
      <c r="Z372" s="106">
        <v>46060</v>
      </c>
      <c r="AA372" s="106">
        <v>46076</v>
      </c>
      <c r="AB372" s="104" t="s">
        <v>41</v>
      </c>
      <c r="AC372" s="104"/>
      <c r="AD372" s="113">
        <f>S372-Y372</f>
        <v>0</v>
      </c>
    </row>
    <row r="373" spans="2:30" ht="45" hidden="1" customHeight="1">
      <c r="B373" s="174">
        <v>370</v>
      </c>
      <c r="C373" s="104" t="s">
        <v>137</v>
      </c>
      <c r="D373" s="104" t="s">
        <v>1125</v>
      </c>
      <c r="E373" s="104" t="s">
        <v>34</v>
      </c>
      <c r="F373" s="104" t="s">
        <v>44</v>
      </c>
      <c r="G373" s="145" t="s">
        <v>660</v>
      </c>
      <c r="H373" s="104" t="s">
        <v>1126</v>
      </c>
      <c r="I373" s="104">
        <v>5</v>
      </c>
      <c r="J373" s="104" t="s">
        <v>1118</v>
      </c>
      <c r="K373" s="104" t="s">
        <v>1127</v>
      </c>
      <c r="L373" s="104">
        <v>100348</v>
      </c>
      <c r="M373" s="104">
        <v>2</v>
      </c>
      <c r="N373" s="104" t="s">
        <v>1128</v>
      </c>
      <c r="O373" s="104" t="s">
        <v>34</v>
      </c>
      <c r="P373" s="104">
        <v>4359862</v>
      </c>
      <c r="Q373" s="106">
        <v>46036</v>
      </c>
      <c r="R373" s="110">
        <v>4474588</v>
      </c>
      <c r="S373" s="160">
        <v>51900</v>
      </c>
      <c r="T373" s="108"/>
      <c r="U373" s="104">
        <v>419</v>
      </c>
      <c r="V373" s="104"/>
      <c r="W373" s="104" t="s">
        <v>40</v>
      </c>
      <c r="X373" s="104" t="s">
        <v>25</v>
      </c>
      <c r="Y373" s="216">
        <v>36797</v>
      </c>
      <c r="Z373" s="106">
        <v>46086</v>
      </c>
      <c r="AA373" s="106">
        <v>46087</v>
      </c>
      <c r="AB373" s="104" t="s">
        <v>41</v>
      </c>
      <c r="AC373" s="104"/>
      <c r="AD373" s="113">
        <f>S373-Y373</f>
        <v>15103</v>
      </c>
    </row>
    <row r="374" spans="2:30" ht="45" hidden="1" customHeight="1">
      <c r="B374" s="174">
        <v>371</v>
      </c>
      <c r="C374" s="104" t="s">
        <v>61</v>
      </c>
      <c r="D374" s="104" t="s">
        <v>1129</v>
      </c>
      <c r="E374" s="104">
        <v>42703</v>
      </c>
      <c r="F374" s="104" t="s">
        <v>44</v>
      </c>
      <c r="G374" s="145" t="s">
        <v>1130</v>
      </c>
      <c r="H374" s="104">
        <v>2488</v>
      </c>
      <c r="I374" s="104">
        <v>242</v>
      </c>
      <c r="J374" s="104" t="s">
        <v>1118</v>
      </c>
      <c r="K374" s="148">
        <v>70864</v>
      </c>
      <c r="L374" s="104">
        <v>100105</v>
      </c>
      <c r="M374" s="104">
        <v>6</v>
      </c>
      <c r="N374" s="104" t="s">
        <v>34</v>
      </c>
      <c r="O374" s="104" t="s">
        <v>34</v>
      </c>
      <c r="P374" s="104">
        <v>4359896</v>
      </c>
      <c r="Q374" s="106">
        <v>46036</v>
      </c>
      <c r="R374" s="110">
        <v>4478325</v>
      </c>
      <c r="S374" s="160">
        <v>6678.5</v>
      </c>
      <c r="T374" s="108"/>
      <c r="U374" s="104">
        <v>7104</v>
      </c>
      <c r="V374" s="104"/>
      <c r="W374" s="104" t="s">
        <v>48</v>
      </c>
      <c r="X374" s="104" t="s">
        <v>94</v>
      </c>
      <c r="Y374" s="216">
        <v>5681</v>
      </c>
      <c r="Z374" s="106">
        <v>46059</v>
      </c>
      <c r="AA374" s="106">
        <v>46065</v>
      </c>
      <c r="AB374" s="104" t="s">
        <v>41</v>
      </c>
      <c r="AC374" s="104"/>
      <c r="AD374" s="196">
        <f>S374-Y374</f>
        <v>997.5</v>
      </c>
    </row>
    <row r="375" spans="2:30" ht="45" hidden="1" customHeight="1">
      <c r="B375" s="174">
        <v>372</v>
      </c>
      <c r="C375" s="104" t="s">
        <v>61</v>
      </c>
      <c r="D375" s="104" t="s">
        <v>337</v>
      </c>
      <c r="E375" s="104" t="s">
        <v>34</v>
      </c>
      <c r="F375" s="104" t="s">
        <v>44</v>
      </c>
      <c r="G375" s="145" t="s">
        <v>1131</v>
      </c>
      <c r="H375" s="104">
        <v>2232</v>
      </c>
      <c r="I375" s="104">
        <v>242</v>
      </c>
      <c r="J375" s="104" t="s">
        <v>1118</v>
      </c>
      <c r="K375" s="104">
        <v>125138</v>
      </c>
      <c r="L375" s="104">
        <v>100100</v>
      </c>
      <c r="M375" s="104">
        <v>6</v>
      </c>
      <c r="N375" s="104" t="s">
        <v>34</v>
      </c>
      <c r="O375" s="104" t="s">
        <v>34</v>
      </c>
      <c r="P375" s="104">
        <v>4359906</v>
      </c>
      <c r="Q375" s="106">
        <v>46036</v>
      </c>
      <c r="R375" s="110">
        <v>4481374</v>
      </c>
      <c r="S375" s="160">
        <v>20706</v>
      </c>
      <c r="T375" s="108"/>
      <c r="U375" s="104">
        <v>538</v>
      </c>
      <c r="V375" s="104"/>
      <c r="W375" s="104" t="s">
        <v>48</v>
      </c>
      <c r="X375" s="104" t="s">
        <v>94</v>
      </c>
      <c r="Y375" s="216">
        <v>20706</v>
      </c>
      <c r="Z375" s="106">
        <v>46072</v>
      </c>
      <c r="AA375" s="106">
        <v>46073</v>
      </c>
      <c r="AB375" s="104" t="s">
        <v>41</v>
      </c>
      <c r="AC375" s="104"/>
      <c r="AD375" s="131">
        <f>S375-Y375</f>
        <v>0</v>
      </c>
    </row>
    <row r="376" spans="2:30" ht="45" hidden="1" customHeight="1">
      <c r="B376" s="174">
        <v>373</v>
      </c>
      <c r="C376" s="104" t="s">
        <v>183</v>
      </c>
      <c r="D376" s="104" t="s">
        <v>192</v>
      </c>
      <c r="E376" s="104" t="s">
        <v>1132</v>
      </c>
      <c r="F376" s="104" t="s">
        <v>35</v>
      </c>
      <c r="G376" s="145" t="s">
        <v>1133</v>
      </c>
      <c r="H376" s="104">
        <v>5345</v>
      </c>
      <c r="I376" s="104">
        <v>242</v>
      </c>
      <c r="J376" s="104" t="s">
        <v>58</v>
      </c>
      <c r="K376" s="104" t="s">
        <v>1134</v>
      </c>
      <c r="L376" s="104">
        <v>99997</v>
      </c>
      <c r="M376" s="104">
        <v>5</v>
      </c>
      <c r="N376" s="104" t="s">
        <v>1135</v>
      </c>
      <c r="O376" s="104" t="s">
        <v>40</v>
      </c>
      <c r="P376" s="104">
        <v>4359926</v>
      </c>
      <c r="Q376" s="106">
        <v>46036</v>
      </c>
      <c r="R376" s="110">
        <v>4481413</v>
      </c>
      <c r="S376" s="160">
        <v>2260</v>
      </c>
      <c r="T376" s="108"/>
      <c r="U376" s="104">
        <v>629</v>
      </c>
      <c r="V376" s="104"/>
      <c r="W376" s="104" t="s">
        <v>40</v>
      </c>
      <c r="X376" s="104" t="s">
        <v>385</v>
      </c>
      <c r="Y376" s="216">
        <v>2260</v>
      </c>
      <c r="Z376" s="106">
        <v>46050</v>
      </c>
      <c r="AA376" s="106">
        <v>46065</v>
      </c>
      <c r="AB376" s="104" t="s">
        <v>60</v>
      </c>
      <c r="AC376" s="104"/>
      <c r="AD376" s="113">
        <f>S376-Y376</f>
        <v>0</v>
      </c>
    </row>
    <row r="377" spans="2:30" ht="45" hidden="1" customHeight="1">
      <c r="B377" s="174">
        <v>374</v>
      </c>
      <c r="C377" s="104" t="s">
        <v>183</v>
      </c>
      <c r="D377" s="104" t="s">
        <v>192</v>
      </c>
      <c r="E377" s="104">
        <v>41549</v>
      </c>
      <c r="F377" s="104" t="s">
        <v>35</v>
      </c>
      <c r="G377" s="145" t="s">
        <v>1136</v>
      </c>
      <c r="H377" s="104">
        <v>2232</v>
      </c>
      <c r="I377" s="104">
        <v>242</v>
      </c>
      <c r="J377" s="104" t="s">
        <v>58</v>
      </c>
      <c r="K377" s="104" t="s">
        <v>1137</v>
      </c>
      <c r="L377" s="104">
        <v>99998</v>
      </c>
      <c r="M377" s="104">
        <v>5</v>
      </c>
      <c r="N377" s="104" t="s">
        <v>1138</v>
      </c>
      <c r="O377" s="104" t="s">
        <v>40</v>
      </c>
      <c r="P377" s="104">
        <v>4359929</v>
      </c>
      <c r="Q377" s="106">
        <v>46036</v>
      </c>
      <c r="R377" s="110">
        <v>4481513</v>
      </c>
      <c r="S377" s="160">
        <v>3280</v>
      </c>
      <c r="T377" s="108"/>
      <c r="U377" s="104">
        <v>630</v>
      </c>
      <c r="V377" s="104" t="s">
        <v>1139</v>
      </c>
      <c r="W377" s="104" t="s">
        <v>40</v>
      </c>
      <c r="X377" s="104" t="s">
        <v>385</v>
      </c>
      <c r="Y377" s="216">
        <v>3280</v>
      </c>
      <c r="Z377" s="106">
        <v>46050</v>
      </c>
      <c r="AA377" s="106">
        <v>46065</v>
      </c>
      <c r="AB377" s="104" t="s">
        <v>60</v>
      </c>
      <c r="AC377" s="104"/>
      <c r="AD377" s="113">
        <f>S377-Y377</f>
        <v>0</v>
      </c>
    </row>
    <row r="378" spans="2:30" ht="45" hidden="1" customHeight="1">
      <c r="B378" s="174">
        <v>375</v>
      </c>
      <c r="C378" s="104" t="s">
        <v>183</v>
      </c>
      <c r="D378" s="104" t="s">
        <v>192</v>
      </c>
      <c r="E378" s="104">
        <v>43567</v>
      </c>
      <c r="F378" s="104" t="s">
        <v>35</v>
      </c>
      <c r="G378" s="145" t="s">
        <v>1140</v>
      </c>
      <c r="H378" s="104">
        <v>4057</v>
      </c>
      <c r="I378" s="104">
        <v>242</v>
      </c>
      <c r="J378" s="104" t="s">
        <v>58</v>
      </c>
      <c r="K378" s="104" t="s">
        <v>1141</v>
      </c>
      <c r="L378" s="104">
        <v>99999</v>
      </c>
      <c r="M378" s="104">
        <v>5</v>
      </c>
      <c r="N378" s="104" t="s">
        <v>1142</v>
      </c>
      <c r="O378" s="104" t="s">
        <v>40</v>
      </c>
      <c r="P378" s="104">
        <v>4359932</v>
      </c>
      <c r="Q378" s="106">
        <v>46036</v>
      </c>
      <c r="R378" s="110">
        <v>4492072</v>
      </c>
      <c r="S378" s="160">
        <v>1850</v>
      </c>
      <c r="T378" s="108"/>
      <c r="U378" s="104">
        <v>680</v>
      </c>
      <c r="V378" s="104" t="s">
        <v>1143</v>
      </c>
      <c r="W378" s="104" t="s">
        <v>40</v>
      </c>
      <c r="X378" s="104" t="s">
        <v>385</v>
      </c>
      <c r="Y378" s="216">
        <v>1850</v>
      </c>
      <c r="Z378" s="106">
        <v>46059</v>
      </c>
      <c r="AA378" s="106">
        <v>46065</v>
      </c>
      <c r="AB378" s="104" t="s">
        <v>60</v>
      </c>
      <c r="AC378" s="104"/>
      <c r="AD378" s="113">
        <f>S378-Y378</f>
        <v>0</v>
      </c>
    </row>
    <row r="379" spans="2:30" ht="45" hidden="1" customHeight="1">
      <c r="B379" s="174">
        <v>376</v>
      </c>
      <c r="C379" s="104" t="s">
        <v>183</v>
      </c>
      <c r="D379" s="104" t="s">
        <v>192</v>
      </c>
      <c r="E379" s="104" t="s">
        <v>34</v>
      </c>
      <c r="F379" s="104" t="s">
        <v>35</v>
      </c>
      <c r="G379" s="145" t="s">
        <v>1140</v>
      </c>
      <c r="H379" s="104">
        <v>4057</v>
      </c>
      <c r="I379" s="104">
        <v>242</v>
      </c>
      <c r="J379" s="104" t="s">
        <v>58</v>
      </c>
      <c r="K379" s="104" t="s">
        <v>1144</v>
      </c>
      <c r="L379" s="104">
        <v>100000</v>
      </c>
      <c r="M379" s="104">
        <v>5</v>
      </c>
      <c r="N379" s="104" t="s">
        <v>1145</v>
      </c>
      <c r="O379" s="104" t="s">
        <v>40</v>
      </c>
      <c r="P379" s="104">
        <v>4359934</v>
      </c>
      <c r="Q379" s="106">
        <v>46036</v>
      </c>
      <c r="R379" s="110">
        <v>4481511</v>
      </c>
      <c r="S379" s="160">
        <v>1850</v>
      </c>
      <c r="T379" s="108"/>
      <c r="U379" s="104">
        <v>626</v>
      </c>
      <c r="V379" s="104" t="s">
        <v>1146</v>
      </c>
      <c r="W379" s="104" t="s">
        <v>40</v>
      </c>
      <c r="X379" s="104" t="s">
        <v>385</v>
      </c>
      <c r="Y379" s="216">
        <v>1850</v>
      </c>
      <c r="Z379" s="106">
        <v>46050</v>
      </c>
      <c r="AA379" s="106">
        <v>46065</v>
      </c>
      <c r="AB379" s="104" t="s">
        <v>60</v>
      </c>
      <c r="AC379" s="104"/>
      <c r="AD379" s="113">
        <f>S379-Y379</f>
        <v>0</v>
      </c>
    </row>
    <row r="380" spans="2:30" ht="45" hidden="1" customHeight="1">
      <c r="B380" s="174">
        <v>377</v>
      </c>
      <c r="C380" s="104" t="s">
        <v>146</v>
      </c>
      <c r="D380" s="104" t="s">
        <v>192</v>
      </c>
      <c r="E380" s="104">
        <v>43644</v>
      </c>
      <c r="F380" s="104" t="s">
        <v>35</v>
      </c>
      <c r="G380" s="145" t="s">
        <v>1147</v>
      </c>
      <c r="H380" s="104">
        <v>2291</v>
      </c>
      <c r="I380" s="104">
        <v>242</v>
      </c>
      <c r="J380" s="104" t="s">
        <v>58</v>
      </c>
      <c r="K380" s="104" t="s">
        <v>1148</v>
      </c>
      <c r="L380" s="104">
        <v>100440</v>
      </c>
      <c r="M380" s="104">
        <v>5</v>
      </c>
      <c r="N380" s="104" t="s">
        <v>1149</v>
      </c>
      <c r="O380" s="104" t="s">
        <v>40</v>
      </c>
      <c r="P380" s="104">
        <v>4359939</v>
      </c>
      <c r="Q380" s="106">
        <v>46036</v>
      </c>
      <c r="R380" s="110">
        <v>4481509</v>
      </c>
      <c r="S380" s="160">
        <v>1080</v>
      </c>
      <c r="T380" s="108"/>
      <c r="U380" s="104">
        <v>627</v>
      </c>
      <c r="V380" s="104" t="s">
        <v>1150</v>
      </c>
      <c r="W380" s="104" t="s">
        <v>40</v>
      </c>
      <c r="X380" s="104" t="s">
        <v>385</v>
      </c>
      <c r="Y380" s="216">
        <v>1080</v>
      </c>
      <c r="Z380" s="106">
        <v>46050</v>
      </c>
      <c r="AA380" s="106">
        <v>46070</v>
      </c>
      <c r="AB380" s="104" t="s">
        <v>60</v>
      </c>
      <c r="AC380" s="104"/>
      <c r="AD380" s="113">
        <f>S380-Y380</f>
        <v>0</v>
      </c>
    </row>
    <row r="381" spans="2:30" ht="45" hidden="1" customHeight="1">
      <c r="B381" s="174">
        <v>378</v>
      </c>
      <c r="C381" s="104" t="s">
        <v>146</v>
      </c>
      <c r="D381" s="104" t="s">
        <v>350</v>
      </c>
      <c r="E381" s="104">
        <v>40140</v>
      </c>
      <c r="F381" s="104" t="s">
        <v>44</v>
      </c>
      <c r="G381" s="145" t="s">
        <v>1151</v>
      </c>
      <c r="H381" s="104">
        <v>4057</v>
      </c>
      <c r="I381" s="104">
        <v>242</v>
      </c>
      <c r="J381" s="104" t="s">
        <v>58</v>
      </c>
      <c r="K381" s="104" t="s">
        <v>1152</v>
      </c>
      <c r="L381" s="104">
        <v>100449</v>
      </c>
      <c r="M381" s="104">
        <v>6</v>
      </c>
      <c r="N381" s="104" t="s">
        <v>34</v>
      </c>
      <c r="O381" s="104" t="s">
        <v>34</v>
      </c>
      <c r="P381" s="104">
        <v>4359940</v>
      </c>
      <c r="Q381" s="106">
        <v>46036</v>
      </c>
      <c r="R381" s="110">
        <v>4481483</v>
      </c>
      <c r="S381" s="160">
        <v>5098</v>
      </c>
      <c r="T381" s="108"/>
      <c r="U381" s="104">
        <v>5247</v>
      </c>
      <c r="V381" s="104"/>
      <c r="W381" s="104" t="s">
        <v>40</v>
      </c>
      <c r="X381" s="104" t="s">
        <v>25</v>
      </c>
      <c r="Y381" s="216">
        <v>4996</v>
      </c>
      <c r="Z381" s="106">
        <v>46057</v>
      </c>
      <c r="AA381" s="106">
        <v>46070</v>
      </c>
      <c r="AB381" s="104" t="s">
        <v>41</v>
      </c>
      <c r="AC381" s="104"/>
      <c r="AD381" s="113">
        <f>S381-Y381</f>
        <v>102</v>
      </c>
    </row>
    <row r="382" spans="2:30" ht="45" hidden="1" customHeight="1">
      <c r="B382" s="174">
        <v>379</v>
      </c>
      <c r="C382" s="104" t="s">
        <v>51</v>
      </c>
      <c r="D382" s="104" t="s">
        <v>1153</v>
      </c>
      <c r="E382" s="104">
        <v>43498</v>
      </c>
      <c r="F382" s="104" t="s">
        <v>44</v>
      </c>
      <c r="G382" s="145" t="s">
        <v>1154</v>
      </c>
      <c r="H382" s="104">
        <v>5345</v>
      </c>
      <c r="I382" s="104">
        <v>242</v>
      </c>
      <c r="J382" s="104" t="s">
        <v>1118</v>
      </c>
      <c r="K382" s="148">
        <v>20884</v>
      </c>
      <c r="L382" s="104">
        <v>99896</v>
      </c>
      <c r="M382" s="104">
        <v>6</v>
      </c>
      <c r="N382" s="104" t="s">
        <v>34</v>
      </c>
      <c r="O382" s="104" t="s">
        <v>34</v>
      </c>
      <c r="P382" s="104">
        <v>4360998</v>
      </c>
      <c r="Q382" s="106">
        <v>46037</v>
      </c>
      <c r="R382" s="104">
        <v>4481485</v>
      </c>
      <c r="S382" s="160">
        <v>12280</v>
      </c>
      <c r="T382" s="108"/>
      <c r="U382" s="104">
        <v>37</v>
      </c>
      <c r="V382" s="104" t="s">
        <v>34</v>
      </c>
      <c r="W382" s="104" t="s">
        <v>48</v>
      </c>
      <c r="X382" s="104" t="s">
        <v>94</v>
      </c>
      <c r="Y382" s="216">
        <v>12280</v>
      </c>
      <c r="Z382" s="106">
        <v>46077</v>
      </c>
      <c r="AA382" s="106">
        <v>46114</v>
      </c>
      <c r="AB382" s="104" t="s">
        <v>41</v>
      </c>
      <c r="AC382" s="104"/>
      <c r="AD382" s="113">
        <f>S382-Y382</f>
        <v>0</v>
      </c>
    </row>
    <row r="383" spans="2:30" ht="45" hidden="1" customHeight="1">
      <c r="B383" s="174">
        <v>380</v>
      </c>
      <c r="C383" s="104" t="s">
        <v>51</v>
      </c>
      <c r="D383" s="104" t="s">
        <v>1155</v>
      </c>
      <c r="E383" s="104"/>
      <c r="F383" s="104" t="s">
        <v>44</v>
      </c>
      <c r="G383" s="145" t="s">
        <v>1156</v>
      </c>
      <c r="H383" s="104">
        <v>2291</v>
      </c>
      <c r="I383" s="104">
        <v>242</v>
      </c>
      <c r="J383" s="104" t="s">
        <v>1118</v>
      </c>
      <c r="K383" s="104">
        <v>260109</v>
      </c>
      <c r="L383" s="104">
        <v>100069</v>
      </c>
      <c r="M383" s="104">
        <v>29</v>
      </c>
      <c r="N383" s="104" t="s">
        <v>1157</v>
      </c>
      <c r="O383" s="104"/>
      <c r="P383" s="104">
        <v>4361017</v>
      </c>
      <c r="Q383" s="106">
        <v>46037</v>
      </c>
      <c r="R383" s="104">
        <v>4482749</v>
      </c>
      <c r="S383" s="160">
        <v>21984.21</v>
      </c>
      <c r="T383" s="108"/>
      <c r="U383" s="104"/>
      <c r="V383" s="104"/>
      <c r="W383" s="104"/>
      <c r="X383" s="104"/>
      <c r="Y383" s="216"/>
      <c r="Z383" s="106"/>
      <c r="AA383" s="106"/>
      <c r="AB383" s="104" t="s">
        <v>66</v>
      </c>
      <c r="AC383" s="104"/>
      <c r="AD383" s="113">
        <f>S383-Y383</f>
        <v>21984.21</v>
      </c>
    </row>
    <row r="384" spans="2:30" ht="45" hidden="1" customHeight="1">
      <c r="B384" s="174">
        <v>381</v>
      </c>
      <c r="C384" s="104" t="s">
        <v>61</v>
      </c>
      <c r="D384" s="104" t="s">
        <v>1158</v>
      </c>
      <c r="E384" s="104"/>
      <c r="F384" s="104" t="s">
        <v>44</v>
      </c>
      <c r="G384" s="145" t="s">
        <v>1159</v>
      </c>
      <c r="H384" s="104">
        <v>2330</v>
      </c>
      <c r="I384" s="104">
        <v>242</v>
      </c>
      <c r="J384" s="104" t="s">
        <v>1118</v>
      </c>
      <c r="K384" s="104" t="s">
        <v>1160</v>
      </c>
      <c r="L384" s="104">
        <v>100524</v>
      </c>
      <c r="M384" s="104">
        <v>29</v>
      </c>
      <c r="N384" s="104" t="s">
        <v>919</v>
      </c>
      <c r="O384" s="104"/>
      <c r="P384" s="116" t="s">
        <v>1161</v>
      </c>
      <c r="Q384" s="106">
        <v>46037</v>
      </c>
      <c r="R384" s="104"/>
      <c r="S384" s="160">
        <v>37363.58</v>
      </c>
      <c r="T384" s="108"/>
      <c r="U384" s="104"/>
      <c r="V384" s="104"/>
      <c r="W384" s="104"/>
      <c r="X384" s="104"/>
      <c r="Y384" s="216"/>
      <c r="Z384" s="106"/>
      <c r="AA384" s="106"/>
      <c r="AB384" s="104" t="s">
        <v>115</v>
      </c>
      <c r="AC384" s="104"/>
      <c r="AD384" s="113">
        <f>S384-Y384</f>
        <v>37363.58</v>
      </c>
    </row>
    <row r="385" spans="2:30" ht="45" hidden="1" customHeight="1">
      <c r="B385" s="174">
        <v>382</v>
      </c>
      <c r="C385" s="104" t="s">
        <v>291</v>
      </c>
      <c r="D385" s="104" t="s">
        <v>1162</v>
      </c>
      <c r="E385" s="104">
        <v>42915</v>
      </c>
      <c r="F385" s="104" t="s">
        <v>44</v>
      </c>
      <c r="G385" s="145" t="s">
        <v>1163</v>
      </c>
      <c r="H385" s="104">
        <v>2488</v>
      </c>
      <c r="I385" s="104">
        <v>3</v>
      </c>
      <c r="J385" s="104" t="s">
        <v>1118</v>
      </c>
      <c r="K385" s="104" t="s">
        <v>1164</v>
      </c>
      <c r="L385" s="104" t="s">
        <v>1165</v>
      </c>
      <c r="M385" s="104">
        <v>6</v>
      </c>
      <c r="N385" s="104" t="s">
        <v>34</v>
      </c>
      <c r="O385" s="104" t="s">
        <v>34</v>
      </c>
      <c r="P385" s="104">
        <v>4361994</v>
      </c>
      <c r="Q385" s="106">
        <v>46038</v>
      </c>
      <c r="R385" s="104">
        <v>4477563</v>
      </c>
      <c r="S385" s="160">
        <v>16250</v>
      </c>
      <c r="T385" s="108"/>
      <c r="U385" s="104">
        <v>20054</v>
      </c>
      <c r="V385" s="104"/>
      <c r="W385" s="104" t="s">
        <v>48</v>
      </c>
      <c r="X385" s="104" t="s">
        <v>94</v>
      </c>
      <c r="Y385" s="216">
        <v>15400</v>
      </c>
      <c r="Z385" s="106">
        <v>46057</v>
      </c>
      <c r="AA385" s="106">
        <v>46059</v>
      </c>
      <c r="AB385" s="104" t="s">
        <v>60</v>
      </c>
      <c r="AC385" s="104"/>
      <c r="AD385" s="113">
        <f>S385-Y385</f>
        <v>850</v>
      </c>
    </row>
    <row r="386" spans="2:30" ht="45" hidden="1" customHeight="1">
      <c r="B386" s="174">
        <v>383</v>
      </c>
      <c r="C386" s="104" t="s">
        <v>70</v>
      </c>
      <c r="D386" s="104" t="s">
        <v>1162</v>
      </c>
      <c r="E386" s="104">
        <v>43898</v>
      </c>
      <c r="F386" s="104" t="s">
        <v>44</v>
      </c>
      <c r="G386" s="145" t="s">
        <v>1166</v>
      </c>
      <c r="H386" s="104">
        <v>2291</v>
      </c>
      <c r="I386" s="104">
        <v>242</v>
      </c>
      <c r="J386" s="104" t="s">
        <v>1118</v>
      </c>
      <c r="K386" s="104" t="s">
        <v>1167</v>
      </c>
      <c r="L386" s="104">
        <v>100486</v>
      </c>
      <c r="M386" s="104">
        <v>6</v>
      </c>
      <c r="N386" s="104" t="s">
        <v>34</v>
      </c>
      <c r="O386" s="104" t="s">
        <v>34</v>
      </c>
      <c r="P386" s="104">
        <v>4362395</v>
      </c>
      <c r="Q386" s="106">
        <v>46038</v>
      </c>
      <c r="R386" s="104">
        <v>4477565</v>
      </c>
      <c r="S386" s="121">
        <v>38687.68</v>
      </c>
      <c r="T386" s="108"/>
      <c r="U386" s="104">
        <v>20100</v>
      </c>
      <c r="V386" s="104"/>
      <c r="W386" s="104" t="s">
        <v>48</v>
      </c>
      <c r="X386" s="104" t="s">
        <v>131</v>
      </c>
      <c r="Y386" s="216">
        <v>36750</v>
      </c>
      <c r="Z386" s="106">
        <v>46065</v>
      </c>
      <c r="AA386" s="106">
        <v>46065</v>
      </c>
      <c r="AB386" s="104" t="s">
        <v>60</v>
      </c>
      <c r="AC386" s="104"/>
      <c r="AD386" s="113">
        <f>S386-Y386</f>
        <v>1937.6800000000003</v>
      </c>
    </row>
    <row r="387" spans="2:30" ht="45" hidden="1" customHeight="1">
      <c r="B387" s="174">
        <v>384</v>
      </c>
      <c r="C387" s="104" t="s">
        <v>183</v>
      </c>
      <c r="D387" s="104" t="s">
        <v>575</v>
      </c>
      <c r="E387" s="104">
        <v>43183</v>
      </c>
      <c r="F387" s="104" t="s">
        <v>35</v>
      </c>
      <c r="G387" s="145" t="s">
        <v>1168</v>
      </c>
      <c r="H387" s="104">
        <v>2224</v>
      </c>
      <c r="I387" s="104">
        <v>242</v>
      </c>
      <c r="J387" s="104" t="s">
        <v>58</v>
      </c>
      <c r="K387" s="104" t="s">
        <v>1169</v>
      </c>
      <c r="L387" s="104">
        <v>100962</v>
      </c>
      <c r="M387" s="104">
        <v>6</v>
      </c>
      <c r="N387" s="104" t="s">
        <v>34</v>
      </c>
      <c r="O387" s="104" t="s">
        <v>34</v>
      </c>
      <c r="P387" s="104">
        <v>4362665</v>
      </c>
      <c r="Q387" s="106">
        <v>46039</v>
      </c>
      <c r="R387" s="110">
        <v>4482873</v>
      </c>
      <c r="S387" s="160">
        <v>1459.9</v>
      </c>
      <c r="T387" s="108"/>
      <c r="U387" s="104">
        <v>1841</v>
      </c>
      <c r="V387" s="104"/>
      <c r="W387" s="104" t="s">
        <v>48</v>
      </c>
      <c r="X387" s="104" t="s">
        <v>25</v>
      </c>
      <c r="Y387" s="216">
        <v>1459.9</v>
      </c>
      <c r="Z387" s="106">
        <v>46071</v>
      </c>
      <c r="AA387" s="106">
        <v>46073</v>
      </c>
      <c r="AB387" s="104" t="s">
        <v>41</v>
      </c>
      <c r="AC387" s="104"/>
      <c r="AD387" s="113">
        <f>S387-Y387</f>
        <v>0</v>
      </c>
    </row>
    <row r="388" spans="2:30" ht="45" hidden="1" customHeight="1">
      <c r="B388" s="174">
        <v>385</v>
      </c>
      <c r="C388" s="104" t="s">
        <v>183</v>
      </c>
      <c r="D388" s="104" t="s">
        <v>575</v>
      </c>
      <c r="E388" s="104">
        <v>43690</v>
      </c>
      <c r="F388" s="104" t="s">
        <v>35</v>
      </c>
      <c r="G388" s="145" t="s">
        <v>1170</v>
      </c>
      <c r="H388" s="104">
        <v>2224</v>
      </c>
      <c r="I388" s="104">
        <v>242</v>
      </c>
      <c r="J388" s="104" t="s">
        <v>58</v>
      </c>
      <c r="K388" s="104" t="s">
        <v>1171</v>
      </c>
      <c r="L388" s="104">
        <v>100964</v>
      </c>
      <c r="M388" s="104">
        <v>6</v>
      </c>
      <c r="N388" s="104" t="s">
        <v>34</v>
      </c>
      <c r="O388" s="104" t="s">
        <v>34</v>
      </c>
      <c r="P388" s="104">
        <v>4362712</v>
      </c>
      <c r="Q388" s="106">
        <v>46039</v>
      </c>
      <c r="R388" s="110">
        <v>4482875</v>
      </c>
      <c r="S388" s="160">
        <v>5503.2</v>
      </c>
      <c r="T388" s="108"/>
      <c r="U388" s="104">
        <v>1836</v>
      </c>
      <c r="V388" s="104"/>
      <c r="W388" s="104" t="s">
        <v>40</v>
      </c>
      <c r="X388" s="104" t="s">
        <v>25</v>
      </c>
      <c r="Y388" s="216">
        <v>5503.2</v>
      </c>
      <c r="Z388" s="106">
        <v>46062</v>
      </c>
      <c r="AA388" s="106">
        <v>46065</v>
      </c>
      <c r="AB388" s="104" t="s">
        <v>60</v>
      </c>
      <c r="AC388" s="104"/>
      <c r="AD388" s="113">
        <f>S388-Y388</f>
        <v>0</v>
      </c>
    </row>
    <row r="389" spans="2:30" ht="45" hidden="1" customHeight="1">
      <c r="B389" s="174">
        <v>386</v>
      </c>
      <c r="C389" s="104" t="s">
        <v>70</v>
      </c>
      <c r="D389" s="104" t="s">
        <v>323</v>
      </c>
      <c r="E389" s="104">
        <v>41742</v>
      </c>
      <c r="F389" s="104" t="s">
        <v>44</v>
      </c>
      <c r="G389" s="145" t="s">
        <v>1172</v>
      </c>
      <c r="H389" s="104">
        <v>4057</v>
      </c>
      <c r="I389" s="104">
        <v>242</v>
      </c>
      <c r="J389" s="104" t="s">
        <v>58</v>
      </c>
      <c r="K389" s="104" t="s">
        <v>1173</v>
      </c>
      <c r="L389" s="104">
        <v>100999</v>
      </c>
      <c r="M389" s="104">
        <v>6</v>
      </c>
      <c r="N389" s="104" t="s">
        <v>34</v>
      </c>
      <c r="O389" s="104" t="s">
        <v>34</v>
      </c>
      <c r="P389" s="104">
        <v>4362715</v>
      </c>
      <c r="Q389" s="106">
        <v>46039</v>
      </c>
      <c r="R389" s="110">
        <v>4482887</v>
      </c>
      <c r="S389" s="160">
        <v>7678.4</v>
      </c>
      <c r="T389" s="108">
        <v>46054</v>
      </c>
      <c r="U389" s="104">
        <v>180</v>
      </c>
      <c r="V389" s="104"/>
      <c r="W389" s="104" t="s">
        <v>48</v>
      </c>
      <c r="X389" s="104" t="s">
        <v>25</v>
      </c>
      <c r="Y389" s="216">
        <v>7678.4</v>
      </c>
      <c r="Z389" s="106">
        <v>46113</v>
      </c>
      <c r="AA389" s="106">
        <v>46122</v>
      </c>
      <c r="AB389" s="104" t="s">
        <v>41</v>
      </c>
      <c r="AC389" s="104" t="s">
        <v>1174</v>
      </c>
      <c r="AD389" s="113">
        <f>S389-Y389</f>
        <v>0</v>
      </c>
    </row>
    <row r="390" spans="2:30" ht="45" hidden="1" customHeight="1">
      <c r="B390" s="174">
        <v>387</v>
      </c>
      <c r="C390" s="104" t="s">
        <v>70</v>
      </c>
      <c r="D390" s="104" t="s">
        <v>323</v>
      </c>
      <c r="E390" s="104">
        <v>41742</v>
      </c>
      <c r="F390" s="104" t="s">
        <v>44</v>
      </c>
      <c r="G390" s="145" t="s">
        <v>1172</v>
      </c>
      <c r="H390" s="104">
        <v>4057</v>
      </c>
      <c r="I390" s="104">
        <v>242</v>
      </c>
      <c r="J390" s="104" t="s">
        <v>58</v>
      </c>
      <c r="K390" s="104" t="s">
        <v>1175</v>
      </c>
      <c r="L390" s="104">
        <v>100101</v>
      </c>
      <c r="M390" s="104">
        <v>6</v>
      </c>
      <c r="N390" s="104" t="s">
        <v>34</v>
      </c>
      <c r="O390" s="104" t="s">
        <v>34</v>
      </c>
      <c r="P390" s="116" t="s">
        <v>1176</v>
      </c>
      <c r="Q390" s="106">
        <v>46039</v>
      </c>
      <c r="R390" s="110"/>
      <c r="S390" s="160">
        <v>7678.4</v>
      </c>
      <c r="T390" s="108">
        <v>46054</v>
      </c>
      <c r="U390" s="104"/>
      <c r="V390" s="104"/>
      <c r="W390" s="104"/>
      <c r="X390" s="104"/>
      <c r="Y390" s="216"/>
      <c r="Z390" s="106"/>
      <c r="AA390" s="106"/>
      <c r="AB390" s="104" t="s">
        <v>115</v>
      </c>
      <c r="AC390" s="104"/>
      <c r="AD390" s="113">
        <f>S390-Y390</f>
        <v>7678.4</v>
      </c>
    </row>
    <row r="391" spans="2:30" ht="45" hidden="1" customHeight="1">
      <c r="B391" s="174">
        <v>388</v>
      </c>
      <c r="C391" s="104" t="s">
        <v>70</v>
      </c>
      <c r="D391" s="104" t="s">
        <v>323</v>
      </c>
      <c r="E391" s="104">
        <v>42336</v>
      </c>
      <c r="F391" s="104" t="s">
        <v>44</v>
      </c>
      <c r="G391" s="145" t="s">
        <v>1172</v>
      </c>
      <c r="H391" s="104">
        <v>4057</v>
      </c>
      <c r="I391" s="104">
        <v>242</v>
      </c>
      <c r="J391" s="104" t="s">
        <v>58</v>
      </c>
      <c r="K391" s="104" t="s">
        <v>1177</v>
      </c>
      <c r="L391" s="104">
        <v>101002</v>
      </c>
      <c r="M391" s="104">
        <v>6</v>
      </c>
      <c r="N391" s="104" t="s">
        <v>34</v>
      </c>
      <c r="O391" s="104" t="s">
        <v>34</v>
      </c>
      <c r="P391" s="104">
        <v>4362717</v>
      </c>
      <c r="Q391" s="106">
        <v>46039</v>
      </c>
      <c r="R391" s="110">
        <v>4482888</v>
      </c>
      <c r="S391" s="160">
        <v>7694.1</v>
      </c>
      <c r="T391" s="108">
        <v>46054</v>
      </c>
      <c r="U391" s="104">
        <v>172</v>
      </c>
      <c r="V391" s="104" t="s">
        <v>34</v>
      </c>
      <c r="W391" s="104" t="s">
        <v>48</v>
      </c>
      <c r="X391" s="104" t="s">
        <v>25</v>
      </c>
      <c r="Y391" s="216">
        <v>7694.1</v>
      </c>
      <c r="Z391" s="106">
        <v>46087</v>
      </c>
      <c r="AA391" s="106">
        <v>46097</v>
      </c>
      <c r="AB391" s="104" t="s">
        <v>41</v>
      </c>
      <c r="AC391" s="104"/>
      <c r="AD391" s="113">
        <f>S391-Y391</f>
        <v>0</v>
      </c>
    </row>
    <row r="392" spans="2:30" ht="45" hidden="1" customHeight="1">
      <c r="B392" s="174">
        <v>389</v>
      </c>
      <c r="C392" s="104" t="s">
        <v>80</v>
      </c>
      <c r="D392" s="104" t="s">
        <v>1178</v>
      </c>
      <c r="E392" s="104" t="s">
        <v>34</v>
      </c>
      <c r="F392" s="104" t="s">
        <v>44</v>
      </c>
      <c r="G392" s="255" t="s">
        <v>1179</v>
      </c>
      <c r="H392" s="104">
        <v>2224</v>
      </c>
      <c r="I392" s="104">
        <v>242</v>
      </c>
      <c r="J392" s="104" t="s">
        <v>58</v>
      </c>
      <c r="K392" s="104" t="s">
        <v>1180</v>
      </c>
      <c r="L392" s="104">
        <v>70196</v>
      </c>
      <c r="M392" s="104">
        <v>29</v>
      </c>
      <c r="N392" s="104" t="s">
        <v>1181</v>
      </c>
      <c r="O392" s="104" t="s">
        <v>34</v>
      </c>
      <c r="P392" s="119" t="s">
        <v>1182</v>
      </c>
      <c r="Q392" s="106">
        <v>45842</v>
      </c>
      <c r="R392" s="104">
        <v>4292561</v>
      </c>
      <c r="S392" s="107">
        <v>338.2</v>
      </c>
      <c r="T392" s="108">
        <v>45856</v>
      </c>
      <c r="U392" s="104">
        <v>1595</v>
      </c>
      <c r="V392" s="104" t="s">
        <v>34</v>
      </c>
      <c r="W392" s="104" t="s">
        <v>48</v>
      </c>
      <c r="X392" s="104" t="s">
        <v>106</v>
      </c>
      <c r="Y392" s="221">
        <v>338.2</v>
      </c>
      <c r="Z392" s="106">
        <v>45946</v>
      </c>
      <c r="AA392" s="106">
        <v>45959</v>
      </c>
      <c r="AB392" s="110" t="s">
        <v>60</v>
      </c>
      <c r="AC392" s="104"/>
      <c r="AD392" s="113">
        <f>S392-Y392</f>
        <v>0</v>
      </c>
    </row>
    <row r="393" spans="2:30" ht="45" hidden="1" customHeight="1">
      <c r="B393" s="174">
        <v>390</v>
      </c>
      <c r="C393" s="104" t="s">
        <v>61</v>
      </c>
      <c r="D393" s="104" t="s">
        <v>1183</v>
      </c>
      <c r="E393" s="104" t="s">
        <v>34</v>
      </c>
      <c r="F393" s="104" t="s">
        <v>44</v>
      </c>
      <c r="G393" s="255" t="s">
        <v>1184</v>
      </c>
      <c r="H393" s="104">
        <v>5345</v>
      </c>
      <c r="I393" s="104">
        <v>242</v>
      </c>
      <c r="J393" s="104" t="s">
        <v>58</v>
      </c>
      <c r="K393" s="104" t="s">
        <v>1185</v>
      </c>
      <c r="L393" s="104">
        <v>73049</v>
      </c>
      <c r="M393" s="104">
        <v>2</v>
      </c>
      <c r="N393" s="104" t="s">
        <v>1186</v>
      </c>
      <c r="O393" s="104" t="s">
        <v>34</v>
      </c>
      <c r="P393" s="119" t="s">
        <v>1187</v>
      </c>
      <c r="Q393" s="106">
        <v>45863</v>
      </c>
      <c r="R393" s="104">
        <v>4312973</v>
      </c>
      <c r="S393" s="107">
        <v>34350</v>
      </c>
      <c r="T393" s="108">
        <v>45839</v>
      </c>
      <c r="U393" s="104"/>
      <c r="V393" s="104"/>
      <c r="W393" s="104"/>
      <c r="X393" s="104"/>
      <c r="Y393" s="131"/>
      <c r="Z393" s="106"/>
      <c r="AA393" s="106"/>
      <c r="AB393" s="104" t="s">
        <v>60</v>
      </c>
      <c r="AC393" s="104"/>
      <c r="AD393" s="113">
        <f>S393-Y393</f>
        <v>34350</v>
      </c>
    </row>
    <row r="394" spans="2:30" ht="45" hidden="1" customHeight="1">
      <c r="B394" s="174">
        <v>391</v>
      </c>
      <c r="C394" s="134" t="s">
        <v>183</v>
      </c>
      <c r="D394" s="134" t="s">
        <v>409</v>
      </c>
      <c r="E394" s="134">
        <v>31359</v>
      </c>
      <c r="F394" s="104" t="s">
        <v>35</v>
      </c>
      <c r="G394" s="259" t="s">
        <v>1188</v>
      </c>
      <c r="H394" s="134">
        <v>2470</v>
      </c>
      <c r="I394" s="134">
        <v>242</v>
      </c>
      <c r="J394" s="134" t="s">
        <v>58</v>
      </c>
      <c r="K394" s="134" t="s">
        <v>1189</v>
      </c>
      <c r="L394" s="134">
        <v>82153</v>
      </c>
      <c r="M394" s="134">
        <v>6</v>
      </c>
      <c r="N394" s="134" t="s">
        <v>34</v>
      </c>
      <c r="O394" s="134" t="s">
        <v>34</v>
      </c>
      <c r="P394" s="165" t="s">
        <v>1190</v>
      </c>
      <c r="Q394" s="140">
        <v>45950</v>
      </c>
      <c r="R394" s="159"/>
      <c r="S394" s="168">
        <v>6456</v>
      </c>
      <c r="T394" s="142">
        <v>45931</v>
      </c>
      <c r="U394" s="134"/>
      <c r="V394" s="134"/>
      <c r="W394" s="134"/>
      <c r="X394" s="134"/>
      <c r="Y394" s="227"/>
      <c r="Z394" s="140"/>
      <c r="AA394" s="140"/>
      <c r="AB394" s="134" t="s">
        <v>115</v>
      </c>
      <c r="AC394" s="171" t="s">
        <v>1191</v>
      </c>
      <c r="AD394" s="113">
        <f>S394-Y394</f>
        <v>6456</v>
      </c>
    </row>
    <row r="395" spans="2:30" ht="45" hidden="1" customHeight="1">
      <c r="B395" s="174">
        <v>392</v>
      </c>
      <c r="C395" s="104" t="s">
        <v>183</v>
      </c>
      <c r="D395" s="104" t="s">
        <v>192</v>
      </c>
      <c r="E395" s="104" t="s">
        <v>34</v>
      </c>
      <c r="F395" s="104" t="s">
        <v>35</v>
      </c>
      <c r="G395" s="145" t="s">
        <v>1192</v>
      </c>
      <c r="H395" s="104">
        <v>4057</v>
      </c>
      <c r="I395" s="104">
        <v>242</v>
      </c>
      <c r="J395" s="104" t="s">
        <v>58</v>
      </c>
      <c r="K395" s="104" t="s">
        <v>1193</v>
      </c>
      <c r="L395" s="104">
        <v>83989</v>
      </c>
      <c r="M395" s="104">
        <v>5</v>
      </c>
      <c r="N395" s="104" t="s">
        <v>1194</v>
      </c>
      <c r="O395" s="104" t="s">
        <v>48</v>
      </c>
      <c r="P395" s="119" t="s">
        <v>1195</v>
      </c>
      <c r="Q395" s="106">
        <v>45980</v>
      </c>
      <c r="R395" s="104">
        <v>4425735</v>
      </c>
      <c r="S395" s="109">
        <v>1850</v>
      </c>
      <c r="T395" s="108">
        <v>45992</v>
      </c>
      <c r="U395" s="104">
        <v>431</v>
      </c>
      <c r="V395" s="106" t="s">
        <v>1196</v>
      </c>
      <c r="W395" s="104" t="s">
        <v>48</v>
      </c>
      <c r="X395" s="104" t="s">
        <v>44</v>
      </c>
      <c r="Y395" s="221">
        <v>1850</v>
      </c>
      <c r="Z395" s="106">
        <v>45992</v>
      </c>
      <c r="AA395" s="106">
        <v>45993</v>
      </c>
      <c r="AB395" s="104" t="s">
        <v>60</v>
      </c>
      <c r="AC395" s="104"/>
      <c r="AD395" s="113">
        <f>S395-Y395</f>
        <v>0</v>
      </c>
    </row>
    <row r="396" spans="2:30" ht="45" hidden="1" customHeight="1">
      <c r="B396" s="174">
        <v>393</v>
      </c>
      <c r="C396" s="104" t="s">
        <v>183</v>
      </c>
      <c r="D396" s="104" t="s">
        <v>192</v>
      </c>
      <c r="E396" s="104" t="s">
        <v>34</v>
      </c>
      <c r="F396" s="104" t="s">
        <v>35</v>
      </c>
      <c r="G396" s="255" t="s">
        <v>1197</v>
      </c>
      <c r="H396" s="104">
        <v>2739</v>
      </c>
      <c r="I396" s="104">
        <v>242</v>
      </c>
      <c r="J396" s="104" t="s">
        <v>58</v>
      </c>
      <c r="K396" s="119" t="s">
        <v>1198</v>
      </c>
      <c r="L396" s="104">
        <v>83988</v>
      </c>
      <c r="M396" s="104">
        <v>5</v>
      </c>
      <c r="N396" s="104" t="s">
        <v>1199</v>
      </c>
      <c r="O396" s="104" t="s">
        <v>40</v>
      </c>
      <c r="P396" s="116" t="s">
        <v>1200</v>
      </c>
      <c r="Q396" s="106">
        <v>45986</v>
      </c>
      <c r="R396" s="104">
        <v>4431055</v>
      </c>
      <c r="S396" s="107">
        <v>725</v>
      </c>
      <c r="T396" s="108">
        <v>45962</v>
      </c>
      <c r="U396" s="104">
        <v>446</v>
      </c>
      <c r="V396" s="104" t="s">
        <v>1201</v>
      </c>
      <c r="W396" s="104" t="s">
        <v>48</v>
      </c>
      <c r="X396" s="104" t="s">
        <v>44</v>
      </c>
      <c r="Y396" s="131">
        <v>725</v>
      </c>
      <c r="Z396" s="106">
        <v>45993</v>
      </c>
      <c r="AA396" s="106">
        <v>46069</v>
      </c>
      <c r="AB396" s="104" t="s">
        <v>60</v>
      </c>
      <c r="AC396" s="118"/>
      <c r="AD396" s="113">
        <f>S396-Y396</f>
        <v>0</v>
      </c>
    </row>
    <row r="397" spans="2:30" ht="45" hidden="1" customHeight="1">
      <c r="B397" s="174">
        <v>394</v>
      </c>
      <c r="C397" s="104" t="s">
        <v>1202</v>
      </c>
      <c r="D397" s="104" t="s">
        <v>1203</v>
      </c>
      <c r="E397" s="104" t="s">
        <v>34</v>
      </c>
      <c r="F397" s="104" t="s">
        <v>44</v>
      </c>
      <c r="G397" s="255" t="s">
        <v>1204</v>
      </c>
      <c r="H397" s="104">
        <v>2321</v>
      </c>
      <c r="I397" s="104">
        <v>242</v>
      </c>
      <c r="J397" s="104" t="s">
        <v>285</v>
      </c>
      <c r="K397" s="104" t="s">
        <v>1205</v>
      </c>
      <c r="L397" s="104">
        <v>86600</v>
      </c>
      <c r="M397" s="104">
        <v>29</v>
      </c>
      <c r="N397" s="104" t="s">
        <v>1206</v>
      </c>
      <c r="O397" s="104" t="s">
        <v>34</v>
      </c>
      <c r="P397" s="119" t="s">
        <v>1207</v>
      </c>
      <c r="Q397" s="106">
        <v>45944</v>
      </c>
      <c r="R397" s="104">
        <v>4408346</v>
      </c>
      <c r="S397" s="129">
        <v>2060</v>
      </c>
      <c r="T397" s="108">
        <v>45931</v>
      </c>
      <c r="U397" s="104">
        <v>11435</v>
      </c>
      <c r="V397" s="104"/>
      <c r="W397" s="104"/>
      <c r="X397" s="104"/>
      <c r="Y397" s="131"/>
      <c r="Z397" s="106"/>
      <c r="AA397" s="106"/>
      <c r="AB397" s="104" t="s">
        <v>60</v>
      </c>
      <c r="AC397" s="104"/>
      <c r="AD397" s="113">
        <f>S397-Y397</f>
        <v>2060</v>
      </c>
    </row>
    <row r="398" spans="2:30" ht="45" hidden="1" customHeight="1">
      <c r="B398" s="174">
        <v>395</v>
      </c>
      <c r="C398" s="104" t="s">
        <v>282</v>
      </c>
      <c r="D398" s="104" t="s">
        <v>33</v>
      </c>
      <c r="E398" s="104">
        <v>38252</v>
      </c>
      <c r="F398" s="104" t="s">
        <v>35</v>
      </c>
      <c r="G398" s="255" t="s">
        <v>1208</v>
      </c>
      <c r="H398" s="104">
        <v>2330</v>
      </c>
      <c r="I398" s="104">
        <v>242</v>
      </c>
      <c r="J398" s="104" t="s">
        <v>285</v>
      </c>
      <c r="K398" s="104" t="s">
        <v>1209</v>
      </c>
      <c r="L398" s="104">
        <v>87016</v>
      </c>
      <c r="M398" s="104">
        <v>6</v>
      </c>
      <c r="N398" s="104" t="s">
        <v>34</v>
      </c>
      <c r="O398" s="104" t="s">
        <v>34</v>
      </c>
      <c r="P398" s="119" t="s">
        <v>1210</v>
      </c>
      <c r="Q398" s="106">
        <v>45946</v>
      </c>
      <c r="R398" s="104">
        <v>4389682</v>
      </c>
      <c r="S398" s="121">
        <v>3990</v>
      </c>
      <c r="T398" s="108">
        <v>45931</v>
      </c>
      <c r="U398" s="104">
        <v>3168</v>
      </c>
      <c r="V398" s="122" t="s">
        <v>1211</v>
      </c>
      <c r="W398" s="104" t="s">
        <v>48</v>
      </c>
      <c r="X398" s="104" t="s">
        <v>25</v>
      </c>
      <c r="Y398" s="131">
        <v>3990</v>
      </c>
      <c r="Z398" s="106">
        <v>45962</v>
      </c>
      <c r="AA398" s="122">
        <v>45967</v>
      </c>
      <c r="AB398" s="110" t="s">
        <v>60</v>
      </c>
      <c r="AC398" s="104"/>
      <c r="AD398" s="113">
        <f>S398-Y398</f>
        <v>0</v>
      </c>
    </row>
    <row r="399" spans="2:30" ht="45" hidden="1" customHeight="1">
      <c r="B399" s="174">
        <v>396</v>
      </c>
      <c r="C399" s="104" t="s">
        <v>282</v>
      </c>
      <c r="D399" s="104" t="s">
        <v>543</v>
      </c>
      <c r="E399" s="104">
        <v>39251</v>
      </c>
      <c r="F399" s="104" t="s">
        <v>44</v>
      </c>
      <c r="G399" s="255" t="s">
        <v>544</v>
      </c>
      <c r="H399" s="104">
        <v>2119</v>
      </c>
      <c r="I399" s="104">
        <v>242</v>
      </c>
      <c r="J399" s="104" t="s">
        <v>285</v>
      </c>
      <c r="K399" s="104" t="s">
        <v>543</v>
      </c>
      <c r="L399" s="104">
        <v>87018</v>
      </c>
      <c r="M399" s="104">
        <v>6</v>
      </c>
      <c r="N399" s="104" t="s">
        <v>34</v>
      </c>
      <c r="O399" s="104" t="s">
        <v>34</v>
      </c>
      <c r="P399" s="119" t="s">
        <v>1212</v>
      </c>
      <c r="Q399" s="106">
        <v>45946</v>
      </c>
      <c r="R399" s="110"/>
      <c r="S399" s="121">
        <v>445</v>
      </c>
      <c r="T399" s="108">
        <v>45931</v>
      </c>
      <c r="U399" s="104"/>
      <c r="V399" s="104"/>
      <c r="W399" s="104"/>
      <c r="X399" s="104"/>
      <c r="Y399" s="131"/>
      <c r="Z399" s="106"/>
      <c r="AA399" s="106"/>
      <c r="AB399" s="104" t="s">
        <v>115</v>
      </c>
      <c r="AC399" s="104" t="s">
        <v>1213</v>
      </c>
      <c r="AD399" s="113">
        <f>S399-Y399</f>
        <v>445</v>
      </c>
    </row>
    <row r="400" spans="2:30" ht="45" hidden="1" customHeight="1">
      <c r="B400" s="174">
        <v>397</v>
      </c>
      <c r="C400" s="104" t="s">
        <v>42</v>
      </c>
      <c r="D400" s="104" t="s">
        <v>556</v>
      </c>
      <c r="E400" s="104" t="s">
        <v>34</v>
      </c>
      <c r="F400" s="104" t="s">
        <v>44</v>
      </c>
      <c r="G400" s="255" t="s">
        <v>557</v>
      </c>
      <c r="H400" s="104">
        <v>1244</v>
      </c>
      <c r="I400" s="104">
        <v>242</v>
      </c>
      <c r="J400" s="104" t="s">
        <v>37</v>
      </c>
      <c r="K400" s="104" t="s">
        <v>556</v>
      </c>
      <c r="L400" s="104" t="s">
        <v>1214</v>
      </c>
      <c r="M400" s="104">
        <v>29</v>
      </c>
      <c r="N400" s="104" t="s">
        <v>34</v>
      </c>
      <c r="O400" s="104" t="s">
        <v>34</v>
      </c>
      <c r="P400" s="116" t="s">
        <v>1215</v>
      </c>
      <c r="Q400" s="106">
        <v>45953</v>
      </c>
      <c r="R400" s="110"/>
      <c r="S400" s="121">
        <v>970</v>
      </c>
      <c r="T400" s="108"/>
      <c r="U400" s="104"/>
      <c r="V400" s="104"/>
      <c r="W400" s="104"/>
      <c r="X400" s="104"/>
      <c r="Y400" s="131"/>
      <c r="Z400" s="106"/>
      <c r="AA400" s="106"/>
      <c r="AB400" s="104" t="s">
        <v>115</v>
      </c>
      <c r="AC400" s="104" t="s">
        <v>1216</v>
      </c>
      <c r="AD400" s="113">
        <f>S400-Y400</f>
        <v>970</v>
      </c>
    </row>
    <row r="401" spans="2:30" ht="45" hidden="1" customHeight="1">
      <c r="B401" s="174">
        <v>398</v>
      </c>
      <c r="C401" s="104" t="s">
        <v>70</v>
      </c>
      <c r="D401" s="104" t="s">
        <v>203</v>
      </c>
      <c r="E401" s="104">
        <v>37478</v>
      </c>
      <c r="F401" s="104" t="s">
        <v>44</v>
      </c>
      <c r="G401" s="255" t="s">
        <v>1217</v>
      </c>
      <c r="H401" s="104">
        <v>2224</v>
      </c>
      <c r="I401" s="104">
        <v>242</v>
      </c>
      <c r="J401" s="104" t="s">
        <v>58</v>
      </c>
      <c r="K401" s="104" t="s">
        <v>1218</v>
      </c>
      <c r="L401" s="104">
        <v>87407</v>
      </c>
      <c r="M401" s="104">
        <v>6</v>
      </c>
      <c r="N401" s="104" t="s">
        <v>34</v>
      </c>
      <c r="O401" s="104" t="s">
        <v>34</v>
      </c>
      <c r="P401" s="116" t="s">
        <v>1219</v>
      </c>
      <c r="Q401" s="117" t="s">
        <v>1220</v>
      </c>
      <c r="R401" s="104">
        <v>4432508</v>
      </c>
      <c r="S401" s="107">
        <v>9690.33</v>
      </c>
      <c r="T401" s="108">
        <v>45992</v>
      </c>
      <c r="U401" s="104">
        <v>80</v>
      </c>
      <c r="V401" s="104"/>
      <c r="W401" s="104" t="s">
        <v>48</v>
      </c>
      <c r="X401" s="104" t="s">
        <v>131</v>
      </c>
      <c r="Y401" s="131">
        <v>1842.12</v>
      </c>
      <c r="Z401" s="106">
        <v>46066</v>
      </c>
      <c r="AA401" s="106">
        <v>46073</v>
      </c>
      <c r="AB401" s="104" t="s">
        <v>41</v>
      </c>
      <c r="AC401" s="118"/>
      <c r="AD401" s="113">
        <f>S401-Y401</f>
        <v>7848.21</v>
      </c>
    </row>
    <row r="402" spans="2:30" ht="45" hidden="1" customHeight="1">
      <c r="B402" s="174">
        <v>399</v>
      </c>
      <c r="C402" s="104" t="s">
        <v>183</v>
      </c>
      <c r="D402" s="104" t="s">
        <v>33</v>
      </c>
      <c r="E402" s="104" t="s">
        <v>34</v>
      </c>
      <c r="F402" s="104" t="s">
        <v>35</v>
      </c>
      <c r="G402" s="255" t="s">
        <v>1221</v>
      </c>
      <c r="H402" s="104">
        <v>2224</v>
      </c>
      <c r="I402" s="104">
        <v>242</v>
      </c>
      <c r="J402" s="104" t="s">
        <v>58</v>
      </c>
      <c r="K402" s="104" t="s">
        <v>1222</v>
      </c>
      <c r="L402" s="104">
        <v>87296</v>
      </c>
      <c r="M402" s="104">
        <v>2</v>
      </c>
      <c r="N402" s="104" t="s">
        <v>1223</v>
      </c>
      <c r="O402" s="104" t="s">
        <v>34</v>
      </c>
      <c r="P402" s="119" t="s">
        <v>1224</v>
      </c>
      <c r="Q402" s="117" t="s">
        <v>1225</v>
      </c>
      <c r="R402" s="120">
        <v>4403698</v>
      </c>
      <c r="S402" s="107">
        <v>15504</v>
      </c>
      <c r="T402" s="108">
        <v>45989</v>
      </c>
      <c r="U402" s="104">
        <v>3185</v>
      </c>
      <c r="V402" s="104"/>
      <c r="W402" s="104" t="s">
        <v>48</v>
      </c>
      <c r="X402" s="104" t="s">
        <v>25</v>
      </c>
      <c r="Y402" s="221">
        <v>15504</v>
      </c>
      <c r="Z402" s="106">
        <v>45973</v>
      </c>
      <c r="AA402" s="106">
        <v>45974</v>
      </c>
      <c r="AB402" s="110" t="s">
        <v>60</v>
      </c>
      <c r="AC402" s="118"/>
      <c r="AD402" s="113">
        <f>S402-Y402</f>
        <v>0</v>
      </c>
    </row>
    <row r="403" spans="2:30" ht="45" hidden="1" customHeight="1">
      <c r="B403" s="174">
        <v>400</v>
      </c>
      <c r="C403" s="104" t="s">
        <v>137</v>
      </c>
      <c r="D403" s="104" t="s">
        <v>62</v>
      </c>
      <c r="E403" s="104">
        <v>32847</v>
      </c>
      <c r="F403" s="104" t="s">
        <v>44</v>
      </c>
      <c r="G403" s="255" t="s">
        <v>1226</v>
      </c>
      <c r="H403" s="104">
        <v>2330</v>
      </c>
      <c r="I403" s="104">
        <v>242</v>
      </c>
      <c r="J403" s="104" t="s">
        <v>58</v>
      </c>
      <c r="K403" s="104" t="s">
        <v>1227</v>
      </c>
      <c r="L403" s="104">
        <v>87399</v>
      </c>
      <c r="M403" s="104">
        <v>6</v>
      </c>
      <c r="N403" s="104" t="s">
        <v>34</v>
      </c>
      <c r="O403" s="104" t="s">
        <v>34</v>
      </c>
      <c r="P403" s="116" t="s">
        <v>1228</v>
      </c>
      <c r="Q403" s="106">
        <v>45986</v>
      </c>
      <c r="R403" s="104">
        <v>4430547</v>
      </c>
      <c r="S403" s="107">
        <v>53200</v>
      </c>
      <c r="T403" s="108">
        <v>45992</v>
      </c>
      <c r="U403" s="104">
        <v>5</v>
      </c>
      <c r="V403" s="104"/>
      <c r="W403" s="104" t="s">
        <v>48</v>
      </c>
      <c r="X403" s="104" t="s">
        <v>94</v>
      </c>
      <c r="Y403" s="131">
        <v>6175</v>
      </c>
      <c r="Z403" s="106">
        <v>46052</v>
      </c>
      <c r="AA403" s="106">
        <v>46062</v>
      </c>
      <c r="AB403" s="104" t="s">
        <v>60</v>
      </c>
      <c r="AC403" s="118"/>
      <c r="AD403" s="113">
        <f>S403-Y403</f>
        <v>47025</v>
      </c>
    </row>
    <row r="404" spans="2:30" ht="45" hidden="1" customHeight="1">
      <c r="B404" s="174">
        <v>401</v>
      </c>
      <c r="C404" s="104" t="s">
        <v>137</v>
      </c>
      <c r="D404" s="104" t="s">
        <v>1229</v>
      </c>
      <c r="E404" s="104" t="s">
        <v>34</v>
      </c>
      <c r="F404" s="104" t="s">
        <v>44</v>
      </c>
      <c r="G404" s="255" t="s">
        <v>1230</v>
      </c>
      <c r="H404" s="104">
        <v>2330</v>
      </c>
      <c r="I404" s="104">
        <v>5</v>
      </c>
      <c r="J404" s="104" t="s">
        <v>37</v>
      </c>
      <c r="K404" s="104" t="s">
        <v>1231</v>
      </c>
      <c r="L404" s="104">
        <v>88462</v>
      </c>
      <c r="M404" s="104">
        <v>2</v>
      </c>
      <c r="N404" s="104" t="s">
        <v>1232</v>
      </c>
      <c r="O404" s="104" t="s">
        <v>34</v>
      </c>
      <c r="P404" s="119" t="s">
        <v>1233</v>
      </c>
      <c r="Q404" s="106">
        <v>45964</v>
      </c>
      <c r="R404" s="120">
        <v>4413670</v>
      </c>
      <c r="S404" s="129">
        <v>7903.91</v>
      </c>
      <c r="T404" s="108">
        <v>45931</v>
      </c>
      <c r="U404" s="104">
        <v>2152</v>
      </c>
      <c r="V404" s="104" t="s">
        <v>34</v>
      </c>
      <c r="W404" s="104" t="s">
        <v>197</v>
      </c>
      <c r="X404" s="104" t="s">
        <v>94</v>
      </c>
      <c r="Y404" s="131">
        <v>7903.91</v>
      </c>
      <c r="Z404" s="106">
        <v>45975</v>
      </c>
      <c r="AA404" s="122">
        <v>45978</v>
      </c>
      <c r="AB404" s="110" t="s">
        <v>60</v>
      </c>
      <c r="AC404" s="104"/>
      <c r="AD404" s="113">
        <f>S404-Y404</f>
        <v>0</v>
      </c>
    </row>
    <row r="405" spans="2:30" ht="45" hidden="1" customHeight="1">
      <c r="B405" s="174">
        <v>402</v>
      </c>
      <c r="C405" s="104" t="s">
        <v>241</v>
      </c>
      <c r="D405" s="104" t="s">
        <v>1234</v>
      </c>
      <c r="E405" s="104" t="s">
        <v>34</v>
      </c>
      <c r="F405" s="104" t="s">
        <v>44</v>
      </c>
      <c r="G405" s="145" t="s">
        <v>1235</v>
      </c>
      <c r="H405" s="104">
        <v>2321</v>
      </c>
      <c r="I405" s="104">
        <v>242</v>
      </c>
      <c r="J405" s="104" t="s">
        <v>37</v>
      </c>
      <c r="K405" s="104" t="s">
        <v>1236</v>
      </c>
      <c r="L405" s="104">
        <v>88657</v>
      </c>
      <c r="M405" s="104">
        <v>29</v>
      </c>
      <c r="N405" s="104" t="s">
        <v>1237</v>
      </c>
      <c r="O405" s="104" t="s">
        <v>34</v>
      </c>
      <c r="P405" s="119" t="s">
        <v>1238</v>
      </c>
      <c r="Q405" s="106">
        <v>45959</v>
      </c>
      <c r="R405" s="104">
        <v>4413082</v>
      </c>
      <c r="S405" s="129">
        <v>10170.200000000001</v>
      </c>
      <c r="T405" s="108">
        <v>45971</v>
      </c>
      <c r="U405" s="104"/>
      <c r="V405" s="104"/>
      <c r="W405" s="104"/>
      <c r="X405" s="104"/>
      <c r="Y405" s="131"/>
      <c r="Z405" s="106"/>
      <c r="AA405" s="106"/>
      <c r="AB405" s="104" t="s">
        <v>60</v>
      </c>
      <c r="AC405" s="104" t="s">
        <v>1239</v>
      </c>
      <c r="AD405" s="113">
        <f>S405-Y405</f>
        <v>10170.200000000001</v>
      </c>
    </row>
    <row r="406" spans="2:30" ht="45" hidden="1" customHeight="1">
      <c r="B406" s="174">
        <v>403</v>
      </c>
      <c r="C406" s="104" t="s">
        <v>51</v>
      </c>
      <c r="D406" s="104" t="s">
        <v>1240</v>
      </c>
      <c r="E406" s="104" t="s">
        <v>34</v>
      </c>
      <c r="F406" s="104" t="s">
        <v>44</v>
      </c>
      <c r="G406" s="145" t="s">
        <v>1241</v>
      </c>
      <c r="H406" s="104">
        <v>5345</v>
      </c>
      <c r="I406" s="104">
        <v>242</v>
      </c>
      <c r="J406" s="104" t="s">
        <v>37</v>
      </c>
      <c r="K406" s="104" t="s">
        <v>1242</v>
      </c>
      <c r="L406" s="104">
        <v>88639</v>
      </c>
      <c r="M406" s="104">
        <v>29</v>
      </c>
      <c r="N406" s="104" t="s">
        <v>1243</v>
      </c>
      <c r="O406" s="104" t="s">
        <v>34</v>
      </c>
      <c r="P406" s="119" t="s">
        <v>1244</v>
      </c>
      <c r="Q406" s="106">
        <v>45959</v>
      </c>
      <c r="R406" s="120">
        <v>4408524</v>
      </c>
      <c r="S406" s="129">
        <v>10617.86</v>
      </c>
      <c r="T406" s="108">
        <v>45962</v>
      </c>
      <c r="U406" s="104">
        <v>325</v>
      </c>
      <c r="V406" s="104" t="s">
        <v>34</v>
      </c>
      <c r="W406" s="104" t="s">
        <v>197</v>
      </c>
      <c r="X406" s="104" t="s">
        <v>25</v>
      </c>
      <c r="Y406" s="131">
        <v>10617.86</v>
      </c>
      <c r="Z406" s="106">
        <v>45971</v>
      </c>
      <c r="AA406" s="122">
        <v>45978</v>
      </c>
      <c r="AB406" s="110" t="s">
        <v>60</v>
      </c>
      <c r="AC406" s="104"/>
      <c r="AD406" s="113">
        <f>S406-Y406</f>
        <v>0</v>
      </c>
    </row>
    <row r="407" spans="2:30" ht="45" hidden="1" customHeight="1">
      <c r="B407" s="174">
        <v>404</v>
      </c>
      <c r="C407" s="104" t="s">
        <v>282</v>
      </c>
      <c r="D407" s="104" t="s">
        <v>1245</v>
      </c>
      <c r="E407" s="104" t="s">
        <v>34</v>
      </c>
      <c r="F407" s="104" t="s">
        <v>44</v>
      </c>
      <c r="G407" s="145" t="s">
        <v>1246</v>
      </c>
      <c r="H407" s="104">
        <v>2089</v>
      </c>
      <c r="I407" s="104">
        <v>242</v>
      </c>
      <c r="J407" s="104" t="s">
        <v>37</v>
      </c>
      <c r="K407" s="104" t="s">
        <v>1247</v>
      </c>
      <c r="L407" s="104">
        <v>87524</v>
      </c>
      <c r="M407" s="104">
        <v>29</v>
      </c>
      <c r="N407" s="104" t="s">
        <v>1248</v>
      </c>
      <c r="O407" s="104" t="s">
        <v>34</v>
      </c>
      <c r="P407" s="118" t="s">
        <v>1249</v>
      </c>
      <c r="Q407" s="106">
        <v>45968</v>
      </c>
      <c r="R407" s="110"/>
      <c r="S407" s="129">
        <v>9960.16</v>
      </c>
      <c r="T407" s="108">
        <v>45986</v>
      </c>
      <c r="U407" s="104"/>
      <c r="V407" s="104"/>
      <c r="W407" s="104"/>
      <c r="X407" s="104"/>
      <c r="Y407" s="131"/>
      <c r="Z407" s="106"/>
      <c r="AA407" s="106"/>
      <c r="AB407" s="104" t="s">
        <v>115</v>
      </c>
      <c r="AC407" s="104" t="s">
        <v>1250</v>
      </c>
      <c r="AD407" s="113">
        <f>S407-Y407</f>
        <v>9960.16</v>
      </c>
    </row>
    <row r="408" spans="2:30" ht="45" hidden="1" customHeight="1">
      <c r="B408" s="174">
        <v>405</v>
      </c>
      <c r="C408" s="104" t="s">
        <v>291</v>
      </c>
      <c r="D408" s="163" t="s">
        <v>1251</v>
      </c>
      <c r="E408" s="104" t="s">
        <v>34</v>
      </c>
      <c r="F408" s="104" t="s">
        <v>44</v>
      </c>
      <c r="G408" s="145" t="s">
        <v>528</v>
      </c>
      <c r="H408" s="104" t="s">
        <v>1252</v>
      </c>
      <c r="I408" s="104">
        <v>5</v>
      </c>
      <c r="J408" s="104" t="s">
        <v>46</v>
      </c>
      <c r="K408" s="104">
        <v>0</v>
      </c>
      <c r="L408" s="104">
        <v>90827</v>
      </c>
      <c r="M408" s="104">
        <v>29</v>
      </c>
      <c r="N408" s="104" t="s">
        <v>1253</v>
      </c>
      <c r="O408" s="104" t="s">
        <v>34</v>
      </c>
      <c r="P408" s="119" t="s">
        <v>1254</v>
      </c>
      <c r="Q408" s="106">
        <v>45972</v>
      </c>
      <c r="R408" s="108" t="s">
        <v>34</v>
      </c>
      <c r="S408" s="129">
        <v>1700</v>
      </c>
      <c r="T408" s="108" t="s">
        <v>34</v>
      </c>
      <c r="U408" s="104"/>
      <c r="V408" s="104"/>
      <c r="W408" s="104"/>
      <c r="X408" s="104"/>
      <c r="Y408" s="131"/>
      <c r="Z408" s="106"/>
      <c r="AA408" s="106"/>
      <c r="AB408" s="104" t="s">
        <v>115</v>
      </c>
      <c r="AC408" s="104" t="s">
        <v>1255</v>
      </c>
      <c r="AD408" s="113">
        <f>S408-Y408</f>
        <v>1700</v>
      </c>
    </row>
    <row r="409" spans="2:30" ht="45" hidden="1" customHeight="1">
      <c r="B409" s="174">
        <v>406</v>
      </c>
      <c r="C409" s="104" t="s">
        <v>61</v>
      </c>
      <c r="D409" s="104" t="s">
        <v>1229</v>
      </c>
      <c r="E409" s="104" t="s">
        <v>34</v>
      </c>
      <c r="F409" s="104" t="s">
        <v>44</v>
      </c>
      <c r="G409" s="145" t="s">
        <v>1256</v>
      </c>
      <c r="H409" s="104">
        <v>2330</v>
      </c>
      <c r="I409" s="104">
        <v>242</v>
      </c>
      <c r="J409" s="104" t="s">
        <v>58</v>
      </c>
      <c r="K409" s="104" t="s">
        <v>1257</v>
      </c>
      <c r="L409" s="104">
        <v>92318</v>
      </c>
      <c r="M409" s="104">
        <v>5</v>
      </c>
      <c r="N409" s="104" t="s">
        <v>1258</v>
      </c>
      <c r="O409" s="104" t="s">
        <v>40</v>
      </c>
      <c r="P409" s="119" t="s">
        <v>1259</v>
      </c>
      <c r="Q409" s="117" t="s">
        <v>1260</v>
      </c>
      <c r="R409" s="104">
        <v>4434694</v>
      </c>
      <c r="S409" s="109">
        <v>5094.38</v>
      </c>
      <c r="T409" s="108">
        <v>45992</v>
      </c>
      <c r="U409" s="104"/>
      <c r="V409" s="104"/>
      <c r="W409" s="104"/>
      <c r="X409" s="104"/>
      <c r="Y409" s="131"/>
      <c r="Z409" s="106"/>
      <c r="AA409" s="106"/>
      <c r="AB409" s="104" t="s">
        <v>66</v>
      </c>
      <c r="AC409" s="104"/>
      <c r="AD409" s="113">
        <f>S409-Y409</f>
        <v>5094.38</v>
      </c>
    </row>
    <row r="410" spans="2:30" ht="45" hidden="1" customHeight="1">
      <c r="B410" s="174">
        <v>407</v>
      </c>
      <c r="C410" s="104" t="s">
        <v>279</v>
      </c>
      <c r="D410" s="104" t="s">
        <v>1261</v>
      </c>
      <c r="E410" s="104" t="s">
        <v>34</v>
      </c>
      <c r="F410" s="104" t="s">
        <v>44</v>
      </c>
      <c r="G410" s="145" t="s">
        <v>1262</v>
      </c>
      <c r="H410" s="104">
        <v>4472</v>
      </c>
      <c r="I410" s="104">
        <v>242</v>
      </c>
      <c r="J410" s="104" t="s">
        <v>46</v>
      </c>
      <c r="K410" s="104" t="s">
        <v>709</v>
      </c>
      <c r="L410" s="104">
        <v>91008</v>
      </c>
      <c r="M410" s="104">
        <v>1</v>
      </c>
      <c r="N410" s="104" t="s">
        <v>34</v>
      </c>
      <c r="O410" s="104" t="s">
        <v>34</v>
      </c>
      <c r="P410" s="118" t="s">
        <v>1263</v>
      </c>
      <c r="Q410" s="106">
        <v>45980</v>
      </c>
      <c r="R410" s="110"/>
      <c r="S410" s="129" t="s">
        <v>479</v>
      </c>
      <c r="T410" s="108">
        <v>45996</v>
      </c>
      <c r="U410" s="104"/>
      <c r="V410" s="104"/>
      <c r="W410" s="104"/>
      <c r="X410" s="104"/>
      <c r="Y410" s="131"/>
      <c r="Z410" s="106"/>
      <c r="AA410" s="106"/>
      <c r="AB410" s="104" t="s">
        <v>115</v>
      </c>
      <c r="AC410" s="104" t="s">
        <v>1264</v>
      </c>
      <c r="AD410" s="113" t="e">
        <f>S410-Y410</f>
        <v>#VALUE!</v>
      </c>
    </row>
    <row r="411" spans="2:30" ht="45" hidden="1" customHeight="1">
      <c r="B411" s="174">
        <v>408</v>
      </c>
      <c r="C411" s="104" t="s">
        <v>70</v>
      </c>
      <c r="D411" s="104" t="s">
        <v>142</v>
      </c>
      <c r="E411" s="104">
        <v>39060</v>
      </c>
      <c r="F411" s="104" t="s">
        <v>44</v>
      </c>
      <c r="G411" s="145" t="s">
        <v>1265</v>
      </c>
      <c r="H411" s="104">
        <v>5345</v>
      </c>
      <c r="I411" s="104">
        <v>242</v>
      </c>
      <c r="J411" s="104" t="s">
        <v>58</v>
      </c>
      <c r="K411" s="104" t="s">
        <v>1266</v>
      </c>
      <c r="L411" s="104">
        <v>92761</v>
      </c>
      <c r="M411" s="104">
        <v>6</v>
      </c>
      <c r="N411" s="104" t="s">
        <v>34</v>
      </c>
      <c r="O411" s="104" t="s">
        <v>34</v>
      </c>
      <c r="P411" s="119" t="s">
        <v>1267</v>
      </c>
      <c r="Q411" s="106" t="s">
        <v>1268</v>
      </c>
      <c r="R411" s="104">
        <v>4437656</v>
      </c>
      <c r="S411" s="155">
        <v>35530.239999999998</v>
      </c>
      <c r="T411" s="108">
        <v>46023</v>
      </c>
      <c r="U411" s="104">
        <v>166</v>
      </c>
      <c r="V411" s="104" t="s">
        <v>34</v>
      </c>
      <c r="W411" s="104" t="s">
        <v>40</v>
      </c>
      <c r="X411" s="104" t="s">
        <v>44</v>
      </c>
      <c r="Y411" s="131">
        <v>3744</v>
      </c>
      <c r="Z411" s="106">
        <v>46085</v>
      </c>
      <c r="AA411" s="106">
        <v>46097</v>
      </c>
      <c r="AB411" s="104" t="s">
        <v>41</v>
      </c>
      <c r="AC411" s="104"/>
      <c r="AD411" s="113">
        <f>S411-Y411</f>
        <v>31786.239999999998</v>
      </c>
    </row>
    <row r="412" spans="2:30" ht="45" hidden="1" customHeight="1">
      <c r="B412" s="174">
        <v>409</v>
      </c>
      <c r="C412" s="104" t="s">
        <v>32</v>
      </c>
      <c r="D412" s="104" t="s">
        <v>1269</v>
      </c>
      <c r="E412" s="104">
        <v>40627</v>
      </c>
      <c r="F412" s="104" t="s">
        <v>44</v>
      </c>
      <c r="G412" s="145" t="s">
        <v>1270</v>
      </c>
      <c r="H412" s="104">
        <v>2313</v>
      </c>
      <c r="I412" s="104">
        <v>242</v>
      </c>
      <c r="J412" s="104" t="s">
        <v>58</v>
      </c>
      <c r="K412" s="104" t="s">
        <v>1271</v>
      </c>
      <c r="L412" s="104">
        <v>93014</v>
      </c>
      <c r="M412" s="104">
        <v>6</v>
      </c>
      <c r="N412" s="104" t="s">
        <v>34</v>
      </c>
      <c r="O412" s="104" t="s">
        <v>34</v>
      </c>
      <c r="P412" s="119" t="s">
        <v>1272</v>
      </c>
      <c r="Q412" s="106">
        <v>45983</v>
      </c>
      <c r="R412" s="116" t="s">
        <v>1273</v>
      </c>
      <c r="S412" s="109">
        <v>2334.46</v>
      </c>
      <c r="T412" s="108">
        <v>46006</v>
      </c>
      <c r="U412" s="104">
        <v>17614</v>
      </c>
      <c r="V412" s="104"/>
      <c r="W412" s="104" t="s">
        <v>40</v>
      </c>
      <c r="X412" s="104" t="s">
        <v>44</v>
      </c>
      <c r="Y412" s="131">
        <v>2334.46</v>
      </c>
      <c r="Z412" s="106">
        <v>46068</v>
      </c>
      <c r="AA412" s="106">
        <v>46056</v>
      </c>
      <c r="AB412" s="104" t="s">
        <v>60</v>
      </c>
      <c r="AC412" s="104"/>
      <c r="AD412" s="113">
        <f>S412-Y412</f>
        <v>0</v>
      </c>
    </row>
    <row r="413" spans="2:30" ht="45" hidden="1" customHeight="1">
      <c r="B413" s="174">
        <v>410</v>
      </c>
      <c r="C413" s="104" t="s">
        <v>183</v>
      </c>
      <c r="D413" s="104" t="s">
        <v>350</v>
      </c>
      <c r="E413" s="104">
        <v>41235</v>
      </c>
      <c r="F413" s="104" t="s">
        <v>44</v>
      </c>
      <c r="G413" s="145" t="s">
        <v>1274</v>
      </c>
      <c r="H413" s="104">
        <v>2291</v>
      </c>
      <c r="I413" s="104">
        <v>242</v>
      </c>
      <c r="J413" s="104" t="s">
        <v>58</v>
      </c>
      <c r="K413" s="104" t="s">
        <v>1275</v>
      </c>
      <c r="L413" s="104">
        <v>94446</v>
      </c>
      <c r="M413" s="104">
        <v>6</v>
      </c>
      <c r="N413" s="104" t="s">
        <v>34</v>
      </c>
      <c r="O413" s="104" t="s">
        <v>34</v>
      </c>
      <c r="P413" s="116" t="s">
        <v>1276</v>
      </c>
      <c r="Q413" s="106">
        <v>45993</v>
      </c>
      <c r="R413" s="104">
        <v>4435553</v>
      </c>
      <c r="S413" s="109">
        <v>4769</v>
      </c>
      <c r="T413" s="108">
        <v>46001</v>
      </c>
      <c r="U413" s="104">
        <v>5151</v>
      </c>
      <c r="V413" s="104" t="s">
        <v>1277</v>
      </c>
      <c r="W413" s="104" t="s">
        <v>40</v>
      </c>
      <c r="X413" s="104" t="s">
        <v>35</v>
      </c>
      <c r="Y413" s="221">
        <v>4769</v>
      </c>
      <c r="Z413" s="106">
        <v>46000</v>
      </c>
      <c r="AA413" s="106">
        <v>46006</v>
      </c>
      <c r="AB413" s="104" t="s">
        <v>60</v>
      </c>
      <c r="AC413" s="104"/>
      <c r="AD413" s="113">
        <f>S413-Y413</f>
        <v>0</v>
      </c>
    </row>
    <row r="414" spans="2:30" ht="45" hidden="1" customHeight="1">
      <c r="B414" s="174">
        <v>411</v>
      </c>
      <c r="C414" s="104" t="s">
        <v>137</v>
      </c>
      <c r="D414" s="104" t="s">
        <v>1278</v>
      </c>
      <c r="E414" s="104" t="s">
        <v>34</v>
      </c>
      <c r="F414" s="104" t="s">
        <v>44</v>
      </c>
      <c r="G414" s="145" t="s">
        <v>1279</v>
      </c>
      <c r="H414" s="104">
        <v>2330</v>
      </c>
      <c r="I414" s="104">
        <v>242</v>
      </c>
      <c r="J414" s="104" t="s">
        <v>58</v>
      </c>
      <c r="K414" s="104" t="s">
        <v>1280</v>
      </c>
      <c r="L414" s="104">
        <v>95209</v>
      </c>
      <c r="M414" s="104">
        <v>5</v>
      </c>
      <c r="N414" s="104" t="s">
        <v>1281</v>
      </c>
      <c r="O414" s="104" t="s">
        <v>40</v>
      </c>
      <c r="P414" s="119" t="s">
        <v>1282</v>
      </c>
      <c r="Q414" s="117" t="s">
        <v>1283</v>
      </c>
      <c r="R414" s="104">
        <v>4465534</v>
      </c>
      <c r="S414" s="109">
        <v>4515.6499999999996</v>
      </c>
      <c r="T414" s="108">
        <v>45992</v>
      </c>
      <c r="U414" s="116" t="s">
        <v>1284</v>
      </c>
      <c r="V414" s="104" t="s">
        <v>34</v>
      </c>
      <c r="W414" s="104" t="s">
        <v>40</v>
      </c>
      <c r="X414" s="104" t="s">
        <v>44</v>
      </c>
      <c r="Y414" s="131">
        <v>4515.6499999999996</v>
      </c>
      <c r="Z414" s="243" t="s">
        <v>1285</v>
      </c>
      <c r="AA414" s="243" t="s">
        <v>1286</v>
      </c>
      <c r="AB414" s="104" t="s">
        <v>41</v>
      </c>
      <c r="AC414" s="104"/>
      <c r="AD414" s="113">
        <f>S414-Y414</f>
        <v>0</v>
      </c>
    </row>
    <row r="415" spans="2:30" ht="45" hidden="1" customHeight="1">
      <c r="B415" s="174">
        <v>412</v>
      </c>
      <c r="C415" s="104" t="s">
        <v>282</v>
      </c>
      <c r="D415" s="104" t="s">
        <v>1287</v>
      </c>
      <c r="E415" s="104">
        <v>41085</v>
      </c>
      <c r="F415" s="104" t="s">
        <v>44</v>
      </c>
      <c r="G415" s="145" t="s">
        <v>1288</v>
      </c>
      <c r="H415" s="104">
        <v>2089</v>
      </c>
      <c r="I415" s="104">
        <v>242</v>
      </c>
      <c r="J415" s="104" t="s">
        <v>46</v>
      </c>
      <c r="K415" s="148">
        <v>234525</v>
      </c>
      <c r="L415" s="104">
        <v>92319</v>
      </c>
      <c r="M415" s="104">
        <v>6</v>
      </c>
      <c r="N415" s="104" t="s">
        <v>34</v>
      </c>
      <c r="O415" s="104" t="s">
        <v>34</v>
      </c>
      <c r="P415" s="119" t="s">
        <v>1289</v>
      </c>
      <c r="Q415" s="106">
        <v>45996</v>
      </c>
      <c r="R415" s="110">
        <v>4473505</v>
      </c>
      <c r="S415" s="129">
        <v>32607.77</v>
      </c>
      <c r="T415" s="108">
        <v>46034</v>
      </c>
      <c r="U415" s="104"/>
      <c r="V415" s="104"/>
      <c r="W415" s="104"/>
      <c r="X415" s="104"/>
      <c r="Y415" s="131"/>
      <c r="Z415" s="106"/>
      <c r="AA415" s="106"/>
      <c r="AB415" s="104" t="s">
        <v>66</v>
      </c>
      <c r="AC415" s="104"/>
      <c r="AD415" s="113">
        <f>S415-Y415</f>
        <v>32607.77</v>
      </c>
    </row>
    <row r="416" spans="2:30" ht="45" hidden="1" customHeight="1">
      <c r="B416" s="174">
        <v>413</v>
      </c>
      <c r="C416" s="104" t="s">
        <v>70</v>
      </c>
      <c r="D416" s="104" t="s">
        <v>254</v>
      </c>
      <c r="E416" s="104" t="s">
        <v>34</v>
      </c>
      <c r="F416" s="104" t="s">
        <v>44</v>
      </c>
      <c r="G416" s="145" t="s">
        <v>1290</v>
      </c>
      <c r="H416" s="104">
        <v>4057</v>
      </c>
      <c r="I416" s="104">
        <v>242</v>
      </c>
      <c r="J416" s="104" t="s">
        <v>70</v>
      </c>
      <c r="K416" s="104" t="s">
        <v>1291</v>
      </c>
      <c r="L416" s="104">
        <v>95447</v>
      </c>
      <c r="M416" s="104">
        <v>2</v>
      </c>
      <c r="N416" s="104" t="s">
        <v>1292</v>
      </c>
      <c r="O416" s="104" t="s">
        <v>34</v>
      </c>
      <c r="P416" s="119" t="s">
        <v>1293</v>
      </c>
      <c r="Q416" s="106">
        <v>45997</v>
      </c>
      <c r="R416" s="110"/>
      <c r="S416" s="129">
        <v>40865.75</v>
      </c>
      <c r="T416" s="108">
        <v>45999</v>
      </c>
      <c r="U416" s="104"/>
      <c r="V416" s="104"/>
      <c r="W416" s="104"/>
      <c r="X416" s="104"/>
      <c r="Y416" s="131"/>
      <c r="Z416" s="106"/>
      <c r="AA416" s="106"/>
      <c r="AB416" s="104" t="s">
        <v>1294</v>
      </c>
      <c r="AC416" s="104"/>
      <c r="AD416" s="113">
        <f>S416-Y416</f>
        <v>40865.75</v>
      </c>
    </row>
    <row r="417" spans="2:30" ht="45" hidden="1" customHeight="1">
      <c r="B417" s="174">
        <v>414</v>
      </c>
      <c r="C417" s="104" t="s">
        <v>282</v>
      </c>
      <c r="D417" s="104" t="s">
        <v>1295</v>
      </c>
      <c r="E417" s="104">
        <v>41887</v>
      </c>
      <c r="F417" s="104" t="s">
        <v>44</v>
      </c>
      <c r="G417" s="145" t="s">
        <v>1296</v>
      </c>
      <c r="H417" s="104" t="s">
        <v>1297</v>
      </c>
      <c r="I417" s="104">
        <v>242</v>
      </c>
      <c r="J417" s="104" t="s">
        <v>46</v>
      </c>
      <c r="K417" s="104">
        <v>841</v>
      </c>
      <c r="L417" s="104">
        <v>96577</v>
      </c>
      <c r="M417" s="104">
        <v>5</v>
      </c>
      <c r="N417" s="104" t="s">
        <v>1298</v>
      </c>
      <c r="O417" s="104" t="s">
        <v>34</v>
      </c>
      <c r="P417" s="119" t="s">
        <v>1299</v>
      </c>
      <c r="Q417" s="106">
        <v>46003</v>
      </c>
      <c r="R417" s="104">
        <v>4471493</v>
      </c>
      <c r="S417" s="129">
        <v>6940</v>
      </c>
      <c r="T417" s="108"/>
      <c r="U417" s="104">
        <v>785</v>
      </c>
      <c r="V417" s="104"/>
      <c r="W417" s="104" t="s">
        <v>48</v>
      </c>
      <c r="X417" s="104" t="s">
        <v>25</v>
      </c>
      <c r="Y417" s="218">
        <v>2980</v>
      </c>
      <c r="Z417" s="106">
        <v>46044</v>
      </c>
      <c r="AA417" s="106">
        <v>46045</v>
      </c>
      <c r="AB417" s="104" t="s">
        <v>60</v>
      </c>
      <c r="AC417" s="118"/>
      <c r="AD417" s="113">
        <f>S417-Y417</f>
        <v>3960</v>
      </c>
    </row>
    <row r="418" spans="2:30" ht="45" hidden="1" customHeight="1">
      <c r="B418" s="174">
        <v>415</v>
      </c>
      <c r="C418" s="104" t="s">
        <v>282</v>
      </c>
      <c r="D418" s="104" t="s">
        <v>1300</v>
      </c>
      <c r="E418" s="104">
        <v>39202</v>
      </c>
      <c r="F418" s="104" t="s">
        <v>44</v>
      </c>
      <c r="G418" s="145" t="s">
        <v>1301</v>
      </c>
      <c r="H418" s="104">
        <v>1180</v>
      </c>
      <c r="I418" s="104">
        <v>7</v>
      </c>
      <c r="J418" s="104" t="s">
        <v>58</v>
      </c>
      <c r="K418" s="104" t="s">
        <v>1302</v>
      </c>
      <c r="L418" s="104">
        <v>87452</v>
      </c>
      <c r="M418" s="104">
        <v>6</v>
      </c>
      <c r="N418" s="104" t="s">
        <v>34</v>
      </c>
      <c r="O418" s="104" t="s">
        <v>34</v>
      </c>
      <c r="P418" s="119" t="s">
        <v>1303</v>
      </c>
      <c r="Q418" s="106">
        <v>46004</v>
      </c>
      <c r="R418" s="120">
        <v>4490412</v>
      </c>
      <c r="S418" s="146">
        <v>900</v>
      </c>
      <c r="T418" s="108"/>
      <c r="U418" s="104">
        <v>80</v>
      </c>
      <c r="V418" s="104"/>
      <c r="W418" s="104" t="s">
        <v>40</v>
      </c>
      <c r="X418" s="104" t="s">
        <v>25</v>
      </c>
      <c r="Y418" s="131">
        <v>900</v>
      </c>
      <c r="Z418" s="106">
        <v>46070</v>
      </c>
      <c r="AA418" s="106">
        <v>46077</v>
      </c>
      <c r="AB418" s="104" t="s">
        <v>41</v>
      </c>
      <c r="AC418" s="104"/>
      <c r="AD418" s="113">
        <f>S418-Y418</f>
        <v>0</v>
      </c>
    </row>
    <row r="419" spans="2:30" ht="45" hidden="1" customHeight="1">
      <c r="B419" s="174">
        <v>416</v>
      </c>
      <c r="C419" s="104" t="s">
        <v>70</v>
      </c>
      <c r="D419" s="104" t="s">
        <v>614</v>
      </c>
      <c r="E419" s="104" t="s">
        <v>34</v>
      </c>
      <c r="F419" s="104" t="s">
        <v>44</v>
      </c>
      <c r="G419" s="145" t="s">
        <v>1304</v>
      </c>
      <c r="H419" s="104">
        <v>5345</v>
      </c>
      <c r="I419" s="104">
        <v>242</v>
      </c>
      <c r="J419" s="104" t="s">
        <v>58</v>
      </c>
      <c r="K419" s="104" t="s">
        <v>1305</v>
      </c>
      <c r="L419" s="104">
        <v>96405</v>
      </c>
      <c r="M419" s="104">
        <v>29</v>
      </c>
      <c r="N419" s="104" t="s">
        <v>1306</v>
      </c>
      <c r="O419" s="104" t="s">
        <v>34</v>
      </c>
      <c r="P419" s="119" t="s">
        <v>1307</v>
      </c>
      <c r="Q419" s="106">
        <v>46006</v>
      </c>
      <c r="R419" s="110"/>
      <c r="S419" s="146">
        <v>98619.33</v>
      </c>
      <c r="T419" s="108"/>
      <c r="U419" s="104"/>
      <c r="V419" s="104"/>
      <c r="W419" s="104"/>
      <c r="X419" s="104"/>
      <c r="Y419" s="131"/>
      <c r="Z419" s="106"/>
      <c r="AA419" s="106"/>
      <c r="AB419" s="104" t="s">
        <v>49</v>
      </c>
      <c r="AC419" s="104" t="s">
        <v>1308</v>
      </c>
      <c r="AD419" s="113"/>
    </row>
    <row r="420" spans="2:30" ht="45" hidden="1" customHeight="1">
      <c r="B420" s="174">
        <v>417</v>
      </c>
      <c r="C420" s="104" t="s">
        <v>70</v>
      </c>
      <c r="D420" s="104" t="s">
        <v>614</v>
      </c>
      <c r="E420" s="104" t="s">
        <v>34</v>
      </c>
      <c r="F420" s="104" t="s">
        <v>44</v>
      </c>
      <c r="G420" s="145" t="s">
        <v>1309</v>
      </c>
      <c r="H420" s="104">
        <v>5345</v>
      </c>
      <c r="I420" s="104">
        <v>242</v>
      </c>
      <c r="J420" s="104" t="s">
        <v>58</v>
      </c>
      <c r="K420" s="104" t="s">
        <v>1305</v>
      </c>
      <c r="L420" s="104">
        <v>97334</v>
      </c>
      <c r="M420" s="104">
        <v>29</v>
      </c>
      <c r="N420" s="104" t="s">
        <v>1306</v>
      </c>
      <c r="O420" s="104" t="s">
        <v>34</v>
      </c>
      <c r="P420" s="116" t="s">
        <v>1310</v>
      </c>
      <c r="Q420" s="106">
        <v>46010</v>
      </c>
      <c r="R420" s="110"/>
      <c r="S420" s="146">
        <v>98619.33</v>
      </c>
      <c r="T420" s="108">
        <v>46023</v>
      </c>
      <c r="U420" s="104"/>
      <c r="V420" s="104"/>
      <c r="W420" s="104"/>
      <c r="X420" s="104"/>
      <c r="Y420" s="131"/>
      <c r="Z420" s="106"/>
      <c r="AA420" s="106"/>
      <c r="AB420" s="104" t="s">
        <v>115</v>
      </c>
      <c r="AC420" s="104" t="s">
        <v>1311</v>
      </c>
      <c r="AD420" s="113"/>
    </row>
    <row r="421" spans="2:30" ht="45" hidden="1" customHeight="1">
      <c r="B421" s="174">
        <v>418</v>
      </c>
      <c r="C421" s="104" t="s">
        <v>282</v>
      </c>
      <c r="D421" s="104" t="s">
        <v>1312</v>
      </c>
      <c r="E421" s="104"/>
      <c r="F421" s="104" t="s">
        <v>44</v>
      </c>
      <c r="G421" s="145" t="s">
        <v>1313</v>
      </c>
      <c r="H421" s="104">
        <v>2488</v>
      </c>
      <c r="I421" s="104">
        <v>242</v>
      </c>
      <c r="J421" s="104" t="s">
        <v>46</v>
      </c>
      <c r="K421" s="104">
        <v>36416</v>
      </c>
      <c r="L421" s="104">
        <v>98545</v>
      </c>
      <c r="M421" s="104">
        <v>5</v>
      </c>
      <c r="N421" s="104" t="s">
        <v>1314</v>
      </c>
      <c r="O421" s="104"/>
      <c r="P421" s="116" t="s">
        <v>1315</v>
      </c>
      <c r="Q421" s="106">
        <v>46027</v>
      </c>
      <c r="R421" s="104">
        <v>4465326</v>
      </c>
      <c r="S421" s="109">
        <v>8500</v>
      </c>
      <c r="T421" s="108">
        <v>46027</v>
      </c>
      <c r="U421" s="104">
        <v>10704</v>
      </c>
      <c r="V421" s="104"/>
      <c r="W421" s="104"/>
      <c r="X421" s="104"/>
      <c r="Y421" s="131"/>
      <c r="Z421" s="106"/>
      <c r="AA421" s="106"/>
      <c r="AB421" s="104" t="s">
        <v>60</v>
      </c>
      <c r="AC421" s="104"/>
      <c r="AD421" s="113">
        <f>S421-Y421</f>
        <v>8500</v>
      </c>
    </row>
    <row r="422" spans="2:30" ht="45" hidden="1" customHeight="1">
      <c r="B422" s="174">
        <v>419</v>
      </c>
      <c r="C422" s="104" t="s">
        <v>291</v>
      </c>
      <c r="D422" s="104" t="s">
        <v>582</v>
      </c>
      <c r="E422" s="104">
        <v>42767</v>
      </c>
      <c r="F422" s="104" t="s">
        <v>35</v>
      </c>
      <c r="G422" s="145" t="s">
        <v>1316</v>
      </c>
      <c r="H422" s="104">
        <v>2224</v>
      </c>
      <c r="I422" s="104">
        <v>242</v>
      </c>
      <c r="J422" s="104" t="s">
        <v>46</v>
      </c>
      <c r="K422" s="104">
        <v>461</v>
      </c>
      <c r="L422" s="104">
        <v>99861</v>
      </c>
      <c r="M422" s="104">
        <v>6</v>
      </c>
      <c r="N422" s="104"/>
      <c r="O422" s="104"/>
      <c r="P422" s="119" t="s">
        <v>1317</v>
      </c>
      <c r="Q422" s="106">
        <v>46031</v>
      </c>
      <c r="R422" s="104">
        <v>4472610</v>
      </c>
      <c r="S422" s="129">
        <v>1900</v>
      </c>
      <c r="T422" s="108"/>
      <c r="U422" s="104">
        <v>3251</v>
      </c>
      <c r="V422" s="104"/>
      <c r="W422" s="104" t="s">
        <v>48</v>
      </c>
      <c r="X422" s="104" t="s">
        <v>25</v>
      </c>
      <c r="Y422" s="131">
        <v>1900</v>
      </c>
      <c r="Z422" s="106">
        <v>46055</v>
      </c>
      <c r="AA422" s="106">
        <v>46059</v>
      </c>
      <c r="AB422" s="104" t="s">
        <v>60</v>
      </c>
      <c r="AC422" s="104"/>
      <c r="AD422" s="113">
        <f>S422-Y422</f>
        <v>0</v>
      </c>
    </row>
    <row r="423" spans="2:30" ht="45" hidden="1" customHeight="1">
      <c r="B423" s="174">
        <v>420</v>
      </c>
      <c r="C423" s="104" t="s">
        <v>316</v>
      </c>
      <c r="D423" s="104" t="s">
        <v>582</v>
      </c>
      <c r="E423" s="104" t="s">
        <v>1318</v>
      </c>
      <c r="F423" s="104" t="s">
        <v>35</v>
      </c>
      <c r="G423" s="145" t="s">
        <v>1319</v>
      </c>
      <c r="H423" s="104">
        <v>5345</v>
      </c>
      <c r="I423" s="104">
        <v>242</v>
      </c>
      <c r="J423" s="104" t="s">
        <v>46</v>
      </c>
      <c r="K423" s="104">
        <v>402</v>
      </c>
      <c r="L423" s="104">
        <v>90105</v>
      </c>
      <c r="M423" s="104">
        <v>6</v>
      </c>
      <c r="N423" s="104" t="s">
        <v>34</v>
      </c>
      <c r="O423" s="104" t="s">
        <v>34</v>
      </c>
      <c r="P423" s="110"/>
      <c r="Q423" s="110"/>
      <c r="R423" s="110"/>
      <c r="S423" s="129">
        <v>4940</v>
      </c>
      <c r="T423" s="108">
        <v>45981</v>
      </c>
      <c r="U423" s="104"/>
      <c r="V423" s="104"/>
      <c r="W423" s="104"/>
      <c r="X423" s="104"/>
      <c r="Y423" s="131"/>
      <c r="Z423" s="106"/>
      <c r="AA423" s="106"/>
      <c r="AB423" s="104" t="s">
        <v>1294</v>
      </c>
      <c r="AC423" s="104"/>
      <c r="AD423" s="113">
        <f>S423-Y423</f>
        <v>4940</v>
      </c>
    </row>
    <row r="424" spans="2:30" ht="45" hidden="1" customHeight="1">
      <c r="B424" s="174">
        <v>421</v>
      </c>
      <c r="C424" s="104" t="s">
        <v>183</v>
      </c>
      <c r="D424" s="104" t="s">
        <v>1320</v>
      </c>
      <c r="E424" s="104" t="s">
        <v>34</v>
      </c>
      <c r="F424" s="104" t="s">
        <v>44</v>
      </c>
      <c r="G424" s="145" t="s">
        <v>1321</v>
      </c>
      <c r="H424" s="104">
        <v>2232</v>
      </c>
      <c r="I424" s="104">
        <v>242</v>
      </c>
      <c r="J424" s="104" t="s">
        <v>58</v>
      </c>
      <c r="K424" s="104" t="s">
        <v>1322</v>
      </c>
      <c r="L424" s="104">
        <v>94769</v>
      </c>
      <c r="M424" s="104">
        <v>29</v>
      </c>
      <c r="N424" s="104" t="s">
        <v>1323</v>
      </c>
      <c r="O424" s="104" t="s">
        <v>34</v>
      </c>
      <c r="P424" s="110"/>
      <c r="Q424" s="139"/>
      <c r="R424" s="110"/>
      <c r="S424" s="146">
        <v>13716.6</v>
      </c>
      <c r="T424" s="108">
        <v>46023</v>
      </c>
      <c r="U424" s="104"/>
      <c r="V424" s="104"/>
      <c r="W424" s="104"/>
      <c r="X424" s="104"/>
      <c r="Y424" s="131"/>
      <c r="Z424" s="106"/>
      <c r="AA424" s="106"/>
      <c r="AB424" s="104" t="s">
        <v>1294</v>
      </c>
      <c r="AC424" s="118" t="s">
        <v>1324</v>
      </c>
      <c r="AD424" s="113">
        <f>S424-Y424</f>
        <v>13716.6</v>
      </c>
    </row>
    <row r="425" spans="2:30" ht="45" hidden="1" customHeight="1">
      <c r="B425" s="174">
        <v>422</v>
      </c>
      <c r="C425" s="104" t="s">
        <v>291</v>
      </c>
      <c r="D425" s="104" t="s">
        <v>479</v>
      </c>
      <c r="E425" s="104" t="s">
        <v>34</v>
      </c>
      <c r="F425" s="104" t="s">
        <v>44</v>
      </c>
      <c r="G425" s="145" t="s">
        <v>1325</v>
      </c>
      <c r="H425" s="104">
        <v>2208</v>
      </c>
      <c r="I425" s="104">
        <v>5</v>
      </c>
      <c r="J425" s="104" t="s">
        <v>58</v>
      </c>
      <c r="K425" s="104" t="s">
        <v>1326</v>
      </c>
      <c r="L425" s="104">
        <v>97379</v>
      </c>
      <c r="M425" s="104">
        <v>1</v>
      </c>
      <c r="N425" s="104" t="s">
        <v>34</v>
      </c>
      <c r="O425" s="104" t="s">
        <v>34</v>
      </c>
      <c r="P425" s="110"/>
      <c r="Q425" s="110"/>
      <c r="R425" s="110"/>
      <c r="S425" s="146" t="s">
        <v>479</v>
      </c>
      <c r="T425" s="108"/>
      <c r="U425" s="104"/>
      <c r="V425" s="104"/>
      <c r="W425" s="104"/>
      <c r="X425" s="104"/>
      <c r="Y425" s="131"/>
      <c r="Z425" s="106"/>
      <c r="AA425" s="106"/>
      <c r="AB425" s="104" t="s">
        <v>1294</v>
      </c>
      <c r="AC425" s="118" t="s">
        <v>1327</v>
      </c>
      <c r="AD425" s="113" t="e">
        <f>S425-Y425</f>
        <v>#VALUE!</v>
      </c>
    </row>
    <row r="426" spans="2:30" ht="45" hidden="1" customHeight="1">
      <c r="B426" s="174">
        <v>423</v>
      </c>
      <c r="C426" s="104" t="s">
        <v>32</v>
      </c>
      <c r="D426" s="104" t="s">
        <v>33</v>
      </c>
      <c r="E426" s="104">
        <v>42560</v>
      </c>
      <c r="F426" s="104" t="s">
        <v>35</v>
      </c>
      <c r="G426" s="145" t="s">
        <v>1328</v>
      </c>
      <c r="H426" s="104">
        <v>2224</v>
      </c>
      <c r="I426" s="104">
        <v>242</v>
      </c>
      <c r="J426" s="104" t="s">
        <v>58</v>
      </c>
      <c r="K426" s="104" t="s">
        <v>1329</v>
      </c>
      <c r="L426" s="104">
        <v>98565</v>
      </c>
      <c r="M426" s="104">
        <v>5</v>
      </c>
      <c r="N426" s="110"/>
      <c r="O426" s="110"/>
      <c r="P426" s="110"/>
      <c r="Q426" s="139"/>
      <c r="R426" s="110"/>
      <c r="S426" s="146">
        <v>2000</v>
      </c>
      <c r="T426" s="108">
        <v>46023</v>
      </c>
      <c r="U426" s="104"/>
      <c r="V426" s="104"/>
      <c r="W426" s="104"/>
      <c r="X426" s="104"/>
      <c r="Y426" s="131"/>
      <c r="Z426" s="106"/>
      <c r="AA426" s="106"/>
      <c r="AB426" s="104" t="s">
        <v>1294</v>
      </c>
      <c r="AC426" s="118" t="s">
        <v>1330</v>
      </c>
      <c r="AD426" s="113">
        <f>S426-Y426</f>
        <v>2000</v>
      </c>
    </row>
    <row r="427" spans="2:30" ht="45" hidden="1" customHeight="1">
      <c r="B427" s="174">
        <v>424</v>
      </c>
      <c r="C427" s="104" t="s">
        <v>70</v>
      </c>
      <c r="D427" s="104" t="s">
        <v>142</v>
      </c>
      <c r="E427" s="104">
        <v>41757</v>
      </c>
      <c r="F427" s="104" t="s">
        <v>44</v>
      </c>
      <c r="G427" s="145" t="s">
        <v>1331</v>
      </c>
      <c r="H427" s="104">
        <v>2283</v>
      </c>
      <c r="I427" s="104">
        <v>242</v>
      </c>
      <c r="J427" s="104" t="s">
        <v>58</v>
      </c>
      <c r="K427" s="104" t="s">
        <v>1332</v>
      </c>
      <c r="L427" s="104">
        <v>99706</v>
      </c>
      <c r="M427" s="104">
        <v>6</v>
      </c>
      <c r="N427" s="104" t="s">
        <v>34</v>
      </c>
      <c r="O427" s="104" t="s">
        <v>34</v>
      </c>
      <c r="P427" s="110"/>
      <c r="Q427" s="139"/>
      <c r="R427" s="110"/>
      <c r="S427" s="146">
        <v>13049.95</v>
      </c>
      <c r="T427" s="108">
        <v>46023</v>
      </c>
      <c r="U427" s="104"/>
      <c r="V427" s="104"/>
      <c r="W427" s="104"/>
      <c r="X427" s="104"/>
      <c r="Y427" s="131"/>
      <c r="Z427" s="106"/>
      <c r="AA427" s="106"/>
      <c r="AB427" s="104" t="s">
        <v>115</v>
      </c>
      <c r="AC427" s="104" t="s">
        <v>1333</v>
      </c>
      <c r="AD427" s="113">
        <f>S427-Y427</f>
        <v>13049.95</v>
      </c>
    </row>
    <row r="428" spans="2:30" ht="45" hidden="1" customHeight="1">
      <c r="B428" s="174">
        <v>425</v>
      </c>
      <c r="C428" s="104" t="s">
        <v>1063</v>
      </c>
      <c r="D428" s="104" t="s">
        <v>1334</v>
      </c>
      <c r="E428" s="104"/>
      <c r="F428" s="104" t="s">
        <v>44</v>
      </c>
      <c r="G428" s="145" t="s">
        <v>1154</v>
      </c>
      <c r="H428" s="104">
        <v>5345</v>
      </c>
      <c r="I428" s="104">
        <v>242</v>
      </c>
      <c r="J428" s="104" t="s">
        <v>46</v>
      </c>
      <c r="K428" s="104">
        <v>20884</v>
      </c>
      <c r="L428" s="104">
        <v>99896</v>
      </c>
      <c r="M428" s="110"/>
      <c r="N428" s="104"/>
      <c r="O428" s="104"/>
      <c r="P428" s="104"/>
      <c r="Q428" s="106"/>
      <c r="R428" s="104"/>
      <c r="S428" s="129">
        <v>12280</v>
      </c>
      <c r="T428" s="108">
        <v>46096</v>
      </c>
      <c r="U428" s="104"/>
      <c r="V428" s="104"/>
      <c r="W428" s="104"/>
      <c r="X428" s="104"/>
      <c r="Y428" s="131"/>
      <c r="Z428" s="106"/>
      <c r="AA428" s="106"/>
      <c r="AB428" s="104" t="s">
        <v>1294</v>
      </c>
      <c r="AC428" s="104"/>
      <c r="AD428" s="113">
        <f>S428-Y428</f>
        <v>12280</v>
      </c>
    </row>
    <row r="429" spans="2:30" ht="45" hidden="1" customHeight="1">
      <c r="B429" s="174">
        <v>426</v>
      </c>
      <c r="C429" s="104" t="s">
        <v>316</v>
      </c>
      <c r="D429" s="104" t="s">
        <v>575</v>
      </c>
      <c r="E429" s="104">
        <v>40687</v>
      </c>
      <c r="F429" s="104" t="s">
        <v>44</v>
      </c>
      <c r="G429" s="145" t="s">
        <v>1335</v>
      </c>
      <c r="H429" s="104">
        <v>5345</v>
      </c>
      <c r="I429" s="104">
        <v>242</v>
      </c>
      <c r="J429" s="104" t="s">
        <v>58</v>
      </c>
      <c r="K429" s="104" t="s">
        <v>1336</v>
      </c>
      <c r="L429" s="104">
        <v>100986</v>
      </c>
      <c r="M429" s="104">
        <v>6</v>
      </c>
      <c r="N429" s="104" t="s">
        <v>34</v>
      </c>
      <c r="O429" s="104" t="s">
        <v>34</v>
      </c>
      <c r="P429" s="110"/>
      <c r="Q429" s="139"/>
      <c r="R429" s="110"/>
      <c r="S429" s="160">
        <v>7178.9</v>
      </c>
      <c r="T429" s="108"/>
      <c r="U429" s="104"/>
      <c r="V429" s="104"/>
      <c r="W429" s="104"/>
      <c r="X429" s="104"/>
      <c r="Y429" s="216"/>
      <c r="Z429" s="106"/>
      <c r="AA429" s="106"/>
      <c r="AB429" s="104" t="s">
        <v>1294</v>
      </c>
      <c r="AC429" s="118" t="s">
        <v>1337</v>
      </c>
      <c r="AD429" s="113">
        <f>S429-Y429</f>
        <v>7178.9</v>
      </c>
    </row>
    <row r="430" spans="2:30" ht="45" hidden="1" customHeight="1">
      <c r="B430" s="174">
        <v>427</v>
      </c>
      <c r="C430" s="104" t="s">
        <v>282</v>
      </c>
      <c r="D430" s="104" t="s">
        <v>1338</v>
      </c>
      <c r="E430" s="104"/>
      <c r="F430" s="104" t="s">
        <v>44</v>
      </c>
      <c r="G430" s="145" t="s">
        <v>1339</v>
      </c>
      <c r="H430" s="104">
        <v>1236</v>
      </c>
      <c r="I430" s="104">
        <v>242</v>
      </c>
      <c r="J430" s="104" t="s">
        <v>1118</v>
      </c>
      <c r="K430" s="104" t="s">
        <v>1340</v>
      </c>
      <c r="L430" s="104">
        <v>100690</v>
      </c>
      <c r="M430" s="104">
        <v>29</v>
      </c>
      <c r="N430" s="104" t="s">
        <v>1341</v>
      </c>
      <c r="O430" s="104"/>
      <c r="P430" s="104">
        <v>4363553</v>
      </c>
      <c r="Q430" s="106">
        <v>46041</v>
      </c>
      <c r="R430" s="104">
        <v>4493505</v>
      </c>
      <c r="S430" s="160">
        <v>42238</v>
      </c>
      <c r="T430" s="108">
        <v>46062</v>
      </c>
      <c r="U430" s="104"/>
      <c r="V430" s="104"/>
      <c r="W430" s="104"/>
      <c r="X430" s="104"/>
      <c r="Y430" s="216"/>
      <c r="Z430" s="106"/>
      <c r="AA430" s="106"/>
      <c r="AB430" s="104" t="s">
        <v>66</v>
      </c>
      <c r="AC430" s="104"/>
      <c r="AD430" s="113">
        <f>S430-Y430</f>
        <v>42238</v>
      </c>
    </row>
    <row r="431" spans="2:30" ht="45" hidden="1" customHeight="1">
      <c r="B431" s="174">
        <v>428</v>
      </c>
      <c r="C431" s="104" t="s">
        <v>95</v>
      </c>
      <c r="D431" s="104" t="s">
        <v>1342</v>
      </c>
      <c r="E431" s="104"/>
      <c r="F431" s="104" t="s">
        <v>44</v>
      </c>
      <c r="G431" s="145" t="s">
        <v>270</v>
      </c>
      <c r="H431" s="104" t="s">
        <v>1343</v>
      </c>
      <c r="I431" s="104">
        <v>5</v>
      </c>
      <c r="J431" s="104" t="s">
        <v>1118</v>
      </c>
      <c r="K431" s="104" t="s">
        <v>709</v>
      </c>
      <c r="L431" s="104">
        <v>100939</v>
      </c>
      <c r="M431" s="104">
        <v>2</v>
      </c>
      <c r="N431" s="104" t="s">
        <v>1344</v>
      </c>
      <c r="O431" s="104"/>
      <c r="P431" s="119" t="s">
        <v>1345</v>
      </c>
      <c r="Q431" s="106">
        <v>46041</v>
      </c>
      <c r="R431" s="104">
        <v>4496761</v>
      </c>
      <c r="S431" s="160">
        <v>37900</v>
      </c>
      <c r="T431" s="108">
        <v>46041</v>
      </c>
      <c r="U431" s="104">
        <v>541</v>
      </c>
      <c r="V431" s="104" t="s">
        <v>34</v>
      </c>
      <c r="W431" s="104" t="s">
        <v>48</v>
      </c>
      <c r="X431" s="104" t="s">
        <v>25</v>
      </c>
      <c r="Y431" s="216">
        <v>25892.5</v>
      </c>
      <c r="Z431" s="106">
        <v>46113</v>
      </c>
      <c r="AA431" s="106">
        <v>46118</v>
      </c>
      <c r="AB431" s="104" t="s">
        <v>41</v>
      </c>
      <c r="AC431" s="104"/>
      <c r="AD431" s="113">
        <f>S431-Y431</f>
        <v>12007.5</v>
      </c>
    </row>
    <row r="432" spans="2:30" ht="45" hidden="1" customHeight="1">
      <c r="B432" s="174">
        <v>429</v>
      </c>
      <c r="C432" s="104"/>
      <c r="D432" s="104"/>
      <c r="E432" s="104"/>
      <c r="F432" s="104" t="s">
        <v>44</v>
      </c>
      <c r="G432" s="145"/>
      <c r="H432" s="104"/>
      <c r="I432" s="104"/>
      <c r="J432" s="104"/>
      <c r="K432" s="104"/>
      <c r="L432" s="104"/>
      <c r="M432" s="104"/>
      <c r="N432" s="104"/>
      <c r="O432" s="104"/>
      <c r="P432" s="119"/>
      <c r="Q432" s="106"/>
      <c r="R432" s="104"/>
      <c r="S432" s="160"/>
      <c r="T432" s="108"/>
      <c r="U432" s="104"/>
      <c r="V432" s="104"/>
      <c r="W432" s="104"/>
      <c r="X432" s="104"/>
      <c r="Y432" s="216"/>
      <c r="Z432" s="106"/>
      <c r="AA432" s="106"/>
      <c r="AB432" s="104"/>
      <c r="AC432" s="104"/>
      <c r="AD432" s="113">
        <f>S432-Y432</f>
        <v>0</v>
      </c>
    </row>
    <row r="433" spans="2:30" ht="45" hidden="1" customHeight="1">
      <c r="B433" s="174">
        <v>430</v>
      </c>
      <c r="C433" s="104" t="s">
        <v>61</v>
      </c>
      <c r="D433" s="104" t="s">
        <v>192</v>
      </c>
      <c r="E433" s="104"/>
      <c r="F433" s="104" t="s">
        <v>35</v>
      </c>
      <c r="G433" s="145" t="s">
        <v>1346</v>
      </c>
      <c r="H433" s="104">
        <v>2330</v>
      </c>
      <c r="I433" s="104">
        <v>5</v>
      </c>
      <c r="J433" s="104" t="s">
        <v>1118</v>
      </c>
      <c r="K433" s="104" t="s">
        <v>1347</v>
      </c>
      <c r="L433" s="104">
        <v>100338</v>
      </c>
      <c r="M433" s="104">
        <v>5</v>
      </c>
      <c r="N433" s="104" t="s">
        <v>1348</v>
      </c>
      <c r="O433" s="104"/>
      <c r="P433" s="119" t="s">
        <v>1349</v>
      </c>
      <c r="Q433" s="106">
        <v>46041</v>
      </c>
      <c r="R433" s="104">
        <v>4491635</v>
      </c>
      <c r="S433" s="160">
        <v>26890</v>
      </c>
      <c r="T433" s="108"/>
      <c r="U433" s="104">
        <v>681</v>
      </c>
      <c r="V433" s="104"/>
      <c r="W433" s="104" t="s">
        <v>40</v>
      </c>
      <c r="X433" s="104" t="s">
        <v>385</v>
      </c>
      <c r="Y433" s="216">
        <v>26890</v>
      </c>
      <c r="Z433" s="106">
        <v>46059</v>
      </c>
      <c r="AA433" s="106">
        <v>46062</v>
      </c>
      <c r="AB433" s="104" t="s">
        <v>60</v>
      </c>
      <c r="AC433" s="104"/>
      <c r="AD433" s="113">
        <f>S433-Y433</f>
        <v>0</v>
      </c>
    </row>
    <row r="434" spans="2:30" ht="45" hidden="1" customHeight="1">
      <c r="B434" s="174">
        <v>431</v>
      </c>
      <c r="C434" s="104" t="s">
        <v>70</v>
      </c>
      <c r="D434" s="104" t="s">
        <v>1162</v>
      </c>
      <c r="E434" s="104">
        <v>44225</v>
      </c>
      <c r="F434" s="104" t="s">
        <v>44</v>
      </c>
      <c r="G434" s="145" t="s">
        <v>1350</v>
      </c>
      <c r="H434" s="104">
        <v>2283</v>
      </c>
      <c r="I434" s="104">
        <v>242</v>
      </c>
      <c r="J434" s="104" t="s">
        <v>1118</v>
      </c>
      <c r="K434" s="104" t="s">
        <v>1351</v>
      </c>
      <c r="L434" s="104">
        <v>101134</v>
      </c>
      <c r="M434" s="104">
        <v>6</v>
      </c>
      <c r="N434" s="104"/>
      <c r="O434" s="104"/>
      <c r="P434" s="104">
        <v>4363797</v>
      </c>
      <c r="Q434" s="106">
        <v>46041</v>
      </c>
      <c r="R434" s="104">
        <v>4477586</v>
      </c>
      <c r="S434" s="160">
        <v>19514.04</v>
      </c>
      <c r="T434" s="108"/>
      <c r="U434" s="104">
        <v>20046</v>
      </c>
      <c r="V434" s="104"/>
      <c r="W434" s="104" t="s">
        <v>48</v>
      </c>
      <c r="X434" s="104" t="s">
        <v>131</v>
      </c>
      <c r="Y434" s="216">
        <v>17980</v>
      </c>
      <c r="Z434" s="106">
        <v>46056</v>
      </c>
      <c r="AA434" s="106">
        <v>46057</v>
      </c>
      <c r="AB434" s="104" t="s">
        <v>60</v>
      </c>
      <c r="AC434" s="104"/>
      <c r="AD434" s="113">
        <f>S434-Y434</f>
        <v>1534.0400000000009</v>
      </c>
    </row>
    <row r="435" spans="2:30" ht="45" hidden="1" customHeight="1">
      <c r="B435" s="174">
        <v>432</v>
      </c>
      <c r="C435" s="104" t="s">
        <v>282</v>
      </c>
      <c r="D435" s="104" t="s">
        <v>1352</v>
      </c>
      <c r="E435" s="104">
        <v>42646</v>
      </c>
      <c r="F435" s="104" t="s">
        <v>44</v>
      </c>
      <c r="G435" s="145" t="s">
        <v>1353</v>
      </c>
      <c r="H435" s="104">
        <v>2330</v>
      </c>
      <c r="I435" s="104">
        <v>242</v>
      </c>
      <c r="J435" s="104" t="s">
        <v>1118</v>
      </c>
      <c r="K435" s="104" t="s">
        <v>1354</v>
      </c>
      <c r="L435" s="104">
        <v>97063</v>
      </c>
      <c r="M435" s="104">
        <v>6</v>
      </c>
      <c r="N435" s="104"/>
      <c r="O435" s="104"/>
      <c r="P435" s="104">
        <v>4363862</v>
      </c>
      <c r="Q435" s="106">
        <v>46041</v>
      </c>
      <c r="R435" s="104">
        <v>4485628</v>
      </c>
      <c r="S435" s="160">
        <v>10660</v>
      </c>
      <c r="T435" s="108"/>
      <c r="U435" s="104">
        <v>1706</v>
      </c>
      <c r="V435" s="104" t="s">
        <v>34</v>
      </c>
      <c r="W435" s="104" t="s">
        <v>48</v>
      </c>
      <c r="X435" s="104" t="s">
        <v>1355</v>
      </c>
      <c r="Y435" s="216">
        <v>10660</v>
      </c>
      <c r="Z435" s="106">
        <v>46122</v>
      </c>
      <c r="AA435" s="106">
        <v>46127</v>
      </c>
      <c r="AB435" s="104" t="s">
        <v>41</v>
      </c>
      <c r="AC435" s="104"/>
      <c r="AD435" s="113">
        <f>S435-Y435</f>
        <v>0</v>
      </c>
    </row>
    <row r="436" spans="2:30" ht="45" hidden="1" customHeight="1">
      <c r="B436" s="174">
        <v>433</v>
      </c>
      <c r="C436" s="104" t="s">
        <v>137</v>
      </c>
      <c r="D436" s="104" t="s">
        <v>1356</v>
      </c>
      <c r="E436" s="104"/>
      <c r="F436" s="104" t="s">
        <v>44</v>
      </c>
      <c r="G436" s="145" t="s">
        <v>1357</v>
      </c>
      <c r="H436" s="104" t="s">
        <v>1358</v>
      </c>
      <c r="I436" s="104">
        <v>5</v>
      </c>
      <c r="J436" s="104" t="s">
        <v>1118</v>
      </c>
      <c r="K436" s="104" t="s">
        <v>1359</v>
      </c>
      <c r="L436" s="104">
        <v>100502</v>
      </c>
      <c r="M436" s="104">
        <v>5</v>
      </c>
      <c r="N436" s="104" t="s">
        <v>1360</v>
      </c>
      <c r="O436" s="104" t="s">
        <v>40</v>
      </c>
      <c r="P436" s="119" t="s">
        <v>1361</v>
      </c>
      <c r="Q436" s="106">
        <v>46042</v>
      </c>
      <c r="R436" s="104">
        <v>4488712</v>
      </c>
      <c r="S436" s="160">
        <v>52500</v>
      </c>
      <c r="T436" s="108"/>
      <c r="U436" s="104">
        <v>702</v>
      </c>
      <c r="V436" s="104"/>
      <c r="W436" s="104" t="s">
        <v>48</v>
      </c>
      <c r="X436" s="104" t="s">
        <v>25</v>
      </c>
      <c r="Y436" s="216">
        <v>52500</v>
      </c>
      <c r="Z436" s="106">
        <v>46057</v>
      </c>
      <c r="AA436" s="106">
        <v>46063</v>
      </c>
      <c r="AB436" s="104" t="s">
        <v>60</v>
      </c>
      <c r="AC436" s="104"/>
      <c r="AD436" s="113">
        <f>S436-Y436</f>
        <v>0</v>
      </c>
    </row>
    <row r="437" spans="2:30" ht="45" hidden="1" customHeight="1">
      <c r="B437" s="174">
        <v>434</v>
      </c>
      <c r="C437" s="104" t="s">
        <v>42</v>
      </c>
      <c r="D437" s="104" t="s">
        <v>1362</v>
      </c>
      <c r="E437" s="104" t="s">
        <v>34</v>
      </c>
      <c r="F437" s="104" t="s">
        <v>44</v>
      </c>
      <c r="G437" s="145" t="s">
        <v>1363</v>
      </c>
      <c r="H437" s="104">
        <v>1295</v>
      </c>
      <c r="I437" s="104">
        <v>242</v>
      </c>
      <c r="J437" s="104" t="s">
        <v>1118</v>
      </c>
      <c r="K437" s="104" t="s">
        <v>1364</v>
      </c>
      <c r="L437" s="104">
        <v>100778</v>
      </c>
      <c r="M437" s="104">
        <v>1</v>
      </c>
      <c r="N437" s="104" t="s">
        <v>34</v>
      </c>
      <c r="O437" s="104" t="s">
        <v>34</v>
      </c>
      <c r="P437" s="116" t="s">
        <v>1365</v>
      </c>
      <c r="Q437" s="106">
        <v>46076</v>
      </c>
      <c r="R437" s="104">
        <v>4519697</v>
      </c>
      <c r="S437" s="160">
        <v>13500</v>
      </c>
      <c r="T437" s="108">
        <v>46109</v>
      </c>
      <c r="U437" s="104">
        <v>4875</v>
      </c>
      <c r="V437" s="104" t="s">
        <v>34</v>
      </c>
      <c r="W437" s="104" t="s">
        <v>40</v>
      </c>
      <c r="X437" s="104" t="s">
        <v>385</v>
      </c>
      <c r="Y437" s="216">
        <v>13500</v>
      </c>
      <c r="Z437" s="106">
        <v>46132</v>
      </c>
      <c r="AA437" s="106">
        <v>46134</v>
      </c>
      <c r="AB437" s="104" t="s">
        <v>41</v>
      </c>
      <c r="AC437" s="104"/>
      <c r="AD437" s="113">
        <f>S437-Y437</f>
        <v>0</v>
      </c>
    </row>
    <row r="438" spans="2:30" ht="45" hidden="1" customHeight="1">
      <c r="B438" s="174">
        <v>435</v>
      </c>
      <c r="C438" s="104" t="s">
        <v>316</v>
      </c>
      <c r="D438" s="104" t="s">
        <v>575</v>
      </c>
      <c r="E438" s="104">
        <v>43752</v>
      </c>
      <c r="F438" s="104" t="s">
        <v>35</v>
      </c>
      <c r="G438" s="145" t="s">
        <v>1366</v>
      </c>
      <c r="H438" s="104">
        <v>5345</v>
      </c>
      <c r="I438" s="104">
        <v>242</v>
      </c>
      <c r="J438" s="104" t="s">
        <v>1118</v>
      </c>
      <c r="K438" s="104" t="s">
        <v>1367</v>
      </c>
      <c r="L438" s="104">
        <v>100986</v>
      </c>
      <c r="M438" s="104">
        <v>6</v>
      </c>
      <c r="N438" s="104"/>
      <c r="O438" s="104"/>
      <c r="P438" s="104">
        <v>4366493</v>
      </c>
      <c r="Q438" s="106">
        <v>46043</v>
      </c>
      <c r="R438" s="104">
        <v>4482788</v>
      </c>
      <c r="S438" s="160">
        <v>7178.9</v>
      </c>
      <c r="T438" s="108"/>
      <c r="U438" s="104">
        <v>1838</v>
      </c>
      <c r="V438" s="104"/>
      <c r="W438" s="104" t="s">
        <v>40</v>
      </c>
      <c r="X438" s="104" t="s">
        <v>25</v>
      </c>
      <c r="Y438" s="216">
        <v>7178.9</v>
      </c>
      <c r="Z438" s="106">
        <v>46062</v>
      </c>
      <c r="AA438" s="106">
        <v>46063</v>
      </c>
      <c r="AB438" s="104" t="s">
        <v>60</v>
      </c>
      <c r="AC438" s="104"/>
      <c r="AD438" s="113">
        <f>S438-Y438</f>
        <v>0</v>
      </c>
    </row>
    <row r="439" spans="2:30" ht="45" hidden="1" customHeight="1">
      <c r="B439" s="174">
        <v>436</v>
      </c>
      <c r="C439" s="104" t="s">
        <v>137</v>
      </c>
      <c r="D439" s="104" t="s">
        <v>1368</v>
      </c>
      <c r="E439" s="104"/>
      <c r="F439" s="104" t="s">
        <v>44</v>
      </c>
      <c r="G439" s="145" t="s">
        <v>1369</v>
      </c>
      <c r="H439" s="104">
        <v>2119</v>
      </c>
      <c r="I439" s="104">
        <v>242</v>
      </c>
      <c r="J439" s="104" t="s">
        <v>1118</v>
      </c>
      <c r="K439" s="104" t="s">
        <v>1370</v>
      </c>
      <c r="L439" s="104">
        <v>100478</v>
      </c>
      <c r="M439" s="104">
        <v>5</v>
      </c>
      <c r="N439" s="104" t="s">
        <v>1371</v>
      </c>
      <c r="O439" s="104"/>
      <c r="P439" s="116" t="s">
        <v>1372</v>
      </c>
      <c r="Q439" s="106">
        <v>46043</v>
      </c>
      <c r="R439" s="104">
        <v>4501498</v>
      </c>
      <c r="S439" s="160">
        <v>2700</v>
      </c>
      <c r="T439" s="108" t="s">
        <v>34</v>
      </c>
      <c r="U439" s="104">
        <v>15</v>
      </c>
      <c r="V439" s="104"/>
      <c r="W439" s="104" t="s">
        <v>48</v>
      </c>
      <c r="X439" s="104" t="s">
        <v>25</v>
      </c>
      <c r="Y439" s="216">
        <v>2700</v>
      </c>
      <c r="Z439" s="106">
        <v>46072</v>
      </c>
      <c r="AA439" s="106">
        <v>46076</v>
      </c>
      <c r="AB439" s="104" t="s">
        <v>41</v>
      </c>
      <c r="AC439" s="104"/>
      <c r="AD439" s="113">
        <f>S439-Y439</f>
        <v>0</v>
      </c>
    </row>
    <row r="440" spans="2:30" ht="45" hidden="1" customHeight="1">
      <c r="B440" s="174">
        <v>437</v>
      </c>
      <c r="C440" s="104" t="s">
        <v>316</v>
      </c>
      <c r="D440" s="104" t="s">
        <v>1373</v>
      </c>
      <c r="E440" s="104">
        <v>41759</v>
      </c>
      <c r="F440" s="104" t="s">
        <v>44</v>
      </c>
      <c r="G440" s="145" t="s">
        <v>1374</v>
      </c>
      <c r="H440" s="104">
        <v>5345</v>
      </c>
      <c r="I440" s="104">
        <v>242</v>
      </c>
      <c r="J440" s="104" t="s">
        <v>1118</v>
      </c>
      <c r="K440" s="104" t="s">
        <v>1375</v>
      </c>
      <c r="L440" s="104">
        <v>100974</v>
      </c>
      <c r="M440" s="104">
        <v>6</v>
      </c>
      <c r="N440" s="104" t="s">
        <v>34</v>
      </c>
      <c r="O440" s="104" t="s">
        <v>34</v>
      </c>
      <c r="P440" s="104">
        <v>4366848</v>
      </c>
      <c r="Q440" s="106">
        <v>46043</v>
      </c>
      <c r="R440" s="104">
        <v>4482736</v>
      </c>
      <c r="S440" s="160">
        <v>4800</v>
      </c>
      <c r="T440" s="108"/>
      <c r="U440" s="104">
        <v>1438</v>
      </c>
      <c r="V440" s="104"/>
      <c r="W440" s="104" t="s">
        <v>48</v>
      </c>
      <c r="X440" s="104" t="s">
        <v>94</v>
      </c>
      <c r="Y440" s="216">
        <v>4800</v>
      </c>
      <c r="Z440" s="106">
        <v>46059</v>
      </c>
      <c r="AA440" s="106">
        <v>46073</v>
      </c>
      <c r="AB440" s="104" t="s">
        <v>41</v>
      </c>
      <c r="AC440" s="104"/>
      <c r="AD440" s="113">
        <f>S440-Y440</f>
        <v>0</v>
      </c>
    </row>
    <row r="441" spans="2:30" ht="45" hidden="1" customHeight="1">
      <c r="B441" s="174">
        <v>438</v>
      </c>
      <c r="C441" s="104" t="s">
        <v>282</v>
      </c>
      <c r="D441" s="104" t="s">
        <v>221</v>
      </c>
      <c r="E441" s="104">
        <v>42964</v>
      </c>
      <c r="F441" s="104" t="s">
        <v>44</v>
      </c>
      <c r="G441" s="145" t="s">
        <v>1376</v>
      </c>
      <c r="H441" s="104">
        <v>1210</v>
      </c>
      <c r="I441" s="104">
        <v>242</v>
      </c>
      <c r="J441" s="104" t="s">
        <v>1118</v>
      </c>
      <c r="K441" s="104" t="s">
        <v>1377</v>
      </c>
      <c r="L441" s="104">
        <v>97870</v>
      </c>
      <c r="M441" s="104">
        <v>6</v>
      </c>
      <c r="N441" s="104" t="s">
        <v>34</v>
      </c>
      <c r="O441" s="104" t="s">
        <v>34</v>
      </c>
      <c r="P441" s="104">
        <v>4366870</v>
      </c>
      <c r="Q441" s="106">
        <v>46043</v>
      </c>
      <c r="R441" s="104">
        <v>4481402</v>
      </c>
      <c r="S441" s="160">
        <v>3830.2</v>
      </c>
      <c r="T441" s="108" t="s">
        <v>34</v>
      </c>
      <c r="U441" s="104">
        <v>2676</v>
      </c>
      <c r="V441" s="104" t="s">
        <v>34</v>
      </c>
      <c r="W441" s="104" t="s">
        <v>40</v>
      </c>
      <c r="X441" s="104" t="s">
        <v>44</v>
      </c>
      <c r="Y441" s="216">
        <v>3830.2</v>
      </c>
      <c r="Z441" s="106">
        <v>46073</v>
      </c>
      <c r="AA441" s="106">
        <v>46078</v>
      </c>
      <c r="AB441" s="104" t="s">
        <v>41</v>
      </c>
      <c r="AC441" s="104"/>
      <c r="AD441" s="113">
        <f>S441-Y441</f>
        <v>0</v>
      </c>
    </row>
    <row r="442" spans="2:30" ht="45" hidden="1" customHeight="1">
      <c r="B442" s="174">
        <v>439</v>
      </c>
      <c r="C442" s="104" t="s">
        <v>282</v>
      </c>
      <c r="D442" s="104" t="s">
        <v>409</v>
      </c>
      <c r="E442" s="104">
        <v>44002</v>
      </c>
      <c r="F442" s="104" t="s">
        <v>35</v>
      </c>
      <c r="G442" s="145" t="s">
        <v>1378</v>
      </c>
      <c r="H442" s="104">
        <v>1236</v>
      </c>
      <c r="I442" s="104">
        <v>242</v>
      </c>
      <c r="J442" s="104" t="s">
        <v>1118</v>
      </c>
      <c r="K442" s="104" t="s">
        <v>1379</v>
      </c>
      <c r="L442" s="104">
        <v>100454</v>
      </c>
      <c r="M442" s="104">
        <v>6</v>
      </c>
      <c r="N442" s="104" t="s">
        <v>34</v>
      </c>
      <c r="O442" s="104" t="s">
        <v>34</v>
      </c>
      <c r="P442" s="104">
        <v>4366886</v>
      </c>
      <c r="Q442" s="106">
        <v>46043</v>
      </c>
      <c r="R442" s="104">
        <v>4484722</v>
      </c>
      <c r="S442" s="160">
        <v>17700</v>
      </c>
      <c r="T442" s="108"/>
      <c r="U442" s="104">
        <v>643</v>
      </c>
      <c r="V442" s="104">
        <v>226</v>
      </c>
      <c r="W442" s="104" t="s">
        <v>40</v>
      </c>
      <c r="X442" s="104" t="s">
        <v>385</v>
      </c>
      <c r="Y442" s="216">
        <v>16992</v>
      </c>
      <c r="Z442" s="106">
        <v>46055</v>
      </c>
      <c r="AA442" s="106">
        <v>46057</v>
      </c>
      <c r="AB442" s="104" t="s">
        <v>60</v>
      </c>
      <c r="AC442" s="104"/>
      <c r="AD442" s="113">
        <f>S442-Y442</f>
        <v>708</v>
      </c>
    </row>
    <row r="443" spans="2:30" ht="45" hidden="1" customHeight="1">
      <c r="B443" s="174">
        <v>440</v>
      </c>
      <c r="C443" s="104" t="s">
        <v>282</v>
      </c>
      <c r="D443" s="104" t="s">
        <v>1352</v>
      </c>
      <c r="E443" s="104">
        <v>43544</v>
      </c>
      <c r="F443" s="104" t="s">
        <v>44</v>
      </c>
      <c r="G443" s="145" t="s">
        <v>1380</v>
      </c>
      <c r="H443" s="104" t="s">
        <v>1381</v>
      </c>
      <c r="I443" s="104">
        <v>242</v>
      </c>
      <c r="J443" s="104" t="s">
        <v>1118</v>
      </c>
      <c r="K443" s="104" t="s">
        <v>1382</v>
      </c>
      <c r="L443" s="104">
        <v>99093</v>
      </c>
      <c r="M443" s="104">
        <v>6</v>
      </c>
      <c r="N443" s="104" t="s">
        <v>34</v>
      </c>
      <c r="O443" s="104" t="s">
        <v>34</v>
      </c>
      <c r="P443" s="104">
        <v>4368565</v>
      </c>
      <c r="Q443" s="106">
        <v>46044</v>
      </c>
      <c r="R443" s="104">
        <v>4483470</v>
      </c>
      <c r="S443" s="160">
        <v>34378</v>
      </c>
      <c r="T443" s="108"/>
      <c r="U443" s="104">
        <v>1633</v>
      </c>
      <c r="V443" s="104"/>
      <c r="W443" s="104" t="s">
        <v>40</v>
      </c>
      <c r="X443" s="104" t="s">
        <v>25</v>
      </c>
      <c r="Y443" s="216">
        <v>33350</v>
      </c>
      <c r="Z443" s="106">
        <v>46055</v>
      </c>
      <c r="AA443" s="106">
        <v>46057</v>
      </c>
      <c r="AB443" s="104" t="s">
        <v>60</v>
      </c>
      <c r="AC443" s="104"/>
      <c r="AD443" s="113">
        <f>S443-Y443</f>
        <v>1028</v>
      </c>
    </row>
    <row r="444" spans="2:30" ht="45" hidden="1" customHeight="1">
      <c r="B444" s="174">
        <v>441</v>
      </c>
      <c r="C444" s="104" t="s">
        <v>137</v>
      </c>
      <c r="D444" s="104" t="s">
        <v>1383</v>
      </c>
      <c r="E444" s="104" t="s">
        <v>34</v>
      </c>
      <c r="F444" s="104" t="s">
        <v>44</v>
      </c>
      <c r="G444" s="145" t="s">
        <v>1384</v>
      </c>
      <c r="H444" s="104" t="s">
        <v>679</v>
      </c>
      <c r="I444" s="104">
        <v>5</v>
      </c>
      <c r="J444" s="104" t="s">
        <v>1118</v>
      </c>
      <c r="K444" s="104" t="s">
        <v>709</v>
      </c>
      <c r="L444" s="104">
        <v>100942</v>
      </c>
      <c r="M444" s="104">
        <v>1</v>
      </c>
      <c r="N444" s="104" t="s">
        <v>34</v>
      </c>
      <c r="O444" s="104" t="s">
        <v>34</v>
      </c>
      <c r="P444" s="104">
        <v>4369660</v>
      </c>
      <c r="Q444" s="106">
        <v>46045</v>
      </c>
      <c r="R444" s="104">
        <v>4489681</v>
      </c>
      <c r="S444" s="160">
        <v>41750</v>
      </c>
      <c r="T444" s="108">
        <v>46023</v>
      </c>
      <c r="U444" s="104">
        <v>20451</v>
      </c>
      <c r="V444" s="104" t="s">
        <v>34</v>
      </c>
      <c r="W444" s="104" t="s">
        <v>48</v>
      </c>
      <c r="X444" s="104" t="s">
        <v>94</v>
      </c>
      <c r="Y444" s="216">
        <v>20875</v>
      </c>
      <c r="Z444" s="106">
        <v>46106</v>
      </c>
      <c r="AA444" s="106">
        <v>46107</v>
      </c>
      <c r="AB444" s="104" t="s">
        <v>41</v>
      </c>
      <c r="AC444" s="104"/>
      <c r="AD444" s="113">
        <f>S444-Y444</f>
        <v>20875</v>
      </c>
    </row>
    <row r="445" spans="2:30" ht="45" hidden="1" customHeight="1">
      <c r="B445" s="174">
        <v>442</v>
      </c>
      <c r="C445" s="104" t="s">
        <v>70</v>
      </c>
      <c r="D445" s="104" t="s">
        <v>1385</v>
      </c>
      <c r="E445" s="104">
        <v>41992</v>
      </c>
      <c r="F445" s="104" t="s">
        <v>35</v>
      </c>
      <c r="G445" s="145" t="s">
        <v>1386</v>
      </c>
      <c r="H445" s="104">
        <v>2224</v>
      </c>
      <c r="I445" s="104">
        <v>242</v>
      </c>
      <c r="J445" s="104" t="s">
        <v>1118</v>
      </c>
      <c r="K445" s="104" t="s">
        <v>1387</v>
      </c>
      <c r="L445" s="104">
        <v>101819</v>
      </c>
      <c r="M445" s="104">
        <v>6</v>
      </c>
      <c r="N445" s="104" t="s">
        <v>34</v>
      </c>
      <c r="O445" s="104" t="s">
        <v>34</v>
      </c>
      <c r="P445" s="104">
        <v>4381881</v>
      </c>
      <c r="Q445" s="106">
        <v>46057</v>
      </c>
      <c r="R445" s="104">
        <v>4495689</v>
      </c>
      <c r="S445" s="160">
        <v>4560</v>
      </c>
      <c r="T445" s="108">
        <v>46057</v>
      </c>
      <c r="U445" s="104">
        <v>3267</v>
      </c>
      <c r="V445" s="104"/>
      <c r="W445" s="104" t="s">
        <v>48</v>
      </c>
      <c r="X445" s="104" t="s">
        <v>25</v>
      </c>
      <c r="Y445" s="216">
        <v>4560</v>
      </c>
      <c r="Z445" s="106">
        <v>46064</v>
      </c>
      <c r="AA445" s="106">
        <v>46065</v>
      </c>
      <c r="AB445" s="104" t="s">
        <v>60</v>
      </c>
      <c r="AC445" s="104"/>
      <c r="AD445" s="113">
        <f>S445-Y445</f>
        <v>0</v>
      </c>
    </row>
    <row r="446" spans="2:30" ht="45" hidden="1" customHeight="1">
      <c r="B446" s="174">
        <v>443</v>
      </c>
      <c r="C446" s="104" t="s">
        <v>61</v>
      </c>
      <c r="D446" s="104" t="s">
        <v>1388</v>
      </c>
      <c r="E446" s="104">
        <v>42685</v>
      </c>
      <c r="F446" s="104" t="s">
        <v>44</v>
      </c>
      <c r="G446" s="145" t="s">
        <v>1389</v>
      </c>
      <c r="H446" s="104">
        <v>1171</v>
      </c>
      <c r="I446" s="104">
        <v>242</v>
      </c>
      <c r="J446" s="104" t="s">
        <v>1118</v>
      </c>
      <c r="K446" s="104" t="s">
        <v>1390</v>
      </c>
      <c r="L446" s="104">
        <v>101907</v>
      </c>
      <c r="M446" s="104">
        <v>6</v>
      </c>
      <c r="N446" s="104" t="s">
        <v>34</v>
      </c>
      <c r="O446" s="104" t="s">
        <v>34</v>
      </c>
      <c r="P446" s="104"/>
      <c r="Q446" s="106"/>
      <c r="R446" s="104"/>
      <c r="S446" s="160">
        <v>406.9</v>
      </c>
      <c r="T446" s="108"/>
      <c r="U446" s="104"/>
      <c r="V446" s="104"/>
      <c r="W446" s="104"/>
      <c r="X446" s="104"/>
      <c r="Y446" s="216"/>
      <c r="Z446" s="106"/>
      <c r="AA446" s="106"/>
      <c r="AB446" s="104" t="s">
        <v>1391</v>
      </c>
      <c r="AC446" s="104"/>
      <c r="AD446" s="113">
        <f>S446-Y446</f>
        <v>406.9</v>
      </c>
    </row>
    <row r="447" spans="2:30" ht="45" hidden="1" customHeight="1">
      <c r="B447" s="174">
        <v>444</v>
      </c>
      <c r="C447" s="104" t="s">
        <v>61</v>
      </c>
      <c r="D447" s="104" t="s">
        <v>1388</v>
      </c>
      <c r="E447" s="104">
        <v>42685</v>
      </c>
      <c r="F447" s="104" t="s">
        <v>44</v>
      </c>
      <c r="G447" s="145" t="s">
        <v>1392</v>
      </c>
      <c r="H447" s="104">
        <v>1171</v>
      </c>
      <c r="I447" s="104">
        <v>242</v>
      </c>
      <c r="J447" s="104" t="s">
        <v>1118</v>
      </c>
      <c r="K447" s="104" t="s">
        <v>1393</v>
      </c>
      <c r="L447" s="104">
        <v>101859</v>
      </c>
      <c r="M447" s="104">
        <v>6</v>
      </c>
      <c r="N447" s="104" t="s">
        <v>34</v>
      </c>
      <c r="O447" s="104" t="s">
        <v>34</v>
      </c>
      <c r="P447" s="104"/>
      <c r="Q447" s="106"/>
      <c r="R447" s="104"/>
      <c r="S447" s="160">
        <v>555.12</v>
      </c>
      <c r="T447" s="108"/>
      <c r="U447" s="104"/>
      <c r="V447" s="104"/>
      <c r="W447" s="104"/>
      <c r="X447" s="104"/>
      <c r="Y447" s="216"/>
      <c r="Z447" s="106"/>
      <c r="AA447" s="106"/>
      <c r="AB447" s="104" t="s">
        <v>1391</v>
      </c>
      <c r="AC447" s="104"/>
      <c r="AD447" s="113">
        <f>S447-Y447</f>
        <v>555.12</v>
      </c>
    </row>
    <row r="448" spans="2:30" ht="45" hidden="1" customHeight="1">
      <c r="B448" s="174">
        <v>445</v>
      </c>
      <c r="C448" s="104" t="s">
        <v>224</v>
      </c>
      <c r="D448" s="104" t="s">
        <v>1394</v>
      </c>
      <c r="E448" s="104" t="s">
        <v>34</v>
      </c>
      <c r="F448" s="104" t="s">
        <v>44</v>
      </c>
      <c r="G448" s="145" t="s">
        <v>1395</v>
      </c>
      <c r="H448" s="104">
        <v>1228</v>
      </c>
      <c r="I448" s="104">
        <v>326</v>
      </c>
      <c r="J448" s="104" t="s">
        <v>46</v>
      </c>
      <c r="K448" s="104" t="s">
        <v>1394</v>
      </c>
      <c r="L448" s="104"/>
      <c r="M448" s="104">
        <v>1</v>
      </c>
      <c r="N448" s="104"/>
      <c r="O448" s="104"/>
      <c r="P448" s="119" t="s">
        <v>1396</v>
      </c>
      <c r="Q448" s="106">
        <v>46049</v>
      </c>
      <c r="R448" s="104">
        <v>4375183</v>
      </c>
      <c r="S448" s="160">
        <v>127338.35</v>
      </c>
      <c r="T448" s="108">
        <v>46059</v>
      </c>
      <c r="U448" s="104"/>
      <c r="V448" s="104"/>
      <c r="W448" s="104"/>
      <c r="X448" s="104"/>
      <c r="Y448" s="216"/>
      <c r="Z448" s="106"/>
      <c r="AA448" s="106"/>
      <c r="AB448" s="104" t="s">
        <v>66</v>
      </c>
      <c r="AC448" s="104"/>
      <c r="AD448" s="113">
        <f>S448-Y448</f>
        <v>127338.35</v>
      </c>
    </row>
    <row r="449" spans="2:30" ht="45" hidden="1" customHeight="1">
      <c r="B449" s="174">
        <v>446</v>
      </c>
      <c r="C449" s="104" t="s">
        <v>282</v>
      </c>
      <c r="D449" s="104" t="s">
        <v>1397</v>
      </c>
      <c r="E449" s="104">
        <v>44004</v>
      </c>
      <c r="F449" s="104" t="s">
        <v>44</v>
      </c>
      <c r="G449" s="145" t="s">
        <v>1398</v>
      </c>
      <c r="H449" s="104">
        <v>2321</v>
      </c>
      <c r="I449" s="104">
        <v>242</v>
      </c>
      <c r="J449" s="104" t="s">
        <v>46</v>
      </c>
      <c r="K449" s="104" t="s">
        <v>1399</v>
      </c>
      <c r="L449" s="104">
        <v>99914</v>
      </c>
      <c r="M449" s="104">
        <v>6</v>
      </c>
      <c r="N449" s="104"/>
      <c r="O449" s="104"/>
      <c r="P449" s="104">
        <v>4373032</v>
      </c>
      <c r="Q449" s="106">
        <v>46049</v>
      </c>
      <c r="R449" s="104">
        <v>4487223</v>
      </c>
      <c r="S449" s="160">
        <v>2596</v>
      </c>
      <c r="T449" s="108">
        <v>46062</v>
      </c>
      <c r="U449" s="104">
        <v>11814</v>
      </c>
      <c r="V449" s="104"/>
      <c r="W449" s="104" t="s">
        <v>48</v>
      </c>
      <c r="X449" s="104" t="s">
        <v>94</v>
      </c>
      <c r="Y449" s="216">
        <v>2596</v>
      </c>
      <c r="Z449" s="106">
        <v>46059</v>
      </c>
      <c r="AA449" s="106">
        <v>46073</v>
      </c>
      <c r="AB449" s="104" t="s">
        <v>41</v>
      </c>
      <c r="AC449" s="104"/>
      <c r="AD449" s="113">
        <f>S449-Y449</f>
        <v>0</v>
      </c>
    </row>
    <row r="450" spans="2:30" ht="45" hidden="1" customHeight="1">
      <c r="B450" s="174">
        <v>447</v>
      </c>
      <c r="C450" s="104" t="s">
        <v>61</v>
      </c>
      <c r="D450" s="104" t="s">
        <v>1400</v>
      </c>
      <c r="E450" s="104">
        <v>42685</v>
      </c>
      <c r="F450" s="104" t="s">
        <v>44</v>
      </c>
      <c r="G450" s="145" t="s">
        <v>1389</v>
      </c>
      <c r="H450" s="104">
        <v>1171</v>
      </c>
      <c r="I450" s="104">
        <v>242</v>
      </c>
      <c r="J450" s="104" t="s">
        <v>46</v>
      </c>
      <c r="K450" s="148">
        <v>97326</v>
      </c>
      <c r="L450" s="104">
        <v>101907</v>
      </c>
      <c r="M450" s="104">
        <v>6</v>
      </c>
      <c r="N450" s="104"/>
      <c r="O450" s="104"/>
      <c r="P450" s="104">
        <v>4373587</v>
      </c>
      <c r="Q450" s="106">
        <v>46050</v>
      </c>
      <c r="R450" s="104">
        <v>4488525</v>
      </c>
      <c r="S450" s="160">
        <v>120</v>
      </c>
      <c r="T450" s="108">
        <v>46054</v>
      </c>
      <c r="U450" s="104">
        <v>13521</v>
      </c>
      <c r="V450" s="104" t="s">
        <v>34</v>
      </c>
      <c r="W450" s="104" t="s">
        <v>48</v>
      </c>
      <c r="X450" s="104" t="s">
        <v>25</v>
      </c>
      <c r="Y450" s="216">
        <v>120</v>
      </c>
      <c r="Z450" s="195">
        <v>46099</v>
      </c>
      <c r="AA450" s="106">
        <v>46128</v>
      </c>
      <c r="AB450" s="104" t="s">
        <v>41</v>
      </c>
      <c r="AC450" s="104"/>
      <c r="AD450" s="113">
        <f>S450-Y450</f>
        <v>0</v>
      </c>
    </row>
    <row r="451" spans="2:30" ht="45" hidden="1" customHeight="1">
      <c r="B451" s="174">
        <v>448</v>
      </c>
      <c r="C451" s="104" t="s">
        <v>61</v>
      </c>
      <c r="D451" s="104" t="s">
        <v>1400</v>
      </c>
      <c r="E451" s="104">
        <v>42685</v>
      </c>
      <c r="F451" s="104" t="s">
        <v>44</v>
      </c>
      <c r="G451" s="145" t="s">
        <v>1392</v>
      </c>
      <c r="H451" s="104">
        <v>1171</v>
      </c>
      <c r="I451" s="104">
        <v>242</v>
      </c>
      <c r="J451" s="104" t="s">
        <v>46</v>
      </c>
      <c r="K451" s="104">
        <v>97328</v>
      </c>
      <c r="L451" s="104">
        <v>101859</v>
      </c>
      <c r="M451" s="104">
        <v>6</v>
      </c>
      <c r="N451" s="104"/>
      <c r="O451" s="104"/>
      <c r="P451" s="104">
        <v>4373606</v>
      </c>
      <c r="Q451" s="106">
        <v>46050</v>
      </c>
      <c r="R451" s="104">
        <v>4488524</v>
      </c>
      <c r="S451" s="160">
        <v>555.12</v>
      </c>
      <c r="T451" s="108">
        <v>46054</v>
      </c>
      <c r="U451" s="104">
        <v>13517</v>
      </c>
      <c r="V451" s="104" t="s">
        <v>34</v>
      </c>
      <c r="W451" s="104" t="s">
        <v>48</v>
      </c>
      <c r="X451" s="104" t="s">
        <v>25</v>
      </c>
      <c r="Y451" s="216">
        <v>120</v>
      </c>
      <c r="Z451" s="195">
        <v>46099</v>
      </c>
      <c r="AA451" s="106">
        <v>46128</v>
      </c>
      <c r="AB451" s="104" t="s">
        <v>41</v>
      </c>
      <c r="AC451" s="104"/>
      <c r="AD451" s="113">
        <f>S451-Y451</f>
        <v>435.12</v>
      </c>
    </row>
    <row r="452" spans="2:30" ht="45" hidden="1" customHeight="1">
      <c r="B452" s="174">
        <v>449</v>
      </c>
      <c r="C452" s="104" t="s">
        <v>70</v>
      </c>
      <c r="D452" s="104" t="s">
        <v>1234</v>
      </c>
      <c r="E452" s="104" t="s">
        <v>34</v>
      </c>
      <c r="F452" s="104" t="s">
        <v>44</v>
      </c>
      <c r="G452" s="145" t="s">
        <v>1401</v>
      </c>
      <c r="H452" s="104">
        <v>2321</v>
      </c>
      <c r="I452" s="104">
        <v>242</v>
      </c>
      <c r="J452" s="104" t="s">
        <v>46</v>
      </c>
      <c r="K452" s="104" t="s">
        <v>1402</v>
      </c>
      <c r="L452" s="104">
        <v>103172</v>
      </c>
      <c r="M452" s="104">
        <v>5</v>
      </c>
      <c r="N452" s="104"/>
      <c r="O452" s="104"/>
      <c r="P452" s="104">
        <v>4374285</v>
      </c>
      <c r="Q452" s="106">
        <v>46050</v>
      </c>
      <c r="R452" s="104">
        <v>4493241</v>
      </c>
      <c r="S452" s="160">
        <v>29405.919999999998</v>
      </c>
      <c r="T452" s="108">
        <v>46050</v>
      </c>
      <c r="U452" s="104">
        <v>16</v>
      </c>
      <c r="V452" s="104"/>
      <c r="W452" s="104" t="s">
        <v>40</v>
      </c>
      <c r="X452" s="104" t="s">
        <v>385</v>
      </c>
      <c r="Y452" s="216">
        <v>2850</v>
      </c>
      <c r="Z452" s="106">
        <v>46062</v>
      </c>
      <c r="AA452" s="106">
        <v>46065</v>
      </c>
      <c r="AB452" s="104" t="s">
        <v>41</v>
      </c>
      <c r="AC452" s="104"/>
      <c r="AD452" s="113">
        <f>S452-Y452</f>
        <v>26555.919999999998</v>
      </c>
    </row>
    <row r="453" spans="2:30" ht="45" hidden="1" customHeight="1">
      <c r="B453" s="174">
        <v>450</v>
      </c>
      <c r="C453" s="104" t="s">
        <v>137</v>
      </c>
      <c r="D453" s="104" t="s">
        <v>479</v>
      </c>
      <c r="E453" s="104"/>
      <c r="F453" s="104" t="s">
        <v>44</v>
      </c>
      <c r="G453" s="145" t="s">
        <v>1403</v>
      </c>
      <c r="H453" s="104">
        <v>2330</v>
      </c>
      <c r="I453" s="104">
        <v>5</v>
      </c>
      <c r="J453" s="104" t="s">
        <v>46</v>
      </c>
      <c r="K453" s="104" t="s">
        <v>1404</v>
      </c>
      <c r="L453" s="104">
        <v>101699</v>
      </c>
      <c r="M453" s="104">
        <v>2</v>
      </c>
      <c r="N453" s="104"/>
      <c r="O453" s="104"/>
      <c r="P453" s="119" t="s">
        <v>1405</v>
      </c>
      <c r="Q453" s="106">
        <v>46050</v>
      </c>
      <c r="R453" s="104">
        <v>4488741</v>
      </c>
      <c r="S453" s="160">
        <v>21000</v>
      </c>
      <c r="T453" s="108">
        <v>46055</v>
      </c>
      <c r="U453" s="104">
        <v>782</v>
      </c>
      <c r="V453" s="104" t="s">
        <v>34</v>
      </c>
      <c r="W453" s="104" t="s">
        <v>48</v>
      </c>
      <c r="X453" s="104" t="s">
        <v>25</v>
      </c>
      <c r="Y453" s="216">
        <v>21000</v>
      </c>
      <c r="Z453" s="106">
        <v>46090</v>
      </c>
      <c r="AA453" s="106">
        <v>46092</v>
      </c>
      <c r="AB453" s="104" t="s">
        <v>41</v>
      </c>
      <c r="AC453" s="104"/>
      <c r="AD453" s="113">
        <f>S453-Y453</f>
        <v>0</v>
      </c>
    </row>
    <row r="454" spans="2:30" ht="45" hidden="1" customHeight="1">
      <c r="B454" s="174">
        <v>451</v>
      </c>
      <c r="C454" s="104" t="s">
        <v>70</v>
      </c>
      <c r="D454" s="104" t="s">
        <v>1406</v>
      </c>
      <c r="E454" s="104"/>
      <c r="F454" s="104" t="s">
        <v>44</v>
      </c>
      <c r="G454" s="145" t="s">
        <v>1407</v>
      </c>
      <c r="H454" s="104">
        <v>2321</v>
      </c>
      <c r="I454" s="104">
        <v>242</v>
      </c>
      <c r="J454" s="104" t="s">
        <v>46</v>
      </c>
      <c r="K454" s="104" t="s">
        <v>1406</v>
      </c>
      <c r="L454" s="104">
        <v>103173</v>
      </c>
      <c r="M454" s="104">
        <v>29</v>
      </c>
      <c r="N454" s="104"/>
      <c r="O454" s="104"/>
      <c r="P454" s="119" t="s">
        <v>1408</v>
      </c>
      <c r="Q454" s="106">
        <v>46050</v>
      </c>
      <c r="R454" s="104">
        <v>4504328</v>
      </c>
      <c r="S454" s="160">
        <v>21721</v>
      </c>
      <c r="T454" s="108">
        <v>46054</v>
      </c>
      <c r="U454" s="104"/>
      <c r="V454" s="104"/>
      <c r="W454" s="104"/>
      <c r="X454" s="104"/>
      <c r="Y454" s="216"/>
      <c r="Z454" s="106"/>
      <c r="AA454" s="106"/>
      <c r="AB454" s="104" t="s">
        <v>66</v>
      </c>
      <c r="AC454" s="104"/>
      <c r="AD454" s="113">
        <f>S454-Y454</f>
        <v>21721</v>
      </c>
    </row>
    <row r="455" spans="2:30" ht="45" hidden="1" customHeight="1">
      <c r="B455" s="174">
        <v>452</v>
      </c>
      <c r="C455" s="104" t="s">
        <v>95</v>
      </c>
      <c r="D455" s="104" t="s">
        <v>198</v>
      </c>
      <c r="E455" s="104" t="s">
        <v>34</v>
      </c>
      <c r="F455" s="104" t="s">
        <v>44</v>
      </c>
      <c r="G455" s="145" t="s">
        <v>199</v>
      </c>
      <c r="H455" s="104">
        <v>4502</v>
      </c>
      <c r="I455" s="104">
        <v>326</v>
      </c>
      <c r="J455" s="104" t="s">
        <v>46</v>
      </c>
      <c r="K455" s="104" t="s">
        <v>196</v>
      </c>
      <c r="L455" s="104" t="s">
        <v>34</v>
      </c>
      <c r="M455" s="104">
        <v>1</v>
      </c>
      <c r="N455" s="104" t="s">
        <v>34</v>
      </c>
      <c r="O455" s="104" t="s">
        <v>34</v>
      </c>
      <c r="P455" s="104">
        <v>4225878</v>
      </c>
      <c r="Q455" s="106">
        <v>45898</v>
      </c>
      <c r="R455" s="104">
        <v>4350173</v>
      </c>
      <c r="S455" s="160">
        <v>303708.43</v>
      </c>
      <c r="T455" s="108"/>
      <c r="U455" s="104">
        <v>527</v>
      </c>
      <c r="V455" s="104"/>
      <c r="W455" s="104" t="s">
        <v>40</v>
      </c>
      <c r="X455" s="104" t="s">
        <v>44</v>
      </c>
      <c r="Y455" s="216">
        <v>112804.23</v>
      </c>
      <c r="Z455" s="106">
        <v>46050</v>
      </c>
      <c r="AA455" s="106">
        <v>46051</v>
      </c>
      <c r="AB455" s="104" t="s">
        <v>54</v>
      </c>
      <c r="AC455" s="104"/>
      <c r="AD455" s="113">
        <f>S455-Y455</f>
        <v>190904.2</v>
      </c>
    </row>
    <row r="456" spans="2:30" ht="45" hidden="1" customHeight="1">
      <c r="B456" s="174">
        <v>453</v>
      </c>
      <c r="C456" s="104" t="s">
        <v>42</v>
      </c>
      <c r="D456" s="104" t="s">
        <v>1409</v>
      </c>
      <c r="E456" s="104" t="s">
        <v>34</v>
      </c>
      <c r="F456" s="104" t="s">
        <v>44</v>
      </c>
      <c r="G456" s="145" t="s">
        <v>1410</v>
      </c>
      <c r="H456" s="104">
        <v>1295</v>
      </c>
      <c r="I456" s="104">
        <v>242</v>
      </c>
      <c r="J456" s="104" t="s">
        <v>46</v>
      </c>
      <c r="K456" s="104" t="s">
        <v>1411</v>
      </c>
      <c r="L456" s="104">
        <v>103199</v>
      </c>
      <c r="M456" s="104">
        <v>1</v>
      </c>
      <c r="N456" s="104"/>
      <c r="O456" s="104"/>
      <c r="P456" s="104">
        <v>4375988</v>
      </c>
      <c r="Q456" s="106">
        <v>46051</v>
      </c>
      <c r="R456" s="104">
        <v>4501305</v>
      </c>
      <c r="S456" s="160">
        <v>33488</v>
      </c>
      <c r="T456" s="108">
        <v>46062</v>
      </c>
      <c r="U456" s="104">
        <v>136</v>
      </c>
      <c r="V456" s="104" t="s">
        <v>34</v>
      </c>
      <c r="W456" s="104" t="s">
        <v>40</v>
      </c>
      <c r="X456" s="104" t="s">
        <v>25</v>
      </c>
      <c r="Y456" s="216">
        <v>33488</v>
      </c>
      <c r="Z456" s="195">
        <v>46119</v>
      </c>
      <c r="AA456" s="106">
        <v>46136</v>
      </c>
      <c r="AB456" s="104" t="s">
        <v>41</v>
      </c>
      <c r="AC456" s="104"/>
      <c r="AD456" s="113">
        <f>S456-Y456</f>
        <v>0</v>
      </c>
    </row>
    <row r="457" spans="2:30" ht="45" hidden="1" customHeight="1">
      <c r="B457" s="174">
        <v>454</v>
      </c>
      <c r="C457" s="104" t="s">
        <v>798</v>
      </c>
      <c r="D457" s="104" t="s">
        <v>1412</v>
      </c>
      <c r="E457" s="104"/>
      <c r="F457" s="104" t="s">
        <v>44</v>
      </c>
      <c r="G457" s="145" t="s">
        <v>1413</v>
      </c>
      <c r="H457" s="104">
        <v>2321</v>
      </c>
      <c r="I457" s="104">
        <v>242</v>
      </c>
      <c r="J457" s="104" t="s">
        <v>244</v>
      </c>
      <c r="K457" s="104" t="s">
        <v>1412</v>
      </c>
      <c r="L457" s="104"/>
      <c r="M457" s="104">
        <v>29</v>
      </c>
      <c r="N457" s="104"/>
      <c r="O457" s="104"/>
      <c r="P457" s="104">
        <v>4250062</v>
      </c>
      <c r="Q457" s="106">
        <v>45923</v>
      </c>
      <c r="R457" s="104">
        <v>4373292</v>
      </c>
      <c r="S457" s="160">
        <v>8648.33</v>
      </c>
      <c r="T457" s="108"/>
      <c r="U457" s="104">
        <v>62672</v>
      </c>
      <c r="V457" s="104"/>
      <c r="W457" s="104" t="s">
        <v>48</v>
      </c>
      <c r="X457" s="104" t="s">
        <v>94</v>
      </c>
      <c r="Y457" s="216">
        <v>289.75</v>
      </c>
      <c r="Z457" s="106">
        <v>46031</v>
      </c>
      <c r="AA457" s="106">
        <v>46052</v>
      </c>
      <c r="AB457" s="104" t="s">
        <v>60</v>
      </c>
      <c r="AC457" s="104"/>
      <c r="AD457" s="113">
        <f>S457-Y457</f>
        <v>8358.58</v>
      </c>
    </row>
    <row r="458" spans="2:30" ht="45" hidden="1" customHeight="1">
      <c r="B458" s="174">
        <v>455</v>
      </c>
      <c r="C458" s="104" t="s">
        <v>798</v>
      </c>
      <c r="D458" s="104" t="s">
        <v>1412</v>
      </c>
      <c r="E458" s="104"/>
      <c r="F458" s="104" t="s">
        <v>44</v>
      </c>
      <c r="G458" s="145" t="s">
        <v>1413</v>
      </c>
      <c r="H458" s="104">
        <v>2321</v>
      </c>
      <c r="I458" s="104">
        <v>242</v>
      </c>
      <c r="J458" s="104" t="s">
        <v>244</v>
      </c>
      <c r="K458" s="104" t="s">
        <v>1412</v>
      </c>
      <c r="L458" s="104"/>
      <c r="M458" s="104">
        <v>29</v>
      </c>
      <c r="N458" s="104"/>
      <c r="O458" s="104"/>
      <c r="P458" s="104">
        <v>4250062</v>
      </c>
      <c r="Q458" s="106">
        <v>45923</v>
      </c>
      <c r="R458" s="104">
        <v>4373292</v>
      </c>
      <c r="S458" s="113">
        <v>8358.58</v>
      </c>
      <c r="T458" s="108"/>
      <c r="U458" s="104">
        <v>62669</v>
      </c>
      <c r="V458" s="104"/>
      <c r="W458" s="104" t="s">
        <v>48</v>
      </c>
      <c r="X458" s="104" t="s">
        <v>94</v>
      </c>
      <c r="Y458" s="216">
        <v>537.24</v>
      </c>
      <c r="Z458" s="106">
        <v>46031</v>
      </c>
      <c r="AA458" s="106">
        <v>46052</v>
      </c>
      <c r="AB458" s="104" t="s">
        <v>60</v>
      </c>
      <c r="AC458" s="104"/>
      <c r="AD458" s="113">
        <f>S458-Y458</f>
        <v>7821.34</v>
      </c>
    </row>
    <row r="459" spans="2:30" ht="45" hidden="1" customHeight="1">
      <c r="B459" s="174">
        <v>456</v>
      </c>
      <c r="C459" s="104" t="s">
        <v>798</v>
      </c>
      <c r="D459" s="104" t="s">
        <v>1412</v>
      </c>
      <c r="E459" s="104"/>
      <c r="F459" s="104" t="s">
        <v>44</v>
      </c>
      <c r="G459" s="145" t="s">
        <v>1413</v>
      </c>
      <c r="H459" s="104">
        <v>2321</v>
      </c>
      <c r="I459" s="104">
        <v>242</v>
      </c>
      <c r="J459" s="104" t="s">
        <v>244</v>
      </c>
      <c r="K459" s="104" t="s">
        <v>1412</v>
      </c>
      <c r="L459" s="104"/>
      <c r="M459" s="104">
        <v>29</v>
      </c>
      <c r="N459" s="104"/>
      <c r="O459" s="104"/>
      <c r="P459" s="104">
        <v>4250062</v>
      </c>
      <c r="Q459" s="106">
        <v>45923</v>
      </c>
      <c r="R459" s="104">
        <v>4373292</v>
      </c>
      <c r="S459" s="160">
        <v>7821.34</v>
      </c>
      <c r="T459" s="108"/>
      <c r="U459" s="104">
        <v>62670</v>
      </c>
      <c r="V459" s="104"/>
      <c r="W459" s="104" t="s">
        <v>48</v>
      </c>
      <c r="X459" s="104" t="s">
        <v>94</v>
      </c>
      <c r="Y459" s="216">
        <v>1862.97</v>
      </c>
      <c r="Z459" s="106">
        <v>46031</v>
      </c>
      <c r="AA459" s="106">
        <v>46052</v>
      </c>
      <c r="AB459" s="104" t="s">
        <v>60</v>
      </c>
      <c r="AC459" s="104"/>
      <c r="AD459" s="113">
        <f>S459-Y459</f>
        <v>5958.37</v>
      </c>
    </row>
    <row r="460" spans="2:30" ht="45" hidden="1" customHeight="1">
      <c r="B460" s="174">
        <v>457</v>
      </c>
      <c r="C460" s="104" t="s">
        <v>798</v>
      </c>
      <c r="D460" s="104" t="s">
        <v>1412</v>
      </c>
      <c r="E460" s="104"/>
      <c r="F460" s="104" t="s">
        <v>44</v>
      </c>
      <c r="G460" s="145" t="s">
        <v>1413</v>
      </c>
      <c r="H460" s="104">
        <v>2321</v>
      </c>
      <c r="I460" s="104">
        <v>242</v>
      </c>
      <c r="J460" s="104" t="s">
        <v>244</v>
      </c>
      <c r="K460" s="104" t="s">
        <v>1412</v>
      </c>
      <c r="L460" s="104"/>
      <c r="M460" s="104">
        <v>29</v>
      </c>
      <c r="N460" s="104"/>
      <c r="O460" s="104"/>
      <c r="P460" s="104">
        <v>4250062</v>
      </c>
      <c r="Q460" s="106">
        <v>45923</v>
      </c>
      <c r="R460" s="104">
        <v>4373292</v>
      </c>
      <c r="S460" s="160">
        <v>5958.37</v>
      </c>
      <c r="T460" s="108"/>
      <c r="U460" s="104">
        <v>62671</v>
      </c>
      <c r="V460" s="104"/>
      <c r="W460" s="104" t="s">
        <v>48</v>
      </c>
      <c r="X460" s="104" t="s">
        <v>94</v>
      </c>
      <c r="Y460" s="216">
        <v>271.95999999999998</v>
      </c>
      <c r="Z460" s="106">
        <v>46031</v>
      </c>
      <c r="AA460" s="106">
        <v>46052</v>
      </c>
      <c r="AB460" s="104" t="s">
        <v>60</v>
      </c>
      <c r="AC460" s="104"/>
      <c r="AD460" s="113">
        <f>S460-Y460</f>
        <v>5686.41</v>
      </c>
    </row>
    <row r="461" spans="2:30" ht="45" hidden="1" customHeight="1">
      <c r="B461" s="174">
        <v>458</v>
      </c>
      <c r="C461" s="104" t="s">
        <v>42</v>
      </c>
      <c r="D461" s="104" t="s">
        <v>1414</v>
      </c>
      <c r="E461" s="104" t="s">
        <v>34</v>
      </c>
      <c r="F461" s="104" t="s">
        <v>44</v>
      </c>
      <c r="G461" s="145" t="s">
        <v>1415</v>
      </c>
      <c r="H461" s="104">
        <v>1210</v>
      </c>
      <c r="I461" s="104">
        <v>242</v>
      </c>
      <c r="J461" s="104" t="s">
        <v>46</v>
      </c>
      <c r="K461" s="104" t="s">
        <v>1416</v>
      </c>
      <c r="L461" s="104">
        <v>103204</v>
      </c>
      <c r="M461" s="104">
        <v>1</v>
      </c>
      <c r="N461" s="104"/>
      <c r="O461" s="104"/>
      <c r="P461" s="104">
        <v>4377426</v>
      </c>
      <c r="Q461" s="106">
        <v>46052</v>
      </c>
      <c r="R461" s="104">
        <v>4495762</v>
      </c>
      <c r="S461" s="160">
        <v>38500</v>
      </c>
      <c r="T461" s="108"/>
      <c r="U461" s="104">
        <v>846</v>
      </c>
      <c r="V461" s="104" t="s">
        <v>34</v>
      </c>
      <c r="W461" s="104" t="s">
        <v>48</v>
      </c>
      <c r="X461" s="104" t="s">
        <v>25</v>
      </c>
      <c r="Y461" s="216">
        <v>3850</v>
      </c>
      <c r="Z461" s="106">
        <v>46113</v>
      </c>
      <c r="AA461" s="106">
        <v>46119</v>
      </c>
      <c r="AB461" s="104" t="s">
        <v>41</v>
      </c>
      <c r="AC461" s="104"/>
      <c r="AD461" s="113">
        <f>S461-Y461</f>
        <v>34650</v>
      </c>
    </row>
    <row r="462" spans="2:30" ht="45" customHeight="1">
      <c r="B462" s="174">
        <v>459</v>
      </c>
      <c r="C462" s="104" t="s">
        <v>95</v>
      </c>
      <c r="D462" s="104" t="s">
        <v>1417</v>
      </c>
      <c r="E462" s="104"/>
      <c r="F462" s="104" t="s">
        <v>44</v>
      </c>
      <c r="G462" s="145" t="s">
        <v>1418</v>
      </c>
      <c r="H462" s="104">
        <v>2291</v>
      </c>
      <c r="I462" s="104">
        <v>242</v>
      </c>
      <c r="J462" s="104" t="s">
        <v>46</v>
      </c>
      <c r="K462" s="104"/>
      <c r="L462" s="104">
        <v>101690</v>
      </c>
      <c r="M462" s="104">
        <v>8</v>
      </c>
      <c r="N462" s="104" t="s">
        <v>1419</v>
      </c>
      <c r="O462" s="104"/>
      <c r="P462" s="104">
        <v>4377483</v>
      </c>
      <c r="Q462" s="106">
        <v>46052</v>
      </c>
      <c r="R462" s="104">
        <v>4486507</v>
      </c>
      <c r="S462" s="160">
        <v>3000</v>
      </c>
      <c r="T462" s="108"/>
      <c r="U462" s="104" t="s">
        <v>1420</v>
      </c>
      <c r="V462" s="104"/>
      <c r="W462" s="104" t="s">
        <v>40</v>
      </c>
      <c r="X462" s="104" t="s">
        <v>508</v>
      </c>
      <c r="Y462" s="216">
        <v>3000</v>
      </c>
      <c r="Z462" s="106">
        <v>46036</v>
      </c>
      <c r="AA462" s="106">
        <v>46098</v>
      </c>
      <c r="AB462" s="104" t="s">
        <v>41</v>
      </c>
      <c r="AC462" s="104"/>
      <c r="AD462" s="113">
        <f>S462-Y462</f>
        <v>0</v>
      </c>
    </row>
    <row r="463" spans="2:30" ht="45" hidden="1" customHeight="1">
      <c r="B463" s="174">
        <v>460</v>
      </c>
      <c r="C463" s="104" t="s">
        <v>70</v>
      </c>
      <c r="D463" s="104" t="s">
        <v>1421</v>
      </c>
      <c r="E463" s="104">
        <v>44138</v>
      </c>
      <c r="F463" s="104" t="s">
        <v>44</v>
      </c>
      <c r="G463" s="145" t="s">
        <v>1422</v>
      </c>
      <c r="H463" s="104">
        <v>2275</v>
      </c>
      <c r="I463" s="104">
        <v>242</v>
      </c>
      <c r="J463" s="104" t="s">
        <v>46</v>
      </c>
      <c r="K463" s="104">
        <v>80007</v>
      </c>
      <c r="L463" s="104">
        <v>103379</v>
      </c>
      <c r="M463" s="104">
        <v>6</v>
      </c>
      <c r="N463" s="104"/>
      <c r="O463" s="104"/>
      <c r="P463" s="104">
        <v>4378656</v>
      </c>
      <c r="Q463" s="106">
        <v>46055</v>
      </c>
      <c r="R463" s="104">
        <v>4491718</v>
      </c>
      <c r="S463" s="160">
        <v>7710.6</v>
      </c>
      <c r="T463" s="108"/>
      <c r="U463" s="104">
        <v>171</v>
      </c>
      <c r="V463" s="104" t="s">
        <v>34</v>
      </c>
      <c r="W463" s="104" t="s">
        <v>48</v>
      </c>
      <c r="X463" s="104" t="s">
        <v>25</v>
      </c>
      <c r="Y463" s="216">
        <v>7710.6</v>
      </c>
      <c r="Z463" s="106">
        <v>46084</v>
      </c>
      <c r="AA463" s="106">
        <v>46097</v>
      </c>
      <c r="AB463" s="104" t="s">
        <v>41</v>
      </c>
      <c r="AC463" s="104"/>
      <c r="AD463" s="113">
        <f>S463-Y463</f>
        <v>0</v>
      </c>
    </row>
    <row r="464" spans="2:30" ht="45" hidden="1" customHeight="1">
      <c r="B464" s="174">
        <v>461</v>
      </c>
      <c r="C464" s="104" t="s">
        <v>70</v>
      </c>
      <c r="D464" s="104" t="s">
        <v>1421</v>
      </c>
      <c r="E464" s="104">
        <v>43646</v>
      </c>
      <c r="F464" s="104" t="s">
        <v>44</v>
      </c>
      <c r="G464" s="145" t="s">
        <v>1423</v>
      </c>
      <c r="H464" s="104">
        <v>4057</v>
      </c>
      <c r="I464" s="104">
        <v>242</v>
      </c>
      <c r="J464" s="104" t="s">
        <v>46</v>
      </c>
      <c r="K464" s="104">
        <v>80002</v>
      </c>
      <c r="L464" s="104">
        <v>103385</v>
      </c>
      <c r="M464" s="104">
        <v>6</v>
      </c>
      <c r="N464" s="104"/>
      <c r="O464" s="104"/>
      <c r="P464" s="104">
        <v>4378710</v>
      </c>
      <c r="Q464" s="106">
        <v>46055</v>
      </c>
      <c r="R464" s="104">
        <v>4491713</v>
      </c>
      <c r="S464" s="160">
        <v>7675.8</v>
      </c>
      <c r="T464" s="108"/>
      <c r="U464" s="104">
        <v>179</v>
      </c>
      <c r="V464" s="104"/>
      <c r="W464" s="104" t="s">
        <v>48</v>
      </c>
      <c r="X464" s="104" t="s">
        <v>25</v>
      </c>
      <c r="Y464" s="216">
        <v>7675.8</v>
      </c>
      <c r="Z464" s="106">
        <v>46113</v>
      </c>
      <c r="AA464" s="106">
        <v>46122</v>
      </c>
      <c r="AB464" s="104" t="s">
        <v>41</v>
      </c>
      <c r="AC464" s="104" t="s">
        <v>1174</v>
      </c>
      <c r="AD464" s="113">
        <f>S464-Y464</f>
        <v>0</v>
      </c>
    </row>
    <row r="465" spans="2:30" ht="45" hidden="1" customHeight="1">
      <c r="B465" s="174">
        <v>462</v>
      </c>
      <c r="C465" s="104" t="s">
        <v>32</v>
      </c>
      <c r="D465" s="104" t="s">
        <v>582</v>
      </c>
      <c r="E465" s="104">
        <v>44475</v>
      </c>
      <c r="F465" s="104" t="s">
        <v>35</v>
      </c>
      <c r="G465" s="145" t="s">
        <v>1424</v>
      </c>
      <c r="H465" s="104">
        <v>2488</v>
      </c>
      <c r="I465" s="104">
        <v>242</v>
      </c>
      <c r="J465" s="104" t="s">
        <v>46</v>
      </c>
      <c r="K465" s="104">
        <v>472</v>
      </c>
      <c r="L465" s="104">
        <v>103692</v>
      </c>
      <c r="M465" s="104">
        <v>6</v>
      </c>
      <c r="N465" s="104"/>
      <c r="O465" s="104"/>
      <c r="P465" s="104">
        <v>4378885</v>
      </c>
      <c r="Q465" s="106">
        <v>46055</v>
      </c>
      <c r="R465" s="104">
        <v>4491550</v>
      </c>
      <c r="S465" s="160">
        <v>400</v>
      </c>
      <c r="T465" s="108"/>
      <c r="U465" s="104">
        <v>3383</v>
      </c>
      <c r="V465" s="104"/>
      <c r="W465" s="104" t="s">
        <v>48</v>
      </c>
      <c r="X465" s="104" t="s">
        <v>25</v>
      </c>
      <c r="Y465" s="216">
        <v>380</v>
      </c>
      <c r="Z465" s="106">
        <v>46143</v>
      </c>
      <c r="AA465" s="106"/>
      <c r="AB465" s="104" t="s">
        <v>1425</v>
      </c>
      <c r="AC465" s="104"/>
      <c r="AD465" s="113">
        <f>S465-Y465</f>
        <v>20</v>
      </c>
    </row>
    <row r="466" spans="2:30" ht="45" hidden="1" customHeight="1">
      <c r="B466" s="174">
        <v>463</v>
      </c>
      <c r="C466" s="104" t="s">
        <v>95</v>
      </c>
      <c r="D466" s="104" t="s">
        <v>101</v>
      </c>
      <c r="E466" s="104" t="s">
        <v>34</v>
      </c>
      <c r="F466" s="104" t="s">
        <v>44</v>
      </c>
      <c r="G466" s="145" t="s">
        <v>270</v>
      </c>
      <c r="H466" s="104" t="s">
        <v>718</v>
      </c>
      <c r="I466" s="104">
        <v>5</v>
      </c>
      <c r="J466" s="104" t="s">
        <v>46</v>
      </c>
      <c r="K466" s="104" t="s">
        <v>709</v>
      </c>
      <c r="L466" s="104">
        <v>92192</v>
      </c>
      <c r="M466" s="104">
        <v>1</v>
      </c>
      <c r="N466" s="104" t="s">
        <v>34</v>
      </c>
      <c r="O466" s="104" t="s">
        <v>34</v>
      </c>
      <c r="P466" s="104">
        <v>4305700</v>
      </c>
      <c r="Q466" s="106">
        <v>45980</v>
      </c>
      <c r="R466" s="104">
        <v>4433568</v>
      </c>
      <c r="S466" s="160">
        <v>13692.88</v>
      </c>
      <c r="T466" s="108">
        <v>46023</v>
      </c>
      <c r="U466" s="104">
        <v>457</v>
      </c>
      <c r="V466" s="104"/>
      <c r="W466" s="104" t="s">
        <v>35</v>
      </c>
      <c r="X466" s="104" t="s">
        <v>25</v>
      </c>
      <c r="Y466" s="216">
        <v>13692.88</v>
      </c>
      <c r="Z466" s="106">
        <v>46055</v>
      </c>
      <c r="AA466" s="106">
        <v>46055</v>
      </c>
      <c r="AB466" s="104" t="s">
        <v>60</v>
      </c>
      <c r="AC466" s="104"/>
      <c r="AD466" s="113">
        <f>S466-Y466</f>
        <v>0</v>
      </c>
    </row>
    <row r="467" spans="2:30" ht="45" hidden="1" customHeight="1">
      <c r="B467" s="174">
        <v>464</v>
      </c>
      <c r="C467" s="104" t="s">
        <v>70</v>
      </c>
      <c r="D467" s="104" t="s">
        <v>192</v>
      </c>
      <c r="E467" s="104"/>
      <c r="F467" s="104" t="s">
        <v>35</v>
      </c>
      <c r="G467" s="145" t="s">
        <v>1426</v>
      </c>
      <c r="H467" s="104">
        <v>2291</v>
      </c>
      <c r="I467" s="104">
        <v>242</v>
      </c>
      <c r="J467" s="104" t="s">
        <v>1118</v>
      </c>
      <c r="K467" s="149" t="s">
        <v>1427</v>
      </c>
      <c r="L467" s="104">
        <v>101851</v>
      </c>
      <c r="M467" s="104">
        <v>5</v>
      </c>
      <c r="N467" s="104" t="s">
        <v>1428</v>
      </c>
      <c r="O467" s="104"/>
      <c r="P467" s="104">
        <v>4381124</v>
      </c>
      <c r="Q467" s="106">
        <v>46056</v>
      </c>
      <c r="R467" s="104">
        <v>4495836</v>
      </c>
      <c r="S467" s="160">
        <v>1862.5</v>
      </c>
      <c r="T467" s="108">
        <v>46055</v>
      </c>
      <c r="U467" s="104">
        <v>705</v>
      </c>
      <c r="V467" s="104"/>
      <c r="W467" s="104" t="s">
        <v>40</v>
      </c>
      <c r="X467" s="104" t="s">
        <v>385</v>
      </c>
      <c r="Y467" s="216">
        <v>1862.5</v>
      </c>
      <c r="Z467" s="106">
        <v>46064</v>
      </c>
      <c r="AA467" s="106">
        <v>46065</v>
      </c>
      <c r="AB467" s="104" t="s">
        <v>60</v>
      </c>
      <c r="AC467" s="104"/>
      <c r="AD467" s="113">
        <f>S467-Y467</f>
        <v>0</v>
      </c>
    </row>
    <row r="468" spans="2:30" ht="45" hidden="1" customHeight="1">
      <c r="B468" s="174">
        <v>465</v>
      </c>
      <c r="C468" s="104" t="s">
        <v>32</v>
      </c>
      <c r="D468" s="104" t="s">
        <v>1385</v>
      </c>
      <c r="E468" s="104">
        <v>43550</v>
      </c>
      <c r="F468" s="104" t="s">
        <v>35</v>
      </c>
      <c r="G468" s="145" t="s">
        <v>1429</v>
      </c>
      <c r="H468" s="104">
        <v>2224</v>
      </c>
      <c r="I468" s="104">
        <v>242</v>
      </c>
      <c r="J468" s="104" t="s">
        <v>1430</v>
      </c>
      <c r="K468" s="149">
        <v>475</v>
      </c>
      <c r="L468" s="104">
        <v>103689</v>
      </c>
      <c r="M468" s="104">
        <v>6</v>
      </c>
      <c r="N468" s="104"/>
      <c r="O468" s="104"/>
      <c r="P468" s="104">
        <v>4381242</v>
      </c>
      <c r="Q468" s="106">
        <v>46056</v>
      </c>
      <c r="R468" s="104">
        <v>4491923</v>
      </c>
      <c r="S468" s="160">
        <v>21147</v>
      </c>
      <c r="T468" s="108">
        <v>46056</v>
      </c>
      <c r="U468" s="104">
        <v>3305</v>
      </c>
      <c r="V468" s="104"/>
      <c r="W468" s="104" t="s">
        <v>40</v>
      </c>
      <c r="X468" s="104" t="s">
        <v>25</v>
      </c>
      <c r="Y468" s="216">
        <v>21147</v>
      </c>
      <c r="Z468" s="106">
        <v>46083</v>
      </c>
      <c r="AA468" s="106">
        <v>46084</v>
      </c>
      <c r="AB468" s="104" t="s">
        <v>41</v>
      </c>
      <c r="AC468" s="104"/>
      <c r="AD468" s="113">
        <f>S468-Y468</f>
        <v>0</v>
      </c>
    </row>
    <row r="469" spans="2:30" ht="45" hidden="1" customHeight="1">
      <c r="B469" s="174">
        <v>466</v>
      </c>
      <c r="C469" s="104" t="s">
        <v>32</v>
      </c>
      <c r="D469" s="104" t="s">
        <v>1385</v>
      </c>
      <c r="E469" s="104">
        <v>44474</v>
      </c>
      <c r="F469" s="104" t="s">
        <v>35</v>
      </c>
      <c r="G469" s="145" t="s">
        <v>1431</v>
      </c>
      <c r="H469" s="104">
        <v>2470</v>
      </c>
      <c r="I469" s="104">
        <v>242</v>
      </c>
      <c r="J469" s="104" t="s">
        <v>1430</v>
      </c>
      <c r="K469" s="104">
        <v>473</v>
      </c>
      <c r="L469" s="104">
        <v>103691</v>
      </c>
      <c r="M469" s="104">
        <v>6</v>
      </c>
      <c r="N469" s="104"/>
      <c r="O469" s="104"/>
      <c r="P469" s="104">
        <v>4381264</v>
      </c>
      <c r="Q469" s="106">
        <v>46056</v>
      </c>
      <c r="R469" s="104">
        <v>4491926</v>
      </c>
      <c r="S469" s="192">
        <v>4892.5</v>
      </c>
      <c r="T469" s="130">
        <v>46058</v>
      </c>
      <c r="U469" s="145">
        <v>3266</v>
      </c>
      <c r="V469" s="145"/>
      <c r="W469" s="145" t="s">
        <v>40</v>
      </c>
      <c r="X469" s="104" t="s">
        <v>25</v>
      </c>
      <c r="Y469" s="194">
        <v>4892.5</v>
      </c>
      <c r="Z469" s="180">
        <v>46063</v>
      </c>
      <c r="AA469" s="180">
        <v>46069</v>
      </c>
      <c r="AB469" s="104" t="s">
        <v>60</v>
      </c>
      <c r="AC469" s="104"/>
      <c r="AD469" s="113">
        <f>S469-Y469</f>
        <v>0</v>
      </c>
    </row>
    <row r="470" spans="2:30" ht="45" hidden="1" customHeight="1">
      <c r="B470" s="174">
        <v>467</v>
      </c>
      <c r="C470" s="104" t="s">
        <v>32</v>
      </c>
      <c r="D470" s="104" t="s">
        <v>1385</v>
      </c>
      <c r="E470" s="104">
        <v>44472</v>
      </c>
      <c r="F470" s="104" t="s">
        <v>35</v>
      </c>
      <c r="G470" s="145" t="s">
        <v>1432</v>
      </c>
      <c r="H470" s="104">
        <v>2224</v>
      </c>
      <c r="I470" s="104">
        <v>242</v>
      </c>
      <c r="J470" s="104" t="s">
        <v>1430</v>
      </c>
      <c r="K470" s="104">
        <v>471</v>
      </c>
      <c r="L470" s="104">
        <v>103693</v>
      </c>
      <c r="M470" s="104">
        <v>6</v>
      </c>
      <c r="N470" s="104"/>
      <c r="O470" s="104"/>
      <c r="P470" s="104">
        <v>4381276</v>
      </c>
      <c r="Q470" s="106">
        <v>46056</v>
      </c>
      <c r="R470" s="104">
        <v>4491925</v>
      </c>
      <c r="S470" s="160">
        <v>6108.5</v>
      </c>
      <c r="T470" s="130">
        <v>46058</v>
      </c>
      <c r="U470" s="145">
        <v>3335</v>
      </c>
      <c r="V470" s="145" t="s">
        <v>34</v>
      </c>
      <c r="W470" s="145" t="s">
        <v>48</v>
      </c>
      <c r="X470" s="104" t="s">
        <v>25</v>
      </c>
      <c r="Y470" s="194">
        <v>6108.5</v>
      </c>
      <c r="Z470" s="195">
        <v>46101</v>
      </c>
      <c r="AA470" s="180">
        <v>46136</v>
      </c>
      <c r="AB470" s="104" t="s">
        <v>41</v>
      </c>
      <c r="AC470" s="104"/>
      <c r="AD470" s="113">
        <f>S470-Y470</f>
        <v>0</v>
      </c>
    </row>
    <row r="471" spans="2:30" ht="45" hidden="1" customHeight="1">
      <c r="B471" s="174">
        <v>468</v>
      </c>
      <c r="C471" s="104" t="s">
        <v>32</v>
      </c>
      <c r="D471" s="104" t="s">
        <v>1385</v>
      </c>
      <c r="E471" s="104">
        <v>45048</v>
      </c>
      <c r="F471" s="104" t="s">
        <v>35</v>
      </c>
      <c r="G471" s="145" t="s">
        <v>1433</v>
      </c>
      <c r="H471" s="104">
        <v>5345</v>
      </c>
      <c r="I471" s="104">
        <v>242</v>
      </c>
      <c r="J471" s="104" t="s">
        <v>1430</v>
      </c>
      <c r="K471" s="104">
        <v>478</v>
      </c>
      <c r="L471" s="104">
        <v>103878</v>
      </c>
      <c r="M471" s="104">
        <v>6</v>
      </c>
      <c r="N471" s="104"/>
      <c r="O471" s="104"/>
      <c r="P471" s="104">
        <v>4381310</v>
      </c>
      <c r="Q471" s="106">
        <v>46056</v>
      </c>
      <c r="R471" s="104">
        <v>4491927</v>
      </c>
      <c r="S471" s="160">
        <v>2707.5</v>
      </c>
      <c r="T471" s="130">
        <v>46059</v>
      </c>
      <c r="U471" s="145">
        <v>3309</v>
      </c>
      <c r="V471" s="145" t="s">
        <v>34</v>
      </c>
      <c r="W471" s="145" t="s">
        <v>40</v>
      </c>
      <c r="X471" s="104" t="s">
        <v>25</v>
      </c>
      <c r="Y471" s="194">
        <v>2707.5</v>
      </c>
      <c r="Z471" s="195">
        <v>46083</v>
      </c>
      <c r="AA471" s="195">
        <v>46084</v>
      </c>
      <c r="AB471" s="104" t="s">
        <v>60</v>
      </c>
      <c r="AC471" s="104"/>
      <c r="AD471" s="113">
        <f>S471-Y471</f>
        <v>0</v>
      </c>
    </row>
    <row r="472" spans="2:30" ht="45" hidden="1" customHeight="1">
      <c r="B472" s="174">
        <v>469</v>
      </c>
      <c r="C472" s="104" t="s">
        <v>282</v>
      </c>
      <c r="D472" s="104" t="s">
        <v>86</v>
      </c>
      <c r="E472" s="104"/>
      <c r="F472" s="104" t="s">
        <v>44</v>
      </c>
      <c r="G472" s="145" t="s">
        <v>1434</v>
      </c>
      <c r="H472" s="104">
        <v>1210</v>
      </c>
      <c r="I472" s="104">
        <v>242</v>
      </c>
      <c r="J472" s="104" t="s">
        <v>1118</v>
      </c>
      <c r="K472" s="104" t="s">
        <v>1435</v>
      </c>
      <c r="L472" s="104">
        <v>103983</v>
      </c>
      <c r="M472" s="104">
        <v>5</v>
      </c>
      <c r="N472" s="104" t="s">
        <v>1436</v>
      </c>
      <c r="O472" s="104"/>
      <c r="P472" s="104">
        <v>4382532</v>
      </c>
      <c r="Q472" s="106">
        <v>46057</v>
      </c>
      <c r="R472" s="104">
        <v>4496379</v>
      </c>
      <c r="S472" s="160">
        <v>5821.09</v>
      </c>
      <c r="T472" s="130">
        <v>46054</v>
      </c>
      <c r="U472" s="145">
        <v>803</v>
      </c>
      <c r="V472" s="145"/>
      <c r="W472" s="145" t="s">
        <v>48</v>
      </c>
      <c r="X472" s="104" t="s">
        <v>508</v>
      </c>
      <c r="Y472" s="194">
        <v>5646.46</v>
      </c>
      <c r="Z472" s="180">
        <v>46118</v>
      </c>
      <c r="AA472" s="195">
        <v>46120</v>
      </c>
      <c r="AB472" s="104" t="s">
        <v>41</v>
      </c>
      <c r="AC472" s="104"/>
      <c r="AD472" s="113">
        <f>S472-Y472</f>
        <v>174.63000000000011</v>
      </c>
    </row>
    <row r="473" spans="2:30" ht="45" hidden="1" customHeight="1">
      <c r="B473" s="174">
        <v>470</v>
      </c>
      <c r="C473" s="104" t="s">
        <v>70</v>
      </c>
      <c r="D473" s="104" t="s">
        <v>1437</v>
      </c>
      <c r="E473" s="104">
        <v>41742</v>
      </c>
      <c r="F473" s="104" t="s">
        <v>44</v>
      </c>
      <c r="G473" s="145" t="s">
        <v>1438</v>
      </c>
      <c r="H473" s="104">
        <v>4057</v>
      </c>
      <c r="I473" s="104">
        <v>242</v>
      </c>
      <c r="J473" s="104" t="s">
        <v>1118</v>
      </c>
      <c r="K473" s="104" t="s">
        <v>1439</v>
      </c>
      <c r="L473" s="104">
        <v>101001</v>
      </c>
      <c r="M473" s="104">
        <v>6</v>
      </c>
      <c r="N473" s="104"/>
      <c r="O473" s="104"/>
      <c r="P473" s="116" t="s">
        <v>1440</v>
      </c>
      <c r="Q473" s="106">
        <v>46057</v>
      </c>
      <c r="R473" s="104"/>
      <c r="S473" s="160">
        <v>7678.4</v>
      </c>
      <c r="T473" s="106">
        <v>46055</v>
      </c>
      <c r="U473" s="145"/>
      <c r="V473" s="145"/>
      <c r="W473" s="145"/>
      <c r="X473" s="104"/>
      <c r="Y473" s="194"/>
      <c r="Z473" s="145"/>
      <c r="AA473" s="145"/>
      <c r="AB473" s="104" t="s">
        <v>115</v>
      </c>
      <c r="AC473" s="104"/>
      <c r="AD473" s="113">
        <f>S473-Y473</f>
        <v>7678.4</v>
      </c>
    </row>
    <row r="474" spans="2:30" s="103" customFormat="1" ht="45" hidden="1" customHeight="1">
      <c r="B474" s="174">
        <v>471</v>
      </c>
      <c r="C474" s="104" t="s">
        <v>70</v>
      </c>
      <c r="D474" s="104" t="s">
        <v>1385</v>
      </c>
      <c r="E474" s="104">
        <v>44127</v>
      </c>
      <c r="F474" s="104" t="s">
        <v>35</v>
      </c>
      <c r="G474" s="104" t="s">
        <v>1441</v>
      </c>
      <c r="H474" s="104">
        <v>2224</v>
      </c>
      <c r="I474" s="104">
        <v>242</v>
      </c>
      <c r="J474" s="104" t="s">
        <v>1118</v>
      </c>
      <c r="K474" s="104" t="s">
        <v>1442</v>
      </c>
      <c r="L474" s="104">
        <v>104381</v>
      </c>
      <c r="M474" s="104">
        <v>6</v>
      </c>
      <c r="N474" s="104" t="s">
        <v>34</v>
      </c>
      <c r="O474" s="104" t="s">
        <v>34</v>
      </c>
      <c r="P474" s="104">
        <v>4382996</v>
      </c>
      <c r="Q474" s="106">
        <v>46058</v>
      </c>
      <c r="R474" s="104">
        <v>4496466</v>
      </c>
      <c r="S474" s="160">
        <v>4800</v>
      </c>
      <c r="T474" s="106">
        <v>46055</v>
      </c>
      <c r="U474" s="104">
        <v>3333</v>
      </c>
      <c r="V474" s="104" t="s">
        <v>34</v>
      </c>
      <c r="W474" s="104" t="s">
        <v>48</v>
      </c>
      <c r="X474" s="104" t="s">
        <v>25</v>
      </c>
      <c r="Y474" s="218">
        <v>4560</v>
      </c>
      <c r="Z474" s="130">
        <v>46100</v>
      </c>
      <c r="AA474" s="130">
        <v>46104</v>
      </c>
      <c r="AB474" s="104" t="s">
        <v>41</v>
      </c>
      <c r="AC474" s="104"/>
      <c r="AD474" s="113">
        <f>S474-Y474</f>
        <v>240</v>
      </c>
    </row>
    <row r="475" spans="2:30" s="103" customFormat="1" ht="45" hidden="1" customHeight="1">
      <c r="B475" s="174">
        <v>472</v>
      </c>
      <c r="C475" s="104" t="s">
        <v>70</v>
      </c>
      <c r="D475" s="104" t="s">
        <v>1443</v>
      </c>
      <c r="E475" s="104">
        <v>45067</v>
      </c>
      <c r="F475" s="104" t="s">
        <v>35</v>
      </c>
      <c r="G475" s="104" t="s">
        <v>1444</v>
      </c>
      <c r="H475" s="104">
        <v>5345</v>
      </c>
      <c r="I475" s="104">
        <v>242</v>
      </c>
      <c r="J475" s="104" t="s">
        <v>1118</v>
      </c>
      <c r="K475" s="104" t="s">
        <v>1445</v>
      </c>
      <c r="L475" s="104">
        <v>103899</v>
      </c>
      <c r="M475" s="104">
        <v>5</v>
      </c>
      <c r="N475" s="104" t="s">
        <v>1446</v>
      </c>
      <c r="O475" s="104" t="s">
        <v>34</v>
      </c>
      <c r="P475" s="104">
        <v>4383130</v>
      </c>
      <c r="Q475" s="106">
        <v>46058</v>
      </c>
      <c r="R475" s="104">
        <v>4496371</v>
      </c>
      <c r="S475" s="160">
        <v>3955</v>
      </c>
      <c r="T475" s="106">
        <v>46058</v>
      </c>
      <c r="U475" s="104">
        <v>704</v>
      </c>
      <c r="V475" s="104"/>
      <c r="W475" s="104" t="s">
        <v>40</v>
      </c>
      <c r="X475" s="104" t="s">
        <v>385</v>
      </c>
      <c r="Y475" s="218">
        <v>3955</v>
      </c>
      <c r="Z475" s="106">
        <v>46064</v>
      </c>
      <c r="AA475" s="106">
        <v>46065</v>
      </c>
      <c r="AB475" s="104" t="s">
        <v>60</v>
      </c>
      <c r="AC475" s="104"/>
      <c r="AD475" s="113">
        <f>S475-Y475</f>
        <v>0</v>
      </c>
    </row>
    <row r="476" spans="2:30" s="103" customFormat="1" ht="45" hidden="1" customHeight="1">
      <c r="B476" s="174">
        <v>473</v>
      </c>
      <c r="C476" s="104" t="s">
        <v>70</v>
      </c>
      <c r="D476" s="104" t="s">
        <v>1447</v>
      </c>
      <c r="E476" s="104"/>
      <c r="F476" s="104" t="s">
        <v>44</v>
      </c>
      <c r="G476" s="104" t="s">
        <v>1448</v>
      </c>
      <c r="H476" s="104">
        <v>2313</v>
      </c>
      <c r="I476" s="104">
        <v>242</v>
      </c>
      <c r="J476" s="104" t="s">
        <v>1118</v>
      </c>
      <c r="K476" s="104" t="s">
        <v>1449</v>
      </c>
      <c r="L476" s="104">
        <v>103904</v>
      </c>
      <c r="M476" s="104">
        <v>5</v>
      </c>
      <c r="N476" s="104" t="s">
        <v>1450</v>
      </c>
      <c r="O476" s="104" t="s">
        <v>48</v>
      </c>
      <c r="P476" s="104">
        <v>4383166</v>
      </c>
      <c r="Q476" s="106">
        <v>46058</v>
      </c>
      <c r="R476" s="104">
        <v>4496457</v>
      </c>
      <c r="S476" s="160">
        <v>17000</v>
      </c>
      <c r="T476" s="106">
        <v>46058</v>
      </c>
      <c r="U476" s="104">
        <v>409</v>
      </c>
      <c r="V476" s="104" t="s">
        <v>34</v>
      </c>
      <c r="W476" s="104" t="s">
        <v>40</v>
      </c>
      <c r="X476" s="104" t="s">
        <v>25</v>
      </c>
      <c r="Y476" s="218">
        <v>17000</v>
      </c>
      <c r="Z476" s="106">
        <v>46065</v>
      </c>
      <c r="AA476" s="106">
        <v>46065</v>
      </c>
      <c r="AB476" s="104" t="s">
        <v>60</v>
      </c>
      <c r="AC476" s="104"/>
      <c r="AD476" s="113">
        <f>S476-Y476</f>
        <v>0</v>
      </c>
    </row>
    <row r="477" spans="2:30" s="103" customFormat="1" ht="45" hidden="1" customHeight="1">
      <c r="B477" s="174">
        <v>474</v>
      </c>
      <c r="C477" s="104" t="s">
        <v>146</v>
      </c>
      <c r="D477" s="104" t="s">
        <v>192</v>
      </c>
      <c r="E477" s="104">
        <v>37018</v>
      </c>
      <c r="F477" s="104" t="s">
        <v>35</v>
      </c>
      <c r="G477" s="104" t="s">
        <v>1451</v>
      </c>
      <c r="H477" s="104">
        <v>2291</v>
      </c>
      <c r="I477" s="104">
        <v>242</v>
      </c>
      <c r="J477" s="104" t="s">
        <v>1118</v>
      </c>
      <c r="K477" s="104" t="s">
        <v>1452</v>
      </c>
      <c r="L477" s="104">
        <v>104443</v>
      </c>
      <c r="M477" s="104">
        <v>5</v>
      </c>
      <c r="N477" s="104" t="s">
        <v>1453</v>
      </c>
      <c r="O477" s="104" t="s">
        <v>34</v>
      </c>
      <c r="P477" s="104">
        <v>4383152</v>
      </c>
      <c r="Q477" s="106">
        <v>46058</v>
      </c>
      <c r="R477" s="104">
        <v>4496372</v>
      </c>
      <c r="S477" s="160">
        <v>1120</v>
      </c>
      <c r="T477" s="106">
        <v>46058</v>
      </c>
      <c r="U477" s="104">
        <v>707</v>
      </c>
      <c r="V477" s="104"/>
      <c r="W477" s="104" t="s">
        <v>40</v>
      </c>
      <c r="X477" s="104" t="s">
        <v>385</v>
      </c>
      <c r="Y477" s="218">
        <v>1120</v>
      </c>
      <c r="Z477" s="106">
        <v>46064</v>
      </c>
      <c r="AA477" s="106">
        <v>46070</v>
      </c>
      <c r="AB477" s="104" t="s">
        <v>41</v>
      </c>
      <c r="AC477" s="104"/>
      <c r="AD477" s="113">
        <f>S477-Y477</f>
        <v>0</v>
      </c>
    </row>
    <row r="478" spans="2:30" s="103" customFormat="1" ht="45" hidden="1" customHeight="1">
      <c r="B478" s="174">
        <v>475</v>
      </c>
      <c r="C478" s="104" t="s">
        <v>70</v>
      </c>
      <c r="D478" s="104" t="s">
        <v>1385</v>
      </c>
      <c r="E478" s="104">
        <v>44127</v>
      </c>
      <c r="F478" s="104" t="s">
        <v>35</v>
      </c>
      <c r="G478" s="104" t="s">
        <v>1454</v>
      </c>
      <c r="H478" s="104">
        <v>2291</v>
      </c>
      <c r="I478" s="104">
        <v>242</v>
      </c>
      <c r="J478" s="104" t="s">
        <v>1118</v>
      </c>
      <c r="K478" s="104" t="s">
        <v>1455</v>
      </c>
      <c r="L478" s="104">
        <v>104383</v>
      </c>
      <c r="M478" s="104">
        <v>6</v>
      </c>
      <c r="N478" s="104" t="s">
        <v>34</v>
      </c>
      <c r="O478" s="104" t="s">
        <v>34</v>
      </c>
      <c r="P478" s="104">
        <v>4383189</v>
      </c>
      <c r="Q478" s="106">
        <v>46058</v>
      </c>
      <c r="R478" s="104">
        <v>4496465</v>
      </c>
      <c r="S478" s="160">
        <v>9576</v>
      </c>
      <c r="T478" s="106">
        <v>46055</v>
      </c>
      <c r="U478" s="104">
        <v>3268</v>
      </c>
      <c r="V478" s="104"/>
      <c r="W478" s="104" t="s">
        <v>48</v>
      </c>
      <c r="X478" s="104" t="s">
        <v>25</v>
      </c>
      <c r="Y478" s="218">
        <v>9576</v>
      </c>
      <c r="Z478" s="106">
        <v>46065</v>
      </c>
      <c r="AA478" s="106">
        <v>46065</v>
      </c>
      <c r="AB478" s="104" t="s">
        <v>60</v>
      </c>
      <c r="AC478" s="104"/>
      <c r="AD478" s="113">
        <f>S478-Y478</f>
        <v>0</v>
      </c>
    </row>
    <row r="479" spans="2:30" ht="45" hidden="1" customHeight="1">
      <c r="B479" s="174">
        <v>476</v>
      </c>
      <c r="C479" s="104" t="s">
        <v>1456</v>
      </c>
      <c r="D479" s="104" t="s">
        <v>479</v>
      </c>
      <c r="E479" s="104" t="s">
        <v>34</v>
      </c>
      <c r="F479" s="104" t="s">
        <v>44</v>
      </c>
      <c r="G479" s="145" t="s">
        <v>1457</v>
      </c>
      <c r="H479" s="104" t="s">
        <v>1458</v>
      </c>
      <c r="I479" s="104">
        <v>242</v>
      </c>
      <c r="J479" s="104" t="s">
        <v>1459</v>
      </c>
      <c r="K479" s="104" t="s">
        <v>479</v>
      </c>
      <c r="L479" s="104">
        <v>104393</v>
      </c>
      <c r="M479" s="104">
        <v>1</v>
      </c>
      <c r="N479" s="104"/>
      <c r="O479" s="104"/>
      <c r="P479" s="104">
        <v>4383182</v>
      </c>
      <c r="Q479" s="106">
        <v>46058</v>
      </c>
      <c r="R479" s="104">
        <v>4501421</v>
      </c>
      <c r="S479" s="160">
        <v>41250</v>
      </c>
      <c r="T479" s="106">
        <v>46075</v>
      </c>
      <c r="U479" s="145">
        <v>499</v>
      </c>
      <c r="V479" s="145" t="s">
        <v>34</v>
      </c>
      <c r="W479" s="145" t="s">
        <v>48</v>
      </c>
      <c r="X479" s="104" t="s">
        <v>94</v>
      </c>
      <c r="Y479" s="194">
        <v>16243</v>
      </c>
      <c r="Z479" s="180">
        <v>46084</v>
      </c>
      <c r="AA479" s="195">
        <v>46085</v>
      </c>
      <c r="AB479" s="104" t="s">
        <v>60</v>
      </c>
      <c r="AC479" s="104"/>
      <c r="AD479" s="113">
        <f>S479-Y479</f>
        <v>25007</v>
      </c>
    </row>
    <row r="480" spans="2:30" ht="45" hidden="1" customHeight="1">
      <c r="B480" s="174">
        <v>477</v>
      </c>
      <c r="C480" s="104" t="s">
        <v>32</v>
      </c>
      <c r="D480" s="104" t="s">
        <v>192</v>
      </c>
      <c r="E480" s="104">
        <v>44842</v>
      </c>
      <c r="F480" s="104" t="s">
        <v>35</v>
      </c>
      <c r="G480" s="145" t="s">
        <v>1460</v>
      </c>
      <c r="H480" s="104">
        <v>5345</v>
      </c>
      <c r="I480" s="104">
        <v>242</v>
      </c>
      <c r="J480" s="104" t="s">
        <v>1430</v>
      </c>
      <c r="K480" s="104">
        <v>1073</v>
      </c>
      <c r="L480" s="104">
        <v>103212</v>
      </c>
      <c r="M480" s="104">
        <v>5</v>
      </c>
      <c r="N480" s="104" t="s">
        <v>1461</v>
      </c>
      <c r="O480" s="104"/>
      <c r="P480" s="104">
        <v>4383521</v>
      </c>
      <c r="Q480" s="106">
        <v>46058</v>
      </c>
      <c r="R480" s="104">
        <v>4496375</v>
      </c>
      <c r="S480" s="160">
        <v>2595</v>
      </c>
      <c r="T480" s="106">
        <v>46051</v>
      </c>
      <c r="U480" s="145">
        <v>706</v>
      </c>
      <c r="V480" s="180">
        <v>46050</v>
      </c>
      <c r="W480" s="145" t="s">
        <v>40</v>
      </c>
      <c r="X480" s="104" t="s">
        <v>385</v>
      </c>
      <c r="Y480" s="194">
        <v>2595</v>
      </c>
      <c r="Z480" s="180">
        <v>46064</v>
      </c>
      <c r="AA480" s="180">
        <v>46065</v>
      </c>
      <c r="AB480" s="104" t="s">
        <v>60</v>
      </c>
      <c r="AC480" s="104"/>
      <c r="AD480" s="113">
        <f>S480-Y480</f>
        <v>0</v>
      </c>
    </row>
    <row r="481" spans="2:30" s="103" customFormat="1" ht="45" hidden="1" customHeight="1">
      <c r="B481" s="174">
        <v>478</v>
      </c>
      <c r="C481" s="104" t="s">
        <v>316</v>
      </c>
      <c r="D481" s="104" t="s">
        <v>1385</v>
      </c>
      <c r="E481" s="104">
        <v>45330</v>
      </c>
      <c r="F481" s="104" t="s">
        <v>35</v>
      </c>
      <c r="G481" s="145" t="s">
        <v>1462</v>
      </c>
      <c r="H481" s="104">
        <v>2470</v>
      </c>
      <c r="I481" s="104">
        <v>242</v>
      </c>
      <c r="J481" s="104" t="s">
        <v>1118</v>
      </c>
      <c r="K481" s="104" t="s">
        <v>1463</v>
      </c>
      <c r="L481" s="104">
        <v>104694</v>
      </c>
      <c r="M481" s="104">
        <v>6</v>
      </c>
      <c r="N481" s="104" t="s">
        <v>34</v>
      </c>
      <c r="O481" s="104" t="s">
        <v>34</v>
      </c>
      <c r="P481" s="104">
        <v>4384442</v>
      </c>
      <c r="Q481" s="106">
        <v>46059</v>
      </c>
      <c r="R481" s="104">
        <v>4496463</v>
      </c>
      <c r="S481" s="160">
        <v>2660</v>
      </c>
      <c r="T481" s="106">
        <v>46065</v>
      </c>
      <c r="U481" s="104">
        <v>3316</v>
      </c>
      <c r="V481" s="104" t="s">
        <v>34</v>
      </c>
      <c r="W481" s="104" t="s">
        <v>40</v>
      </c>
      <c r="X481" s="104" t="s">
        <v>25</v>
      </c>
      <c r="Y481" s="218">
        <v>2660</v>
      </c>
      <c r="Z481" s="130">
        <v>46092</v>
      </c>
      <c r="AA481" s="130">
        <v>46104</v>
      </c>
      <c r="AB481" s="104" t="s">
        <v>41</v>
      </c>
      <c r="AC481" s="104"/>
      <c r="AD481" s="113">
        <f>S481-Y481</f>
        <v>0</v>
      </c>
    </row>
    <row r="482" spans="2:30" s="103" customFormat="1" ht="45" hidden="1" customHeight="1">
      <c r="B482" s="174">
        <v>479</v>
      </c>
      <c r="C482" s="104" t="s">
        <v>241</v>
      </c>
      <c r="D482" s="104" t="s">
        <v>1464</v>
      </c>
      <c r="E482" s="104"/>
      <c r="F482" s="104" t="s">
        <v>44</v>
      </c>
      <c r="G482" s="145" t="s">
        <v>1465</v>
      </c>
      <c r="H482" s="104">
        <v>2321</v>
      </c>
      <c r="I482" s="104">
        <v>242</v>
      </c>
      <c r="J482" s="104" t="s">
        <v>1118</v>
      </c>
      <c r="K482" s="104" t="s">
        <v>1466</v>
      </c>
      <c r="L482" s="104">
        <v>104878</v>
      </c>
      <c r="M482" s="104">
        <v>5</v>
      </c>
      <c r="N482" s="104" t="s">
        <v>1467</v>
      </c>
      <c r="O482" s="104"/>
      <c r="P482" s="104">
        <v>4385101</v>
      </c>
      <c r="Q482" s="106">
        <v>46059</v>
      </c>
      <c r="R482" s="104"/>
      <c r="S482" s="160">
        <v>6300</v>
      </c>
      <c r="T482" s="130">
        <v>46063</v>
      </c>
      <c r="U482" s="104"/>
      <c r="V482" s="104"/>
      <c r="W482" s="104"/>
      <c r="X482" s="104"/>
      <c r="Y482" s="218"/>
      <c r="Z482" s="104"/>
      <c r="AA482" s="104"/>
      <c r="AB482" s="104" t="s">
        <v>115</v>
      </c>
      <c r="AC482" s="104"/>
      <c r="AD482" s="113">
        <f>S482-Y482</f>
        <v>6300</v>
      </c>
    </row>
    <row r="483" spans="2:30" ht="45" hidden="1" customHeight="1">
      <c r="B483" s="174">
        <v>480</v>
      </c>
      <c r="C483" s="104" t="s">
        <v>70</v>
      </c>
      <c r="D483" s="104" t="s">
        <v>1468</v>
      </c>
      <c r="E483" s="104">
        <v>44138</v>
      </c>
      <c r="F483" s="104" t="s">
        <v>44</v>
      </c>
      <c r="G483" s="145" t="s">
        <v>1469</v>
      </c>
      <c r="H483" s="104">
        <v>2275</v>
      </c>
      <c r="I483" s="104">
        <v>242</v>
      </c>
      <c r="J483" s="104" t="s">
        <v>1118</v>
      </c>
      <c r="K483" s="104" t="s">
        <v>1470</v>
      </c>
      <c r="L483" s="104">
        <v>104937</v>
      </c>
      <c r="M483" s="104">
        <v>6</v>
      </c>
      <c r="N483" s="104" t="s">
        <v>34</v>
      </c>
      <c r="O483" s="104" t="s">
        <v>34</v>
      </c>
      <c r="P483" s="104">
        <v>4385813</v>
      </c>
      <c r="Q483" s="106">
        <v>46062</v>
      </c>
      <c r="R483" s="104">
        <v>4497091</v>
      </c>
      <c r="S483" s="160">
        <v>4898.2</v>
      </c>
      <c r="T483" s="106">
        <v>46082</v>
      </c>
      <c r="U483" s="145">
        <v>184</v>
      </c>
      <c r="V483" s="145" t="s">
        <v>34</v>
      </c>
      <c r="W483" s="145" t="s">
        <v>48</v>
      </c>
      <c r="X483" s="104" t="s">
        <v>25</v>
      </c>
      <c r="Y483" s="194">
        <v>4898.2</v>
      </c>
      <c r="Z483" s="195">
        <v>46113</v>
      </c>
      <c r="AA483" s="180">
        <v>46122</v>
      </c>
      <c r="AB483" s="104" t="s">
        <v>41</v>
      </c>
      <c r="AC483" s="104" t="s">
        <v>1174</v>
      </c>
      <c r="AD483" s="113">
        <f>S483-Y483</f>
        <v>0</v>
      </c>
    </row>
    <row r="484" spans="2:30" ht="45" hidden="1" customHeight="1">
      <c r="B484" s="174">
        <v>481</v>
      </c>
      <c r="C484" s="104" t="s">
        <v>32</v>
      </c>
      <c r="D484" s="104" t="s">
        <v>1385</v>
      </c>
      <c r="E484" s="104">
        <v>44625</v>
      </c>
      <c r="F484" s="104" t="s">
        <v>35</v>
      </c>
      <c r="G484" s="145" t="s">
        <v>1471</v>
      </c>
      <c r="H484" s="104">
        <v>2488</v>
      </c>
      <c r="I484" s="104">
        <v>242</v>
      </c>
      <c r="J484" s="104" t="s">
        <v>1430</v>
      </c>
      <c r="K484" s="104">
        <v>470</v>
      </c>
      <c r="L484" s="104">
        <v>104913</v>
      </c>
      <c r="M484" s="104">
        <v>6</v>
      </c>
      <c r="N484" s="104"/>
      <c r="O484" s="104"/>
      <c r="P484" s="104">
        <v>4386311</v>
      </c>
      <c r="Q484" s="106">
        <v>46062</v>
      </c>
      <c r="R484" s="104">
        <v>4497062</v>
      </c>
      <c r="S484" s="160">
        <v>1700</v>
      </c>
      <c r="T484" s="106">
        <v>46063</v>
      </c>
      <c r="U484" s="145">
        <v>3307</v>
      </c>
      <c r="V484" s="145" t="s">
        <v>34</v>
      </c>
      <c r="W484" s="145" t="s">
        <v>40</v>
      </c>
      <c r="X484" s="104" t="s">
        <v>25</v>
      </c>
      <c r="Y484" s="194">
        <v>1615</v>
      </c>
      <c r="Z484" s="195">
        <v>46083</v>
      </c>
      <c r="AA484" s="195">
        <v>46084</v>
      </c>
      <c r="AB484" s="104" t="s">
        <v>41</v>
      </c>
      <c r="AC484" s="104"/>
      <c r="AD484" s="113">
        <f>S484-Y484</f>
        <v>85</v>
      </c>
    </row>
    <row r="485" spans="2:30" ht="45" hidden="1" customHeight="1">
      <c r="B485" s="174">
        <v>482</v>
      </c>
      <c r="C485" s="104" t="s">
        <v>32</v>
      </c>
      <c r="D485" s="104" t="s">
        <v>192</v>
      </c>
      <c r="E485" s="104">
        <v>45322</v>
      </c>
      <c r="F485" s="104" t="s">
        <v>35</v>
      </c>
      <c r="G485" s="145" t="s">
        <v>1472</v>
      </c>
      <c r="H485" s="104">
        <v>2232</v>
      </c>
      <c r="I485" s="104">
        <v>242</v>
      </c>
      <c r="J485" s="104" t="s">
        <v>1430</v>
      </c>
      <c r="K485" s="104">
        <v>1142</v>
      </c>
      <c r="L485" s="104">
        <v>104655</v>
      </c>
      <c r="M485" s="104">
        <v>5</v>
      </c>
      <c r="N485" s="104" t="s">
        <v>1473</v>
      </c>
      <c r="O485" s="104"/>
      <c r="P485" s="104">
        <v>4387217</v>
      </c>
      <c r="Q485" s="106">
        <v>46063</v>
      </c>
      <c r="R485" s="104">
        <v>4501452</v>
      </c>
      <c r="S485" s="191">
        <v>2996</v>
      </c>
      <c r="T485" s="108">
        <v>46058</v>
      </c>
      <c r="U485" s="145">
        <v>735</v>
      </c>
      <c r="V485" s="145"/>
      <c r="W485" s="104" t="s">
        <v>40</v>
      </c>
      <c r="X485" s="104" t="s">
        <v>44</v>
      </c>
      <c r="Y485" s="221">
        <v>2996</v>
      </c>
      <c r="Z485" s="180">
        <v>46071</v>
      </c>
      <c r="AA485" s="195">
        <v>46073</v>
      </c>
      <c r="AB485" s="104" t="s">
        <v>41</v>
      </c>
      <c r="AC485" s="104"/>
      <c r="AD485" s="113">
        <f>S485-Y485</f>
        <v>0</v>
      </c>
    </row>
    <row r="486" spans="2:30" ht="45" hidden="1" customHeight="1">
      <c r="B486" s="174">
        <v>483</v>
      </c>
      <c r="C486" s="104" t="s">
        <v>80</v>
      </c>
      <c r="D486" s="104" t="s">
        <v>192</v>
      </c>
      <c r="E486" s="104">
        <v>45369</v>
      </c>
      <c r="F486" s="104" t="s">
        <v>44</v>
      </c>
      <c r="G486" s="145" t="s">
        <v>1474</v>
      </c>
      <c r="H486" s="104">
        <v>2151</v>
      </c>
      <c r="I486" s="104">
        <v>242</v>
      </c>
      <c r="J486" s="104" t="s">
        <v>1118</v>
      </c>
      <c r="K486" s="104" t="s">
        <v>1475</v>
      </c>
      <c r="L486" s="104">
        <v>105180</v>
      </c>
      <c r="M486" s="104">
        <v>6</v>
      </c>
      <c r="N486" s="104" t="s">
        <v>34</v>
      </c>
      <c r="O486" s="104" t="s">
        <v>34</v>
      </c>
      <c r="P486" s="104">
        <v>4387332</v>
      </c>
      <c r="Q486" s="106">
        <v>46063</v>
      </c>
      <c r="R486" s="104">
        <v>4500858</v>
      </c>
      <c r="S486" s="160">
        <v>2265</v>
      </c>
      <c r="T486" s="106">
        <v>46116</v>
      </c>
      <c r="U486" s="145">
        <v>729</v>
      </c>
      <c r="V486" s="145"/>
      <c r="W486" s="145" t="s">
        <v>48</v>
      </c>
      <c r="X486" s="104" t="s">
        <v>131</v>
      </c>
      <c r="Y486" s="194">
        <v>2265</v>
      </c>
      <c r="Z486" s="195">
        <v>46070</v>
      </c>
      <c r="AA486" s="195">
        <v>46072</v>
      </c>
      <c r="AB486" s="104" t="s">
        <v>41</v>
      </c>
      <c r="AC486" s="104"/>
      <c r="AD486" s="113">
        <f>S486-Y486</f>
        <v>0</v>
      </c>
    </row>
    <row r="487" spans="2:30" ht="45" hidden="1" customHeight="1">
      <c r="B487" s="174">
        <v>484</v>
      </c>
      <c r="C487" s="104" t="s">
        <v>316</v>
      </c>
      <c r="D487" s="104" t="s">
        <v>423</v>
      </c>
      <c r="E487" s="104" t="s">
        <v>34</v>
      </c>
      <c r="F487" s="104" t="s">
        <v>44</v>
      </c>
      <c r="G487" s="145" t="s">
        <v>714</v>
      </c>
      <c r="H487" s="104" t="s">
        <v>715</v>
      </c>
      <c r="I487" s="104">
        <v>242</v>
      </c>
      <c r="J487" s="104" t="s">
        <v>58</v>
      </c>
      <c r="K487" s="104" t="s">
        <v>716</v>
      </c>
      <c r="L487" s="104">
        <v>91007</v>
      </c>
      <c r="M487" s="104">
        <v>2</v>
      </c>
      <c r="N487" s="104" t="s">
        <v>717</v>
      </c>
      <c r="O487" s="104" t="s">
        <v>34</v>
      </c>
      <c r="P487" s="104">
        <v>4305605</v>
      </c>
      <c r="Q487" s="106">
        <v>45980</v>
      </c>
      <c r="R487" s="104">
        <v>4419849</v>
      </c>
      <c r="S487" s="113">
        <v>6360</v>
      </c>
      <c r="T487" s="104"/>
      <c r="U487" s="145">
        <v>210</v>
      </c>
      <c r="V487" s="145"/>
      <c r="W487" s="145" t="s">
        <v>40</v>
      </c>
      <c r="X487" s="104" t="s">
        <v>25</v>
      </c>
      <c r="Y487" s="194">
        <v>4240</v>
      </c>
      <c r="Z487" s="180">
        <v>46062</v>
      </c>
      <c r="AA487" s="180">
        <v>46063</v>
      </c>
      <c r="AB487" s="104" t="s">
        <v>41</v>
      </c>
      <c r="AC487" s="104"/>
      <c r="AD487" s="113">
        <f>S487-Y487</f>
        <v>2120</v>
      </c>
    </row>
    <row r="488" spans="2:30" ht="45" hidden="1" customHeight="1">
      <c r="B488" s="174">
        <v>485</v>
      </c>
      <c r="C488" s="104" t="s">
        <v>224</v>
      </c>
      <c r="D488" s="104" t="s">
        <v>1443</v>
      </c>
      <c r="E488" s="104">
        <v>45446</v>
      </c>
      <c r="F488" s="104" t="s">
        <v>35</v>
      </c>
      <c r="G488" s="145" t="s">
        <v>1476</v>
      </c>
      <c r="H488" s="104">
        <v>2089</v>
      </c>
      <c r="I488" s="104">
        <v>242</v>
      </c>
      <c r="J488" s="104" t="s">
        <v>1118</v>
      </c>
      <c r="K488" s="104" t="s">
        <v>1477</v>
      </c>
      <c r="L488" s="104">
        <v>105196</v>
      </c>
      <c r="M488" s="104">
        <v>6</v>
      </c>
      <c r="N488" s="104" t="s">
        <v>34</v>
      </c>
      <c r="O488" s="104" t="s">
        <v>34</v>
      </c>
      <c r="P488" s="104">
        <v>4387530</v>
      </c>
      <c r="Q488" s="106">
        <v>46063</v>
      </c>
      <c r="R488" s="104">
        <v>4500838</v>
      </c>
      <c r="S488" s="160">
        <v>968</v>
      </c>
      <c r="T488" s="130">
        <v>46067</v>
      </c>
      <c r="U488" s="145">
        <v>728</v>
      </c>
      <c r="V488" s="145" t="s">
        <v>34</v>
      </c>
      <c r="W488" s="145" t="s">
        <v>48</v>
      </c>
      <c r="X488" s="104" t="s">
        <v>94</v>
      </c>
      <c r="Y488" s="194">
        <v>968</v>
      </c>
      <c r="Z488" s="180">
        <v>46070</v>
      </c>
      <c r="AA488" s="180">
        <v>45707</v>
      </c>
      <c r="AB488" s="104" t="s">
        <v>41</v>
      </c>
      <c r="AC488" s="104"/>
      <c r="AD488" s="113">
        <f>S488-Y488</f>
        <v>0</v>
      </c>
    </row>
    <row r="489" spans="2:30" ht="45" hidden="1" customHeight="1">
      <c r="B489" s="174">
        <v>486</v>
      </c>
      <c r="C489" s="104" t="s">
        <v>282</v>
      </c>
      <c r="D489" s="104" t="s">
        <v>157</v>
      </c>
      <c r="E489" s="104" t="s">
        <v>34</v>
      </c>
      <c r="F489" s="104" t="s">
        <v>44</v>
      </c>
      <c r="G489" s="145" t="s">
        <v>746</v>
      </c>
      <c r="H489" s="104">
        <v>1295</v>
      </c>
      <c r="I489" s="104">
        <v>242</v>
      </c>
      <c r="J489" s="104" t="s">
        <v>37</v>
      </c>
      <c r="K489" s="104" t="s">
        <v>747</v>
      </c>
      <c r="L489" s="104">
        <v>89935</v>
      </c>
      <c r="M489" s="104">
        <v>29</v>
      </c>
      <c r="N489" s="104" t="s">
        <v>748</v>
      </c>
      <c r="O489" s="104" t="s">
        <v>34</v>
      </c>
      <c r="P489" s="104">
        <v>4308404</v>
      </c>
      <c r="Q489" s="106">
        <v>45983</v>
      </c>
      <c r="R489" s="104">
        <v>4425894</v>
      </c>
      <c r="S489" s="191">
        <f>AD243</f>
        <v>5054.9699999999993</v>
      </c>
      <c r="T489" s="104"/>
      <c r="U489" s="145">
        <v>19637</v>
      </c>
      <c r="V489" s="145"/>
      <c r="W489" s="145" t="s">
        <v>48</v>
      </c>
      <c r="X489" s="104" t="s">
        <v>131</v>
      </c>
      <c r="Y489" s="131">
        <v>2512.5</v>
      </c>
      <c r="Z489" s="180">
        <v>46063</v>
      </c>
      <c r="AA489" s="180">
        <v>46063</v>
      </c>
      <c r="AB489" s="104" t="s">
        <v>41</v>
      </c>
      <c r="AC489" s="104"/>
      <c r="AD489" s="113">
        <f>S489-Y489</f>
        <v>2542.4699999999993</v>
      </c>
    </row>
    <row r="490" spans="2:30" ht="45" hidden="1" customHeight="1">
      <c r="B490" s="174">
        <v>487</v>
      </c>
      <c r="C490" s="104" t="s">
        <v>51</v>
      </c>
      <c r="D490" s="104" t="s">
        <v>192</v>
      </c>
      <c r="E490" s="104">
        <v>45022</v>
      </c>
      <c r="F490" s="104" t="s">
        <v>35</v>
      </c>
      <c r="G490" s="145" t="s">
        <v>1478</v>
      </c>
      <c r="H490" s="104">
        <v>2291</v>
      </c>
      <c r="I490" s="104">
        <v>242</v>
      </c>
      <c r="J490" s="104" t="s">
        <v>1118</v>
      </c>
      <c r="K490" s="104" t="s">
        <v>1479</v>
      </c>
      <c r="L490" s="104">
        <v>105024</v>
      </c>
      <c r="M490" s="104">
        <v>5</v>
      </c>
      <c r="N490" s="104" t="s">
        <v>1480</v>
      </c>
      <c r="O490" s="104" t="s">
        <v>34</v>
      </c>
      <c r="P490" s="104">
        <v>4388643</v>
      </c>
      <c r="Q490" s="106">
        <v>46064</v>
      </c>
      <c r="R490" s="104">
        <v>4501465</v>
      </c>
      <c r="S490" s="160">
        <v>1180</v>
      </c>
      <c r="T490" s="104"/>
      <c r="U490" s="145">
        <v>736</v>
      </c>
      <c r="V490" s="145"/>
      <c r="W490" s="145" t="s">
        <v>40</v>
      </c>
      <c r="X490" s="104" t="s">
        <v>385</v>
      </c>
      <c r="Y490" s="194">
        <v>1180</v>
      </c>
      <c r="Z490" s="195">
        <v>46071</v>
      </c>
      <c r="AA490" s="195">
        <v>46072</v>
      </c>
      <c r="AB490" s="104" t="s">
        <v>41</v>
      </c>
      <c r="AC490" s="104"/>
      <c r="AD490" s="113">
        <f>S490-Y490</f>
        <v>0</v>
      </c>
    </row>
    <row r="491" spans="2:30" ht="45" hidden="1" customHeight="1">
      <c r="B491" s="174">
        <v>488</v>
      </c>
      <c r="C491" s="104" t="s">
        <v>70</v>
      </c>
      <c r="D491" s="104" t="s">
        <v>221</v>
      </c>
      <c r="E491" s="104">
        <v>42965</v>
      </c>
      <c r="F491" s="104" t="s">
        <v>44</v>
      </c>
      <c r="G491" s="145" t="s">
        <v>1481</v>
      </c>
      <c r="H491" s="104">
        <v>4600</v>
      </c>
      <c r="I491" s="104">
        <v>242</v>
      </c>
      <c r="J491" s="104" t="s">
        <v>1118</v>
      </c>
      <c r="K491" s="104" t="s">
        <v>1482</v>
      </c>
      <c r="L491" s="104">
        <v>104943</v>
      </c>
      <c r="M491" s="104">
        <v>6</v>
      </c>
      <c r="N491" s="104" t="s">
        <v>34</v>
      </c>
      <c r="O491" s="104" t="s">
        <v>34</v>
      </c>
      <c r="P491" s="104">
        <v>4388677</v>
      </c>
      <c r="Q491" s="106">
        <v>46064</v>
      </c>
      <c r="R491" s="104">
        <v>4501801</v>
      </c>
      <c r="S491" s="160">
        <v>7694.5</v>
      </c>
      <c r="T491" s="130">
        <v>46082</v>
      </c>
      <c r="U491" s="145">
        <v>2712</v>
      </c>
      <c r="V491" s="145"/>
      <c r="W491" s="145" t="s">
        <v>48</v>
      </c>
      <c r="X491" s="104" t="s">
        <v>94</v>
      </c>
      <c r="Y491" s="194">
        <v>7694.5</v>
      </c>
      <c r="Z491" s="180">
        <v>46085</v>
      </c>
      <c r="AA491" s="195">
        <v>46097</v>
      </c>
      <c r="AB491" s="104" t="s">
        <v>41</v>
      </c>
      <c r="AC491" s="104"/>
      <c r="AD491" s="113">
        <f>S491-Y491</f>
        <v>0</v>
      </c>
    </row>
    <row r="492" spans="2:30" ht="45" hidden="1" customHeight="1">
      <c r="B492" s="174">
        <v>489</v>
      </c>
      <c r="C492" s="104" t="s">
        <v>146</v>
      </c>
      <c r="D492" s="104" t="s">
        <v>192</v>
      </c>
      <c r="E492" s="104">
        <v>43711</v>
      </c>
      <c r="F492" s="104" t="s">
        <v>35</v>
      </c>
      <c r="G492" s="145" t="s">
        <v>1483</v>
      </c>
      <c r="H492" s="104">
        <v>2291</v>
      </c>
      <c r="I492" s="104">
        <v>242</v>
      </c>
      <c r="J492" s="104" t="s">
        <v>1118</v>
      </c>
      <c r="K492" s="104" t="s">
        <v>1484</v>
      </c>
      <c r="L492" s="104">
        <v>104445</v>
      </c>
      <c r="M492" s="104">
        <v>6</v>
      </c>
      <c r="N492" s="104" t="s">
        <v>34</v>
      </c>
      <c r="O492" s="104" t="s">
        <v>34</v>
      </c>
      <c r="P492" s="104">
        <v>4388695</v>
      </c>
      <c r="Q492" s="106">
        <v>46064</v>
      </c>
      <c r="R492" s="104">
        <v>4501783</v>
      </c>
      <c r="S492" s="160">
        <v>5840</v>
      </c>
      <c r="T492" s="104"/>
      <c r="U492" s="145">
        <v>734</v>
      </c>
      <c r="V492" s="145" t="s">
        <v>34</v>
      </c>
      <c r="W492" s="145" t="s">
        <v>48</v>
      </c>
      <c r="X492" s="104" t="s">
        <v>131</v>
      </c>
      <c r="Y492" s="194">
        <v>5840</v>
      </c>
      <c r="Z492" s="195">
        <v>46071</v>
      </c>
      <c r="AA492" s="195">
        <v>46091</v>
      </c>
      <c r="AB492" s="104" t="s">
        <v>41</v>
      </c>
      <c r="AC492" s="104"/>
      <c r="AD492" s="113">
        <f>S492-Y492</f>
        <v>0</v>
      </c>
    </row>
    <row r="493" spans="2:30" ht="45" hidden="1" customHeight="1">
      <c r="B493" s="174">
        <v>490</v>
      </c>
      <c r="C493" s="104" t="s">
        <v>70</v>
      </c>
      <c r="D493" s="104" t="s">
        <v>221</v>
      </c>
      <c r="E493" s="104">
        <v>42965</v>
      </c>
      <c r="F493" s="104" t="s">
        <v>44</v>
      </c>
      <c r="G493" s="145" t="s">
        <v>1485</v>
      </c>
      <c r="H493" s="104">
        <v>4600</v>
      </c>
      <c r="I493" s="104">
        <v>242</v>
      </c>
      <c r="J493" s="104" t="s">
        <v>1118</v>
      </c>
      <c r="K493" s="104" t="s">
        <v>1486</v>
      </c>
      <c r="L493" s="104">
        <v>104944</v>
      </c>
      <c r="M493" s="104">
        <v>6</v>
      </c>
      <c r="N493" s="104" t="s">
        <v>34</v>
      </c>
      <c r="O493" s="104" t="s">
        <v>34</v>
      </c>
      <c r="P493" s="104">
        <v>4388710</v>
      </c>
      <c r="Q493" s="106">
        <v>46064</v>
      </c>
      <c r="R493" s="104">
        <v>4501816</v>
      </c>
      <c r="S493" s="160">
        <v>17776</v>
      </c>
      <c r="T493" s="104"/>
      <c r="U493" s="116" t="s">
        <v>1487</v>
      </c>
      <c r="V493" s="145" t="s">
        <v>34</v>
      </c>
      <c r="W493" s="104" t="s">
        <v>34</v>
      </c>
      <c r="X493" s="104" t="s">
        <v>94</v>
      </c>
      <c r="Y493" s="194">
        <v>17776</v>
      </c>
      <c r="Z493" s="242" t="s">
        <v>1488</v>
      </c>
      <c r="AA493" s="180">
        <v>46147</v>
      </c>
      <c r="AB493" s="104" t="s">
        <v>41</v>
      </c>
      <c r="AC493" s="104" t="s">
        <v>1174</v>
      </c>
      <c r="AD493" s="113">
        <f>S493-Y493</f>
        <v>0</v>
      </c>
    </row>
    <row r="494" spans="2:30" ht="45" hidden="1" customHeight="1">
      <c r="B494" s="174">
        <v>491</v>
      </c>
      <c r="C494" s="104" t="s">
        <v>32</v>
      </c>
      <c r="D494" s="104" t="s">
        <v>192</v>
      </c>
      <c r="E494" s="104">
        <v>45581</v>
      </c>
      <c r="F494" s="104" t="s">
        <v>35</v>
      </c>
      <c r="G494" s="145" t="s">
        <v>1489</v>
      </c>
      <c r="H494" s="104">
        <v>2224</v>
      </c>
      <c r="I494" s="104">
        <v>242</v>
      </c>
      <c r="J494" s="104" t="s">
        <v>1430</v>
      </c>
      <c r="K494" s="104">
        <v>1170</v>
      </c>
      <c r="L494" s="104">
        <v>105239</v>
      </c>
      <c r="M494" s="104">
        <v>5</v>
      </c>
      <c r="N494" s="104" t="s">
        <v>1490</v>
      </c>
      <c r="O494" s="104"/>
      <c r="P494" s="104">
        <v>4388746</v>
      </c>
      <c r="Q494" s="106">
        <v>46064</v>
      </c>
      <c r="R494" s="104">
        <v>4501462</v>
      </c>
      <c r="S494" s="160">
        <v>1378</v>
      </c>
      <c r="T494" s="106">
        <v>46063</v>
      </c>
      <c r="U494" s="145">
        <v>731</v>
      </c>
      <c r="V494" s="180" t="s">
        <v>34</v>
      </c>
      <c r="W494" s="145" t="s">
        <v>48</v>
      </c>
      <c r="X494" s="104" t="s">
        <v>131</v>
      </c>
      <c r="Y494" s="194">
        <v>1378</v>
      </c>
      <c r="Z494" s="192">
        <v>1378</v>
      </c>
      <c r="AA494" s="195">
        <v>46072</v>
      </c>
      <c r="AB494" s="104" t="s">
        <v>41</v>
      </c>
      <c r="AC494" s="104"/>
      <c r="AD494" s="113">
        <f>S494-Y494</f>
        <v>0</v>
      </c>
    </row>
    <row r="495" spans="2:30" ht="45" hidden="1" customHeight="1">
      <c r="B495" s="174">
        <v>492</v>
      </c>
      <c r="C495" s="104" t="s">
        <v>61</v>
      </c>
      <c r="D495" s="104" t="s">
        <v>1491</v>
      </c>
      <c r="E495" s="104" t="s">
        <v>34</v>
      </c>
      <c r="F495" s="104" t="s">
        <v>44</v>
      </c>
      <c r="G495" s="145" t="s">
        <v>1492</v>
      </c>
      <c r="H495" s="104">
        <v>2224</v>
      </c>
      <c r="I495" s="104">
        <v>242</v>
      </c>
      <c r="J495" s="104" t="s">
        <v>1118</v>
      </c>
      <c r="K495" s="104" t="s">
        <v>1493</v>
      </c>
      <c r="L495" s="104">
        <v>105171</v>
      </c>
      <c r="M495" s="104">
        <v>1</v>
      </c>
      <c r="N495" s="104" t="s">
        <v>34</v>
      </c>
      <c r="O495" s="104" t="s">
        <v>34</v>
      </c>
      <c r="P495" s="104">
        <v>4388731</v>
      </c>
      <c r="Q495" s="106">
        <v>46064</v>
      </c>
      <c r="R495" s="104">
        <v>4502899</v>
      </c>
      <c r="S495" s="160">
        <v>7484.31</v>
      </c>
      <c r="T495" s="104"/>
      <c r="U495" s="145"/>
      <c r="V495" s="145"/>
      <c r="W495" s="145"/>
      <c r="X495" s="104"/>
      <c r="Y495" s="194"/>
      <c r="Z495" s="145"/>
      <c r="AA495" s="145"/>
      <c r="AB495" s="104" t="s">
        <v>66</v>
      </c>
      <c r="AC495" s="104" t="s">
        <v>1494</v>
      </c>
      <c r="AD495" s="113">
        <f>S495-Y495</f>
        <v>7484.31</v>
      </c>
    </row>
    <row r="496" spans="2:30" ht="45" hidden="1" customHeight="1">
      <c r="B496" s="174">
        <v>493</v>
      </c>
      <c r="C496" s="104" t="s">
        <v>316</v>
      </c>
      <c r="D496" s="104" t="s">
        <v>1385</v>
      </c>
      <c r="E496" s="104">
        <v>45688</v>
      </c>
      <c r="F496" s="104" t="s">
        <v>35</v>
      </c>
      <c r="G496" s="145" t="s">
        <v>1495</v>
      </c>
      <c r="H496" s="104">
        <v>5345</v>
      </c>
      <c r="I496" s="104">
        <v>242</v>
      </c>
      <c r="J496" s="104" t="s">
        <v>1430</v>
      </c>
      <c r="K496" s="104">
        <v>489</v>
      </c>
      <c r="L496" s="104">
        <v>105264</v>
      </c>
      <c r="M496" s="104">
        <v>6</v>
      </c>
      <c r="N496" s="104"/>
      <c r="O496" s="104"/>
      <c r="P496" s="104">
        <v>4388778</v>
      </c>
      <c r="Q496" s="106">
        <v>46064</v>
      </c>
      <c r="R496" s="104">
        <v>4501784</v>
      </c>
      <c r="S496" s="160">
        <v>1995</v>
      </c>
      <c r="T496" s="106">
        <v>46080</v>
      </c>
      <c r="U496" s="145">
        <v>3322</v>
      </c>
      <c r="V496" s="145" t="s">
        <v>34</v>
      </c>
      <c r="W496" s="145" t="s">
        <v>40</v>
      </c>
      <c r="X496" s="104" t="s">
        <v>25</v>
      </c>
      <c r="Y496" s="194">
        <v>1995</v>
      </c>
      <c r="Z496" s="195">
        <v>46092</v>
      </c>
      <c r="AA496" s="195">
        <v>46104</v>
      </c>
      <c r="AB496" s="104" t="s">
        <v>41</v>
      </c>
      <c r="AC496" s="104"/>
      <c r="AD496" s="113">
        <f>S496-Y496</f>
        <v>0</v>
      </c>
    </row>
    <row r="497" spans="2:30" ht="45" hidden="1" customHeight="1">
      <c r="B497" s="174">
        <v>494</v>
      </c>
      <c r="C497" s="104" t="s">
        <v>316</v>
      </c>
      <c r="D497" s="104" t="s">
        <v>1385</v>
      </c>
      <c r="E497" s="104">
        <v>45687</v>
      </c>
      <c r="F497" s="104" t="s">
        <v>35</v>
      </c>
      <c r="G497" s="145" t="s">
        <v>1496</v>
      </c>
      <c r="H497" s="104">
        <v>5345</v>
      </c>
      <c r="I497" s="104">
        <v>242</v>
      </c>
      <c r="J497" s="104" t="s">
        <v>1430</v>
      </c>
      <c r="K497" s="104">
        <v>488</v>
      </c>
      <c r="L497" s="104">
        <v>105263</v>
      </c>
      <c r="M497" s="104">
        <v>6</v>
      </c>
      <c r="N497" s="104"/>
      <c r="O497" s="104"/>
      <c r="P497" s="104">
        <v>4388795</v>
      </c>
      <c r="Q497" s="106">
        <v>46064</v>
      </c>
      <c r="R497" s="104">
        <v>4501785</v>
      </c>
      <c r="S497" s="160">
        <v>3891.2</v>
      </c>
      <c r="T497" s="106">
        <v>46080</v>
      </c>
      <c r="U497" s="145">
        <v>3311</v>
      </c>
      <c r="V497" s="145"/>
      <c r="W497" s="145" t="s">
        <v>48</v>
      </c>
      <c r="X497" s="104" t="s">
        <v>25</v>
      </c>
      <c r="Y497" s="194">
        <v>3891.2</v>
      </c>
      <c r="Z497" s="195">
        <v>46085</v>
      </c>
      <c r="AA497" s="195">
        <v>46093</v>
      </c>
      <c r="AB497" s="104" t="s">
        <v>41</v>
      </c>
      <c r="AC497" s="104"/>
      <c r="AD497" s="113">
        <f>S497-Y497</f>
        <v>0</v>
      </c>
    </row>
    <row r="498" spans="2:30" ht="45" hidden="1" customHeight="1">
      <c r="B498" s="174">
        <v>495</v>
      </c>
      <c r="C498" s="104" t="s">
        <v>70</v>
      </c>
      <c r="D498" s="104" t="s">
        <v>1162</v>
      </c>
      <c r="E498" s="104">
        <v>44708</v>
      </c>
      <c r="F498" s="104" t="s">
        <v>44</v>
      </c>
      <c r="G498" s="145" t="s">
        <v>1497</v>
      </c>
      <c r="H498" s="104">
        <v>2283</v>
      </c>
      <c r="I498" s="104">
        <v>242</v>
      </c>
      <c r="J498" s="104" t="s">
        <v>1118</v>
      </c>
      <c r="K498" s="104" t="s">
        <v>1498</v>
      </c>
      <c r="L498" s="104">
        <v>105178</v>
      </c>
      <c r="M498" s="104">
        <v>6</v>
      </c>
      <c r="N498" s="104" t="s">
        <v>34</v>
      </c>
      <c r="O498" s="104" t="s">
        <v>34</v>
      </c>
      <c r="P498" s="104">
        <v>4388791</v>
      </c>
      <c r="Q498" s="106">
        <v>46064</v>
      </c>
      <c r="R498" s="104">
        <v>4502573</v>
      </c>
      <c r="S498" s="160">
        <v>11757</v>
      </c>
      <c r="T498" s="130">
        <v>46082</v>
      </c>
      <c r="U498" s="145">
        <v>20327</v>
      </c>
      <c r="V498" s="145" t="s">
        <v>34</v>
      </c>
      <c r="W498" s="145" t="s">
        <v>48</v>
      </c>
      <c r="X498" s="104" t="s">
        <v>1081</v>
      </c>
      <c r="Y498" s="194">
        <v>11757</v>
      </c>
      <c r="Z498" s="195">
        <v>46083</v>
      </c>
      <c r="AA498" s="195">
        <v>46083</v>
      </c>
      <c r="AB498" s="104" t="s">
        <v>41</v>
      </c>
      <c r="AC498" s="104"/>
      <c r="AD498" s="113">
        <f>S498-Y498</f>
        <v>0</v>
      </c>
    </row>
    <row r="499" spans="2:30" ht="45" hidden="1" customHeight="1">
      <c r="B499" s="174">
        <v>496</v>
      </c>
      <c r="C499" s="104" t="s">
        <v>51</v>
      </c>
      <c r="D499" s="104" t="s">
        <v>1499</v>
      </c>
      <c r="E499" s="104"/>
      <c r="F499" s="104" t="s">
        <v>44</v>
      </c>
      <c r="G499" s="145" t="s">
        <v>1500</v>
      </c>
      <c r="H499" s="104">
        <v>2291</v>
      </c>
      <c r="I499" s="104">
        <v>242</v>
      </c>
      <c r="J499" s="104" t="s">
        <v>1501</v>
      </c>
      <c r="K499" s="104">
        <v>61225</v>
      </c>
      <c r="L499" s="104">
        <v>105459</v>
      </c>
      <c r="M499" s="104">
        <v>2</v>
      </c>
      <c r="N499" s="104" t="s">
        <v>1502</v>
      </c>
      <c r="O499" s="104"/>
      <c r="P499" s="104">
        <v>4389441</v>
      </c>
      <c r="Q499" s="106">
        <v>46064</v>
      </c>
      <c r="R499" s="104"/>
      <c r="S499" s="160">
        <v>2700</v>
      </c>
      <c r="T499" s="106">
        <v>46066</v>
      </c>
      <c r="U499" s="145">
        <v>315</v>
      </c>
      <c r="V499" s="145" t="s">
        <v>34</v>
      </c>
      <c r="W499" s="145" t="s">
        <v>48</v>
      </c>
      <c r="X499" s="104" t="s">
        <v>94</v>
      </c>
      <c r="Y499" s="194">
        <v>2700</v>
      </c>
      <c r="Z499" s="180">
        <v>46070</v>
      </c>
      <c r="AA499" s="195">
        <v>46072</v>
      </c>
      <c r="AB499" s="104" t="s">
        <v>41</v>
      </c>
      <c r="AC499" s="104"/>
      <c r="AD499" s="113">
        <f>S499-Y499</f>
        <v>0</v>
      </c>
    </row>
    <row r="500" spans="2:30" ht="45" hidden="1" customHeight="1">
      <c r="B500" s="174">
        <v>497</v>
      </c>
      <c r="C500" s="104" t="s">
        <v>291</v>
      </c>
      <c r="D500" s="104" t="s">
        <v>33</v>
      </c>
      <c r="E500" s="104">
        <v>45311</v>
      </c>
      <c r="F500" s="104" t="s">
        <v>35</v>
      </c>
      <c r="G500" s="145" t="s">
        <v>1503</v>
      </c>
      <c r="H500" s="104">
        <v>2488</v>
      </c>
      <c r="I500" s="104">
        <v>242</v>
      </c>
      <c r="J500" s="104" t="s">
        <v>1118</v>
      </c>
      <c r="K500" s="104" t="s">
        <v>1504</v>
      </c>
      <c r="L500" s="104">
        <v>105856</v>
      </c>
      <c r="M500" s="104">
        <v>6</v>
      </c>
      <c r="N500" s="104" t="s">
        <v>34</v>
      </c>
      <c r="O500" s="104" t="s">
        <v>34</v>
      </c>
      <c r="P500" s="104">
        <v>4391047</v>
      </c>
      <c r="Q500" s="106">
        <v>46065</v>
      </c>
      <c r="R500" s="104">
        <v>4502666</v>
      </c>
      <c r="S500" s="160">
        <v>902.5</v>
      </c>
      <c r="T500" s="104"/>
      <c r="U500" s="145">
        <v>3306</v>
      </c>
      <c r="V500" s="145"/>
      <c r="W500" s="145" t="s">
        <v>40</v>
      </c>
      <c r="X500" s="104" t="s">
        <v>25</v>
      </c>
      <c r="Y500" s="194">
        <v>902.5</v>
      </c>
      <c r="Z500" s="195">
        <v>46083</v>
      </c>
      <c r="AA500" s="195">
        <v>46084</v>
      </c>
      <c r="AB500" s="104" t="s">
        <v>41</v>
      </c>
      <c r="AC500" s="104"/>
      <c r="AD500" s="113">
        <f>S500-Y500</f>
        <v>0</v>
      </c>
    </row>
    <row r="501" spans="2:30" ht="45" hidden="1" customHeight="1">
      <c r="B501" s="174">
        <v>498</v>
      </c>
      <c r="C501" s="104" t="s">
        <v>61</v>
      </c>
      <c r="D501" s="104" t="s">
        <v>1158</v>
      </c>
      <c r="E501" s="104">
        <v>45044</v>
      </c>
      <c r="F501" s="104" t="s">
        <v>44</v>
      </c>
      <c r="G501" s="145" t="s">
        <v>1159</v>
      </c>
      <c r="H501" s="104">
        <v>2330</v>
      </c>
      <c r="I501" s="104">
        <v>242</v>
      </c>
      <c r="J501" s="104" t="s">
        <v>1118</v>
      </c>
      <c r="K501" s="104" t="s">
        <v>1505</v>
      </c>
      <c r="L501" s="104">
        <v>100524</v>
      </c>
      <c r="M501" s="104">
        <v>6</v>
      </c>
      <c r="N501" s="104" t="s">
        <v>34</v>
      </c>
      <c r="O501" s="104" t="s">
        <v>34</v>
      </c>
      <c r="P501" s="119" t="s">
        <v>1506</v>
      </c>
      <c r="Q501" s="106">
        <v>46066</v>
      </c>
      <c r="R501" s="104">
        <v>4515167</v>
      </c>
      <c r="S501" s="160">
        <v>64194.400000000001</v>
      </c>
      <c r="T501" s="106">
        <v>46082</v>
      </c>
      <c r="U501" s="145">
        <v>160</v>
      </c>
      <c r="V501" s="145" t="s">
        <v>34</v>
      </c>
      <c r="W501" s="145" t="s">
        <v>48</v>
      </c>
      <c r="X501" s="104" t="s">
        <v>94</v>
      </c>
      <c r="Y501" s="194">
        <v>60984.68</v>
      </c>
      <c r="Z501" s="195">
        <v>46125</v>
      </c>
      <c r="AA501" s="195">
        <v>46126</v>
      </c>
      <c r="AB501" s="104" t="s">
        <v>41</v>
      </c>
      <c r="AC501" s="104"/>
      <c r="AD501" s="113">
        <f>S501-Y501</f>
        <v>3209.7200000000012</v>
      </c>
    </row>
    <row r="502" spans="2:30" ht="45" hidden="1" customHeight="1">
      <c r="B502" s="174">
        <v>499</v>
      </c>
      <c r="C502" s="104" t="s">
        <v>291</v>
      </c>
      <c r="D502" s="104" t="s">
        <v>479</v>
      </c>
      <c r="E502" s="104">
        <v>45047</v>
      </c>
      <c r="F502" s="104" t="s">
        <v>44</v>
      </c>
      <c r="G502" s="145" t="s">
        <v>1507</v>
      </c>
      <c r="H502" s="104">
        <v>2488</v>
      </c>
      <c r="I502" s="104">
        <v>242</v>
      </c>
      <c r="J502" s="104" t="s">
        <v>1118</v>
      </c>
      <c r="K502" s="104" t="s">
        <v>1508</v>
      </c>
      <c r="L502" s="104">
        <v>105857</v>
      </c>
      <c r="M502" s="104">
        <v>6</v>
      </c>
      <c r="N502" s="104" t="s">
        <v>34</v>
      </c>
      <c r="O502" s="104" t="s">
        <v>34</v>
      </c>
      <c r="P502" s="104">
        <v>4391353</v>
      </c>
      <c r="Q502" s="106">
        <v>46066</v>
      </c>
      <c r="R502" s="104">
        <v>4504357</v>
      </c>
      <c r="S502" s="160">
        <v>6150</v>
      </c>
      <c r="T502" s="104" t="s">
        <v>34</v>
      </c>
      <c r="U502" s="116" t="s">
        <v>1509</v>
      </c>
      <c r="V502" s="145"/>
      <c r="W502" s="104" t="s">
        <v>1091</v>
      </c>
      <c r="X502" s="104" t="s">
        <v>25</v>
      </c>
      <c r="Y502" s="194">
        <v>5160</v>
      </c>
      <c r="Z502" s="245" t="s">
        <v>1510</v>
      </c>
      <c r="AA502" s="180">
        <v>46147</v>
      </c>
      <c r="AB502" s="104" t="s">
        <v>41</v>
      </c>
      <c r="AC502" s="104"/>
      <c r="AD502" s="113">
        <f>S502-Y502</f>
        <v>990</v>
      </c>
    </row>
    <row r="503" spans="2:30" ht="45" hidden="1" customHeight="1">
      <c r="B503" s="174">
        <v>500</v>
      </c>
      <c r="C503" s="104" t="s">
        <v>291</v>
      </c>
      <c r="D503" s="104" t="s">
        <v>1251</v>
      </c>
      <c r="E503" s="104"/>
      <c r="F503" s="104" t="s">
        <v>44</v>
      </c>
      <c r="G503" s="145" t="s">
        <v>528</v>
      </c>
      <c r="H503" s="104">
        <v>2488</v>
      </c>
      <c r="I503" s="104">
        <v>242</v>
      </c>
      <c r="J503" s="104" t="s">
        <v>1118</v>
      </c>
      <c r="K503" s="104" t="s">
        <v>1511</v>
      </c>
      <c r="L503" s="104">
        <v>105882</v>
      </c>
      <c r="M503" s="104">
        <v>5</v>
      </c>
      <c r="N503" s="104" t="s">
        <v>1512</v>
      </c>
      <c r="O503" s="104" t="s">
        <v>40</v>
      </c>
      <c r="P503" s="104">
        <v>4397127</v>
      </c>
      <c r="Q503" s="106">
        <v>46072</v>
      </c>
      <c r="R503" s="104">
        <v>4509157</v>
      </c>
      <c r="S503" s="160">
        <v>4800</v>
      </c>
      <c r="T503" s="104" t="s">
        <v>34</v>
      </c>
      <c r="U503" s="211" t="s">
        <v>1513</v>
      </c>
      <c r="V503" s="145" t="s">
        <v>34</v>
      </c>
      <c r="W503" s="145" t="s">
        <v>48</v>
      </c>
      <c r="X503" s="104" t="s">
        <v>94</v>
      </c>
      <c r="Y503" s="194">
        <v>4800</v>
      </c>
      <c r="Z503" s="180">
        <v>46106</v>
      </c>
      <c r="AA503" s="195">
        <v>46112</v>
      </c>
      <c r="AB503" s="104" t="s">
        <v>41</v>
      </c>
      <c r="AC503" s="104"/>
      <c r="AD503" s="113">
        <f>S503-Y503</f>
        <v>0</v>
      </c>
    </row>
    <row r="504" spans="2:30" ht="45" hidden="1" customHeight="1">
      <c r="B504" s="174">
        <v>501</v>
      </c>
      <c r="C504" s="104" t="s">
        <v>95</v>
      </c>
      <c r="D504" s="104" t="s">
        <v>192</v>
      </c>
      <c r="E504" s="104" t="s">
        <v>34</v>
      </c>
      <c r="F504" s="104" t="s">
        <v>44</v>
      </c>
      <c r="G504" s="145" t="s">
        <v>564</v>
      </c>
      <c r="H504" s="104">
        <v>1210</v>
      </c>
      <c r="I504" s="104">
        <v>326</v>
      </c>
      <c r="J504" s="104" t="s">
        <v>58</v>
      </c>
      <c r="K504" s="104" t="s">
        <v>34</v>
      </c>
      <c r="L504" s="104" t="s">
        <v>34</v>
      </c>
      <c r="M504" s="104">
        <v>1</v>
      </c>
      <c r="N504" s="104" t="s">
        <v>34</v>
      </c>
      <c r="O504" s="104" t="s">
        <v>34</v>
      </c>
      <c r="P504" s="104">
        <v>4287988</v>
      </c>
      <c r="Q504" s="106">
        <v>45961</v>
      </c>
      <c r="R504" s="104">
        <v>4413918</v>
      </c>
      <c r="S504" s="160">
        <f>AD168</f>
        <v>149144.04</v>
      </c>
      <c r="T504" s="104"/>
      <c r="U504" s="104">
        <v>719</v>
      </c>
      <c r="V504" s="145" t="s">
        <v>34</v>
      </c>
      <c r="W504" s="104" t="s">
        <v>40</v>
      </c>
      <c r="X504" s="104" t="s">
        <v>44</v>
      </c>
      <c r="Y504" s="131">
        <v>100000</v>
      </c>
      <c r="Z504" s="180">
        <v>46066</v>
      </c>
      <c r="AA504" s="180">
        <v>46066</v>
      </c>
      <c r="AB504" s="104" t="s">
        <v>60</v>
      </c>
      <c r="AC504" s="104"/>
      <c r="AD504" s="113">
        <f>S504-Y504</f>
        <v>49144.040000000008</v>
      </c>
    </row>
    <row r="505" spans="2:30" ht="45" hidden="1" customHeight="1">
      <c r="B505" s="174">
        <v>502</v>
      </c>
      <c r="C505" s="104" t="s">
        <v>32</v>
      </c>
      <c r="D505" s="104" t="s">
        <v>1514</v>
      </c>
      <c r="E505" s="104"/>
      <c r="F505" s="104" t="s">
        <v>44</v>
      </c>
      <c r="G505" s="145" t="s">
        <v>1515</v>
      </c>
      <c r="H505" s="104">
        <v>2470</v>
      </c>
      <c r="I505" s="104">
        <v>242</v>
      </c>
      <c r="J505" s="104" t="s">
        <v>1430</v>
      </c>
      <c r="K505" s="104" t="s">
        <v>1516</v>
      </c>
      <c r="L505" s="104">
        <v>106076</v>
      </c>
      <c r="M505" s="104">
        <v>2</v>
      </c>
      <c r="N505" s="104" t="s">
        <v>1517</v>
      </c>
      <c r="O505" s="104"/>
      <c r="P505" s="104">
        <v>4394424</v>
      </c>
      <c r="Q505" s="106">
        <v>46070</v>
      </c>
      <c r="R505" s="104"/>
      <c r="S505" s="160" t="s">
        <v>757</v>
      </c>
      <c r="T505" s="130">
        <v>46079</v>
      </c>
      <c r="U505" s="145"/>
      <c r="V505" s="145"/>
      <c r="W505" s="145"/>
      <c r="X505" s="104"/>
      <c r="Y505" s="194"/>
      <c r="Z505" s="145"/>
      <c r="AA505" s="145"/>
      <c r="AB505" s="104" t="s">
        <v>115</v>
      </c>
      <c r="AC505" s="104" t="s">
        <v>1518</v>
      </c>
      <c r="AD505" s="113" t="e">
        <f>S505-Y505</f>
        <v>#VALUE!</v>
      </c>
    </row>
    <row r="506" spans="2:30" ht="45" hidden="1" customHeight="1">
      <c r="B506" s="174">
        <v>503</v>
      </c>
      <c r="C506" s="104" t="s">
        <v>51</v>
      </c>
      <c r="D506" s="104" t="s">
        <v>33</v>
      </c>
      <c r="E506" s="104">
        <v>45385</v>
      </c>
      <c r="F506" s="104" t="s">
        <v>35</v>
      </c>
      <c r="G506" s="145" t="s">
        <v>1519</v>
      </c>
      <c r="H506" s="104">
        <v>4588</v>
      </c>
      <c r="I506" s="104">
        <v>242</v>
      </c>
      <c r="J506" s="104" t="s">
        <v>1118</v>
      </c>
      <c r="K506" s="104" t="s">
        <v>1520</v>
      </c>
      <c r="L506" s="104" t="s">
        <v>1521</v>
      </c>
      <c r="M506" s="104">
        <v>6</v>
      </c>
      <c r="N506" s="104" t="s">
        <v>34</v>
      </c>
      <c r="O506" s="104" t="s">
        <v>34</v>
      </c>
      <c r="P506" s="104">
        <v>4392136</v>
      </c>
      <c r="Q506" s="130">
        <v>46066</v>
      </c>
      <c r="R506" s="104">
        <v>4504854</v>
      </c>
      <c r="S506" s="160">
        <v>2850</v>
      </c>
      <c r="T506" s="104"/>
      <c r="U506" s="145">
        <v>3308</v>
      </c>
      <c r="V506" s="195">
        <v>46083</v>
      </c>
      <c r="W506" s="145" t="s">
        <v>40</v>
      </c>
      <c r="X506" s="104" t="s">
        <v>25</v>
      </c>
      <c r="Y506" s="194">
        <v>2850</v>
      </c>
      <c r="Z506" s="195">
        <v>46083</v>
      </c>
      <c r="AA506" s="195">
        <v>46084</v>
      </c>
      <c r="AB506" s="104" t="s">
        <v>41</v>
      </c>
      <c r="AC506" s="104"/>
      <c r="AD506" s="113">
        <f>S506-Y506</f>
        <v>0</v>
      </c>
    </row>
    <row r="507" spans="2:30" ht="45" hidden="1" customHeight="1">
      <c r="B507" s="174">
        <v>504</v>
      </c>
      <c r="C507" s="104" t="s">
        <v>282</v>
      </c>
      <c r="D507" s="104" t="s">
        <v>1522</v>
      </c>
      <c r="E507" s="104"/>
      <c r="F507" s="104" t="s">
        <v>44</v>
      </c>
      <c r="G507" s="145" t="s">
        <v>1523</v>
      </c>
      <c r="H507" s="104">
        <v>1236</v>
      </c>
      <c r="I507" s="104">
        <v>242</v>
      </c>
      <c r="J507" s="104" t="s">
        <v>1430</v>
      </c>
      <c r="K507" s="104">
        <v>221</v>
      </c>
      <c r="L507" s="104">
        <v>104746</v>
      </c>
      <c r="M507" s="104">
        <v>29</v>
      </c>
      <c r="N507" s="104" t="s">
        <v>1524</v>
      </c>
      <c r="O507" s="104"/>
      <c r="P507" s="104">
        <v>4392155</v>
      </c>
      <c r="Q507" s="130">
        <v>46066</v>
      </c>
      <c r="R507" s="104">
        <v>4508853</v>
      </c>
      <c r="S507" s="160">
        <v>2167.2399999999998</v>
      </c>
      <c r="T507" s="130">
        <v>46079</v>
      </c>
      <c r="U507" s="145">
        <v>449</v>
      </c>
      <c r="V507" s="145"/>
      <c r="W507" s="145" t="s">
        <v>40</v>
      </c>
      <c r="X507" s="104" t="s">
        <v>25</v>
      </c>
      <c r="Y507" s="194">
        <v>2167.2399999999998</v>
      </c>
      <c r="Z507" s="195">
        <v>46078</v>
      </c>
      <c r="AA507" s="195">
        <v>46078</v>
      </c>
      <c r="AB507" s="104" t="s">
        <v>41</v>
      </c>
      <c r="AC507" s="104"/>
      <c r="AD507" s="113">
        <f>S507-Y507</f>
        <v>0</v>
      </c>
    </row>
    <row r="508" spans="2:30" ht="45" hidden="1" customHeight="1">
      <c r="B508" s="174">
        <v>505</v>
      </c>
      <c r="C508" s="104" t="s">
        <v>282</v>
      </c>
      <c r="D508" s="104" t="s">
        <v>1525</v>
      </c>
      <c r="E508" s="104"/>
      <c r="F508" s="104" t="s">
        <v>44</v>
      </c>
      <c r="G508" s="145" t="s">
        <v>1526</v>
      </c>
      <c r="H508" s="104" t="s">
        <v>1527</v>
      </c>
      <c r="I508" s="104">
        <v>242</v>
      </c>
      <c r="J508" s="104" t="s">
        <v>1430</v>
      </c>
      <c r="K508" s="104">
        <v>927</v>
      </c>
      <c r="L508" s="104">
        <v>105540</v>
      </c>
      <c r="M508" s="104">
        <v>29</v>
      </c>
      <c r="N508" s="104" t="s">
        <v>1528</v>
      </c>
      <c r="O508" s="104"/>
      <c r="P508" s="104">
        <v>4392174</v>
      </c>
      <c r="Q508" s="130">
        <v>46066</v>
      </c>
      <c r="R508" s="104">
        <v>4508877</v>
      </c>
      <c r="S508" s="160">
        <v>3080</v>
      </c>
      <c r="T508" s="130">
        <v>46058</v>
      </c>
      <c r="U508" s="145">
        <v>861</v>
      </c>
      <c r="V508" s="145"/>
      <c r="W508" s="145" t="s">
        <v>48</v>
      </c>
      <c r="X508" s="104" t="s">
        <v>25</v>
      </c>
      <c r="Y508" s="194">
        <v>580</v>
      </c>
      <c r="Z508" s="195">
        <v>46078</v>
      </c>
      <c r="AA508" s="195">
        <v>46078</v>
      </c>
      <c r="AB508" s="104" t="s">
        <v>41</v>
      </c>
      <c r="AC508" s="104"/>
      <c r="AD508" s="113">
        <f>S508-Y508</f>
        <v>2500</v>
      </c>
    </row>
    <row r="509" spans="2:30" ht="45" hidden="1" customHeight="1">
      <c r="B509" s="174">
        <v>506</v>
      </c>
      <c r="C509" s="104" t="s">
        <v>95</v>
      </c>
      <c r="D509" s="104" t="s">
        <v>479</v>
      </c>
      <c r="E509" s="104" t="s">
        <v>34</v>
      </c>
      <c r="F509" s="104" t="s">
        <v>44</v>
      </c>
      <c r="G509" s="145" t="s">
        <v>1529</v>
      </c>
      <c r="H509" s="104" t="s">
        <v>1530</v>
      </c>
      <c r="I509" s="104">
        <v>5</v>
      </c>
      <c r="J509" s="104" t="s">
        <v>1459</v>
      </c>
      <c r="K509" s="104" t="s">
        <v>1531</v>
      </c>
      <c r="L509" s="104">
        <v>106071</v>
      </c>
      <c r="M509" s="104">
        <v>1</v>
      </c>
      <c r="N509" s="104"/>
      <c r="O509" s="104"/>
      <c r="P509" s="104">
        <v>4392783</v>
      </c>
      <c r="Q509" s="106">
        <v>46068</v>
      </c>
      <c r="R509" s="104">
        <v>4509801</v>
      </c>
      <c r="S509" s="160">
        <v>100000</v>
      </c>
      <c r="T509" s="130">
        <v>46078</v>
      </c>
      <c r="U509" s="145">
        <v>73</v>
      </c>
      <c r="V509" s="145" t="s">
        <v>34</v>
      </c>
      <c r="W509" s="145" t="s">
        <v>48</v>
      </c>
      <c r="X509" s="104" t="s">
        <v>25</v>
      </c>
      <c r="Y509" s="194">
        <v>65402.25</v>
      </c>
      <c r="Z509" s="195">
        <v>46113</v>
      </c>
      <c r="AA509" s="180">
        <v>46118</v>
      </c>
      <c r="AB509" s="104" t="s">
        <v>54</v>
      </c>
      <c r="AC509" s="104"/>
      <c r="AD509" s="113">
        <f>S509-Y509</f>
        <v>34597.75</v>
      </c>
    </row>
    <row r="510" spans="2:30" ht="45" hidden="1" customHeight="1">
      <c r="B510" s="174">
        <v>507</v>
      </c>
      <c r="C510" s="104" t="s">
        <v>42</v>
      </c>
      <c r="D510" s="104" t="s">
        <v>308</v>
      </c>
      <c r="E510" s="104" t="s">
        <v>34</v>
      </c>
      <c r="F510" s="104" t="s">
        <v>44</v>
      </c>
      <c r="G510" s="255" t="s">
        <v>309</v>
      </c>
      <c r="H510" s="104">
        <v>1295</v>
      </c>
      <c r="I510" s="104">
        <v>242</v>
      </c>
      <c r="J510" s="104" t="s">
        <v>1118</v>
      </c>
      <c r="K510" s="104" t="s">
        <v>310</v>
      </c>
      <c r="L510" s="104">
        <v>84211</v>
      </c>
      <c r="M510" s="104">
        <v>1</v>
      </c>
      <c r="N510" s="104" t="s">
        <v>34</v>
      </c>
      <c r="O510" s="104" t="s">
        <v>34</v>
      </c>
      <c r="P510" s="104">
        <v>4257737</v>
      </c>
      <c r="Q510" s="106">
        <v>45931</v>
      </c>
      <c r="R510" s="104">
        <v>4378444</v>
      </c>
      <c r="S510" s="129">
        <f>AD85</f>
        <v>61948.160000000003</v>
      </c>
      <c r="T510" s="108"/>
      <c r="U510" s="104">
        <v>116</v>
      </c>
      <c r="V510" s="104"/>
      <c r="W510" s="104" t="s">
        <v>48</v>
      </c>
      <c r="X510" s="104" t="s">
        <v>106</v>
      </c>
      <c r="Y510" s="131">
        <v>30974.080000000002</v>
      </c>
      <c r="Z510" s="106">
        <v>46066</v>
      </c>
      <c r="AA510" s="122">
        <v>46069</v>
      </c>
      <c r="AB510" s="104" t="s">
        <v>60</v>
      </c>
      <c r="AC510" s="104"/>
      <c r="AD510" s="113">
        <f>S510-Y510</f>
        <v>30974.080000000002</v>
      </c>
    </row>
    <row r="511" spans="2:30" ht="45" hidden="1" customHeight="1">
      <c r="B511" s="174">
        <v>508</v>
      </c>
      <c r="C511" s="104" t="s">
        <v>316</v>
      </c>
      <c r="D511" s="104" t="s">
        <v>1532</v>
      </c>
      <c r="E511" s="104">
        <v>44620</v>
      </c>
      <c r="F511" s="104" t="s">
        <v>44</v>
      </c>
      <c r="G511" s="145" t="s">
        <v>1533</v>
      </c>
      <c r="H511" s="104">
        <v>2470</v>
      </c>
      <c r="I511" s="104">
        <v>242</v>
      </c>
      <c r="J511" s="104" t="s">
        <v>1118</v>
      </c>
      <c r="K511" s="104" t="s">
        <v>1534</v>
      </c>
      <c r="L511" s="104">
        <v>106090</v>
      </c>
      <c r="M511" s="104">
        <v>6</v>
      </c>
      <c r="N511" s="104" t="s">
        <v>34</v>
      </c>
      <c r="O511" s="104" t="s">
        <v>34</v>
      </c>
      <c r="P511" s="116" t="s">
        <v>1535</v>
      </c>
      <c r="Q511" s="106">
        <v>46069</v>
      </c>
      <c r="R511" s="104">
        <v>4508979</v>
      </c>
      <c r="S511" s="160">
        <v>2650</v>
      </c>
      <c r="T511" s="130">
        <v>46080</v>
      </c>
      <c r="U511" s="145">
        <v>3247</v>
      </c>
      <c r="V511" s="145" t="s">
        <v>34</v>
      </c>
      <c r="W511" s="145" t="s">
        <v>40</v>
      </c>
      <c r="X511" s="104" t="s">
        <v>94</v>
      </c>
      <c r="Y511" s="194">
        <v>2650</v>
      </c>
      <c r="Z511" s="195">
        <v>46090</v>
      </c>
      <c r="AA511" s="195">
        <v>46093</v>
      </c>
      <c r="AB511" s="104" t="s">
        <v>41</v>
      </c>
      <c r="AC511" s="104"/>
      <c r="AD511" s="113">
        <f>S511-Y511</f>
        <v>0</v>
      </c>
    </row>
    <row r="512" spans="2:30" ht="45" hidden="1" customHeight="1">
      <c r="B512" s="174">
        <v>509</v>
      </c>
      <c r="C512" s="104" t="s">
        <v>279</v>
      </c>
      <c r="D512" s="104" t="s">
        <v>1153</v>
      </c>
      <c r="E512" s="104">
        <v>44884</v>
      </c>
      <c r="F512" s="104" t="s">
        <v>44</v>
      </c>
      <c r="G512" s="145" t="s">
        <v>1536</v>
      </c>
      <c r="H512" s="104">
        <v>5345</v>
      </c>
      <c r="I512" s="104">
        <v>242</v>
      </c>
      <c r="J512" s="104" t="s">
        <v>1118</v>
      </c>
      <c r="K512" s="104" t="s">
        <v>1537</v>
      </c>
      <c r="L512" s="104">
        <v>106202</v>
      </c>
      <c r="M512" s="104">
        <v>6</v>
      </c>
      <c r="N512" s="104" t="s">
        <v>34</v>
      </c>
      <c r="O512" s="104" t="s">
        <v>34</v>
      </c>
      <c r="P512" s="104">
        <v>4393220</v>
      </c>
      <c r="Q512" s="106">
        <v>46069</v>
      </c>
      <c r="R512" s="104">
        <v>4507039</v>
      </c>
      <c r="S512" s="160">
        <v>4200</v>
      </c>
      <c r="T512" s="130">
        <v>46086</v>
      </c>
      <c r="U512" s="145">
        <v>70</v>
      </c>
      <c r="V512" s="145"/>
      <c r="W512" s="145" t="s">
        <v>48</v>
      </c>
      <c r="X512" s="104" t="s">
        <v>94</v>
      </c>
      <c r="Y512" s="216">
        <v>4200</v>
      </c>
      <c r="Z512" s="180">
        <v>46092</v>
      </c>
      <c r="AA512" s="195">
        <v>46119</v>
      </c>
      <c r="AB512" s="104" t="s">
        <v>41</v>
      </c>
      <c r="AC512" s="104"/>
      <c r="AD512" s="113">
        <f>S512-Y512</f>
        <v>0</v>
      </c>
    </row>
    <row r="513" spans="2:30" ht="45" hidden="1" customHeight="1">
      <c r="B513" s="174">
        <v>510</v>
      </c>
      <c r="C513" s="104" t="s">
        <v>32</v>
      </c>
      <c r="D513" s="104" t="s">
        <v>1385</v>
      </c>
      <c r="E513" s="104">
        <v>44127</v>
      </c>
      <c r="F513" s="104" t="s">
        <v>35</v>
      </c>
      <c r="G513" s="104" t="s">
        <v>1538</v>
      </c>
      <c r="H513" s="104">
        <v>2291</v>
      </c>
      <c r="I513" s="104">
        <v>242</v>
      </c>
      <c r="J513" s="104" t="s">
        <v>1430</v>
      </c>
      <c r="K513" s="104">
        <v>476</v>
      </c>
      <c r="L513" s="104">
        <v>104907</v>
      </c>
      <c r="M513" s="104">
        <v>5</v>
      </c>
      <c r="N513" s="104" t="s">
        <v>1539</v>
      </c>
      <c r="O513" s="104"/>
      <c r="P513" s="119" t="s">
        <v>1540</v>
      </c>
      <c r="Q513" s="106">
        <v>46069</v>
      </c>
      <c r="R513" s="104">
        <v>4538407</v>
      </c>
      <c r="S513" s="160">
        <v>5700</v>
      </c>
      <c r="T513" s="253"/>
      <c r="U513" s="104">
        <v>3339</v>
      </c>
      <c r="V513" s="145"/>
      <c r="W513" s="104" t="s">
        <v>48</v>
      </c>
      <c r="X513" s="104" t="s">
        <v>25</v>
      </c>
      <c r="Y513" s="194">
        <v>5700</v>
      </c>
      <c r="Z513" s="195">
        <v>46113</v>
      </c>
      <c r="AA513" s="180">
        <v>46142</v>
      </c>
      <c r="AB513" s="104" t="s">
        <v>41</v>
      </c>
      <c r="AC513" s="104"/>
      <c r="AD513" s="113">
        <f>S513-Y513</f>
        <v>0</v>
      </c>
    </row>
    <row r="514" spans="2:30" ht="45" hidden="1" customHeight="1">
      <c r="B514" s="174">
        <v>511</v>
      </c>
      <c r="C514" s="104" t="s">
        <v>282</v>
      </c>
      <c r="D514" s="104" t="s">
        <v>1541</v>
      </c>
      <c r="E514" s="104">
        <v>44963</v>
      </c>
      <c r="F514" s="104" t="s">
        <v>44</v>
      </c>
      <c r="G514" s="104" t="s">
        <v>1542</v>
      </c>
      <c r="H514" s="104">
        <v>1295</v>
      </c>
      <c r="I514" s="104">
        <v>242</v>
      </c>
      <c r="J514" s="104" t="s">
        <v>1430</v>
      </c>
      <c r="K514" s="104">
        <v>20831868</v>
      </c>
      <c r="L514" s="104">
        <v>103308</v>
      </c>
      <c r="M514" s="104">
        <v>6</v>
      </c>
      <c r="N514" s="104"/>
      <c r="O514" s="104"/>
      <c r="P514" s="104">
        <v>4393612</v>
      </c>
      <c r="Q514" s="106">
        <v>46069</v>
      </c>
      <c r="R514" s="104">
        <v>4509792</v>
      </c>
      <c r="S514" s="160">
        <v>8263.25</v>
      </c>
      <c r="T514" s="130">
        <v>46118</v>
      </c>
      <c r="U514" s="145">
        <v>20344</v>
      </c>
      <c r="V514" s="145" t="s">
        <v>34</v>
      </c>
      <c r="W514" s="145" t="s">
        <v>48</v>
      </c>
      <c r="X514" s="104" t="s">
        <v>94</v>
      </c>
      <c r="Y514" s="194">
        <v>8263.25</v>
      </c>
      <c r="Z514" s="195">
        <v>46111</v>
      </c>
      <c r="AA514" s="195">
        <v>46111</v>
      </c>
      <c r="AB514" s="104" t="s">
        <v>41</v>
      </c>
      <c r="AC514" s="104"/>
      <c r="AD514" s="113">
        <f>S514-Y514</f>
        <v>0</v>
      </c>
    </row>
    <row r="515" spans="2:30" ht="45" hidden="1" customHeight="1">
      <c r="B515" s="174">
        <v>512</v>
      </c>
      <c r="C515" s="104" t="s">
        <v>95</v>
      </c>
      <c r="D515" s="104" t="s">
        <v>1543</v>
      </c>
      <c r="E515" s="104">
        <v>45640</v>
      </c>
      <c r="F515" s="104" t="s">
        <v>35</v>
      </c>
      <c r="G515" s="104" t="s">
        <v>1544</v>
      </c>
      <c r="H515" s="104">
        <v>2488</v>
      </c>
      <c r="I515" s="104">
        <v>5</v>
      </c>
      <c r="J515" s="104" t="s">
        <v>1118</v>
      </c>
      <c r="K515" s="104" t="s">
        <v>1545</v>
      </c>
      <c r="L515" s="104">
        <v>106379</v>
      </c>
      <c r="M515" s="104">
        <v>6</v>
      </c>
      <c r="N515" s="104" t="s">
        <v>34</v>
      </c>
      <c r="O515" s="104" t="s">
        <v>34</v>
      </c>
      <c r="P515" s="104">
        <v>4393767</v>
      </c>
      <c r="Q515" s="106">
        <v>46069</v>
      </c>
      <c r="R515" s="104">
        <v>4507010</v>
      </c>
      <c r="S515" s="160">
        <v>4846</v>
      </c>
      <c r="T515" s="130">
        <v>46081</v>
      </c>
      <c r="U515" s="145">
        <v>775</v>
      </c>
      <c r="V515" s="145" t="s">
        <v>34</v>
      </c>
      <c r="W515" s="145" t="s">
        <v>40</v>
      </c>
      <c r="X515" s="104" t="s">
        <v>44</v>
      </c>
      <c r="Y515" s="194">
        <v>4846</v>
      </c>
      <c r="Z515" s="195">
        <v>46083</v>
      </c>
      <c r="AA515" s="195">
        <v>46085</v>
      </c>
      <c r="AB515" s="104" t="s">
        <v>60</v>
      </c>
      <c r="AC515" s="104"/>
      <c r="AD515" s="113">
        <f>S515-Y515</f>
        <v>0</v>
      </c>
    </row>
    <row r="516" spans="2:30" ht="45" hidden="1" customHeight="1">
      <c r="B516" s="174">
        <v>513</v>
      </c>
      <c r="C516" s="104" t="s">
        <v>224</v>
      </c>
      <c r="D516" s="104" t="s">
        <v>1546</v>
      </c>
      <c r="E516" s="104">
        <v>45373</v>
      </c>
      <c r="F516" s="104" t="s">
        <v>44</v>
      </c>
      <c r="G516" s="145" t="s">
        <v>1547</v>
      </c>
      <c r="H516" s="104">
        <v>1180</v>
      </c>
      <c r="I516" s="104">
        <v>242</v>
      </c>
      <c r="J516" s="104" t="s">
        <v>1459</v>
      </c>
      <c r="K516" s="104" t="s">
        <v>1548</v>
      </c>
      <c r="L516" s="104">
        <v>106652</v>
      </c>
      <c r="M516" s="104">
        <v>6</v>
      </c>
      <c r="N516" s="104"/>
      <c r="O516" s="104"/>
      <c r="P516" s="1">
        <v>4394738</v>
      </c>
      <c r="Q516" s="106">
        <v>46070</v>
      </c>
      <c r="R516" s="104">
        <v>4511150</v>
      </c>
      <c r="S516" s="160">
        <v>132</v>
      </c>
      <c r="T516" s="130">
        <v>46073</v>
      </c>
      <c r="U516" s="145">
        <v>144</v>
      </c>
      <c r="V516" s="145" t="s">
        <v>34</v>
      </c>
      <c r="W516" s="145" t="s">
        <v>48</v>
      </c>
      <c r="X516" s="104" t="s">
        <v>25</v>
      </c>
      <c r="Y516" s="194">
        <v>132</v>
      </c>
      <c r="Z516" s="195">
        <v>46084</v>
      </c>
      <c r="AA516" s="195">
        <v>46098</v>
      </c>
      <c r="AB516" s="104" t="s">
        <v>60</v>
      </c>
      <c r="AC516" s="104"/>
      <c r="AD516" s="113">
        <f>S516-Y516</f>
        <v>0</v>
      </c>
    </row>
    <row r="517" spans="2:30" ht="45" hidden="1" customHeight="1">
      <c r="B517" s="174">
        <v>514</v>
      </c>
      <c r="C517" s="104" t="s">
        <v>282</v>
      </c>
      <c r="D517" s="104" t="s">
        <v>1522</v>
      </c>
      <c r="E517" s="104"/>
      <c r="F517" s="104" t="s">
        <v>44</v>
      </c>
      <c r="G517" s="145" t="s">
        <v>1549</v>
      </c>
      <c r="H517" s="104">
        <v>1236</v>
      </c>
      <c r="I517" s="104">
        <v>242</v>
      </c>
      <c r="J517" s="104" t="s">
        <v>1430</v>
      </c>
      <c r="K517" s="104">
        <v>220</v>
      </c>
      <c r="L517" s="104">
        <v>105182</v>
      </c>
      <c r="M517" s="104">
        <v>29</v>
      </c>
      <c r="N517" s="104" t="s">
        <v>1550</v>
      </c>
      <c r="O517" s="104"/>
      <c r="P517" s="104">
        <v>4395045</v>
      </c>
      <c r="Q517" s="106">
        <v>46070</v>
      </c>
      <c r="R517" s="104">
        <v>4512013</v>
      </c>
      <c r="S517" s="160">
        <v>6711.84</v>
      </c>
      <c r="T517" s="106">
        <v>46083</v>
      </c>
      <c r="U517" s="145"/>
      <c r="V517" s="145"/>
      <c r="W517" s="145"/>
      <c r="X517" s="104"/>
      <c r="Y517" s="194"/>
      <c r="Z517" s="145"/>
      <c r="AA517" s="145"/>
      <c r="AB517" s="104" t="s">
        <v>66</v>
      </c>
      <c r="AC517" s="104"/>
      <c r="AD517" s="113">
        <f>S517-Y517</f>
        <v>6711.84</v>
      </c>
    </row>
    <row r="518" spans="2:30" ht="45" hidden="1" customHeight="1">
      <c r="B518" s="174">
        <v>515</v>
      </c>
      <c r="C518" s="104" t="s">
        <v>70</v>
      </c>
      <c r="D518" s="104" t="s">
        <v>1551</v>
      </c>
      <c r="E518" s="104">
        <v>44748</v>
      </c>
      <c r="F518" s="104" t="s">
        <v>44</v>
      </c>
      <c r="G518" s="145" t="s">
        <v>1552</v>
      </c>
      <c r="H518" s="104">
        <v>2291</v>
      </c>
      <c r="I518" s="104">
        <v>242</v>
      </c>
      <c r="J518" s="104" t="s">
        <v>1430</v>
      </c>
      <c r="K518" s="104" t="s">
        <v>1553</v>
      </c>
      <c r="L518" s="104">
        <v>106483</v>
      </c>
      <c r="M518" s="104">
        <v>6</v>
      </c>
      <c r="N518" s="104" t="s">
        <v>34</v>
      </c>
      <c r="O518" s="104" t="s">
        <v>34</v>
      </c>
      <c r="P518" s="116" t="s">
        <v>1554</v>
      </c>
      <c r="Q518" s="130">
        <v>46070</v>
      </c>
      <c r="R518" s="104">
        <v>4562131</v>
      </c>
      <c r="S518" s="160">
        <v>3300</v>
      </c>
      <c r="T518" s="130">
        <v>46082</v>
      </c>
      <c r="U518" s="118" t="s">
        <v>1555</v>
      </c>
      <c r="V518" s="145" t="s">
        <v>34</v>
      </c>
      <c r="W518" s="104" t="s">
        <v>40</v>
      </c>
      <c r="X518" s="104" t="s">
        <v>25</v>
      </c>
      <c r="Y518" s="194">
        <v>3300</v>
      </c>
      <c r="Z518" s="242" t="s">
        <v>1556</v>
      </c>
      <c r="AA518" s="145"/>
      <c r="AB518" s="104" t="s">
        <v>1425</v>
      </c>
      <c r="AC518" s="104" t="s">
        <v>1174</v>
      </c>
      <c r="AD518" s="113">
        <f>S518-Y518</f>
        <v>0</v>
      </c>
    </row>
    <row r="519" spans="2:30" ht="45" hidden="1" customHeight="1">
      <c r="B519" s="174">
        <v>516</v>
      </c>
      <c r="C519" s="104" t="s">
        <v>224</v>
      </c>
      <c r="D519" s="104" t="s">
        <v>1546</v>
      </c>
      <c r="E519" s="251">
        <v>45642</v>
      </c>
      <c r="F519" s="104" t="s">
        <v>44</v>
      </c>
      <c r="G519" s="145" t="s">
        <v>1557</v>
      </c>
      <c r="H519" s="104">
        <v>1180</v>
      </c>
      <c r="I519" s="104">
        <v>242</v>
      </c>
      <c r="J519" s="104" t="s">
        <v>1459</v>
      </c>
      <c r="K519" s="104" t="s">
        <v>1548</v>
      </c>
      <c r="L519" s="252">
        <v>106665</v>
      </c>
      <c r="M519" s="104">
        <v>6</v>
      </c>
      <c r="N519" s="104"/>
      <c r="O519" s="104"/>
      <c r="P519" s="104">
        <v>4394778</v>
      </c>
      <c r="Q519" s="130">
        <v>46070</v>
      </c>
      <c r="R519" s="104">
        <v>4511152</v>
      </c>
      <c r="S519" s="160">
        <v>155</v>
      </c>
      <c r="T519" s="106">
        <v>46073</v>
      </c>
      <c r="U519" s="145">
        <v>145</v>
      </c>
      <c r="V519" s="145" t="s">
        <v>34</v>
      </c>
      <c r="W519" s="145" t="s">
        <v>48</v>
      </c>
      <c r="X519" s="104" t="s">
        <v>25</v>
      </c>
      <c r="Y519" s="194">
        <v>155</v>
      </c>
      <c r="Z519" s="195">
        <v>46084</v>
      </c>
      <c r="AA519" s="195">
        <v>46098</v>
      </c>
      <c r="AB519" s="104" t="s">
        <v>60</v>
      </c>
      <c r="AC519" s="104"/>
      <c r="AD519" s="113">
        <f>S519-Y519</f>
        <v>0</v>
      </c>
    </row>
    <row r="520" spans="2:30" ht="45" hidden="1" customHeight="1">
      <c r="B520" s="174">
        <v>517</v>
      </c>
      <c r="C520" s="104" t="s">
        <v>282</v>
      </c>
      <c r="D520" s="104" t="s">
        <v>1558</v>
      </c>
      <c r="E520" s="104">
        <v>44136</v>
      </c>
      <c r="F520" s="104" t="s">
        <v>44</v>
      </c>
      <c r="G520" s="145" t="s">
        <v>1559</v>
      </c>
      <c r="H520" s="104">
        <v>1210</v>
      </c>
      <c r="I520" s="104">
        <v>242</v>
      </c>
      <c r="J520" s="104" t="s">
        <v>1118</v>
      </c>
      <c r="K520" s="104" t="s">
        <v>1560</v>
      </c>
      <c r="L520" s="104">
        <v>100448</v>
      </c>
      <c r="M520" s="104">
        <v>6</v>
      </c>
      <c r="N520" s="104" t="s">
        <v>1561</v>
      </c>
      <c r="O520" s="104" t="s">
        <v>34</v>
      </c>
      <c r="P520" s="104">
        <v>4398463</v>
      </c>
      <c r="Q520" s="106">
        <v>46072</v>
      </c>
      <c r="R520" s="104">
        <v>4515116</v>
      </c>
      <c r="S520" s="160">
        <v>46558.879999999997</v>
      </c>
      <c r="T520" s="130">
        <v>46118</v>
      </c>
      <c r="U520" s="145"/>
      <c r="V520" s="145"/>
      <c r="W520" s="145"/>
      <c r="X520" s="104"/>
      <c r="Y520" s="194"/>
      <c r="Z520" s="145"/>
      <c r="AA520" s="145"/>
      <c r="AB520" s="104" t="s">
        <v>66</v>
      </c>
      <c r="AC520" s="104"/>
      <c r="AD520" s="113">
        <f>S520-Y520</f>
        <v>46558.879999999997</v>
      </c>
    </row>
    <row r="521" spans="2:30" ht="45" hidden="1" customHeight="1">
      <c r="B521" s="174">
        <v>518</v>
      </c>
      <c r="C521" s="104" t="s">
        <v>70</v>
      </c>
      <c r="D521" s="104" t="s">
        <v>1562</v>
      </c>
      <c r="E521" s="104" t="s">
        <v>1563</v>
      </c>
      <c r="F521" s="104" t="s">
        <v>44</v>
      </c>
      <c r="G521" s="145" t="s">
        <v>1564</v>
      </c>
      <c r="H521" s="104">
        <v>2224</v>
      </c>
      <c r="I521" s="104">
        <v>170</v>
      </c>
      <c r="J521" s="104" t="s">
        <v>1118</v>
      </c>
      <c r="K521" s="104" t="s">
        <v>1565</v>
      </c>
      <c r="L521" s="104">
        <v>106485</v>
      </c>
      <c r="M521" s="104">
        <v>6</v>
      </c>
      <c r="N521" s="104" t="s">
        <v>34</v>
      </c>
      <c r="O521" s="104" t="s">
        <v>34</v>
      </c>
      <c r="P521" s="104">
        <v>4396904</v>
      </c>
      <c r="Q521" s="106">
        <v>46072</v>
      </c>
      <c r="R521" s="104">
        <v>4508957</v>
      </c>
      <c r="S521" s="160">
        <v>6120</v>
      </c>
      <c r="T521" s="130">
        <v>46082</v>
      </c>
      <c r="U521" s="211" t="s">
        <v>1566</v>
      </c>
      <c r="V521" s="145" t="s">
        <v>34</v>
      </c>
      <c r="W521" s="145" t="s">
        <v>48</v>
      </c>
      <c r="X521" s="104" t="s">
        <v>94</v>
      </c>
      <c r="Y521" s="194">
        <v>6120</v>
      </c>
      <c r="Z521" s="195">
        <v>46120</v>
      </c>
      <c r="AA521" s="195">
        <v>46120</v>
      </c>
      <c r="AB521" s="104" t="s">
        <v>41</v>
      </c>
      <c r="AC521" s="104"/>
      <c r="AD521" s="113">
        <f>S521-Y521</f>
        <v>0</v>
      </c>
    </row>
    <row r="522" spans="2:30" ht="45" hidden="1" customHeight="1">
      <c r="B522" s="174">
        <v>519</v>
      </c>
      <c r="C522" s="104" t="s">
        <v>70</v>
      </c>
      <c r="D522" s="104" t="s">
        <v>1551</v>
      </c>
      <c r="E522" s="104">
        <v>44334</v>
      </c>
      <c r="F522" s="104" t="s">
        <v>44</v>
      </c>
      <c r="G522" s="145" t="s">
        <v>1567</v>
      </c>
      <c r="H522" s="104">
        <v>2275</v>
      </c>
      <c r="I522" s="104">
        <v>242</v>
      </c>
      <c r="J522" s="104" t="s">
        <v>1118</v>
      </c>
      <c r="K522" s="104" t="s">
        <v>1568</v>
      </c>
      <c r="L522" s="104">
        <v>106477</v>
      </c>
      <c r="M522" s="104">
        <v>6</v>
      </c>
      <c r="N522" s="104" t="s">
        <v>34</v>
      </c>
      <c r="O522" s="104" t="s">
        <v>34</v>
      </c>
      <c r="P522" s="116" t="s">
        <v>1569</v>
      </c>
      <c r="Q522" s="106">
        <v>46072</v>
      </c>
      <c r="R522" s="104"/>
      <c r="S522" s="160">
        <v>7700</v>
      </c>
      <c r="T522" s="130">
        <v>46082</v>
      </c>
      <c r="U522" s="145"/>
      <c r="V522" s="145"/>
      <c r="W522" s="145"/>
      <c r="X522" s="104"/>
      <c r="Y522" s="194"/>
      <c r="Z522" s="145"/>
      <c r="AA522" s="145"/>
      <c r="AB522" s="104" t="s">
        <v>115</v>
      </c>
      <c r="AC522" s="104"/>
      <c r="AD522" s="113">
        <f>S522-Y522</f>
        <v>7700</v>
      </c>
    </row>
    <row r="523" spans="2:30" ht="45" hidden="1" customHeight="1">
      <c r="B523" s="174">
        <v>520</v>
      </c>
      <c r="C523" s="104" t="s">
        <v>183</v>
      </c>
      <c r="D523" s="104" t="s">
        <v>184</v>
      </c>
      <c r="E523" s="104">
        <v>42884</v>
      </c>
      <c r="F523" s="104" t="s">
        <v>44</v>
      </c>
      <c r="G523" s="145" t="s">
        <v>1570</v>
      </c>
      <c r="H523" s="104">
        <v>2321</v>
      </c>
      <c r="I523" s="104">
        <v>242</v>
      </c>
      <c r="J523" s="104" t="s">
        <v>1118</v>
      </c>
      <c r="K523" s="104" t="s">
        <v>1571</v>
      </c>
      <c r="L523" s="104">
        <v>106701</v>
      </c>
      <c r="M523" s="104">
        <v>6</v>
      </c>
      <c r="N523" s="104" t="s">
        <v>34</v>
      </c>
      <c r="O523" s="104" t="s">
        <v>34</v>
      </c>
      <c r="P523" s="104">
        <v>4396958</v>
      </c>
      <c r="Q523" s="106">
        <v>46072</v>
      </c>
      <c r="R523" s="104">
        <v>4508958</v>
      </c>
      <c r="S523" s="160">
        <v>2800</v>
      </c>
      <c r="T523" s="130">
        <v>46113</v>
      </c>
      <c r="U523" s="145">
        <v>113</v>
      </c>
      <c r="V523" s="145" t="s">
        <v>34</v>
      </c>
      <c r="W523" s="145" t="s">
        <v>48</v>
      </c>
      <c r="X523" s="104" t="s">
        <v>25</v>
      </c>
      <c r="Y523" s="194">
        <v>2800</v>
      </c>
      <c r="Z523" s="180">
        <v>46084</v>
      </c>
      <c r="AA523" s="195">
        <v>46099</v>
      </c>
      <c r="AB523" s="104" t="s">
        <v>41</v>
      </c>
      <c r="AC523" s="104"/>
      <c r="AD523" s="113">
        <f>S523-Y523</f>
        <v>0</v>
      </c>
    </row>
    <row r="524" spans="2:30" ht="45" hidden="1" customHeight="1">
      <c r="B524" s="174">
        <v>521</v>
      </c>
      <c r="C524" s="104" t="s">
        <v>282</v>
      </c>
      <c r="D524" s="104" t="s">
        <v>1572</v>
      </c>
      <c r="E524" s="104">
        <v>44555</v>
      </c>
      <c r="F524" s="104" t="s">
        <v>44</v>
      </c>
      <c r="G524" s="145" t="s">
        <v>1573</v>
      </c>
      <c r="H524" s="104" t="s">
        <v>1574</v>
      </c>
      <c r="I524" s="104">
        <v>242</v>
      </c>
      <c r="J524" s="104" t="s">
        <v>1575</v>
      </c>
      <c r="K524" s="104" t="s">
        <v>1576</v>
      </c>
      <c r="L524" s="104">
        <v>101945</v>
      </c>
      <c r="M524" s="104">
        <v>6</v>
      </c>
      <c r="N524" s="104" t="s">
        <v>1577</v>
      </c>
      <c r="O524" s="104" t="s">
        <v>34</v>
      </c>
      <c r="P524" s="104">
        <v>4396993</v>
      </c>
      <c r="Q524" s="106">
        <v>46072</v>
      </c>
      <c r="R524" s="104">
        <v>4511194</v>
      </c>
      <c r="S524" s="160">
        <v>11955</v>
      </c>
      <c r="T524" s="130">
        <v>46083</v>
      </c>
      <c r="U524" s="145">
        <v>894</v>
      </c>
      <c r="V524" s="145" t="s">
        <v>34</v>
      </c>
      <c r="W524" s="145" t="s">
        <v>48</v>
      </c>
      <c r="X524" s="104" t="s">
        <v>25</v>
      </c>
      <c r="Y524" s="194">
        <v>5230</v>
      </c>
      <c r="Z524" s="195">
        <v>46092</v>
      </c>
      <c r="AA524" s="195">
        <v>46097</v>
      </c>
      <c r="AB524" s="104" t="s">
        <v>60</v>
      </c>
      <c r="AC524" s="104"/>
      <c r="AD524" s="113">
        <f>S524-Y524</f>
        <v>6725</v>
      </c>
    </row>
    <row r="525" spans="2:30" ht="45" hidden="1" customHeight="1">
      <c r="B525" s="174">
        <v>522</v>
      </c>
      <c r="C525" s="104" t="s">
        <v>70</v>
      </c>
      <c r="D525" s="104" t="s">
        <v>62</v>
      </c>
      <c r="E525" s="104" t="s">
        <v>34</v>
      </c>
      <c r="F525" s="104" t="s">
        <v>44</v>
      </c>
      <c r="G525" s="145" t="s">
        <v>1578</v>
      </c>
      <c r="H525" s="104">
        <v>2330</v>
      </c>
      <c r="I525" s="104">
        <v>242</v>
      </c>
      <c r="J525" s="104" t="s">
        <v>1575</v>
      </c>
      <c r="K525" s="104" t="s">
        <v>1579</v>
      </c>
      <c r="L525" s="104">
        <v>106661</v>
      </c>
      <c r="M525" s="104">
        <v>1</v>
      </c>
      <c r="N525" s="104" t="s">
        <v>34</v>
      </c>
      <c r="O525" s="104" t="s">
        <v>34</v>
      </c>
      <c r="P525" s="116" t="s">
        <v>1580</v>
      </c>
      <c r="Q525" s="106">
        <v>46072</v>
      </c>
      <c r="R525" s="104"/>
      <c r="S525" s="160">
        <v>32400</v>
      </c>
      <c r="T525" s="130">
        <v>46113</v>
      </c>
      <c r="U525" s="145"/>
      <c r="V525" s="145"/>
      <c r="W525" s="145"/>
      <c r="X525" s="104"/>
      <c r="Y525" s="194"/>
      <c r="Z525" s="145"/>
      <c r="AA525" s="145"/>
      <c r="AB525" s="104" t="s">
        <v>115</v>
      </c>
      <c r="AC525" s="104"/>
      <c r="AD525" s="113">
        <f>S525-Y525</f>
        <v>32400</v>
      </c>
    </row>
    <row r="526" spans="2:30" ht="45" hidden="1" customHeight="1">
      <c r="B526" s="174">
        <v>523</v>
      </c>
      <c r="C526" s="104" t="s">
        <v>70</v>
      </c>
      <c r="D526" s="104" t="s">
        <v>138</v>
      </c>
      <c r="E526" s="104">
        <v>45638</v>
      </c>
      <c r="F526" s="104" t="s">
        <v>44</v>
      </c>
      <c r="G526" s="145" t="s">
        <v>1581</v>
      </c>
      <c r="H526" s="104">
        <v>1228</v>
      </c>
      <c r="I526" s="104">
        <v>242</v>
      </c>
      <c r="J526" s="104" t="s">
        <v>1575</v>
      </c>
      <c r="K526" s="104" t="s">
        <v>1582</v>
      </c>
      <c r="L526" s="104">
        <v>106753</v>
      </c>
      <c r="M526" s="104">
        <v>5</v>
      </c>
      <c r="N526" s="104" t="s">
        <v>34</v>
      </c>
      <c r="O526" s="104" t="s">
        <v>34</v>
      </c>
      <c r="P526" s="104">
        <v>4398498</v>
      </c>
      <c r="Q526" s="130">
        <v>46073</v>
      </c>
      <c r="R526" s="104">
        <v>4511596</v>
      </c>
      <c r="S526" s="160">
        <v>3507</v>
      </c>
      <c r="T526" s="130">
        <v>46055</v>
      </c>
      <c r="U526" s="145">
        <v>20328</v>
      </c>
      <c r="V526" s="145" t="s">
        <v>34</v>
      </c>
      <c r="W526" s="145" t="s">
        <v>48</v>
      </c>
      <c r="X526" s="104" t="s">
        <v>94</v>
      </c>
      <c r="Y526" s="194">
        <v>3507</v>
      </c>
      <c r="Z526" s="195">
        <v>46083</v>
      </c>
      <c r="AA526" s="195">
        <v>46083</v>
      </c>
      <c r="AB526" s="104" t="s">
        <v>41</v>
      </c>
      <c r="AC526" s="104"/>
      <c r="AD526" s="113">
        <f>S526-Y526</f>
        <v>0</v>
      </c>
    </row>
    <row r="527" spans="2:30" ht="45" hidden="1" customHeight="1">
      <c r="B527" s="174">
        <v>524</v>
      </c>
      <c r="C527" s="104" t="s">
        <v>70</v>
      </c>
      <c r="D527" s="104" t="s">
        <v>192</v>
      </c>
      <c r="E527" s="104">
        <v>45508</v>
      </c>
      <c r="F527" s="104" t="s">
        <v>35</v>
      </c>
      <c r="G527" s="104" t="s">
        <v>1583</v>
      </c>
      <c r="H527" s="104">
        <v>2224</v>
      </c>
      <c r="I527" s="104">
        <v>242</v>
      </c>
      <c r="J527" s="104" t="s">
        <v>1575</v>
      </c>
      <c r="K527" s="104" t="s">
        <v>1584</v>
      </c>
      <c r="L527" s="104">
        <v>106755</v>
      </c>
      <c r="M527" s="104">
        <v>5</v>
      </c>
      <c r="N527" s="104" t="s">
        <v>34</v>
      </c>
      <c r="O527" s="104" t="s">
        <v>34</v>
      </c>
      <c r="P527" s="104">
        <v>4398631</v>
      </c>
      <c r="Q527" s="130">
        <v>46073</v>
      </c>
      <c r="R527" s="104">
        <v>4511560</v>
      </c>
      <c r="S527" s="160">
        <v>586</v>
      </c>
      <c r="T527" s="130">
        <v>46055</v>
      </c>
      <c r="U527" s="145">
        <v>776</v>
      </c>
      <c r="V527" s="145" t="s">
        <v>34</v>
      </c>
      <c r="W527" s="145" t="s">
        <v>48</v>
      </c>
      <c r="X527" s="104" t="s">
        <v>131</v>
      </c>
      <c r="Y527" s="194">
        <v>586</v>
      </c>
      <c r="Z527" s="195">
        <v>46083</v>
      </c>
      <c r="AA527" s="180">
        <v>46084</v>
      </c>
      <c r="AB527" s="104" t="s">
        <v>41</v>
      </c>
      <c r="AC527" s="104"/>
      <c r="AD527" s="113">
        <f>S527-Y527</f>
        <v>0</v>
      </c>
    </row>
    <row r="528" spans="2:30" ht="45" hidden="1" customHeight="1">
      <c r="B528" s="174">
        <v>525</v>
      </c>
      <c r="C528" s="104" t="s">
        <v>55</v>
      </c>
      <c r="D528" s="104" t="s">
        <v>1016</v>
      </c>
      <c r="E528" s="104">
        <v>44818</v>
      </c>
      <c r="F528" s="104" t="s">
        <v>44</v>
      </c>
      <c r="G528" s="145" t="s">
        <v>1585</v>
      </c>
      <c r="H528" s="104">
        <v>4057</v>
      </c>
      <c r="I528" s="104">
        <v>242</v>
      </c>
      <c r="J528" s="104" t="s">
        <v>1575</v>
      </c>
      <c r="K528" s="104" t="s">
        <v>1586</v>
      </c>
      <c r="L528" s="104">
        <v>106784</v>
      </c>
      <c r="M528" s="104">
        <v>6</v>
      </c>
      <c r="N528" s="104" t="s">
        <v>34</v>
      </c>
      <c r="O528" s="104" t="s">
        <v>34</v>
      </c>
      <c r="P528" s="116" t="s">
        <v>1587</v>
      </c>
      <c r="Q528" s="130">
        <v>46113</v>
      </c>
      <c r="R528" s="104">
        <v>4554785</v>
      </c>
      <c r="S528" s="160">
        <v>3195</v>
      </c>
      <c r="T528" s="130">
        <v>46082</v>
      </c>
      <c r="U528" s="145">
        <v>393</v>
      </c>
      <c r="V528" s="145" t="s">
        <v>34</v>
      </c>
      <c r="W528" s="145" t="s">
        <v>40</v>
      </c>
      <c r="X528" s="149" t="s">
        <v>44</v>
      </c>
      <c r="Y528" s="194">
        <v>3195</v>
      </c>
      <c r="Z528" s="195">
        <v>46126</v>
      </c>
      <c r="AA528" s="195">
        <v>46128</v>
      </c>
      <c r="AB528" s="104" t="s">
        <v>41</v>
      </c>
      <c r="AC528" s="104"/>
      <c r="AD528" s="113">
        <f>S528-Y528</f>
        <v>0</v>
      </c>
    </row>
    <row r="529" spans="2:31" ht="45" hidden="1" customHeight="1">
      <c r="B529" s="174">
        <v>526</v>
      </c>
      <c r="C529" s="104" t="s">
        <v>51</v>
      </c>
      <c r="D529" s="104" t="s">
        <v>192</v>
      </c>
      <c r="E529" s="104" t="s">
        <v>1588</v>
      </c>
      <c r="F529" s="104" t="s">
        <v>44</v>
      </c>
      <c r="G529" s="145" t="s">
        <v>1589</v>
      </c>
      <c r="H529" s="104">
        <v>2291</v>
      </c>
      <c r="I529" s="104">
        <v>242</v>
      </c>
      <c r="J529" s="104" t="s">
        <v>1575</v>
      </c>
      <c r="K529" s="104" t="s">
        <v>1590</v>
      </c>
      <c r="L529" s="104">
        <v>106800</v>
      </c>
      <c r="M529" s="104">
        <v>5</v>
      </c>
      <c r="N529" s="104" t="s">
        <v>1591</v>
      </c>
      <c r="O529" s="104" t="s">
        <v>1592</v>
      </c>
      <c r="P529" s="104">
        <v>4400267</v>
      </c>
      <c r="Q529" s="106">
        <v>46076</v>
      </c>
      <c r="R529" s="104">
        <v>4513016</v>
      </c>
      <c r="S529" s="160">
        <v>4325</v>
      </c>
      <c r="T529" s="104" t="s">
        <v>34</v>
      </c>
      <c r="U529" s="145">
        <v>777</v>
      </c>
      <c r="V529" s="145" t="s">
        <v>34</v>
      </c>
      <c r="W529" s="145" t="s">
        <v>40</v>
      </c>
      <c r="X529" s="104" t="s">
        <v>385</v>
      </c>
      <c r="Y529" s="194">
        <v>4325</v>
      </c>
      <c r="Z529" s="195">
        <v>46083</v>
      </c>
      <c r="AA529" s="195">
        <v>46083</v>
      </c>
      <c r="AB529" s="104" t="s">
        <v>41</v>
      </c>
      <c r="AC529" s="104"/>
      <c r="AD529" s="113">
        <f>S529-Y529</f>
        <v>0</v>
      </c>
    </row>
    <row r="530" spans="2:31" ht="45" hidden="1" customHeight="1">
      <c r="B530" s="174">
        <v>527</v>
      </c>
      <c r="C530" s="104" t="s">
        <v>61</v>
      </c>
      <c r="D530" s="104" t="s">
        <v>1129</v>
      </c>
      <c r="E530" s="104">
        <v>42703</v>
      </c>
      <c r="F530" s="104" t="s">
        <v>44</v>
      </c>
      <c r="G530" s="145" t="s">
        <v>1130</v>
      </c>
      <c r="H530" s="104">
        <v>2488</v>
      </c>
      <c r="I530" s="104">
        <v>242</v>
      </c>
      <c r="J530" s="104" t="s">
        <v>1118</v>
      </c>
      <c r="K530" s="148">
        <v>70864</v>
      </c>
      <c r="L530" s="104">
        <v>100105</v>
      </c>
      <c r="M530" s="104">
        <v>6</v>
      </c>
      <c r="N530" s="104" t="s">
        <v>34</v>
      </c>
      <c r="O530" s="104" t="s">
        <v>34</v>
      </c>
      <c r="P530" s="104">
        <v>4359896</v>
      </c>
      <c r="Q530" s="106">
        <v>46036</v>
      </c>
      <c r="R530" s="110">
        <v>4478325</v>
      </c>
      <c r="S530" s="160">
        <f>AD374</f>
        <v>997.5</v>
      </c>
      <c r="T530" s="108" t="s">
        <v>34</v>
      </c>
      <c r="U530" s="104">
        <v>7070</v>
      </c>
      <c r="V530" s="104"/>
      <c r="W530" s="104" t="s">
        <v>48</v>
      </c>
      <c r="X530" s="104" t="s">
        <v>94</v>
      </c>
      <c r="Y530" s="216">
        <v>997.5</v>
      </c>
      <c r="Z530" s="195">
        <v>46055</v>
      </c>
      <c r="AA530" s="106">
        <v>46121</v>
      </c>
      <c r="AB530" s="104" t="s">
        <v>60</v>
      </c>
      <c r="AC530" s="104"/>
      <c r="AD530" s="196">
        <f>S530-Y530</f>
        <v>0</v>
      </c>
      <c r="AE530" s="170"/>
    </row>
    <row r="531" spans="2:31" ht="45" hidden="1" customHeight="1">
      <c r="B531" s="174">
        <v>528</v>
      </c>
      <c r="C531" s="104" t="s">
        <v>95</v>
      </c>
      <c r="D531" s="104" t="s">
        <v>192</v>
      </c>
      <c r="E531" s="104">
        <v>45640</v>
      </c>
      <c r="F531" s="104" t="s">
        <v>35</v>
      </c>
      <c r="G531" s="260" t="s">
        <v>1593</v>
      </c>
      <c r="H531" s="104">
        <v>2488</v>
      </c>
      <c r="I531" s="104">
        <v>5</v>
      </c>
      <c r="J531" s="104" t="s">
        <v>854</v>
      </c>
      <c r="K531" s="104">
        <v>1205</v>
      </c>
      <c r="L531" s="104">
        <v>106869</v>
      </c>
      <c r="M531" s="104">
        <v>6</v>
      </c>
      <c r="N531" s="104"/>
      <c r="O531" s="104"/>
      <c r="P531" s="104">
        <v>4398734</v>
      </c>
      <c r="Q531" s="130">
        <v>46073</v>
      </c>
      <c r="R531" s="104">
        <v>4511561</v>
      </c>
      <c r="S531" s="160">
        <v>7410</v>
      </c>
      <c r="T531" s="104" t="s">
        <v>34</v>
      </c>
      <c r="U531" s="145">
        <v>774</v>
      </c>
      <c r="V531" s="195">
        <v>46083</v>
      </c>
      <c r="W531" s="145" t="s">
        <v>40</v>
      </c>
      <c r="X531" s="104" t="s">
        <v>44</v>
      </c>
      <c r="Y531" s="194">
        <v>7410</v>
      </c>
      <c r="Z531" s="195">
        <v>46083</v>
      </c>
      <c r="AA531" s="195">
        <v>46085</v>
      </c>
      <c r="AB531" s="104" t="s">
        <v>60</v>
      </c>
      <c r="AC531" s="104"/>
      <c r="AD531" s="113">
        <f>S531-Y531</f>
        <v>0</v>
      </c>
    </row>
    <row r="532" spans="2:31" ht="45" hidden="1" customHeight="1">
      <c r="B532" s="174">
        <v>529</v>
      </c>
      <c r="C532" s="104" t="s">
        <v>32</v>
      </c>
      <c r="D532" s="104" t="s">
        <v>1385</v>
      </c>
      <c r="E532" s="104">
        <v>45047</v>
      </c>
      <c r="F532" s="104" t="s">
        <v>35</v>
      </c>
      <c r="G532" s="260" t="s">
        <v>1594</v>
      </c>
      <c r="H532" s="104">
        <v>2224</v>
      </c>
      <c r="I532" s="104">
        <v>242</v>
      </c>
      <c r="J532" s="104" t="s">
        <v>1118</v>
      </c>
      <c r="K532" s="104" t="s">
        <v>1595</v>
      </c>
      <c r="L532" s="104">
        <v>107090</v>
      </c>
      <c r="M532" s="104">
        <v>6</v>
      </c>
      <c r="N532" s="104" t="s">
        <v>34</v>
      </c>
      <c r="O532" s="104" t="s">
        <v>34</v>
      </c>
      <c r="P532" s="104">
        <v>4398716</v>
      </c>
      <c r="Q532" s="106">
        <v>46073</v>
      </c>
      <c r="R532" s="104">
        <v>4511562</v>
      </c>
      <c r="S532" s="160">
        <v>1045</v>
      </c>
      <c r="T532" s="130">
        <v>46081</v>
      </c>
      <c r="U532" s="145">
        <v>3318</v>
      </c>
      <c r="V532" s="145" t="s">
        <v>34</v>
      </c>
      <c r="W532" s="145" t="s">
        <v>40</v>
      </c>
      <c r="X532" s="104" t="s">
        <v>25</v>
      </c>
      <c r="Y532" s="194">
        <v>1045</v>
      </c>
      <c r="Z532" s="195">
        <v>46092</v>
      </c>
      <c r="AA532" s="195">
        <v>46099</v>
      </c>
      <c r="AB532" s="104" t="s">
        <v>41</v>
      </c>
      <c r="AC532" s="104"/>
      <c r="AD532" s="113">
        <f>S532-Y532</f>
        <v>0</v>
      </c>
    </row>
    <row r="533" spans="2:31" ht="45" hidden="1" customHeight="1">
      <c r="B533" s="174">
        <v>530</v>
      </c>
      <c r="C533" s="104" t="s">
        <v>32</v>
      </c>
      <c r="D533" s="104" t="s">
        <v>1385</v>
      </c>
      <c r="E533" s="104">
        <v>45047</v>
      </c>
      <c r="F533" s="104" t="s">
        <v>35</v>
      </c>
      <c r="G533" s="260" t="s">
        <v>1596</v>
      </c>
      <c r="H533" s="104">
        <v>2151</v>
      </c>
      <c r="I533" s="104">
        <v>242</v>
      </c>
      <c r="J533" s="104" t="s">
        <v>1118</v>
      </c>
      <c r="K533" s="104" t="s">
        <v>1597</v>
      </c>
      <c r="L533" s="104">
        <v>107426</v>
      </c>
      <c r="M533" s="104">
        <v>6</v>
      </c>
      <c r="N533" s="104" t="s">
        <v>34</v>
      </c>
      <c r="O533" s="104" t="s">
        <v>34</v>
      </c>
      <c r="P533" s="104">
        <v>4399959</v>
      </c>
      <c r="Q533" s="106">
        <v>46076</v>
      </c>
      <c r="R533" s="104">
        <v>4512639</v>
      </c>
      <c r="S533" s="160">
        <v>1045</v>
      </c>
      <c r="T533" s="130">
        <v>46081</v>
      </c>
      <c r="U533" s="104">
        <v>3317</v>
      </c>
      <c r="V533" s="145" t="s">
        <v>34</v>
      </c>
      <c r="W533" s="104" t="s">
        <v>40</v>
      </c>
      <c r="X533" s="104" t="s">
        <v>25</v>
      </c>
      <c r="Y533" s="194">
        <v>1045</v>
      </c>
      <c r="Z533" s="195">
        <v>46092</v>
      </c>
      <c r="AA533" s="180">
        <v>46142</v>
      </c>
      <c r="AB533" s="104" t="s">
        <v>41</v>
      </c>
      <c r="AC533" s="104"/>
      <c r="AD533" s="113"/>
    </row>
    <row r="534" spans="2:31" ht="45" hidden="1" customHeight="1">
      <c r="B534" s="174">
        <v>531</v>
      </c>
      <c r="C534" s="104" t="s">
        <v>70</v>
      </c>
      <c r="D534" s="104" t="s">
        <v>1162</v>
      </c>
      <c r="E534" s="104">
        <v>45639</v>
      </c>
      <c r="F534" s="104" t="s">
        <v>44</v>
      </c>
      <c r="G534" s="145" t="s">
        <v>1598</v>
      </c>
      <c r="H534" s="104">
        <v>2291</v>
      </c>
      <c r="I534" s="104">
        <v>242</v>
      </c>
      <c r="J534" s="104" t="s">
        <v>1118</v>
      </c>
      <c r="K534" s="104" t="s">
        <v>1599</v>
      </c>
      <c r="L534" s="104">
        <v>107475</v>
      </c>
      <c r="M534" s="104">
        <v>6</v>
      </c>
      <c r="N534" s="104" t="s">
        <v>34</v>
      </c>
      <c r="O534" s="104" t="s">
        <v>34</v>
      </c>
      <c r="P534" s="104">
        <v>4399980</v>
      </c>
      <c r="Q534" s="106">
        <v>46076</v>
      </c>
      <c r="R534" s="104">
        <v>4512694</v>
      </c>
      <c r="S534" s="160">
        <v>8779.24</v>
      </c>
      <c r="T534" s="130">
        <v>46082</v>
      </c>
      <c r="U534" s="145">
        <v>20364</v>
      </c>
      <c r="V534" s="145" t="s">
        <v>34</v>
      </c>
      <c r="W534" s="145" t="s">
        <v>40</v>
      </c>
      <c r="X534" s="104" t="s">
        <v>44</v>
      </c>
      <c r="Y534" s="194">
        <v>8779.24</v>
      </c>
      <c r="Z534" s="195">
        <v>46090</v>
      </c>
      <c r="AA534" s="195">
        <v>46090</v>
      </c>
      <c r="AB534" s="104" t="s">
        <v>41</v>
      </c>
      <c r="AC534" s="104"/>
      <c r="AD534" s="113">
        <f>S534-Y534</f>
        <v>0</v>
      </c>
    </row>
    <row r="535" spans="2:31" ht="45" hidden="1" customHeight="1">
      <c r="B535" s="174">
        <v>532</v>
      </c>
      <c r="C535" s="104" t="s">
        <v>70</v>
      </c>
      <c r="D535" s="104" t="s">
        <v>1162</v>
      </c>
      <c r="E535" s="104">
        <v>45785</v>
      </c>
      <c r="F535" s="104" t="s">
        <v>44</v>
      </c>
      <c r="G535" s="145" t="s">
        <v>1600</v>
      </c>
      <c r="H535" s="104">
        <v>2283</v>
      </c>
      <c r="I535" s="104">
        <v>242</v>
      </c>
      <c r="J535" s="104" t="s">
        <v>1118</v>
      </c>
      <c r="K535" s="104" t="s">
        <v>1601</v>
      </c>
      <c r="L535" s="104">
        <v>107477</v>
      </c>
      <c r="M535" s="104">
        <v>6</v>
      </c>
      <c r="N535" s="104" t="s">
        <v>34</v>
      </c>
      <c r="O535" s="104" t="s">
        <v>34</v>
      </c>
      <c r="P535" s="104">
        <v>4399989</v>
      </c>
      <c r="Q535" s="106">
        <v>46076</v>
      </c>
      <c r="R535" s="104">
        <v>4512693</v>
      </c>
      <c r="S535" s="160">
        <v>5909.45</v>
      </c>
      <c r="T535" s="130">
        <v>46082</v>
      </c>
      <c r="U535" s="145">
        <v>20466</v>
      </c>
      <c r="V535" s="145"/>
      <c r="W535" s="145" t="s">
        <v>48</v>
      </c>
      <c r="X535" s="104" t="s">
        <v>1081</v>
      </c>
      <c r="Y535" s="194">
        <v>5909.45</v>
      </c>
      <c r="Z535" s="195">
        <v>46113</v>
      </c>
      <c r="AA535" s="180">
        <v>46122</v>
      </c>
      <c r="AB535" s="104" t="s">
        <v>41</v>
      </c>
      <c r="AC535" s="104" t="s">
        <v>1174</v>
      </c>
      <c r="AD535" s="113">
        <f>S535-Y535</f>
        <v>0</v>
      </c>
    </row>
    <row r="536" spans="2:31" ht="45" hidden="1" customHeight="1">
      <c r="B536" s="174">
        <v>533</v>
      </c>
      <c r="C536" s="104" t="s">
        <v>95</v>
      </c>
      <c r="D536" s="104" t="s">
        <v>192</v>
      </c>
      <c r="E536" s="104">
        <v>45968</v>
      </c>
      <c r="F536" s="104" t="s">
        <v>44</v>
      </c>
      <c r="G536" s="145" t="s">
        <v>1602</v>
      </c>
      <c r="H536" s="104">
        <v>2488</v>
      </c>
      <c r="I536" s="104">
        <v>5</v>
      </c>
      <c r="J536" s="104" t="s">
        <v>1459</v>
      </c>
      <c r="K536" s="104">
        <v>1203</v>
      </c>
      <c r="L536" s="104">
        <v>107358</v>
      </c>
      <c r="M536" s="104">
        <v>6</v>
      </c>
      <c r="N536" s="104" t="s">
        <v>34</v>
      </c>
      <c r="O536" s="104" t="s">
        <v>34</v>
      </c>
      <c r="P536" s="104">
        <v>4399987</v>
      </c>
      <c r="Q536" s="106">
        <v>46076</v>
      </c>
      <c r="R536" s="104">
        <v>4512696</v>
      </c>
      <c r="S536" s="160">
        <v>9555.76</v>
      </c>
      <c r="T536" s="130">
        <v>46080</v>
      </c>
      <c r="U536" s="145">
        <v>59</v>
      </c>
      <c r="V536" s="145" t="s">
        <v>34</v>
      </c>
      <c r="W536" s="145" t="s">
        <v>48</v>
      </c>
      <c r="X536" s="104" t="s">
        <v>25</v>
      </c>
      <c r="Y536" s="194">
        <v>9555.76</v>
      </c>
      <c r="Z536" s="195">
        <v>46083</v>
      </c>
      <c r="AA536" s="195">
        <v>46085</v>
      </c>
      <c r="AB536" s="104" t="s">
        <v>60</v>
      </c>
      <c r="AC536" s="104"/>
      <c r="AD536" s="113">
        <f>S536-Y536</f>
        <v>0</v>
      </c>
    </row>
    <row r="537" spans="2:31" ht="45" hidden="1" customHeight="1">
      <c r="B537" s="174">
        <v>534</v>
      </c>
      <c r="C537" s="104" t="s">
        <v>70</v>
      </c>
      <c r="D537" s="104" t="s">
        <v>1162</v>
      </c>
      <c r="E537" s="104">
        <v>45639</v>
      </c>
      <c r="F537" s="104" t="s">
        <v>44</v>
      </c>
      <c r="G537" s="145" t="s">
        <v>1603</v>
      </c>
      <c r="H537" s="104">
        <v>2313</v>
      </c>
      <c r="I537" s="104">
        <v>242</v>
      </c>
      <c r="J537" s="104" t="s">
        <v>1118</v>
      </c>
      <c r="K537" s="104" t="s">
        <v>1604</v>
      </c>
      <c r="L537" s="104">
        <v>107478</v>
      </c>
      <c r="M537" s="104">
        <v>6</v>
      </c>
      <c r="N537" s="104" t="s">
        <v>34</v>
      </c>
      <c r="O537" s="104" t="s">
        <v>34</v>
      </c>
      <c r="P537" s="104">
        <v>4400639</v>
      </c>
      <c r="Q537" s="106">
        <v>46076</v>
      </c>
      <c r="R537" s="104">
        <v>4512691</v>
      </c>
      <c r="S537" s="160">
        <v>5907.11</v>
      </c>
      <c r="T537" s="130">
        <v>46082</v>
      </c>
      <c r="U537" s="145">
        <v>20465</v>
      </c>
      <c r="V537" s="145"/>
      <c r="W537" s="145" t="s">
        <v>48</v>
      </c>
      <c r="X537" s="104" t="s">
        <v>94</v>
      </c>
      <c r="Y537" s="194">
        <v>5907.11</v>
      </c>
      <c r="Z537" s="195">
        <v>46113</v>
      </c>
      <c r="AA537" s="180">
        <v>46122</v>
      </c>
      <c r="AB537" s="104" t="s">
        <v>41</v>
      </c>
      <c r="AC537" s="104" t="s">
        <v>1174</v>
      </c>
      <c r="AD537" s="113">
        <f>S537-Y537</f>
        <v>0</v>
      </c>
    </row>
    <row r="538" spans="2:31" ht="45" hidden="1" customHeight="1">
      <c r="B538" s="174">
        <v>535</v>
      </c>
      <c r="C538" s="104" t="s">
        <v>95</v>
      </c>
      <c r="D538" s="104" t="s">
        <v>1605</v>
      </c>
      <c r="E538" s="104">
        <v>46339</v>
      </c>
      <c r="F538" s="104" t="s">
        <v>44</v>
      </c>
      <c r="G538" s="145" t="s">
        <v>1606</v>
      </c>
      <c r="H538" s="104">
        <v>2348</v>
      </c>
      <c r="I538" s="104">
        <v>5</v>
      </c>
      <c r="J538" s="104" t="s">
        <v>854</v>
      </c>
      <c r="K538" s="104">
        <v>2293</v>
      </c>
      <c r="L538" s="104">
        <v>107407</v>
      </c>
      <c r="M538" s="104">
        <v>6</v>
      </c>
      <c r="N538" s="104" t="s">
        <v>34</v>
      </c>
      <c r="O538" s="104" t="s">
        <v>34</v>
      </c>
      <c r="P538" s="104">
        <v>4400017</v>
      </c>
      <c r="Q538" s="106">
        <v>46076</v>
      </c>
      <c r="R538" s="104">
        <v>4512699</v>
      </c>
      <c r="S538" s="160">
        <v>32400</v>
      </c>
      <c r="T538" s="130">
        <v>46096</v>
      </c>
      <c r="U538" s="145">
        <v>776</v>
      </c>
      <c r="V538" s="145"/>
      <c r="W538" s="145" t="s">
        <v>48</v>
      </c>
      <c r="X538" s="104" t="s">
        <v>25</v>
      </c>
      <c r="Y538" s="194">
        <v>32400</v>
      </c>
      <c r="Z538" s="180">
        <v>46084</v>
      </c>
      <c r="AA538" s="195">
        <v>46085</v>
      </c>
      <c r="AB538" s="104" t="s">
        <v>60</v>
      </c>
      <c r="AC538" s="104"/>
      <c r="AD538" s="113">
        <f>S538-Y538</f>
        <v>0</v>
      </c>
    </row>
    <row r="539" spans="2:31" ht="45" hidden="1" customHeight="1">
      <c r="B539" s="174">
        <v>536</v>
      </c>
      <c r="C539" s="104" t="s">
        <v>55</v>
      </c>
      <c r="D539" s="104" t="s">
        <v>1016</v>
      </c>
      <c r="E539" s="104" t="s">
        <v>34</v>
      </c>
      <c r="F539" s="104" t="s">
        <v>44</v>
      </c>
      <c r="G539" s="145" t="s">
        <v>1607</v>
      </c>
      <c r="H539" s="104">
        <v>4057</v>
      </c>
      <c r="I539" s="104">
        <v>242</v>
      </c>
      <c r="J539" s="104" t="s">
        <v>1118</v>
      </c>
      <c r="K539" s="104" t="s">
        <v>1608</v>
      </c>
      <c r="L539" s="104">
        <v>107491</v>
      </c>
      <c r="M539" s="104">
        <v>5</v>
      </c>
      <c r="N539" s="104" t="s">
        <v>1609</v>
      </c>
      <c r="O539" s="104" t="s">
        <v>48</v>
      </c>
      <c r="P539" s="104">
        <v>4400631</v>
      </c>
      <c r="Q539" s="130">
        <v>46076</v>
      </c>
      <c r="R539" s="104">
        <v>4513017</v>
      </c>
      <c r="S539" s="160">
        <v>3850</v>
      </c>
      <c r="T539" s="130">
        <v>46054</v>
      </c>
      <c r="U539" s="145">
        <v>271</v>
      </c>
      <c r="V539" s="145" t="s">
        <v>34</v>
      </c>
      <c r="W539" s="145" t="s">
        <v>48</v>
      </c>
      <c r="X539" s="104" t="s">
        <v>94</v>
      </c>
      <c r="Y539" s="194">
        <v>3850</v>
      </c>
      <c r="Z539" s="180">
        <v>46094</v>
      </c>
      <c r="AA539" s="195">
        <v>46097</v>
      </c>
      <c r="AB539" s="104" t="s">
        <v>41</v>
      </c>
      <c r="AC539" s="104"/>
      <c r="AD539" s="113">
        <f>S539-Y539</f>
        <v>0</v>
      </c>
    </row>
    <row r="540" spans="2:31" ht="45" hidden="1" customHeight="1">
      <c r="B540" s="174">
        <v>537</v>
      </c>
      <c r="C540" s="104" t="s">
        <v>95</v>
      </c>
      <c r="D540" s="104" t="s">
        <v>1610</v>
      </c>
      <c r="E540" s="104" t="s">
        <v>34</v>
      </c>
      <c r="F540" s="104" t="s">
        <v>44</v>
      </c>
      <c r="G540" s="145" t="s">
        <v>1611</v>
      </c>
      <c r="H540" s="104" t="s">
        <v>1612</v>
      </c>
      <c r="I540" s="104">
        <v>5</v>
      </c>
      <c r="J540" s="104" t="s">
        <v>1459</v>
      </c>
      <c r="K540" s="104">
        <v>3849</v>
      </c>
      <c r="L540" s="104">
        <v>107412</v>
      </c>
      <c r="M540" s="104">
        <v>5</v>
      </c>
      <c r="N540" s="104" t="s">
        <v>1613</v>
      </c>
      <c r="O540" s="104"/>
      <c r="P540" s="104">
        <v>4400034</v>
      </c>
      <c r="Q540" s="106">
        <v>46076</v>
      </c>
      <c r="R540" s="104">
        <v>4517248</v>
      </c>
      <c r="S540" s="160">
        <v>24990</v>
      </c>
      <c r="T540" s="130">
        <v>46097</v>
      </c>
      <c r="U540" s="145">
        <v>2159</v>
      </c>
      <c r="V540" s="145" t="s">
        <v>34</v>
      </c>
      <c r="W540" s="145" t="s">
        <v>40</v>
      </c>
      <c r="X540" s="104" t="s">
        <v>44</v>
      </c>
      <c r="Y540" s="194">
        <v>24990</v>
      </c>
      <c r="Z540" s="195">
        <v>46086</v>
      </c>
      <c r="AA540" s="195">
        <v>46093</v>
      </c>
      <c r="AB540" s="104" t="s">
        <v>60</v>
      </c>
      <c r="AC540" s="104"/>
      <c r="AD540" s="113">
        <f>S540-Y540</f>
        <v>0</v>
      </c>
    </row>
    <row r="541" spans="2:31" ht="45" hidden="1" customHeight="1">
      <c r="B541" s="174">
        <v>538</v>
      </c>
      <c r="C541" s="104" t="s">
        <v>282</v>
      </c>
      <c r="D541" s="104" t="s">
        <v>801</v>
      </c>
      <c r="E541" s="104" t="s">
        <v>34</v>
      </c>
      <c r="F541" s="104" t="s">
        <v>44</v>
      </c>
      <c r="G541" s="145" t="s">
        <v>1614</v>
      </c>
      <c r="H541" s="104">
        <v>1236</v>
      </c>
      <c r="I541" s="104">
        <v>242</v>
      </c>
      <c r="J541" s="104" t="s">
        <v>1118</v>
      </c>
      <c r="K541" s="104" t="s">
        <v>1615</v>
      </c>
      <c r="L541" s="104">
        <v>107220</v>
      </c>
      <c r="M541" s="104">
        <v>5</v>
      </c>
      <c r="N541" s="104" t="s">
        <v>1616</v>
      </c>
      <c r="O541" s="104" t="s">
        <v>34</v>
      </c>
      <c r="P541" s="116" t="s">
        <v>1617</v>
      </c>
      <c r="Q541" s="106">
        <v>46094</v>
      </c>
      <c r="R541" s="104">
        <v>4537762</v>
      </c>
      <c r="S541" s="160">
        <v>2725.92</v>
      </c>
      <c r="T541" s="130">
        <v>46080</v>
      </c>
      <c r="U541" s="145">
        <v>463</v>
      </c>
      <c r="V541" s="145" t="s">
        <v>34</v>
      </c>
      <c r="W541" s="145" t="s">
        <v>40</v>
      </c>
      <c r="X541" s="104" t="s">
        <v>25</v>
      </c>
      <c r="Y541" s="194">
        <v>2725.92</v>
      </c>
      <c r="Z541" s="195">
        <v>46106</v>
      </c>
      <c r="AA541" s="195">
        <v>46106</v>
      </c>
      <c r="AB541" s="104" t="s">
        <v>60</v>
      </c>
      <c r="AC541" s="104"/>
      <c r="AD541" s="113">
        <f>S541-Y541</f>
        <v>0</v>
      </c>
    </row>
    <row r="542" spans="2:31" ht="45" hidden="1" customHeight="1">
      <c r="B542" s="174">
        <v>539</v>
      </c>
      <c r="C542" s="104" t="s">
        <v>282</v>
      </c>
      <c r="D542" s="104" t="s">
        <v>409</v>
      </c>
      <c r="E542" s="104">
        <v>46143</v>
      </c>
      <c r="F542" s="104" t="s">
        <v>35</v>
      </c>
      <c r="G542" s="260" t="s">
        <v>1618</v>
      </c>
      <c r="H542" s="104" t="s">
        <v>1619</v>
      </c>
      <c r="I542" s="104">
        <v>242</v>
      </c>
      <c r="J542" s="104" t="s">
        <v>1118</v>
      </c>
      <c r="K542" s="104" t="s">
        <v>1620</v>
      </c>
      <c r="L542" s="104">
        <v>106772</v>
      </c>
      <c r="M542" s="104">
        <v>6</v>
      </c>
      <c r="N542" s="104" t="s">
        <v>34</v>
      </c>
      <c r="O542" s="104" t="s">
        <v>34</v>
      </c>
      <c r="P542" s="104">
        <v>4400136</v>
      </c>
      <c r="Q542" s="106">
        <v>46076</v>
      </c>
      <c r="R542" s="104">
        <v>4512638</v>
      </c>
      <c r="S542" s="160">
        <v>3262</v>
      </c>
      <c r="T542" s="106">
        <v>46076</v>
      </c>
      <c r="U542" s="145">
        <v>778</v>
      </c>
      <c r="V542" s="145" t="s">
        <v>34</v>
      </c>
      <c r="W542" s="145" t="s">
        <v>48</v>
      </c>
      <c r="X542" s="104" t="s">
        <v>131</v>
      </c>
      <c r="Y542" s="194">
        <v>3262</v>
      </c>
      <c r="Z542" s="195">
        <v>46083</v>
      </c>
      <c r="AA542" s="195">
        <v>46084</v>
      </c>
      <c r="AB542" s="104" t="s">
        <v>60</v>
      </c>
      <c r="AC542" s="104"/>
      <c r="AD542" s="113">
        <f>S542-Y542</f>
        <v>0</v>
      </c>
    </row>
    <row r="543" spans="2:31" ht="45" hidden="1" customHeight="1">
      <c r="B543" s="174">
        <v>540</v>
      </c>
      <c r="C543" s="104" t="s">
        <v>80</v>
      </c>
      <c r="D543" s="104" t="s">
        <v>1621</v>
      </c>
      <c r="E543" s="104">
        <v>44951</v>
      </c>
      <c r="F543" s="104" t="s">
        <v>44</v>
      </c>
      <c r="G543" s="145" t="s">
        <v>1622</v>
      </c>
      <c r="H543" s="104">
        <v>1155</v>
      </c>
      <c r="I543" s="104">
        <v>242</v>
      </c>
      <c r="J543" s="104" t="s">
        <v>1575</v>
      </c>
      <c r="K543" s="104" t="s">
        <v>1623</v>
      </c>
      <c r="L543" s="104">
        <v>107403</v>
      </c>
      <c r="M543" s="104">
        <v>6</v>
      </c>
      <c r="N543" s="104" t="s">
        <v>34</v>
      </c>
      <c r="O543" s="104" t="s">
        <v>34</v>
      </c>
      <c r="P543" s="119" t="s">
        <v>1624</v>
      </c>
      <c r="Q543" s="106">
        <v>46076</v>
      </c>
      <c r="R543" s="104">
        <v>4512697</v>
      </c>
      <c r="S543" s="160">
        <v>290</v>
      </c>
      <c r="T543" s="106">
        <v>46084</v>
      </c>
      <c r="U543" s="145">
        <v>27489</v>
      </c>
      <c r="V543" s="145" t="s">
        <v>34</v>
      </c>
      <c r="W543" s="145" t="s">
        <v>40</v>
      </c>
      <c r="X543" s="104" t="s">
        <v>44</v>
      </c>
      <c r="Y543" s="194">
        <v>290</v>
      </c>
      <c r="Z543" s="195">
        <v>46099</v>
      </c>
      <c r="AA543" s="195">
        <v>46121</v>
      </c>
      <c r="AB543" s="104" t="s">
        <v>60</v>
      </c>
      <c r="AC543" s="104"/>
      <c r="AD543" s="113">
        <f>S543-Y543</f>
        <v>0</v>
      </c>
    </row>
    <row r="544" spans="2:31" ht="45" hidden="1" customHeight="1">
      <c r="B544" s="174">
        <v>541</v>
      </c>
      <c r="C544" s="104" t="s">
        <v>32</v>
      </c>
      <c r="D544" s="104" t="s">
        <v>1385</v>
      </c>
      <c r="E544" s="104">
        <v>45047</v>
      </c>
      <c r="F544" s="104" t="s">
        <v>35</v>
      </c>
      <c r="G544" s="260" t="s">
        <v>1625</v>
      </c>
      <c r="H544" s="104">
        <v>2488</v>
      </c>
      <c r="I544" s="104">
        <v>242</v>
      </c>
      <c r="J544" s="104" t="s">
        <v>1575</v>
      </c>
      <c r="K544" s="104" t="s">
        <v>1626</v>
      </c>
      <c r="L544" s="104">
        <v>107076</v>
      </c>
      <c r="M544" s="104">
        <v>6</v>
      </c>
      <c r="N544" s="104" t="s">
        <v>34</v>
      </c>
      <c r="O544" s="104" t="s">
        <v>34</v>
      </c>
      <c r="P544" s="116" t="s">
        <v>1627</v>
      </c>
      <c r="Q544" s="106">
        <v>46076</v>
      </c>
      <c r="R544" s="104"/>
      <c r="S544" s="160">
        <v>1100</v>
      </c>
      <c r="T544" s="106">
        <v>46081</v>
      </c>
      <c r="U544" s="145"/>
      <c r="V544" s="145"/>
      <c r="W544" s="145"/>
      <c r="X544" s="104"/>
      <c r="Y544" s="194"/>
      <c r="Z544" s="145"/>
      <c r="AA544" s="145"/>
      <c r="AB544" s="104" t="s">
        <v>115</v>
      </c>
      <c r="AC544" s="104"/>
      <c r="AD544" s="113">
        <f>S544-Y544</f>
        <v>1100</v>
      </c>
    </row>
    <row r="545" spans="2:30" ht="45" hidden="1" customHeight="1">
      <c r="B545" s="174">
        <v>542</v>
      </c>
      <c r="C545" s="104" t="s">
        <v>282</v>
      </c>
      <c r="D545" s="104" t="s">
        <v>801</v>
      </c>
      <c r="E545" s="104">
        <v>46209</v>
      </c>
      <c r="F545" s="104" t="s">
        <v>44</v>
      </c>
      <c r="G545" s="145" t="s">
        <v>1628</v>
      </c>
      <c r="H545" s="104">
        <v>1210</v>
      </c>
      <c r="I545" s="104">
        <v>242</v>
      </c>
      <c r="J545" s="104" t="s">
        <v>1575</v>
      </c>
      <c r="K545" s="104" t="s">
        <v>1629</v>
      </c>
      <c r="L545" s="104">
        <v>106988</v>
      </c>
      <c r="M545" s="104">
        <v>5</v>
      </c>
      <c r="N545" s="104" t="s">
        <v>1630</v>
      </c>
      <c r="O545" s="104" t="s">
        <v>34</v>
      </c>
      <c r="P545" s="119" t="s">
        <v>1631</v>
      </c>
      <c r="Q545" s="106">
        <v>46094</v>
      </c>
      <c r="R545" s="104">
        <v>4537759</v>
      </c>
      <c r="S545" s="160">
        <v>550</v>
      </c>
      <c r="T545" s="104" t="s">
        <v>34</v>
      </c>
      <c r="U545" s="145">
        <v>464</v>
      </c>
      <c r="V545" s="145" t="s">
        <v>34</v>
      </c>
      <c r="W545" s="145" t="s">
        <v>40</v>
      </c>
      <c r="X545" s="104" t="s">
        <v>25</v>
      </c>
      <c r="Y545" s="194">
        <v>550</v>
      </c>
      <c r="Z545" s="195">
        <v>46106</v>
      </c>
      <c r="AA545" s="195">
        <v>46106</v>
      </c>
      <c r="AB545" s="104" t="s">
        <v>60</v>
      </c>
      <c r="AC545" s="104"/>
      <c r="AD545" s="113">
        <f>S545-Y545</f>
        <v>0</v>
      </c>
    </row>
    <row r="546" spans="2:30" ht="45" hidden="1" customHeight="1">
      <c r="B546" s="174">
        <v>543</v>
      </c>
      <c r="C546" s="104" t="s">
        <v>80</v>
      </c>
      <c r="D546" s="104" t="s">
        <v>1632</v>
      </c>
      <c r="E546" s="104">
        <v>45744</v>
      </c>
      <c r="F546" s="104" t="s">
        <v>44</v>
      </c>
      <c r="G546" s="145" t="s">
        <v>1633</v>
      </c>
      <c r="H546" s="104">
        <v>2101</v>
      </c>
      <c r="I546" s="104">
        <v>242</v>
      </c>
      <c r="J546" s="104" t="s">
        <v>1575</v>
      </c>
      <c r="K546" s="104" t="s">
        <v>1634</v>
      </c>
      <c r="L546" s="104">
        <v>107330</v>
      </c>
      <c r="M546" s="104">
        <v>6</v>
      </c>
      <c r="N546" s="104" t="s">
        <v>34</v>
      </c>
      <c r="O546" s="104" t="s">
        <v>34</v>
      </c>
      <c r="P546" s="116" t="s">
        <v>1635</v>
      </c>
      <c r="Q546" s="106">
        <v>46076</v>
      </c>
      <c r="R546" s="104">
        <v>4522698</v>
      </c>
      <c r="S546" s="160">
        <v>490</v>
      </c>
      <c r="T546" s="104"/>
      <c r="U546" s="145">
        <v>6990</v>
      </c>
      <c r="V546" s="145" t="s">
        <v>34</v>
      </c>
      <c r="W546" s="145" t="s">
        <v>48</v>
      </c>
      <c r="X546" s="104" t="s">
        <v>25</v>
      </c>
      <c r="Y546" s="194">
        <v>490</v>
      </c>
      <c r="Z546" s="195">
        <v>46091</v>
      </c>
      <c r="AA546" s="195">
        <v>46112</v>
      </c>
      <c r="AB546" s="104" t="s">
        <v>60</v>
      </c>
      <c r="AC546" s="104"/>
      <c r="AD546" s="113">
        <f>S546-Y546</f>
        <v>0</v>
      </c>
    </row>
    <row r="547" spans="2:30" ht="45" hidden="1" customHeight="1">
      <c r="B547" s="174">
        <v>544</v>
      </c>
      <c r="C547" s="104" t="s">
        <v>291</v>
      </c>
      <c r="D547" s="104" t="s">
        <v>33</v>
      </c>
      <c r="E547" s="104">
        <v>44127</v>
      </c>
      <c r="F547" s="104" t="s">
        <v>35</v>
      </c>
      <c r="G547" s="260" t="s">
        <v>1636</v>
      </c>
      <c r="H547" s="104">
        <v>2488</v>
      </c>
      <c r="I547" s="104">
        <v>242</v>
      </c>
      <c r="J547" s="104" t="s">
        <v>1575</v>
      </c>
      <c r="K547" s="104" t="s">
        <v>1637</v>
      </c>
      <c r="L547" s="104">
        <v>105193</v>
      </c>
      <c r="M547" s="104">
        <v>6</v>
      </c>
      <c r="N547" s="104" t="s">
        <v>34</v>
      </c>
      <c r="O547" s="104" t="s">
        <v>34</v>
      </c>
      <c r="P547" s="104">
        <v>4400288</v>
      </c>
      <c r="Q547" s="106">
        <v>46076</v>
      </c>
      <c r="R547" s="104">
        <v>4512642</v>
      </c>
      <c r="S547" s="160">
        <v>9980</v>
      </c>
      <c r="T547" s="104"/>
      <c r="U547" s="145"/>
      <c r="V547" s="145"/>
      <c r="W547" s="145"/>
      <c r="X547" s="104"/>
      <c r="Y547" s="194"/>
      <c r="Z547" s="145"/>
      <c r="AA547" s="145"/>
      <c r="AB547" s="104" t="s">
        <v>66</v>
      </c>
      <c r="AC547" s="104"/>
      <c r="AD547" s="113">
        <f>S547-Y547</f>
        <v>9980</v>
      </c>
    </row>
    <row r="548" spans="2:30" ht="45" hidden="1" customHeight="1">
      <c r="B548" s="174">
        <v>545</v>
      </c>
      <c r="C548" s="104" t="s">
        <v>241</v>
      </c>
      <c r="D548" s="104" t="s">
        <v>1638</v>
      </c>
      <c r="E548" s="104" t="s">
        <v>34</v>
      </c>
      <c r="F548" s="104" t="s">
        <v>44</v>
      </c>
      <c r="G548" s="145" t="s">
        <v>1465</v>
      </c>
      <c r="H548" s="104">
        <v>2321</v>
      </c>
      <c r="I548" s="104">
        <v>242</v>
      </c>
      <c r="J548" s="104" t="s">
        <v>1575</v>
      </c>
      <c r="K548" s="104" t="s">
        <v>1639</v>
      </c>
      <c r="L548" s="104">
        <v>104878</v>
      </c>
      <c r="M548" s="104">
        <v>5</v>
      </c>
      <c r="N548" s="104" t="s">
        <v>1640</v>
      </c>
      <c r="O548" s="104" t="s">
        <v>48</v>
      </c>
      <c r="P548" s="104">
        <v>4404364</v>
      </c>
      <c r="Q548" s="106">
        <v>46079</v>
      </c>
      <c r="R548" s="104">
        <v>4517901</v>
      </c>
      <c r="S548" s="160">
        <v>13300</v>
      </c>
      <c r="T548" s="130">
        <v>46073</v>
      </c>
      <c r="U548" s="145" t="s">
        <v>1641</v>
      </c>
      <c r="V548" s="145" t="s">
        <v>34</v>
      </c>
      <c r="W548" s="145" t="s">
        <v>48</v>
      </c>
      <c r="X548" s="104" t="s">
        <v>25</v>
      </c>
      <c r="Y548" s="194">
        <v>13300</v>
      </c>
      <c r="Z548" s="195">
        <v>46090</v>
      </c>
      <c r="AA548" s="195">
        <v>46121</v>
      </c>
      <c r="AB548" s="104" t="s">
        <v>60</v>
      </c>
      <c r="AC548" s="104"/>
      <c r="AD548" s="113">
        <f>S548-Y548</f>
        <v>0</v>
      </c>
    </row>
    <row r="549" spans="2:30" ht="45" hidden="1" customHeight="1">
      <c r="B549" s="174">
        <v>546</v>
      </c>
      <c r="C549" s="104" t="s">
        <v>61</v>
      </c>
      <c r="D549" s="104" t="s">
        <v>1642</v>
      </c>
      <c r="E549" s="104" t="s">
        <v>34</v>
      </c>
      <c r="F549" s="104" t="s">
        <v>44</v>
      </c>
      <c r="G549" s="145" t="s">
        <v>1643</v>
      </c>
      <c r="H549" s="104">
        <v>2488</v>
      </c>
      <c r="I549" s="104">
        <v>242</v>
      </c>
      <c r="J549" s="104" t="s">
        <v>1575</v>
      </c>
      <c r="K549" s="104" t="s">
        <v>1644</v>
      </c>
      <c r="L549" s="104">
        <v>108260</v>
      </c>
      <c r="M549" s="104">
        <v>29</v>
      </c>
      <c r="N549" s="104" t="s">
        <v>1645</v>
      </c>
      <c r="O549" s="104" t="s">
        <v>34</v>
      </c>
      <c r="P549" s="104">
        <v>4404393</v>
      </c>
      <c r="Q549" s="106">
        <v>46079</v>
      </c>
      <c r="R549" s="104">
        <v>4519746</v>
      </c>
      <c r="S549" s="160">
        <v>4945.28</v>
      </c>
      <c r="T549" s="130">
        <v>46101</v>
      </c>
      <c r="U549" s="145"/>
      <c r="V549" s="145"/>
      <c r="W549" s="145"/>
      <c r="X549" s="104"/>
      <c r="Y549" s="194"/>
      <c r="Z549" s="145"/>
      <c r="AA549" s="145"/>
      <c r="AB549" s="104" t="s">
        <v>66</v>
      </c>
      <c r="AC549" s="104"/>
      <c r="AD549" s="113">
        <f>S549-Y549</f>
        <v>4945.28</v>
      </c>
    </row>
    <row r="550" spans="2:30" ht="45" hidden="1" customHeight="1">
      <c r="B550" s="174">
        <v>547</v>
      </c>
      <c r="C550" s="104" t="s">
        <v>32</v>
      </c>
      <c r="D550" s="104" t="s">
        <v>33</v>
      </c>
      <c r="E550" s="104">
        <v>46556</v>
      </c>
      <c r="F550" s="104" t="s">
        <v>35</v>
      </c>
      <c r="G550" s="260" t="s">
        <v>1646</v>
      </c>
      <c r="H550" s="104">
        <v>2275</v>
      </c>
      <c r="I550" s="104">
        <v>242</v>
      </c>
      <c r="J550" s="104" t="s">
        <v>1575</v>
      </c>
      <c r="K550" s="104" t="s">
        <v>1647</v>
      </c>
      <c r="L550" s="104">
        <v>108078</v>
      </c>
      <c r="M550" s="104">
        <v>6</v>
      </c>
      <c r="N550" s="104" t="s">
        <v>34</v>
      </c>
      <c r="O550" s="104" t="s">
        <v>34</v>
      </c>
      <c r="P550" s="104">
        <v>4404493</v>
      </c>
      <c r="Q550" s="106">
        <v>46079</v>
      </c>
      <c r="R550" s="104">
        <v>4518017</v>
      </c>
      <c r="S550" s="160">
        <v>2090</v>
      </c>
      <c r="T550" s="130">
        <v>46081</v>
      </c>
      <c r="U550" s="145">
        <v>3319</v>
      </c>
      <c r="V550" s="145" t="s">
        <v>34</v>
      </c>
      <c r="W550" s="145" t="s">
        <v>40</v>
      </c>
      <c r="X550" s="104" t="s">
        <v>25</v>
      </c>
      <c r="Y550" s="194">
        <v>2090</v>
      </c>
      <c r="Z550" s="195">
        <v>46092</v>
      </c>
      <c r="AA550" s="195">
        <v>46099</v>
      </c>
      <c r="AB550" s="104" t="s">
        <v>41</v>
      </c>
      <c r="AC550" s="104"/>
      <c r="AD550" s="113">
        <f>S550-Y550</f>
        <v>0</v>
      </c>
    </row>
    <row r="551" spans="2:30" ht="45" hidden="1" customHeight="1">
      <c r="B551" s="174">
        <v>548</v>
      </c>
      <c r="C551" s="104" t="s">
        <v>95</v>
      </c>
      <c r="D551" s="104" t="s">
        <v>198</v>
      </c>
      <c r="E551" s="104" t="s">
        <v>34</v>
      </c>
      <c r="F551" s="104" t="s">
        <v>44</v>
      </c>
      <c r="G551" s="145" t="s">
        <v>199</v>
      </c>
      <c r="H551" s="104">
        <v>4502</v>
      </c>
      <c r="I551" s="104">
        <v>326</v>
      </c>
      <c r="J551" s="104" t="s">
        <v>46</v>
      </c>
      <c r="K551" s="104" t="s">
        <v>196</v>
      </c>
      <c r="L551" s="104" t="s">
        <v>34</v>
      </c>
      <c r="M551" s="104">
        <v>1</v>
      </c>
      <c r="N551" s="104" t="s">
        <v>34</v>
      </c>
      <c r="O551" s="104" t="s">
        <v>34</v>
      </c>
      <c r="P551" s="104">
        <v>4225878</v>
      </c>
      <c r="Q551" s="106">
        <v>45898</v>
      </c>
      <c r="R551" s="104">
        <v>4350173</v>
      </c>
      <c r="S551" s="160">
        <v>303708.43</v>
      </c>
      <c r="T551" s="108" t="s">
        <v>34</v>
      </c>
      <c r="U551" s="104">
        <v>533</v>
      </c>
      <c r="V551" s="104" t="s">
        <v>34</v>
      </c>
      <c r="W551" s="104" t="s">
        <v>40</v>
      </c>
      <c r="X551" s="104" t="s">
        <v>44</v>
      </c>
      <c r="Y551" s="131">
        <v>50170</v>
      </c>
      <c r="Z551" s="106">
        <v>46048</v>
      </c>
      <c r="AA551" s="106">
        <v>46079</v>
      </c>
      <c r="AB551" s="104" t="s">
        <v>54</v>
      </c>
      <c r="AC551" s="104"/>
      <c r="AD551" s="113">
        <f>S551-Y551</f>
        <v>253538.43</v>
      </c>
    </row>
    <row r="552" spans="2:30" ht="45" hidden="1" customHeight="1">
      <c r="B552" s="174">
        <v>549</v>
      </c>
      <c r="C552" s="104" t="s">
        <v>95</v>
      </c>
      <c r="D552" s="104" t="s">
        <v>1648</v>
      </c>
      <c r="E552" s="104" t="s">
        <v>34</v>
      </c>
      <c r="F552" s="104" t="s">
        <v>44</v>
      </c>
      <c r="G552" s="145" t="s">
        <v>1649</v>
      </c>
      <c r="H552" s="104">
        <v>4502</v>
      </c>
      <c r="I552" s="104">
        <v>332</v>
      </c>
      <c r="J552" s="104" t="s">
        <v>1575</v>
      </c>
      <c r="K552" s="104" t="s">
        <v>1650</v>
      </c>
      <c r="L552" s="104" t="s">
        <v>34</v>
      </c>
      <c r="M552" s="104">
        <v>1</v>
      </c>
      <c r="N552" s="104" t="s">
        <v>34</v>
      </c>
      <c r="O552" s="104" t="s">
        <v>34</v>
      </c>
      <c r="P552" s="104">
        <v>4271853</v>
      </c>
      <c r="Q552" s="130">
        <v>46310</v>
      </c>
      <c r="R552" s="104">
        <v>4391682</v>
      </c>
      <c r="S552" s="160">
        <v>50000</v>
      </c>
      <c r="T552" s="104" t="s">
        <v>34</v>
      </c>
      <c r="U552" s="145">
        <v>2211</v>
      </c>
      <c r="V552" s="145" t="s">
        <v>34</v>
      </c>
      <c r="W552" s="104" t="s">
        <v>40</v>
      </c>
      <c r="X552" s="104" t="s">
        <v>44</v>
      </c>
      <c r="Y552" s="131">
        <v>50000</v>
      </c>
      <c r="Z552" s="195">
        <v>46374</v>
      </c>
      <c r="AA552" s="195">
        <v>46079</v>
      </c>
      <c r="AB552" s="104" t="s">
        <v>60</v>
      </c>
      <c r="AC552" s="104"/>
      <c r="AD552" s="113">
        <f>S552-Y552</f>
        <v>0</v>
      </c>
    </row>
    <row r="553" spans="2:30" ht="45" hidden="1" customHeight="1">
      <c r="B553" s="174">
        <v>550</v>
      </c>
      <c r="C553" s="104" t="s">
        <v>137</v>
      </c>
      <c r="D553" s="104" t="s">
        <v>709</v>
      </c>
      <c r="E553" s="104" t="s">
        <v>34</v>
      </c>
      <c r="F553" s="104" t="s">
        <v>44</v>
      </c>
      <c r="G553" s="145" t="s">
        <v>1651</v>
      </c>
      <c r="H553" s="104">
        <v>2330</v>
      </c>
      <c r="I553" s="104">
        <v>5</v>
      </c>
      <c r="J553" s="104" t="s">
        <v>1575</v>
      </c>
      <c r="K553" s="104" t="s">
        <v>1652</v>
      </c>
      <c r="L553" s="104">
        <v>108032</v>
      </c>
      <c r="M553" s="104">
        <v>2</v>
      </c>
      <c r="N553" s="104" t="s">
        <v>34</v>
      </c>
      <c r="O553" s="104" t="s">
        <v>34</v>
      </c>
      <c r="P553" s="104">
        <v>4405280</v>
      </c>
      <c r="Q553" s="106">
        <v>46080</v>
      </c>
      <c r="R553" s="104">
        <v>4516742</v>
      </c>
      <c r="S553" s="160">
        <v>18204</v>
      </c>
      <c r="T553" s="104"/>
      <c r="U553" s="145">
        <v>424</v>
      </c>
      <c r="V553" s="145" t="s">
        <v>34</v>
      </c>
      <c r="W553" s="145" t="s">
        <v>40</v>
      </c>
      <c r="X553" s="104" t="s">
        <v>25</v>
      </c>
      <c r="Y553" s="194">
        <v>18204</v>
      </c>
      <c r="Z553" s="195">
        <v>46101</v>
      </c>
      <c r="AA553" s="195">
        <v>46104</v>
      </c>
      <c r="AB553" s="104" t="s">
        <v>60</v>
      </c>
      <c r="AC553" s="104"/>
      <c r="AD553" s="113">
        <f>S553-Y553</f>
        <v>0</v>
      </c>
    </row>
    <row r="554" spans="2:30" ht="45" hidden="1" customHeight="1">
      <c r="B554" s="174">
        <v>551</v>
      </c>
      <c r="C554" s="104" t="s">
        <v>282</v>
      </c>
      <c r="D554" s="104" t="s">
        <v>1653</v>
      </c>
      <c r="E554" s="104" t="s">
        <v>34</v>
      </c>
      <c r="F554" s="104" t="s">
        <v>44</v>
      </c>
      <c r="G554" s="145" t="s">
        <v>1654</v>
      </c>
      <c r="H554" s="104">
        <v>1236</v>
      </c>
      <c r="I554" s="104">
        <v>5</v>
      </c>
      <c r="J554" s="104" t="s">
        <v>1575</v>
      </c>
      <c r="K554" s="104" t="s">
        <v>1655</v>
      </c>
      <c r="L554" s="104">
        <v>108508</v>
      </c>
      <c r="M554" s="104">
        <v>29</v>
      </c>
      <c r="N554" s="104" t="s">
        <v>1656</v>
      </c>
      <c r="O554" s="104" t="s">
        <v>34</v>
      </c>
      <c r="P554" s="119" t="s">
        <v>1657</v>
      </c>
      <c r="Q554" s="130">
        <v>46080</v>
      </c>
      <c r="R554" s="104">
        <v>4525644</v>
      </c>
      <c r="S554" s="160">
        <v>17250</v>
      </c>
      <c r="T554" s="130">
        <v>46087</v>
      </c>
      <c r="U554" s="145">
        <v>11142</v>
      </c>
      <c r="V554" s="145" t="s">
        <v>34</v>
      </c>
      <c r="W554" s="145" t="s">
        <v>48</v>
      </c>
      <c r="X554" s="104" t="s">
        <v>94</v>
      </c>
      <c r="Y554" s="194">
        <v>13650</v>
      </c>
      <c r="Z554" s="195">
        <v>46105</v>
      </c>
      <c r="AA554" s="195">
        <v>46105</v>
      </c>
      <c r="AB554" s="104" t="s">
        <v>54</v>
      </c>
      <c r="AC554" s="104"/>
      <c r="AD554" s="113">
        <f>S554-Y554</f>
        <v>3600</v>
      </c>
    </row>
    <row r="555" spans="2:30" ht="45" hidden="1" customHeight="1">
      <c r="B555" s="174">
        <v>552</v>
      </c>
      <c r="C555" s="104" t="s">
        <v>70</v>
      </c>
      <c r="D555" s="104" t="s">
        <v>138</v>
      </c>
      <c r="E555" s="104">
        <v>45639</v>
      </c>
      <c r="F555" s="104" t="s">
        <v>44</v>
      </c>
      <c r="G555" s="145" t="s">
        <v>1658</v>
      </c>
      <c r="H555" s="104">
        <v>2283</v>
      </c>
      <c r="I555" s="104">
        <v>242</v>
      </c>
      <c r="J555" s="104" t="s">
        <v>1575</v>
      </c>
      <c r="K555" s="104" t="s">
        <v>1659</v>
      </c>
      <c r="L555" s="104">
        <v>107626</v>
      </c>
      <c r="M555" s="104">
        <v>6</v>
      </c>
      <c r="N555" s="104" t="s">
        <v>34</v>
      </c>
      <c r="O555" s="104" t="s">
        <v>34</v>
      </c>
      <c r="P555" s="104">
        <v>4408846</v>
      </c>
      <c r="Q555" s="130">
        <v>46083</v>
      </c>
      <c r="R555" s="104">
        <v>4521967</v>
      </c>
      <c r="S555" s="160">
        <v>15364.57</v>
      </c>
      <c r="T555" s="199">
        <v>46082</v>
      </c>
      <c r="U555" s="145">
        <v>20467</v>
      </c>
      <c r="V555" s="145" t="s">
        <v>34</v>
      </c>
      <c r="W555" s="145" t="s">
        <v>48</v>
      </c>
      <c r="X555" s="104" t="s">
        <v>131</v>
      </c>
      <c r="Y555" s="194">
        <v>15364.57</v>
      </c>
      <c r="Z555" s="195">
        <v>46113</v>
      </c>
      <c r="AA555" s="180">
        <v>46122</v>
      </c>
      <c r="AB555" s="104" t="s">
        <v>41</v>
      </c>
      <c r="AC555" s="104" t="s">
        <v>1174</v>
      </c>
      <c r="AD555" s="113">
        <f>S555-Y555</f>
        <v>0</v>
      </c>
    </row>
    <row r="556" spans="2:30" ht="45" hidden="1" customHeight="1">
      <c r="B556" s="174">
        <v>553</v>
      </c>
      <c r="C556" s="104" t="s">
        <v>32</v>
      </c>
      <c r="D556" s="104" t="s">
        <v>33</v>
      </c>
      <c r="E556" s="104">
        <v>42560</v>
      </c>
      <c r="F556" s="104" t="s">
        <v>35</v>
      </c>
      <c r="G556" s="145" t="s">
        <v>1660</v>
      </c>
      <c r="H556" s="104">
        <v>2224</v>
      </c>
      <c r="I556" s="104">
        <v>242</v>
      </c>
      <c r="J556" s="104" t="s">
        <v>1575</v>
      </c>
      <c r="K556" s="104" t="s">
        <v>1661</v>
      </c>
      <c r="L556" s="104">
        <v>98565</v>
      </c>
      <c r="M556" s="104">
        <v>6</v>
      </c>
      <c r="N556" s="104" t="s">
        <v>34</v>
      </c>
      <c r="O556" s="104" t="s">
        <v>34</v>
      </c>
      <c r="P556" s="104">
        <v>4405949</v>
      </c>
      <c r="Q556" s="130">
        <v>46080</v>
      </c>
      <c r="R556" s="104">
        <v>4517888</v>
      </c>
      <c r="S556" s="160">
        <v>1900</v>
      </c>
      <c r="T556" s="130">
        <v>46103</v>
      </c>
      <c r="U556" s="145">
        <v>3320</v>
      </c>
      <c r="V556" s="145" t="s">
        <v>34</v>
      </c>
      <c r="W556" s="145" t="s">
        <v>40</v>
      </c>
      <c r="X556" s="104" t="s">
        <v>25</v>
      </c>
      <c r="Y556" s="194">
        <v>1900</v>
      </c>
      <c r="Z556" s="195">
        <v>46092</v>
      </c>
      <c r="AA556" s="195">
        <v>46099</v>
      </c>
      <c r="AB556" s="104" t="s">
        <v>41</v>
      </c>
      <c r="AC556" s="104"/>
      <c r="AD556" s="113">
        <f>S556-Y556</f>
        <v>0</v>
      </c>
    </row>
    <row r="557" spans="2:30" ht="45" hidden="1" customHeight="1">
      <c r="B557" s="174">
        <v>554</v>
      </c>
      <c r="C557" s="104" t="s">
        <v>282</v>
      </c>
      <c r="D557" s="104" t="s">
        <v>709</v>
      </c>
      <c r="E557" s="104" t="s">
        <v>34</v>
      </c>
      <c r="F557" s="104" t="s">
        <v>44</v>
      </c>
      <c r="G557" s="145" t="s">
        <v>1662</v>
      </c>
      <c r="H557" s="104">
        <v>1236</v>
      </c>
      <c r="I557" s="104">
        <v>5</v>
      </c>
      <c r="J557" s="104" t="s">
        <v>1575</v>
      </c>
      <c r="K557" s="104" t="s">
        <v>1663</v>
      </c>
      <c r="L557" s="104">
        <v>108508</v>
      </c>
      <c r="M557" s="104">
        <v>1</v>
      </c>
      <c r="N557" s="104" t="s">
        <v>1664</v>
      </c>
      <c r="O557" s="104" t="s">
        <v>34</v>
      </c>
      <c r="P557" s="104">
        <v>4409040</v>
      </c>
      <c r="Q557" s="130">
        <v>46083</v>
      </c>
      <c r="R557" s="104">
        <v>4521990</v>
      </c>
      <c r="S557" s="160">
        <v>11448</v>
      </c>
      <c r="T557" s="106">
        <v>46087</v>
      </c>
      <c r="U557" s="145"/>
      <c r="V557" s="145"/>
      <c r="W557" s="145"/>
      <c r="X557" s="104"/>
      <c r="Y557" s="194"/>
      <c r="Z557" s="145"/>
      <c r="AA557" s="145"/>
      <c r="AB557" s="104" t="s">
        <v>66</v>
      </c>
      <c r="AC557" s="104"/>
      <c r="AD557" s="113">
        <f>S557-Y557</f>
        <v>11448</v>
      </c>
    </row>
    <row r="558" spans="2:30" ht="45" hidden="1" customHeight="1">
      <c r="B558" s="174">
        <v>555</v>
      </c>
      <c r="C558" s="104" t="s">
        <v>282</v>
      </c>
      <c r="D558" s="104" t="s">
        <v>409</v>
      </c>
      <c r="E558" s="104">
        <v>46668</v>
      </c>
      <c r="F558" s="104" t="s">
        <v>35</v>
      </c>
      <c r="G558" s="145" t="s">
        <v>1665</v>
      </c>
      <c r="H558" s="104">
        <v>1236</v>
      </c>
      <c r="I558" s="104">
        <v>242</v>
      </c>
      <c r="J558" s="104" t="s">
        <v>1575</v>
      </c>
      <c r="K558" s="104" t="s">
        <v>1666</v>
      </c>
      <c r="L558" s="104">
        <v>108075</v>
      </c>
      <c r="M558" s="104">
        <v>6</v>
      </c>
      <c r="N558" s="104" t="s">
        <v>1667</v>
      </c>
      <c r="O558" s="104" t="s">
        <v>34</v>
      </c>
      <c r="P558" s="104">
        <v>4408731</v>
      </c>
      <c r="Q558" s="130">
        <v>46083</v>
      </c>
      <c r="R558" s="104">
        <v>4519980</v>
      </c>
      <c r="S558" s="160">
        <v>8245</v>
      </c>
      <c r="T558" s="106">
        <v>46087</v>
      </c>
      <c r="U558" s="145">
        <v>812</v>
      </c>
      <c r="V558" s="145" t="s">
        <v>34</v>
      </c>
      <c r="W558" s="145" t="s">
        <v>48</v>
      </c>
      <c r="X558" s="104" t="s">
        <v>94</v>
      </c>
      <c r="Y558" s="194">
        <v>8245</v>
      </c>
      <c r="Z558" s="195">
        <v>46090</v>
      </c>
      <c r="AA558" s="195">
        <v>46093</v>
      </c>
      <c r="AB558" s="104" t="s">
        <v>60</v>
      </c>
      <c r="AC558" s="104"/>
      <c r="AD558" s="113">
        <f>S558-Y558</f>
        <v>0</v>
      </c>
    </row>
    <row r="559" spans="2:30" ht="45" hidden="1" customHeight="1">
      <c r="B559" s="174">
        <v>556</v>
      </c>
      <c r="C559" s="104" t="s">
        <v>282</v>
      </c>
      <c r="D559" s="104" t="s">
        <v>709</v>
      </c>
      <c r="E559" s="104" t="s">
        <v>34</v>
      </c>
      <c r="F559" s="104" t="s">
        <v>44</v>
      </c>
      <c r="G559" s="145" t="s">
        <v>1668</v>
      </c>
      <c r="H559" s="104">
        <v>2291</v>
      </c>
      <c r="I559" s="104">
        <v>5</v>
      </c>
      <c r="J559" s="104" t="s">
        <v>1575</v>
      </c>
      <c r="K559" s="104" t="s">
        <v>1669</v>
      </c>
      <c r="L559" s="104">
        <v>108602</v>
      </c>
      <c r="M559" s="104">
        <v>1</v>
      </c>
      <c r="N559" s="104" t="s">
        <v>1670</v>
      </c>
      <c r="O559" s="104" t="s">
        <v>34</v>
      </c>
      <c r="P559" s="104">
        <v>4432419</v>
      </c>
      <c r="Q559" s="130">
        <v>46105</v>
      </c>
      <c r="R559" s="104">
        <v>4547604</v>
      </c>
      <c r="S559" s="160" t="s">
        <v>479</v>
      </c>
      <c r="T559" s="106">
        <v>46094</v>
      </c>
      <c r="U559" s="145"/>
      <c r="V559" s="145"/>
      <c r="W559" s="145"/>
      <c r="X559" s="104"/>
      <c r="Y559" s="194"/>
      <c r="Z559" s="145"/>
      <c r="AA559" s="145"/>
      <c r="AB559" s="104" t="s">
        <v>66</v>
      </c>
      <c r="AC559" s="104"/>
      <c r="AD559" s="113" t="e">
        <f>S559-Y559</f>
        <v>#VALUE!</v>
      </c>
    </row>
    <row r="560" spans="2:30" ht="45" hidden="1" customHeight="1">
      <c r="B560" s="174">
        <v>557</v>
      </c>
      <c r="C560" s="104" t="s">
        <v>61</v>
      </c>
      <c r="D560" s="104" t="s">
        <v>1671</v>
      </c>
      <c r="E560" s="104">
        <v>41591</v>
      </c>
      <c r="F560" s="104" t="s">
        <v>44</v>
      </c>
      <c r="G560" s="145" t="s">
        <v>1672</v>
      </c>
      <c r="H560" s="104">
        <v>2488</v>
      </c>
      <c r="I560" s="104">
        <v>242</v>
      </c>
      <c r="J560" s="104" t="s">
        <v>1575</v>
      </c>
      <c r="K560" s="104" t="s">
        <v>1673</v>
      </c>
      <c r="L560" s="104">
        <v>108718</v>
      </c>
      <c r="M560" s="104">
        <v>6</v>
      </c>
      <c r="N560" s="104" t="s">
        <v>34</v>
      </c>
      <c r="O560" s="104" t="s">
        <v>34</v>
      </c>
      <c r="P560" s="104">
        <v>4408910</v>
      </c>
      <c r="Q560" s="130">
        <v>46083</v>
      </c>
      <c r="R560" s="104">
        <v>4520281</v>
      </c>
      <c r="S560" s="160">
        <v>7783</v>
      </c>
      <c r="T560" s="106">
        <v>46084</v>
      </c>
      <c r="U560" s="145"/>
      <c r="V560" s="145"/>
      <c r="W560" s="145"/>
      <c r="X560" s="104"/>
      <c r="Y560" s="194"/>
      <c r="Z560" s="145"/>
      <c r="AA560" s="145"/>
      <c r="AB560" s="104" t="s">
        <v>66</v>
      </c>
      <c r="AC560" s="104"/>
      <c r="AD560" s="113">
        <f>S560-Y560</f>
        <v>7783</v>
      </c>
    </row>
    <row r="561" spans="2:30" ht="45" hidden="1" customHeight="1">
      <c r="B561" s="174">
        <v>558</v>
      </c>
      <c r="C561" s="104" t="s">
        <v>32</v>
      </c>
      <c r="D561" s="104" t="s">
        <v>709</v>
      </c>
      <c r="E561" s="104" t="s">
        <v>34</v>
      </c>
      <c r="F561" s="104" t="s">
        <v>44</v>
      </c>
      <c r="G561" s="145" t="s">
        <v>1674</v>
      </c>
      <c r="H561" s="104">
        <v>2224</v>
      </c>
      <c r="I561" s="104">
        <v>242</v>
      </c>
      <c r="J561" s="104" t="s">
        <v>1575</v>
      </c>
      <c r="K561" s="104" t="s">
        <v>1675</v>
      </c>
      <c r="L561" s="104">
        <v>108557</v>
      </c>
      <c r="M561" s="104">
        <v>2</v>
      </c>
      <c r="N561" s="104" t="s">
        <v>34</v>
      </c>
      <c r="O561" s="104" t="s">
        <v>34</v>
      </c>
      <c r="P561" s="104">
        <v>4408990</v>
      </c>
      <c r="Q561" s="130">
        <v>46083</v>
      </c>
      <c r="R561" s="104">
        <v>4518049</v>
      </c>
      <c r="S561" s="149">
        <v>3500</v>
      </c>
      <c r="T561" s="106">
        <v>46084</v>
      </c>
      <c r="U561" s="145">
        <v>5</v>
      </c>
      <c r="V561" s="145" t="s">
        <v>34</v>
      </c>
      <c r="W561" s="145" t="s">
        <v>48</v>
      </c>
      <c r="X561" s="104" t="s">
        <v>131</v>
      </c>
      <c r="Y561" s="194">
        <v>3500</v>
      </c>
      <c r="Z561" s="195">
        <v>46098</v>
      </c>
      <c r="AA561" s="195">
        <v>46112</v>
      </c>
      <c r="AB561" s="104" t="s">
        <v>41</v>
      </c>
      <c r="AC561" s="104"/>
      <c r="AD561" s="113">
        <f>S561-Y561</f>
        <v>0</v>
      </c>
    </row>
    <row r="562" spans="2:30" ht="45" hidden="1" customHeight="1">
      <c r="B562" s="174">
        <v>559</v>
      </c>
      <c r="C562" s="104" t="s">
        <v>282</v>
      </c>
      <c r="D562" s="104" t="s">
        <v>709</v>
      </c>
      <c r="E562" s="104" t="s">
        <v>34</v>
      </c>
      <c r="F562" s="104" t="s">
        <v>44</v>
      </c>
      <c r="G562" s="145" t="s">
        <v>1662</v>
      </c>
      <c r="H562" s="104">
        <v>1236</v>
      </c>
      <c r="I562" s="104">
        <v>5</v>
      </c>
      <c r="J562" s="104" t="s">
        <v>1575</v>
      </c>
      <c r="K562" s="104" t="s">
        <v>1676</v>
      </c>
      <c r="L562" s="104">
        <v>108508</v>
      </c>
      <c r="M562" s="104">
        <v>1</v>
      </c>
      <c r="N562" s="104" t="s">
        <v>1677</v>
      </c>
      <c r="O562" s="104" t="s">
        <v>34</v>
      </c>
      <c r="P562" s="104">
        <v>4409040</v>
      </c>
      <c r="Q562" s="130">
        <v>46083</v>
      </c>
      <c r="R562" s="104">
        <v>4521990</v>
      </c>
      <c r="S562" s="104">
        <v>11488</v>
      </c>
      <c r="T562" s="106">
        <v>46087</v>
      </c>
      <c r="U562" s="145">
        <v>58</v>
      </c>
      <c r="V562" s="145" t="s">
        <v>34</v>
      </c>
      <c r="W562" s="145" t="s">
        <v>48</v>
      </c>
      <c r="X562" s="104" t="s">
        <v>25</v>
      </c>
      <c r="Y562" s="194">
        <v>11488</v>
      </c>
      <c r="Z562" s="195">
        <v>46104</v>
      </c>
      <c r="AA562" s="195">
        <v>46106</v>
      </c>
      <c r="AB562" s="104" t="s">
        <v>60</v>
      </c>
      <c r="AC562" s="104"/>
      <c r="AD562" s="113">
        <f>S562-Y562</f>
        <v>0</v>
      </c>
    </row>
    <row r="563" spans="2:30" ht="45" hidden="1" customHeight="1">
      <c r="B563" s="174">
        <v>560</v>
      </c>
      <c r="C563" s="104" t="s">
        <v>95</v>
      </c>
      <c r="D563" s="104" t="s">
        <v>96</v>
      </c>
      <c r="E563" s="104" t="s">
        <v>34</v>
      </c>
      <c r="F563" s="104" t="s">
        <v>44</v>
      </c>
      <c r="G563" s="145" t="s">
        <v>1678</v>
      </c>
      <c r="H563" s="104">
        <v>2224</v>
      </c>
      <c r="I563" s="104">
        <v>5</v>
      </c>
      <c r="J563" s="104" t="s">
        <v>1456</v>
      </c>
      <c r="K563" s="104" t="s">
        <v>34</v>
      </c>
      <c r="L563" s="104">
        <v>93545</v>
      </c>
      <c r="M563" s="104">
        <v>1</v>
      </c>
      <c r="N563" s="104" t="s">
        <v>34</v>
      </c>
      <c r="O563" s="104" t="s">
        <v>34</v>
      </c>
      <c r="P563" s="104">
        <v>4310932</v>
      </c>
      <c r="Q563" s="106">
        <v>45986</v>
      </c>
      <c r="R563" s="104">
        <v>4432936</v>
      </c>
      <c r="S563" s="160">
        <v>28500</v>
      </c>
      <c r="T563" s="104"/>
      <c r="U563" s="145">
        <v>773</v>
      </c>
      <c r="V563" s="145" t="s">
        <v>34</v>
      </c>
      <c r="W563" s="145" t="s">
        <v>40</v>
      </c>
      <c r="X563" s="104" t="s">
        <v>25</v>
      </c>
      <c r="Y563" s="194">
        <v>28500</v>
      </c>
      <c r="Z563" s="180">
        <v>46083</v>
      </c>
      <c r="AA563" s="195">
        <v>46085</v>
      </c>
      <c r="AB563" s="104" t="s">
        <v>60</v>
      </c>
      <c r="AC563" s="104"/>
      <c r="AD563" s="113">
        <f>S563-Y563</f>
        <v>0</v>
      </c>
    </row>
    <row r="564" spans="2:30" ht="45" hidden="1" customHeight="1">
      <c r="B564" s="174">
        <v>561</v>
      </c>
      <c r="C564" s="104" t="s">
        <v>51</v>
      </c>
      <c r="D564" s="104" t="s">
        <v>614</v>
      </c>
      <c r="E564" s="104" t="s">
        <v>34</v>
      </c>
      <c r="F564" s="104" t="s">
        <v>44</v>
      </c>
      <c r="G564" s="145" t="s">
        <v>615</v>
      </c>
      <c r="H564" s="104">
        <v>5345</v>
      </c>
      <c r="I564" s="104">
        <v>242</v>
      </c>
      <c r="J564" s="104" t="s">
        <v>285</v>
      </c>
      <c r="K564" s="104" t="s">
        <v>616</v>
      </c>
      <c r="L564" s="104">
        <v>91042</v>
      </c>
      <c r="M564" s="104">
        <v>29</v>
      </c>
      <c r="N564" s="104" t="s">
        <v>617</v>
      </c>
      <c r="O564" s="104" t="s">
        <v>34</v>
      </c>
      <c r="P564" s="104">
        <v>4298167</v>
      </c>
      <c r="Q564" s="106">
        <v>45972</v>
      </c>
      <c r="R564" s="104">
        <v>4417448</v>
      </c>
      <c r="S564" s="129">
        <f>AD189</f>
        <v>138374.5</v>
      </c>
      <c r="T564" s="108">
        <v>45980</v>
      </c>
      <c r="U564" s="104">
        <v>388</v>
      </c>
      <c r="V564" s="145" t="s">
        <v>34</v>
      </c>
      <c r="W564" s="145" t="s">
        <v>40</v>
      </c>
      <c r="X564" s="104" t="s">
        <v>25</v>
      </c>
      <c r="Y564" s="131">
        <v>138374.5</v>
      </c>
      <c r="Z564" s="106">
        <v>46083</v>
      </c>
      <c r="AA564" s="106">
        <v>46084</v>
      </c>
      <c r="AB564" s="104" t="s">
        <v>41</v>
      </c>
      <c r="AC564" s="104"/>
      <c r="AD564" s="113">
        <f>S564-Y564</f>
        <v>0</v>
      </c>
    </row>
    <row r="565" spans="2:30" ht="45" hidden="1" customHeight="1">
      <c r="B565" s="174">
        <v>562</v>
      </c>
      <c r="C565" s="104" t="s">
        <v>42</v>
      </c>
      <c r="D565" s="104" t="s">
        <v>1679</v>
      </c>
      <c r="E565" s="104" t="s">
        <v>34</v>
      </c>
      <c r="F565" s="104" t="s">
        <v>44</v>
      </c>
      <c r="G565" s="145" t="s">
        <v>1680</v>
      </c>
      <c r="H565" s="104">
        <v>1163</v>
      </c>
      <c r="I565" s="104">
        <v>242</v>
      </c>
      <c r="J565" s="104" t="s">
        <v>1575</v>
      </c>
      <c r="K565" s="104" t="s">
        <v>1681</v>
      </c>
      <c r="L565" s="104">
        <v>107851</v>
      </c>
      <c r="M565" s="104">
        <v>2</v>
      </c>
      <c r="N565" s="104" t="s">
        <v>1682</v>
      </c>
      <c r="O565" s="104" t="s">
        <v>34</v>
      </c>
      <c r="P565" s="104">
        <v>4410995</v>
      </c>
      <c r="Q565" s="130">
        <v>46084</v>
      </c>
      <c r="R565" s="104">
        <v>4518620</v>
      </c>
      <c r="S565" s="160">
        <v>13675</v>
      </c>
      <c r="T565" s="130">
        <v>46082</v>
      </c>
      <c r="U565" s="145">
        <v>3509</v>
      </c>
      <c r="V565" s="145"/>
      <c r="W565" s="145" t="s">
        <v>40</v>
      </c>
      <c r="X565" s="104" t="s">
        <v>25</v>
      </c>
      <c r="Y565" s="194">
        <v>13675</v>
      </c>
      <c r="Z565" s="195">
        <v>46146</v>
      </c>
      <c r="AA565" s="145"/>
      <c r="AB565" s="104" t="s">
        <v>1425</v>
      </c>
      <c r="AC565" s="104" t="s">
        <v>1683</v>
      </c>
      <c r="AD565" s="113">
        <f>S565-Y565</f>
        <v>0</v>
      </c>
    </row>
    <row r="566" spans="2:30" ht="45" hidden="1" customHeight="1">
      <c r="B566" s="174">
        <v>563</v>
      </c>
      <c r="C566" s="104" t="s">
        <v>42</v>
      </c>
      <c r="D566" s="104" t="s">
        <v>1684</v>
      </c>
      <c r="E566" s="104" t="s">
        <v>34</v>
      </c>
      <c r="F566" s="104" t="s">
        <v>44</v>
      </c>
      <c r="G566" s="145" t="s">
        <v>1685</v>
      </c>
      <c r="H566" s="104">
        <v>1295</v>
      </c>
      <c r="I566" s="104">
        <v>242</v>
      </c>
      <c r="J566" s="104" t="s">
        <v>1575</v>
      </c>
      <c r="K566" s="104" t="s">
        <v>1686</v>
      </c>
      <c r="L566" s="104">
        <v>108916</v>
      </c>
      <c r="M566" s="104">
        <v>2</v>
      </c>
      <c r="N566" s="104" t="s">
        <v>1687</v>
      </c>
      <c r="O566" s="104" t="s">
        <v>34</v>
      </c>
      <c r="P566" s="104">
        <v>4411030</v>
      </c>
      <c r="Q566" s="106">
        <v>46084</v>
      </c>
      <c r="R566" s="104">
        <v>4518658</v>
      </c>
      <c r="S566" s="160">
        <v>15500</v>
      </c>
      <c r="T566" s="130">
        <v>46110</v>
      </c>
      <c r="U566" s="145"/>
      <c r="V566" s="145"/>
      <c r="W566" s="145"/>
      <c r="X566" s="104"/>
      <c r="Y566" s="194"/>
      <c r="Z566" s="145"/>
      <c r="AA566" s="145"/>
      <c r="AB566" s="104" t="s">
        <v>66</v>
      </c>
      <c r="AC566" s="104"/>
      <c r="AD566" s="113">
        <f>S566-Y566</f>
        <v>15500</v>
      </c>
    </row>
    <row r="567" spans="2:30" ht="45" hidden="1" customHeight="1">
      <c r="B567" s="174">
        <v>564</v>
      </c>
      <c r="C567" s="104" t="s">
        <v>224</v>
      </c>
      <c r="D567" s="104" t="s">
        <v>1546</v>
      </c>
      <c r="E567" s="204">
        <v>46145</v>
      </c>
      <c r="F567" s="104" t="s">
        <v>44</v>
      </c>
      <c r="G567" s="261" t="s">
        <v>1688</v>
      </c>
      <c r="H567" s="104">
        <v>1171</v>
      </c>
      <c r="I567" s="104">
        <v>242</v>
      </c>
      <c r="J567" s="104" t="s">
        <v>854</v>
      </c>
      <c r="K567" s="104" t="s">
        <v>34</v>
      </c>
      <c r="L567" s="104">
        <v>109218</v>
      </c>
      <c r="M567" s="104">
        <v>6</v>
      </c>
      <c r="N567" s="104"/>
      <c r="O567" s="104"/>
      <c r="P567" s="104">
        <v>4410982</v>
      </c>
      <c r="Q567" s="106">
        <v>46084</v>
      </c>
      <c r="R567" s="104">
        <v>4522105</v>
      </c>
      <c r="S567" s="160">
        <v>914</v>
      </c>
      <c r="T567" s="130">
        <v>46101</v>
      </c>
      <c r="U567" s="145">
        <v>153</v>
      </c>
      <c r="V567" s="145" t="s">
        <v>34</v>
      </c>
      <c r="W567" s="145" t="s">
        <v>40</v>
      </c>
      <c r="X567" s="104" t="s">
        <v>1689</v>
      </c>
      <c r="Y567" s="194">
        <v>914</v>
      </c>
      <c r="Z567" s="195">
        <v>46097</v>
      </c>
      <c r="AA567" s="195">
        <v>46108</v>
      </c>
      <c r="AB567" s="104" t="s">
        <v>60</v>
      </c>
      <c r="AC567" s="104"/>
      <c r="AD567" s="113">
        <f>S567-Y567</f>
        <v>0</v>
      </c>
    </row>
    <row r="568" spans="2:30" ht="45" hidden="1" customHeight="1">
      <c r="B568" s="174">
        <v>565</v>
      </c>
      <c r="C568" s="104" t="s">
        <v>70</v>
      </c>
      <c r="D568" s="104" t="s">
        <v>459</v>
      </c>
      <c r="E568" s="128">
        <v>46699</v>
      </c>
      <c r="F568" s="104" t="s">
        <v>44</v>
      </c>
      <c r="G568" s="145" t="s">
        <v>1690</v>
      </c>
      <c r="H568" s="104">
        <v>1171</v>
      </c>
      <c r="I568" s="104">
        <v>242</v>
      </c>
      <c r="J568" s="104" t="s">
        <v>1575</v>
      </c>
      <c r="K568" s="104" t="s">
        <v>1691</v>
      </c>
      <c r="L568" s="104">
        <v>109134</v>
      </c>
      <c r="M568" s="104">
        <v>6</v>
      </c>
      <c r="N568" s="104" t="s">
        <v>34</v>
      </c>
      <c r="O568" s="104" t="s">
        <v>34</v>
      </c>
      <c r="P568" s="104">
        <v>4411306</v>
      </c>
      <c r="Q568" s="106">
        <v>46084</v>
      </c>
      <c r="R568" s="104">
        <v>4522114</v>
      </c>
      <c r="S568" s="160">
        <v>850</v>
      </c>
      <c r="T568" s="130">
        <v>46082</v>
      </c>
      <c r="U568" s="145">
        <v>1495</v>
      </c>
      <c r="V568" s="145" t="s">
        <v>34</v>
      </c>
      <c r="W568" s="145" t="s">
        <v>48</v>
      </c>
      <c r="X568" s="104" t="s">
        <v>25</v>
      </c>
      <c r="Y568" s="194">
        <v>850</v>
      </c>
      <c r="Z568" s="195">
        <v>46093</v>
      </c>
      <c r="AA568" s="195">
        <v>46112</v>
      </c>
      <c r="AB568" s="104" t="s">
        <v>41</v>
      </c>
      <c r="AC568" s="104"/>
      <c r="AD568" s="113">
        <f>S568-Y568</f>
        <v>0</v>
      </c>
    </row>
    <row r="569" spans="2:30" ht="45" hidden="1" customHeight="1">
      <c r="B569" s="174">
        <v>566</v>
      </c>
      <c r="C569" s="104" t="s">
        <v>224</v>
      </c>
      <c r="D569" s="104" t="s">
        <v>1416</v>
      </c>
      <c r="E569" s="104" t="s">
        <v>34</v>
      </c>
      <c r="F569" s="104" t="s">
        <v>44</v>
      </c>
      <c r="G569" s="145" t="s">
        <v>1692</v>
      </c>
      <c r="H569" s="104">
        <v>3591</v>
      </c>
      <c r="I569" s="104">
        <v>5</v>
      </c>
      <c r="J569" s="104" t="s">
        <v>854</v>
      </c>
      <c r="K569" s="104" t="s">
        <v>709</v>
      </c>
      <c r="L569" s="104">
        <v>107597</v>
      </c>
      <c r="M569" s="104">
        <v>1</v>
      </c>
      <c r="N569" s="104"/>
      <c r="O569" s="104"/>
      <c r="P569" s="119" t="s">
        <v>1693</v>
      </c>
      <c r="Q569" s="106">
        <v>46084</v>
      </c>
      <c r="R569" s="104">
        <v>4524566</v>
      </c>
      <c r="S569" s="160">
        <v>488</v>
      </c>
      <c r="T569" s="106">
        <v>46097</v>
      </c>
      <c r="U569" s="145"/>
      <c r="V569" s="145"/>
      <c r="W569" s="145"/>
      <c r="X569" s="104"/>
      <c r="Y569" s="194"/>
      <c r="Z569" s="145"/>
      <c r="AA569" s="145"/>
      <c r="AB569" s="104" t="s">
        <v>66</v>
      </c>
      <c r="AC569" s="104"/>
      <c r="AD569" s="113">
        <f>S569-Y569</f>
        <v>488</v>
      </c>
    </row>
    <row r="570" spans="2:30" ht="45" hidden="1" customHeight="1">
      <c r="B570" s="174">
        <v>567</v>
      </c>
      <c r="C570" s="104" t="s">
        <v>32</v>
      </c>
      <c r="D570" s="104" t="s">
        <v>1694</v>
      </c>
      <c r="E570" s="104">
        <v>46815</v>
      </c>
      <c r="F570" s="104" t="s">
        <v>35</v>
      </c>
      <c r="G570" s="145" t="s">
        <v>1695</v>
      </c>
      <c r="H570" s="104">
        <v>2470</v>
      </c>
      <c r="I570" s="104">
        <v>242</v>
      </c>
      <c r="J570" s="104" t="s">
        <v>1575</v>
      </c>
      <c r="K570" s="104" t="s">
        <v>1696</v>
      </c>
      <c r="L570" s="104">
        <v>109050</v>
      </c>
      <c r="M570" s="104">
        <v>6</v>
      </c>
      <c r="N570" s="104" t="s">
        <v>34</v>
      </c>
      <c r="O570" s="104" t="s">
        <v>34</v>
      </c>
      <c r="P570" s="104">
        <v>4411381</v>
      </c>
      <c r="Q570" s="106">
        <v>46084</v>
      </c>
      <c r="R570" s="104">
        <v>4522034</v>
      </c>
      <c r="S570" s="160">
        <v>3240</v>
      </c>
      <c r="T570" s="104" t="s">
        <v>34</v>
      </c>
      <c r="U570" s="145">
        <v>819</v>
      </c>
      <c r="V570" s="145" t="s">
        <v>34</v>
      </c>
      <c r="W570" s="145" t="s">
        <v>48</v>
      </c>
      <c r="X570" s="104" t="s">
        <v>131</v>
      </c>
      <c r="Y570" s="194">
        <v>3240</v>
      </c>
      <c r="Z570" s="195">
        <v>46091</v>
      </c>
      <c r="AA570" s="195">
        <v>46093</v>
      </c>
      <c r="AB570" s="104" t="s">
        <v>41</v>
      </c>
      <c r="AC570" s="104"/>
      <c r="AD570" s="113">
        <f>S570-Y570</f>
        <v>0</v>
      </c>
    </row>
    <row r="571" spans="2:30" ht="45" hidden="1" customHeight="1">
      <c r="B571" s="174">
        <v>568</v>
      </c>
      <c r="C571" s="104" t="s">
        <v>70</v>
      </c>
      <c r="D571" s="104" t="s">
        <v>1697</v>
      </c>
      <c r="E571" s="104">
        <v>44334</v>
      </c>
      <c r="F571" s="104" t="s">
        <v>44</v>
      </c>
      <c r="G571" s="145" t="s">
        <v>1567</v>
      </c>
      <c r="H571" s="104">
        <v>2275</v>
      </c>
      <c r="I571" s="104">
        <v>242</v>
      </c>
      <c r="J571" s="104" t="s">
        <v>1575</v>
      </c>
      <c r="K571" s="104" t="s">
        <v>1698</v>
      </c>
      <c r="L571" s="104">
        <v>106477</v>
      </c>
      <c r="M571" s="104">
        <v>6</v>
      </c>
      <c r="N571" s="104" t="s">
        <v>34</v>
      </c>
      <c r="O571" s="104" t="s">
        <v>34</v>
      </c>
      <c r="P571" s="104">
        <v>4411455</v>
      </c>
      <c r="Q571" s="106">
        <v>46084</v>
      </c>
      <c r="R571" s="104">
        <v>4522113</v>
      </c>
      <c r="S571" s="160">
        <v>7700</v>
      </c>
      <c r="T571" s="104" t="s">
        <v>34</v>
      </c>
      <c r="U571" s="145">
        <v>621</v>
      </c>
      <c r="V571" s="145" t="s">
        <v>34</v>
      </c>
      <c r="W571" s="145" t="s">
        <v>40</v>
      </c>
      <c r="X571" s="104" t="s">
        <v>25</v>
      </c>
      <c r="Y571" s="194">
        <v>7700</v>
      </c>
      <c r="Z571" s="195">
        <v>46093</v>
      </c>
      <c r="AA571" s="195">
        <v>46099</v>
      </c>
      <c r="AB571" s="104" t="s">
        <v>41</v>
      </c>
      <c r="AC571" s="104"/>
      <c r="AD571" s="113">
        <f>S571-Y571</f>
        <v>0</v>
      </c>
    </row>
    <row r="572" spans="2:30" ht="45" hidden="1" customHeight="1">
      <c r="B572" s="174">
        <v>569</v>
      </c>
      <c r="C572" s="104" t="s">
        <v>70</v>
      </c>
      <c r="D572" s="104" t="s">
        <v>575</v>
      </c>
      <c r="E572" s="104">
        <v>45662</v>
      </c>
      <c r="F572" s="104" t="s">
        <v>35</v>
      </c>
      <c r="G572" s="145" t="s">
        <v>1699</v>
      </c>
      <c r="H572" s="104">
        <v>2330</v>
      </c>
      <c r="I572" s="104">
        <v>242</v>
      </c>
      <c r="J572" s="104" t="s">
        <v>1575</v>
      </c>
      <c r="K572" s="104" t="s">
        <v>1700</v>
      </c>
      <c r="L572" s="104">
        <v>108973</v>
      </c>
      <c r="M572" s="104">
        <v>6</v>
      </c>
      <c r="N572" s="104" t="s">
        <v>34</v>
      </c>
      <c r="O572" s="104" t="s">
        <v>34</v>
      </c>
      <c r="P572" s="104">
        <v>4411532</v>
      </c>
      <c r="Q572" s="106">
        <v>46084</v>
      </c>
      <c r="R572" s="104">
        <v>4522926</v>
      </c>
      <c r="S572" s="160">
        <v>32796.9</v>
      </c>
      <c r="T572" s="104"/>
      <c r="U572" s="145"/>
      <c r="V572" s="145"/>
      <c r="W572" s="145"/>
      <c r="X572" s="104"/>
      <c r="Y572" s="194"/>
      <c r="Z572" s="145"/>
      <c r="AA572" s="145"/>
      <c r="AB572" s="104" t="s">
        <v>66</v>
      </c>
      <c r="AC572" s="104"/>
      <c r="AD572" s="113">
        <f>S572-Y572</f>
        <v>32796.9</v>
      </c>
    </row>
    <row r="573" spans="2:30" ht="45" hidden="1" customHeight="1">
      <c r="B573" s="174">
        <v>570</v>
      </c>
      <c r="C573" s="104" t="s">
        <v>70</v>
      </c>
      <c r="D573" s="104" t="s">
        <v>323</v>
      </c>
      <c r="E573" s="104">
        <v>45643</v>
      </c>
      <c r="F573" s="104" t="s">
        <v>44</v>
      </c>
      <c r="G573" s="145" t="s">
        <v>1701</v>
      </c>
      <c r="H573" s="104">
        <v>4057</v>
      </c>
      <c r="I573" s="104">
        <v>242</v>
      </c>
      <c r="J573" s="104" t="s">
        <v>1575</v>
      </c>
      <c r="K573" s="104" t="s">
        <v>1702</v>
      </c>
      <c r="L573" s="104">
        <v>108970</v>
      </c>
      <c r="M573" s="104">
        <v>6</v>
      </c>
      <c r="N573" s="104" t="s">
        <v>34</v>
      </c>
      <c r="O573" s="104" t="s">
        <v>34</v>
      </c>
      <c r="P573" s="104">
        <v>4411579</v>
      </c>
      <c r="Q573" s="106">
        <v>46084</v>
      </c>
      <c r="R573" s="104">
        <v>4522129</v>
      </c>
      <c r="S573" s="160">
        <v>7621.1</v>
      </c>
      <c r="T573" s="199">
        <v>46113</v>
      </c>
      <c r="U573" s="145">
        <v>185</v>
      </c>
      <c r="V573" s="145" t="s">
        <v>34</v>
      </c>
      <c r="W573" s="145" t="s">
        <v>48</v>
      </c>
      <c r="X573" s="104" t="s">
        <v>25</v>
      </c>
      <c r="Y573" s="194"/>
      <c r="Z573" s="145"/>
      <c r="AA573" s="145"/>
      <c r="AB573" s="104" t="s">
        <v>66</v>
      </c>
      <c r="AC573" s="104"/>
      <c r="AD573" s="113">
        <f>S573-Y573</f>
        <v>7621.1</v>
      </c>
    </row>
    <row r="574" spans="2:30" ht="45" hidden="1" customHeight="1">
      <c r="B574" s="174">
        <v>571</v>
      </c>
      <c r="C574" s="104" t="s">
        <v>32</v>
      </c>
      <c r="D574" s="104" t="s">
        <v>33</v>
      </c>
      <c r="E574" s="104" t="s">
        <v>34</v>
      </c>
      <c r="F574" s="104" t="s">
        <v>35</v>
      </c>
      <c r="G574" s="145" t="s">
        <v>36</v>
      </c>
      <c r="H574" s="104">
        <v>2216</v>
      </c>
      <c r="I574" s="104">
        <v>242</v>
      </c>
      <c r="J574" s="104" t="s">
        <v>37</v>
      </c>
      <c r="K574" s="104" t="s">
        <v>38</v>
      </c>
      <c r="L574" s="104">
        <v>7277</v>
      </c>
      <c r="M574" s="104">
        <v>1</v>
      </c>
      <c r="N574" s="104" t="s">
        <v>34</v>
      </c>
      <c r="O574" s="104" t="s">
        <v>34</v>
      </c>
      <c r="P574" s="104">
        <v>3625884</v>
      </c>
      <c r="Q574" s="106">
        <v>45320</v>
      </c>
      <c r="R574" s="104">
        <v>3781090</v>
      </c>
      <c r="S574" s="113">
        <f>AD4</f>
        <v>34000.01</v>
      </c>
      <c r="T574" s="108"/>
      <c r="U574" s="205">
        <v>3312</v>
      </c>
      <c r="V574" s="104" t="s">
        <v>34</v>
      </c>
      <c r="W574" s="104" t="s">
        <v>40</v>
      </c>
      <c r="X574" s="104" t="s">
        <v>25</v>
      </c>
      <c r="Y574" s="221">
        <v>20400</v>
      </c>
      <c r="Z574" s="106">
        <v>46085</v>
      </c>
      <c r="AA574" s="106">
        <v>46085</v>
      </c>
      <c r="AB574" s="104" t="s">
        <v>41</v>
      </c>
      <c r="AC574" s="104"/>
      <c r="AD574" s="113">
        <f>S574-Y574</f>
        <v>13600.010000000002</v>
      </c>
    </row>
    <row r="575" spans="2:30" ht="45" hidden="1" customHeight="1">
      <c r="B575" s="174">
        <v>572</v>
      </c>
      <c r="C575" s="104" t="s">
        <v>95</v>
      </c>
      <c r="D575" s="104" t="s">
        <v>709</v>
      </c>
      <c r="E575" s="104" t="s">
        <v>34</v>
      </c>
      <c r="F575" s="104" t="s">
        <v>44</v>
      </c>
      <c r="G575" s="145" t="s">
        <v>1703</v>
      </c>
      <c r="H575" s="104">
        <v>2178</v>
      </c>
      <c r="I575" s="104">
        <v>5</v>
      </c>
      <c r="J575" s="104" t="s">
        <v>854</v>
      </c>
      <c r="K575" s="104" t="s">
        <v>1704</v>
      </c>
      <c r="L575" s="104">
        <v>109524</v>
      </c>
      <c r="M575" s="104">
        <v>1</v>
      </c>
      <c r="N575" s="104"/>
      <c r="O575" s="104"/>
      <c r="P575" s="104">
        <v>4413299</v>
      </c>
      <c r="Q575" s="106">
        <v>46086</v>
      </c>
      <c r="R575" s="104">
        <v>4523016</v>
      </c>
      <c r="S575" s="160">
        <v>11000</v>
      </c>
      <c r="T575" s="104"/>
      <c r="U575" s="145">
        <v>809</v>
      </c>
      <c r="V575" s="145" t="s">
        <v>34</v>
      </c>
      <c r="W575" s="145" t="s">
        <v>48</v>
      </c>
      <c r="X575" s="104" t="s">
        <v>25</v>
      </c>
      <c r="Y575" s="194">
        <v>11000</v>
      </c>
      <c r="Z575" s="195">
        <v>46146</v>
      </c>
      <c r="AA575" s="195">
        <v>46147</v>
      </c>
      <c r="AB575" s="104" t="s">
        <v>41</v>
      </c>
      <c r="AC575" s="104"/>
      <c r="AD575" s="113">
        <f>S575-Y575</f>
        <v>0</v>
      </c>
    </row>
    <row r="576" spans="2:30" ht="45" hidden="1" customHeight="1">
      <c r="B576" s="174">
        <v>573</v>
      </c>
      <c r="C576" s="104" t="s">
        <v>279</v>
      </c>
      <c r="D576" s="104" t="s">
        <v>1385</v>
      </c>
      <c r="E576" s="104">
        <v>45382</v>
      </c>
      <c r="F576" s="104" t="s">
        <v>35</v>
      </c>
      <c r="G576" s="145" t="s">
        <v>1705</v>
      </c>
      <c r="H576" s="104">
        <v>4183</v>
      </c>
      <c r="I576" s="104">
        <v>242</v>
      </c>
      <c r="J576" s="104" t="s">
        <v>1430</v>
      </c>
      <c r="K576" s="104">
        <v>483</v>
      </c>
      <c r="L576" s="104">
        <v>105121</v>
      </c>
      <c r="M576" s="104">
        <v>6</v>
      </c>
      <c r="N576" s="104"/>
      <c r="O576" s="104"/>
      <c r="P576" s="104">
        <v>4413221</v>
      </c>
      <c r="Q576" s="106">
        <v>46086</v>
      </c>
      <c r="R576" s="104">
        <v>4524846</v>
      </c>
      <c r="S576" s="160">
        <v>850</v>
      </c>
      <c r="T576" s="104"/>
      <c r="U576" s="145">
        <v>3326</v>
      </c>
      <c r="V576" s="145"/>
      <c r="W576" s="145" t="s">
        <v>48</v>
      </c>
      <c r="X576" s="104" t="s">
        <v>25</v>
      </c>
      <c r="Y576" s="194">
        <v>807.5</v>
      </c>
      <c r="Z576" s="195">
        <v>46092</v>
      </c>
      <c r="AA576" s="195">
        <v>46104</v>
      </c>
      <c r="AB576" s="104" t="s">
        <v>41</v>
      </c>
      <c r="AC576" s="104"/>
      <c r="AD576" s="113">
        <f>S576-Y576</f>
        <v>42.5</v>
      </c>
    </row>
    <row r="577" spans="2:30" ht="45" hidden="1" customHeight="1">
      <c r="B577" s="174">
        <v>574</v>
      </c>
      <c r="C577" s="104" t="s">
        <v>70</v>
      </c>
      <c r="D577" s="104" t="s">
        <v>1706</v>
      </c>
      <c r="E577" s="250">
        <v>46866</v>
      </c>
      <c r="F577" s="104" t="s">
        <v>44</v>
      </c>
      <c r="G577" s="145" t="s">
        <v>1707</v>
      </c>
      <c r="H577" s="104">
        <v>2275</v>
      </c>
      <c r="I577" s="104">
        <v>242</v>
      </c>
      <c r="J577" s="104" t="s">
        <v>1430</v>
      </c>
      <c r="K577" s="104">
        <v>10092</v>
      </c>
      <c r="L577" s="104">
        <v>109627</v>
      </c>
      <c r="M577" s="104">
        <v>6</v>
      </c>
      <c r="N577" s="104"/>
      <c r="O577" s="104"/>
      <c r="P577" s="119" t="s">
        <v>1708</v>
      </c>
      <c r="Q577" s="106">
        <v>46086</v>
      </c>
      <c r="R577" s="104">
        <v>4529315</v>
      </c>
      <c r="S577" s="160">
        <v>745</v>
      </c>
      <c r="T577" s="199">
        <v>46113</v>
      </c>
      <c r="U577" s="145">
        <v>1527</v>
      </c>
      <c r="V577" s="145"/>
      <c r="W577" s="145" t="s">
        <v>1091</v>
      </c>
      <c r="X577" s="104" t="s">
        <v>25</v>
      </c>
      <c r="Y577" s="194">
        <v>745</v>
      </c>
      <c r="Z577" s="180">
        <v>46122</v>
      </c>
      <c r="AA577" s="180">
        <v>46132</v>
      </c>
      <c r="AB577" s="104" t="s">
        <v>41</v>
      </c>
      <c r="AC577" s="104"/>
      <c r="AD577" s="113">
        <f>S577-Y577</f>
        <v>0</v>
      </c>
    </row>
    <row r="578" spans="2:30" ht="45" hidden="1" customHeight="1">
      <c r="B578" s="174">
        <v>575</v>
      </c>
      <c r="C578" s="104" t="s">
        <v>70</v>
      </c>
      <c r="D578" s="104" t="s">
        <v>1706</v>
      </c>
      <c r="E578" s="250">
        <v>46866</v>
      </c>
      <c r="F578" s="104" t="s">
        <v>44</v>
      </c>
      <c r="G578" s="145" t="s">
        <v>1709</v>
      </c>
      <c r="H578" s="104">
        <v>5345</v>
      </c>
      <c r="I578" s="104">
        <v>242</v>
      </c>
      <c r="J578" s="104" t="s">
        <v>1430</v>
      </c>
      <c r="K578" s="104">
        <v>10091</v>
      </c>
      <c r="L578" s="104">
        <v>109625</v>
      </c>
      <c r="M578" s="104">
        <v>6</v>
      </c>
      <c r="N578" s="104"/>
      <c r="O578" s="104"/>
      <c r="P578" s="104">
        <v>4413695</v>
      </c>
      <c r="Q578" s="106">
        <v>46086</v>
      </c>
      <c r="R578" s="104">
        <v>4525185</v>
      </c>
      <c r="S578" s="160">
        <v>2950</v>
      </c>
      <c r="T578" s="199">
        <v>46113</v>
      </c>
      <c r="U578" s="145">
        <v>1496</v>
      </c>
      <c r="V578" s="145" t="s">
        <v>34</v>
      </c>
      <c r="W578" s="145" t="s">
        <v>40</v>
      </c>
      <c r="X578" s="104" t="s">
        <v>25</v>
      </c>
      <c r="Y578" s="194">
        <v>2950</v>
      </c>
      <c r="Z578" s="195">
        <v>46097</v>
      </c>
      <c r="AA578" s="195">
        <v>46104</v>
      </c>
      <c r="AB578" s="104" t="s">
        <v>41</v>
      </c>
      <c r="AC578" s="104"/>
      <c r="AD578" s="113">
        <f>S578-Y578</f>
        <v>0</v>
      </c>
    </row>
    <row r="579" spans="2:30" ht="45" hidden="1" customHeight="1">
      <c r="B579" s="174">
        <v>576</v>
      </c>
      <c r="C579" s="104" t="s">
        <v>316</v>
      </c>
      <c r="D579" s="104" t="s">
        <v>1385</v>
      </c>
      <c r="E579" s="104">
        <v>45068</v>
      </c>
      <c r="F579" s="104" t="s">
        <v>35</v>
      </c>
      <c r="G579" s="145" t="s">
        <v>1710</v>
      </c>
      <c r="H579" s="104">
        <v>5345</v>
      </c>
      <c r="I579" s="104">
        <v>242</v>
      </c>
      <c r="J579" s="104" t="s">
        <v>1430</v>
      </c>
      <c r="K579" s="104">
        <v>496</v>
      </c>
      <c r="L579" s="104">
        <v>109597</v>
      </c>
      <c r="M579" s="104">
        <v>6</v>
      </c>
      <c r="N579" s="104"/>
      <c r="O579" s="104"/>
      <c r="P579" s="104">
        <v>4413709</v>
      </c>
      <c r="Q579" s="106">
        <v>46086</v>
      </c>
      <c r="R579" s="104">
        <v>4524843</v>
      </c>
      <c r="S579" s="160">
        <v>2897.5</v>
      </c>
      <c r="T579" s="106">
        <v>46101</v>
      </c>
      <c r="U579" s="145">
        <v>3325</v>
      </c>
      <c r="V579" s="145" t="s">
        <v>34</v>
      </c>
      <c r="W579" s="145" t="s">
        <v>48</v>
      </c>
      <c r="X579" s="104" t="s">
        <v>25</v>
      </c>
      <c r="Y579" s="194">
        <v>2897.5</v>
      </c>
      <c r="Z579" s="195">
        <v>46092</v>
      </c>
      <c r="AA579" s="195">
        <v>46104</v>
      </c>
      <c r="AB579" s="104" t="s">
        <v>41</v>
      </c>
      <c r="AC579" s="104"/>
      <c r="AD579" s="113">
        <f>S579-Y579</f>
        <v>0</v>
      </c>
    </row>
    <row r="580" spans="2:30" ht="45" hidden="1" customHeight="1">
      <c r="B580" s="174">
        <v>577</v>
      </c>
      <c r="C580" s="104" t="s">
        <v>316</v>
      </c>
      <c r="D580" s="104" t="s">
        <v>1385</v>
      </c>
      <c r="E580" s="104">
        <v>45313</v>
      </c>
      <c r="F580" s="104" t="s">
        <v>35</v>
      </c>
      <c r="G580" s="145" t="s">
        <v>1711</v>
      </c>
      <c r="H580" s="104">
        <v>5345</v>
      </c>
      <c r="I580" s="104">
        <v>242</v>
      </c>
      <c r="J580" s="104" t="s">
        <v>1430</v>
      </c>
      <c r="K580" s="104">
        <v>497</v>
      </c>
      <c r="L580" s="104">
        <v>109596</v>
      </c>
      <c r="M580" s="104">
        <v>6</v>
      </c>
      <c r="N580" s="104"/>
      <c r="O580" s="104"/>
      <c r="P580" s="104">
        <v>4413724</v>
      </c>
      <c r="Q580" s="106">
        <v>46086</v>
      </c>
      <c r="R580" s="104">
        <v>4527033</v>
      </c>
      <c r="S580" s="160">
        <v>2250.4</v>
      </c>
      <c r="T580" s="106">
        <v>46101</v>
      </c>
      <c r="U580" s="145">
        <v>3345</v>
      </c>
      <c r="V580" s="145" t="s">
        <v>34</v>
      </c>
      <c r="W580" s="145" t="s">
        <v>48</v>
      </c>
      <c r="X580" s="104" t="s">
        <v>25</v>
      </c>
      <c r="Y580" s="194">
        <v>2250.4</v>
      </c>
      <c r="Z580" s="195">
        <v>46113</v>
      </c>
      <c r="AA580" s="195">
        <v>46118</v>
      </c>
      <c r="AB580" s="104" t="s">
        <v>41</v>
      </c>
      <c r="AC580" s="104"/>
      <c r="AD580" s="113">
        <f>S580-Y580</f>
        <v>0</v>
      </c>
    </row>
    <row r="581" spans="2:30" ht="45" hidden="1" customHeight="1">
      <c r="B581" s="174">
        <v>578</v>
      </c>
      <c r="C581" s="104" t="s">
        <v>32</v>
      </c>
      <c r="D581" s="104" t="s">
        <v>1385</v>
      </c>
      <c r="E581" s="104">
        <v>46814</v>
      </c>
      <c r="F581" s="104" t="s">
        <v>35</v>
      </c>
      <c r="G581" s="145" t="s">
        <v>1712</v>
      </c>
      <c r="H581" s="104">
        <v>5345</v>
      </c>
      <c r="I581" s="104">
        <v>242</v>
      </c>
      <c r="J581" s="104" t="s">
        <v>1430</v>
      </c>
      <c r="K581" s="104">
        <v>498</v>
      </c>
      <c r="L581" s="104">
        <v>109539</v>
      </c>
      <c r="M581" s="104">
        <v>6</v>
      </c>
      <c r="N581" s="104"/>
      <c r="O581" s="104"/>
      <c r="P581" s="104">
        <v>4413907</v>
      </c>
      <c r="Q581" s="106">
        <v>46086</v>
      </c>
      <c r="R581" s="104">
        <v>4524844</v>
      </c>
      <c r="S581" s="160">
        <v>1584</v>
      </c>
      <c r="T581" s="130">
        <v>46081</v>
      </c>
      <c r="U581" s="145">
        <v>3334</v>
      </c>
      <c r="V581" s="145" t="s">
        <v>34</v>
      </c>
      <c r="W581" s="145" t="s">
        <v>48</v>
      </c>
      <c r="X581" s="104" t="s">
        <v>25</v>
      </c>
      <c r="Y581" s="194">
        <v>1504.8</v>
      </c>
      <c r="Z581" s="195">
        <v>46101</v>
      </c>
      <c r="AA581" s="180">
        <v>46136</v>
      </c>
      <c r="AB581" s="104" t="s">
        <v>41</v>
      </c>
      <c r="AC581" s="104"/>
      <c r="AD581" s="113">
        <f>S581-Y581</f>
        <v>79.200000000000045</v>
      </c>
    </row>
    <row r="582" spans="2:30" ht="45" hidden="1" customHeight="1">
      <c r="B582" s="174">
        <v>579</v>
      </c>
      <c r="C582" s="104" t="s">
        <v>70</v>
      </c>
      <c r="D582" s="104" t="s">
        <v>1706</v>
      </c>
      <c r="E582" s="104">
        <v>46699</v>
      </c>
      <c r="F582" s="104" t="s">
        <v>44</v>
      </c>
      <c r="G582" s="145" t="s">
        <v>1713</v>
      </c>
      <c r="H582" s="104">
        <v>2224</v>
      </c>
      <c r="I582" s="104">
        <v>242</v>
      </c>
      <c r="J582" s="104" t="s">
        <v>1430</v>
      </c>
      <c r="K582" s="104">
        <v>10040</v>
      </c>
      <c r="L582" s="104">
        <v>109500</v>
      </c>
      <c r="M582" s="104">
        <v>6</v>
      </c>
      <c r="N582" s="104"/>
      <c r="O582" s="104"/>
      <c r="P582" s="104">
        <v>4413916</v>
      </c>
      <c r="Q582" s="106">
        <v>46086</v>
      </c>
      <c r="R582" s="104">
        <v>4525191</v>
      </c>
      <c r="S582" s="160">
        <v>4730</v>
      </c>
      <c r="T582" s="106">
        <v>46112</v>
      </c>
      <c r="U582" s="162">
        <v>10040</v>
      </c>
      <c r="V582" s="145" t="s">
        <v>34</v>
      </c>
      <c r="W582" s="104" t="s">
        <v>40</v>
      </c>
      <c r="X582" s="104" t="s">
        <v>25</v>
      </c>
      <c r="Y582" s="271">
        <v>4730</v>
      </c>
      <c r="Z582" s="272">
        <v>46093</v>
      </c>
      <c r="AA582" s="180">
        <v>46099</v>
      </c>
      <c r="AB582" s="104" t="s">
        <v>41</v>
      </c>
      <c r="AC582" s="104" t="s">
        <v>1174</v>
      </c>
      <c r="AD582" s="113">
        <f>S582-Y582</f>
        <v>0</v>
      </c>
    </row>
    <row r="583" spans="2:30" ht="45" hidden="1" customHeight="1">
      <c r="B583" s="174">
        <v>580</v>
      </c>
      <c r="C583" s="104" t="s">
        <v>70</v>
      </c>
      <c r="D583" s="104" t="s">
        <v>1714</v>
      </c>
      <c r="E583" s="104">
        <v>45903</v>
      </c>
      <c r="F583" s="104" t="s">
        <v>44</v>
      </c>
      <c r="G583" s="145" t="s">
        <v>1707</v>
      </c>
      <c r="H583" s="104">
        <v>2275</v>
      </c>
      <c r="I583" s="104">
        <v>242</v>
      </c>
      <c r="J583" s="104" t="s">
        <v>1430</v>
      </c>
      <c r="K583" s="104">
        <v>80027</v>
      </c>
      <c r="L583" s="104">
        <v>109399</v>
      </c>
      <c r="M583" s="104">
        <v>6</v>
      </c>
      <c r="N583" s="104"/>
      <c r="O583" s="104"/>
      <c r="P583" s="104">
        <v>4413924</v>
      </c>
      <c r="Q583" s="106">
        <v>46086</v>
      </c>
      <c r="R583" s="104">
        <v>4525192</v>
      </c>
      <c r="S583" s="160">
        <v>2292.3000000000002</v>
      </c>
      <c r="T583" s="106">
        <v>46116</v>
      </c>
      <c r="U583" s="145">
        <v>183</v>
      </c>
      <c r="V583" s="145" t="s">
        <v>34</v>
      </c>
      <c r="W583" s="145" t="s">
        <v>48</v>
      </c>
      <c r="X583" s="104" t="s">
        <v>25</v>
      </c>
      <c r="Y583" s="194">
        <v>2292.3000000000002</v>
      </c>
      <c r="Z583" s="195">
        <v>46113</v>
      </c>
      <c r="AA583" s="180">
        <v>46122</v>
      </c>
      <c r="AB583" s="104" t="s">
        <v>41</v>
      </c>
      <c r="AC583" s="104" t="s">
        <v>1174</v>
      </c>
      <c r="AD583" s="113">
        <f>S583-Y583</f>
        <v>0</v>
      </c>
    </row>
    <row r="584" spans="2:30" ht="45" hidden="1" customHeight="1">
      <c r="B584" s="174">
        <v>581</v>
      </c>
      <c r="C584" s="104" t="s">
        <v>70</v>
      </c>
      <c r="D584" s="104" t="s">
        <v>1714</v>
      </c>
      <c r="E584" s="104">
        <v>45643</v>
      </c>
      <c r="F584" s="104" t="s">
        <v>44</v>
      </c>
      <c r="G584" s="145" t="s">
        <v>1707</v>
      </c>
      <c r="H584" s="104">
        <v>4057</v>
      </c>
      <c r="I584" s="104">
        <v>242</v>
      </c>
      <c r="J584" s="104" t="s">
        <v>1430</v>
      </c>
      <c r="K584" s="104">
        <v>80022</v>
      </c>
      <c r="L584" s="104">
        <v>109396</v>
      </c>
      <c r="M584" s="104">
        <v>6</v>
      </c>
      <c r="N584" s="104"/>
      <c r="O584" s="104"/>
      <c r="P584" s="104">
        <v>4413993</v>
      </c>
      <c r="Q584" s="106">
        <v>46086</v>
      </c>
      <c r="R584" s="104">
        <v>4525897</v>
      </c>
      <c r="S584" s="160">
        <v>2296.6999999999998</v>
      </c>
      <c r="T584" s="106">
        <v>46116</v>
      </c>
      <c r="U584" s="145">
        <v>182</v>
      </c>
      <c r="V584" s="145" t="s">
        <v>34</v>
      </c>
      <c r="W584" s="145" t="s">
        <v>48</v>
      </c>
      <c r="X584" s="104" t="s">
        <v>25</v>
      </c>
      <c r="Y584" s="194">
        <v>2296.6999999999998</v>
      </c>
      <c r="Z584" s="195">
        <v>46113</v>
      </c>
      <c r="AA584" s="180">
        <v>46122</v>
      </c>
      <c r="AB584" s="104" t="s">
        <v>41</v>
      </c>
      <c r="AC584" s="104" t="s">
        <v>1174</v>
      </c>
      <c r="AD584" s="113">
        <f>S584-Y584</f>
        <v>0</v>
      </c>
    </row>
    <row r="585" spans="2:30" ht="45" hidden="1" customHeight="1">
      <c r="B585" s="174">
        <v>582</v>
      </c>
      <c r="C585" s="104" t="s">
        <v>282</v>
      </c>
      <c r="D585" s="104" t="s">
        <v>192</v>
      </c>
      <c r="E585" s="104">
        <v>46813</v>
      </c>
      <c r="F585" s="104" t="s">
        <v>35</v>
      </c>
      <c r="G585" s="145" t="s">
        <v>1715</v>
      </c>
      <c r="H585" s="104">
        <v>1236</v>
      </c>
      <c r="I585" s="104">
        <v>242</v>
      </c>
      <c r="J585" s="104" t="s">
        <v>1575</v>
      </c>
      <c r="K585" s="104" t="s">
        <v>1716</v>
      </c>
      <c r="L585" s="104">
        <v>109735</v>
      </c>
      <c r="M585" s="104">
        <v>5</v>
      </c>
      <c r="N585" s="104" t="s">
        <v>34</v>
      </c>
      <c r="O585" s="104" t="s">
        <v>34</v>
      </c>
      <c r="P585" s="104">
        <v>4422510</v>
      </c>
      <c r="Q585" s="106">
        <v>46094</v>
      </c>
      <c r="R585" s="104">
        <v>4537779</v>
      </c>
      <c r="S585" s="160">
        <v>1986</v>
      </c>
      <c r="T585" s="106">
        <v>46085</v>
      </c>
      <c r="U585" s="145">
        <v>888</v>
      </c>
      <c r="V585" s="145" t="s">
        <v>34</v>
      </c>
      <c r="W585" s="145" t="s">
        <v>48</v>
      </c>
      <c r="X585" s="104" t="s">
        <v>94</v>
      </c>
      <c r="Y585" s="194">
        <v>1986</v>
      </c>
      <c r="Z585" s="195">
        <v>46113</v>
      </c>
      <c r="AA585" s="180">
        <v>46118</v>
      </c>
      <c r="AB585" s="104" t="s">
        <v>60</v>
      </c>
      <c r="AC585" s="104"/>
      <c r="AD585" s="113">
        <f>S585-Y585</f>
        <v>0</v>
      </c>
    </row>
    <row r="586" spans="2:30" ht="45" hidden="1" customHeight="1">
      <c r="B586" s="174">
        <v>583</v>
      </c>
      <c r="C586" s="104" t="s">
        <v>183</v>
      </c>
      <c r="D586" s="104" t="s">
        <v>33</v>
      </c>
      <c r="E586" s="104">
        <v>46557</v>
      </c>
      <c r="F586" s="104" t="s">
        <v>44</v>
      </c>
      <c r="G586" s="145" t="s">
        <v>1717</v>
      </c>
      <c r="H586" s="104">
        <v>2224</v>
      </c>
      <c r="I586" s="104">
        <v>242</v>
      </c>
      <c r="J586" s="104" t="s">
        <v>1575</v>
      </c>
      <c r="K586" s="104" t="s">
        <v>1718</v>
      </c>
      <c r="L586" s="104">
        <v>109358</v>
      </c>
      <c r="M586" s="104">
        <v>6</v>
      </c>
      <c r="N586" s="104" t="s">
        <v>34</v>
      </c>
      <c r="O586" s="104" t="s">
        <v>34</v>
      </c>
      <c r="P586" s="104">
        <v>4414651</v>
      </c>
      <c r="Q586" s="106">
        <v>46087</v>
      </c>
      <c r="R586" s="104">
        <v>4527035</v>
      </c>
      <c r="S586" s="160">
        <v>4560</v>
      </c>
      <c r="T586" s="106">
        <v>46113</v>
      </c>
      <c r="U586" s="145">
        <v>3342</v>
      </c>
      <c r="V586" s="145"/>
      <c r="W586" s="145" t="s">
        <v>48</v>
      </c>
      <c r="X586" s="104" t="s">
        <v>25</v>
      </c>
      <c r="Y586" s="194">
        <v>4560</v>
      </c>
      <c r="Z586" s="195">
        <v>46113</v>
      </c>
      <c r="AA586" s="180">
        <v>46118</v>
      </c>
      <c r="AB586" s="104" t="s">
        <v>41</v>
      </c>
      <c r="AC586" s="104"/>
      <c r="AD586" s="113">
        <f>S586-Y586</f>
        <v>0</v>
      </c>
    </row>
    <row r="587" spans="2:30" ht="45" hidden="1" customHeight="1">
      <c r="B587" s="174">
        <v>584</v>
      </c>
      <c r="C587" s="104" t="s">
        <v>137</v>
      </c>
      <c r="D587" s="104" t="s">
        <v>658</v>
      </c>
      <c r="E587" s="104" t="s">
        <v>34</v>
      </c>
      <c r="F587" s="104" t="s">
        <v>44</v>
      </c>
      <c r="G587" s="145" t="s">
        <v>246</v>
      </c>
      <c r="H587" s="104" t="s">
        <v>247</v>
      </c>
      <c r="I587" s="104">
        <v>5</v>
      </c>
      <c r="J587" s="104" t="s">
        <v>285</v>
      </c>
      <c r="K587" s="104" t="s">
        <v>479</v>
      </c>
      <c r="L587" s="104">
        <v>92041</v>
      </c>
      <c r="M587" s="104">
        <v>2</v>
      </c>
      <c r="N587" s="104" t="s">
        <v>686</v>
      </c>
      <c r="O587" s="104" t="s">
        <v>34</v>
      </c>
      <c r="P587" s="104">
        <v>4303441</v>
      </c>
      <c r="Q587" s="106">
        <v>45978</v>
      </c>
      <c r="R587" s="104">
        <v>4421966</v>
      </c>
      <c r="S587" s="129">
        <v>5501</v>
      </c>
      <c r="T587" s="108">
        <v>45931</v>
      </c>
      <c r="U587" s="104">
        <v>420</v>
      </c>
      <c r="V587" s="104" t="s">
        <v>34</v>
      </c>
      <c r="W587" s="104" t="s">
        <v>40</v>
      </c>
      <c r="X587" s="104" t="s">
        <v>25</v>
      </c>
      <c r="Y587" s="222">
        <v>5501</v>
      </c>
      <c r="Z587" s="106">
        <v>46086</v>
      </c>
      <c r="AA587" s="106">
        <v>46087</v>
      </c>
      <c r="AB587" s="104" t="s">
        <v>60</v>
      </c>
      <c r="AC587" s="104"/>
      <c r="AD587" s="113">
        <f>S587-Y587</f>
        <v>0</v>
      </c>
    </row>
    <row r="588" spans="2:30" ht="45" hidden="1" customHeight="1">
      <c r="B588" s="174">
        <v>585</v>
      </c>
      <c r="C588" s="104" t="s">
        <v>70</v>
      </c>
      <c r="D588" s="104" t="s">
        <v>1719</v>
      </c>
      <c r="E588" s="104" t="s">
        <v>34</v>
      </c>
      <c r="F588" s="104" t="s">
        <v>44</v>
      </c>
      <c r="G588" s="145" t="s">
        <v>1720</v>
      </c>
      <c r="H588" s="104">
        <v>5345</v>
      </c>
      <c r="I588" s="104">
        <v>242</v>
      </c>
      <c r="J588" s="104" t="s">
        <v>1575</v>
      </c>
      <c r="K588" s="104" t="s">
        <v>1721</v>
      </c>
      <c r="L588" s="104">
        <v>109496</v>
      </c>
      <c r="M588" s="104">
        <v>2</v>
      </c>
      <c r="N588" s="104" t="s">
        <v>1722</v>
      </c>
      <c r="O588" s="104" t="s">
        <v>34</v>
      </c>
      <c r="P588" s="104">
        <v>4416049</v>
      </c>
      <c r="Q588" s="130">
        <v>46090</v>
      </c>
      <c r="R588" s="104">
        <v>4525245</v>
      </c>
      <c r="S588" s="160">
        <v>13553</v>
      </c>
      <c r="T588" s="130">
        <v>46089</v>
      </c>
      <c r="U588" s="145">
        <v>6693</v>
      </c>
      <c r="V588" s="145"/>
      <c r="W588" s="145" t="s">
        <v>48</v>
      </c>
      <c r="X588" s="104" t="s">
        <v>94</v>
      </c>
      <c r="Y588" s="194">
        <v>13553</v>
      </c>
      <c r="Z588" s="180">
        <v>46147</v>
      </c>
      <c r="AA588" s="180">
        <v>46147</v>
      </c>
      <c r="AB588" s="104" t="s">
        <v>41</v>
      </c>
      <c r="AC588" s="104"/>
      <c r="AD588" s="113">
        <f>S588-Y588</f>
        <v>0</v>
      </c>
    </row>
    <row r="589" spans="2:30" ht="45" hidden="1" customHeight="1">
      <c r="B589" s="174">
        <v>586</v>
      </c>
      <c r="C589" s="104" t="s">
        <v>95</v>
      </c>
      <c r="D589" s="104" t="s">
        <v>96</v>
      </c>
      <c r="E589" s="104" t="s">
        <v>34</v>
      </c>
      <c r="F589" s="104" t="s">
        <v>44</v>
      </c>
      <c r="G589" s="145" t="s">
        <v>1723</v>
      </c>
      <c r="H589" s="104">
        <v>4502</v>
      </c>
      <c r="I589" s="104">
        <v>332</v>
      </c>
      <c r="J589" s="104" t="s">
        <v>1575</v>
      </c>
      <c r="K589" s="104" t="s">
        <v>1724</v>
      </c>
      <c r="L589" s="104" t="s">
        <v>1725</v>
      </c>
      <c r="M589" s="104">
        <v>2</v>
      </c>
      <c r="N589" s="104" t="s">
        <v>34</v>
      </c>
      <c r="O589" s="104" t="s">
        <v>34</v>
      </c>
      <c r="P589" s="104">
        <v>4393966</v>
      </c>
      <c r="Q589" s="130">
        <v>46069</v>
      </c>
      <c r="R589" s="104">
        <v>4504436</v>
      </c>
      <c r="S589" s="160">
        <v>23500</v>
      </c>
      <c r="T589" s="106">
        <v>46087</v>
      </c>
      <c r="U589" s="145">
        <v>781</v>
      </c>
      <c r="V589" s="145" t="s">
        <v>34</v>
      </c>
      <c r="W589" s="145" t="s">
        <v>40</v>
      </c>
      <c r="X589" s="104" t="s">
        <v>25</v>
      </c>
      <c r="Y589" s="194">
        <v>23500</v>
      </c>
      <c r="Z589" s="195">
        <v>46090</v>
      </c>
      <c r="AA589" s="195">
        <v>46090</v>
      </c>
      <c r="AB589" s="104" t="s">
        <v>60</v>
      </c>
      <c r="AC589" s="104"/>
      <c r="AD589" s="113">
        <f>S589-Y589</f>
        <v>0</v>
      </c>
    </row>
    <row r="590" spans="2:30" ht="45" hidden="1" customHeight="1">
      <c r="B590" s="174">
        <v>587</v>
      </c>
      <c r="C590" s="104" t="s">
        <v>95</v>
      </c>
      <c r="D590" s="104" t="s">
        <v>1726</v>
      </c>
      <c r="E590" s="104" t="s">
        <v>34</v>
      </c>
      <c r="F590" s="104" t="s">
        <v>44</v>
      </c>
      <c r="G590" s="145" t="s">
        <v>1727</v>
      </c>
      <c r="H590" s="104">
        <v>4502</v>
      </c>
      <c r="I590" s="104">
        <v>327</v>
      </c>
      <c r="J590" s="104" t="s">
        <v>1575</v>
      </c>
      <c r="K590" s="104" t="s">
        <v>1728</v>
      </c>
      <c r="L590" s="104" t="s">
        <v>1725</v>
      </c>
      <c r="M590" s="104">
        <v>1</v>
      </c>
      <c r="N590" s="104" t="s">
        <v>34</v>
      </c>
      <c r="O590" s="104" t="s">
        <v>34</v>
      </c>
      <c r="P590" s="104">
        <v>4369622</v>
      </c>
      <c r="Q590" s="106">
        <v>46045</v>
      </c>
      <c r="R590" s="104">
        <v>4493512</v>
      </c>
      <c r="S590" s="160">
        <v>1300876.46</v>
      </c>
      <c r="T590" s="130">
        <v>46087</v>
      </c>
      <c r="U590" s="145">
        <v>30</v>
      </c>
      <c r="V590" s="145" t="s">
        <v>34</v>
      </c>
      <c r="W590" s="145" t="s">
        <v>48</v>
      </c>
      <c r="X590" s="104" t="s">
        <v>94</v>
      </c>
      <c r="Y590" s="194">
        <v>390262.94</v>
      </c>
      <c r="Z590" s="195">
        <v>46090</v>
      </c>
      <c r="AA590" s="195">
        <v>46090</v>
      </c>
      <c r="AB590" s="104" t="s">
        <v>1729</v>
      </c>
      <c r="AC590" s="104"/>
      <c r="AD590" s="113">
        <f>S590-Y590</f>
        <v>910613.52</v>
      </c>
    </row>
    <row r="591" spans="2:30" ht="45" hidden="1" customHeight="1">
      <c r="B591" s="174">
        <v>588</v>
      </c>
      <c r="C591" s="104" t="s">
        <v>282</v>
      </c>
      <c r="D591" s="104" t="s">
        <v>221</v>
      </c>
      <c r="E591" s="104">
        <v>44715</v>
      </c>
      <c r="F591" s="104" t="s">
        <v>44</v>
      </c>
      <c r="G591" s="145" t="s">
        <v>1730</v>
      </c>
      <c r="H591" s="104">
        <v>2330</v>
      </c>
      <c r="I591" s="104">
        <v>242</v>
      </c>
      <c r="J591" s="104" t="s">
        <v>1575</v>
      </c>
      <c r="K591" s="104" t="s">
        <v>1731</v>
      </c>
      <c r="L591" s="104">
        <v>102433</v>
      </c>
      <c r="M591" s="104">
        <v>6</v>
      </c>
      <c r="N591" s="104" t="s">
        <v>34</v>
      </c>
      <c r="O591" s="104" t="s">
        <v>34</v>
      </c>
      <c r="P591" s="104">
        <v>4422574</v>
      </c>
      <c r="Q591" s="130">
        <v>46094</v>
      </c>
      <c r="R591" s="104">
        <v>4532177</v>
      </c>
      <c r="S591" s="160">
        <v>5567.1</v>
      </c>
      <c r="T591" s="106">
        <v>46115</v>
      </c>
      <c r="U591" s="145">
        <v>2800</v>
      </c>
      <c r="V591" s="145" t="s">
        <v>34</v>
      </c>
      <c r="W591" s="145" t="s">
        <v>48</v>
      </c>
      <c r="X591" s="104" t="s">
        <v>131</v>
      </c>
      <c r="Y591" s="194">
        <v>5567.1</v>
      </c>
      <c r="Z591" s="195">
        <v>46132</v>
      </c>
      <c r="AA591" s="180">
        <v>46142</v>
      </c>
      <c r="AB591" s="104" t="s">
        <v>41</v>
      </c>
      <c r="AC591" s="104"/>
      <c r="AD591" s="113">
        <f>S591-Y591</f>
        <v>0</v>
      </c>
    </row>
    <row r="592" spans="2:30" ht="45" hidden="1" customHeight="1">
      <c r="B592" s="174">
        <v>589</v>
      </c>
      <c r="C592" s="104" t="s">
        <v>224</v>
      </c>
      <c r="D592" s="104" t="s">
        <v>1732</v>
      </c>
      <c r="E592" s="104">
        <v>46703</v>
      </c>
      <c r="F592" s="104" t="s">
        <v>44</v>
      </c>
      <c r="G592" s="145" t="s">
        <v>1733</v>
      </c>
      <c r="H592" s="104">
        <v>1210</v>
      </c>
      <c r="I592" s="104">
        <v>242</v>
      </c>
      <c r="J592" s="104" t="s">
        <v>854</v>
      </c>
      <c r="K592" s="104" t="s">
        <v>1734</v>
      </c>
      <c r="L592" s="104">
        <v>110293</v>
      </c>
      <c r="M592" s="104">
        <v>6</v>
      </c>
      <c r="N592" s="104"/>
      <c r="O592" s="104"/>
      <c r="P592" s="104">
        <v>4417040</v>
      </c>
      <c r="Q592" s="106">
        <v>46090</v>
      </c>
      <c r="R592" s="104">
        <v>4529064</v>
      </c>
      <c r="S592" s="160">
        <v>3280</v>
      </c>
      <c r="T592" s="106">
        <v>46099</v>
      </c>
      <c r="U592" s="145"/>
      <c r="V592" s="145"/>
      <c r="W592" s="145"/>
      <c r="X592" s="104"/>
      <c r="Y592" s="194"/>
      <c r="Z592" s="145"/>
      <c r="AA592" s="145"/>
      <c r="AB592" s="104" t="s">
        <v>66</v>
      </c>
      <c r="AC592" s="104"/>
      <c r="AD592" s="113">
        <f>S592-Y592</f>
        <v>3280</v>
      </c>
    </row>
    <row r="593" spans="2:30" ht="45" hidden="1" customHeight="1">
      <c r="B593" s="174">
        <v>590</v>
      </c>
      <c r="C593" s="104" t="s">
        <v>282</v>
      </c>
      <c r="D593" s="104" t="s">
        <v>111</v>
      </c>
      <c r="E593" s="104">
        <v>45641</v>
      </c>
      <c r="F593" s="104" t="s">
        <v>44</v>
      </c>
      <c r="G593" s="145" t="s">
        <v>1735</v>
      </c>
      <c r="H593" s="104">
        <v>1210</v>
      </c>
      <c r="I593" s="104">
        <v>242</v>
      </c>
      <c r="J593" s="104" t="s">
        <v>1575</v>
      </c>
      <c r="K593" s="104" t="s">
        <v>1736</v>
      </c>
      <c r="L593" s="104">
        <v>104883</v>
      </c>
      <c r="M593" s="104">
        <v>6</v>
      </c>
      <c r="N593" s="104" t="s">
        <v>34</v>
      </c>
      <c r="O593" s="104" t="s">
        <v>34</v>
      </c>
      <c r="P593" s="119" t="s">
        <v>1737</v>
      </c>
      <c r="Q593" s="130">
        <v>46091</v>
      </c>
      <c r="R593" s="104">
        <v>4543569</v>
      </c>
      <c r="S593" s="160">
        <v>10807.48</v>
      </c>
      <c r="T593" s="130">
        <v>46115</v>
      </c>
      <c r="U593" s="145"/>
      <c r="V593" s="145"/>
      <c r="W593" s="145"/>
      <c r="X593" s="104"/>
      <c r="Y593" s="194"/>
      <c r="Z593" s="145"/>
      <c r="AA593" s="145"/>
      <c r="AB593" s="104" t="s">
        <v>66</v>
      </c>
      <c r="AC593" s="104"/>
      <c r="AD593" s="113">
        <f>S593-Y593</f>
        <v>10807.48</v>
      </c>
    </row>
    <row r="594" spans="2:30" ht="45" hidden="1" customHeight="1">
      <c r="B594" s="174">
        <v>591</v>
      </c>
      <c r="C594" s="104" t="s">
        <v>95</v>
      </c>
      <c r="D594" s="104" t="s">
        <v>1648</v>
      </c>
      <c r="E594" s="104" t="s">
        <v>34</v>
      </c>
      <c r="F594" s="104" t="s">
        <v>44</v>
      </c>
      <c r="G594" s="145" t="s">
        <v>1649</v>
      </c>
      <c r="H594" s="104">
        <v>4502</v>
      </c>
      <c r="I594" s="104">
        <v>332</v>
      </c>
      <c r="J594" s="104" t="s">
        <v>1575</v>
      </c>
      <c r="K594" s="104" t="s">
        <v>1738</v>
      </c>
      <c r="L594" s="104" t="s">
        <v>1739</v>
      </c>
      <c r="M594" s="104">
        <v>1</v>
      </c>
      <c r="N594" s="104" t="s">
        <v>34</v>
      </c>
      <c r="O594" s="104" t="s">
        <v>34</v>
      </c>
      <c r="P594" s="104">
        <v>4271853</v>
      </c>
      <c r="Q594" s="106">
        <v>45945</v>
      </c>
      <c r="R594" s="104">
        <v>4391682</v>
      </c>
      <c r="S594" s="160">
        <v>50000</v>
      </c>
      <c r="T594" s="104" t="s">
        <v>34</v>
      </c>
      <c r="U594" s="145">
        <v>72</v>
      </c>
      <c r="V594" s="145" t="s">
        <v>34</v>
      </c>
      <c r="W594" s="145" t="s">
        <v>40</v>
      </c>
      <c r="X594" s="104" t="s">
        <v>44</v>
      </c>
      <c r="Y594" s="131">
        <v>50000</v>
      </c>
      <c r="Z594" s="195">
        <v>46085</v>
      </c>
      <c r="AA594" s="195">
        <v>46093</v>
      </c>
      <c r="AB594" s="104" t="s">
        <v>60</v>
      </c>
      <c r="AC594" s="104"/>
      <c r="AD594" s="113">
        <f>S594-Y594</f>
        <v>0</v>
      </c>
    </row>
    <row r="595" spans="2:30" ht="45" hidden="1" customHeight="1">
      <c r="B595" s="174">
        <v>592</v>
      </c>
      <c r="C595" s="104" t="s">
        <v>282</v>
      </c>
      <c r="D595" s="104" t="s">
        <v>948</v>
      </c>
      <c r="E595" s="104">
        <v>44000</v>
      </c>
      <c r="F595" s="104" t="s">
        <v>44</v>
      </c>
      <c r="G595" s="145" t="s">
        <v>1740</v>
      </c>
      <c r="H595" s="104">
        <v>2330</v>
      </c>
      <c r="I595" s="104">
        <v>242</v>
      </c>
      <c r="J595" s="104" t="s">
        <v>1575</v>
      </c>
      <c r="K595" s="104" t="s">
        <v>1741</v>
      </c>
      <c r="L595" s="104">
        <v>99919</v>
      </c>
      <c r="M595" s="104">
        <v>6</v>
      </c>
      <c r="N595" s="104" t="s">
        <v>34</v>
      </c>
      <c r="O595" s="104" t="s">
        <v>34</v>
      </c>
      <c r="P595" s="104"/>
      <c r="Q595" s="104"/>
      <c r="R595" s="104"/>
      <c r="S595" s="160">
        <v>21300</v>
      </c>
      <c r="T595" s="104"/>
      <c r="U595" s="145"/>
      <c r="V595" s="145"/>
      <c r="W595" s="145"/>
      <c r="X595" s="104"/>
      <c r="Y595" s="194"/>
      <c r="Z595" s="145"/>
      <c r="AA595" s="145"/>
      <c r="AB595" s="104" t="s">
        <v>115</v>
      </c>
      <c r="AC595" s="104"/>
      <c r="AD595" s="113">
        <f>S595-Y595</f>
        <v>21300</v>
      </c>
    </row>
    <row r="596" spans="2:30" ht="45" hidden="1" customHeight="1">
      <c r="B596" s="174">
        <v>593</v>
      </c>
      <c r="C596" s="104" t="s">
        <v>70</v>
      </c>
      <c r="D596" s="104" t="s">
        <v>1162</v>
      </c>
      <c r="E596" s="104">
        <v>45639</v>
      </c>
      <c r="F596" s="104" t="s">
        <v>44</v>
      </c>
      <c r="G596" s="145" t="s">
        <v>1742</v>
      </c>
      <c r="H596" s="104">
        <v>2283</v>
      </c>
      <c r="I596" s="104">
        <v>242</v>
      </c>
      <c r="J596" s="104" t="s">
        <v>1430</v>
      </c>
      <c r="K596" s="104">
        <v>95914</v>
      </c>
      <c r="L596" s="104">
        <v>109478</v>
      </c>
      <c r="M596" s="104">
        <v>6</v>
      </c>
      <c r="N596" s="104"/>
      <c r="O596" s="104"/>
      <c r="P596" s="104">
        <v>4419720</v>
      </c>
      <c r="Q596" s="106">
        <v>46092</v>
      </c>
      <c r="R596" s="104">
        <v>4529313</v>
      </c>
      <c r="S596" s="160">
        <v>6134.26</v>
      </c>
      <c r="T596" s="199">
        <v>46082</v>
      </c>
      <c r="U596" s="145">
        <v>20468</v>
      </c>
      <c r="V596" s="145" t="s">
        <v>34</v>
      </c>
      <c r="W596" s="145" t="s">
        <v>48</v>
      </c>
      <c r="X596" s="104" t="s">
        <v>94</v>
      </c>
      <c r="Y596" s="194">
        <v>6134.26</v>
      </c>
      <c r="Z596" s="195">
        <v>46113</v>
      </c>
      <c r="AA596" s="195">
        <v>46118</v>
      </c>
      <c r="AB596" s="104" t="s">
        <v>41</v>
      </c>
      <c r="AC596" s="104"/>
      <c r="AD596" s="113">
        <f>S596-Y596</f>
        <v>0</v>
      </c>
    </row>
    <row r="597" spans="2:30" ht="45" hidden="1" customHeight="1">
      <c r="B597" s="174">
        <v>594</v>
      </c>
      <c r="C597" s="104" t="s">
        <v>1456</v>
      </c>
      <c r="D597" s="104" t="s">
        <v>479</v>
      </c>
      <c r="E597" s="104" t="s">
        <v>34</v>
      </c>
      <c r="F597" s="104" t="s">
        <v>44</v>
      </c>
      <c r="G597" s="145" t="s">
        <v>1457</v>
      </c>
      <c r="H597" s="104" t="s">
        <v>1458</v>
      </c>
      <c r="I597" s="104">
        <v>242</v>
      </c>
      <c r="J597" s="104" t="s">
        <v>1459</v>
      </c>
      <c r="K597" s="104" t="s">
        <v>479</v>
      </c>
      <c r="L597" s="104">
        <v>104393</v>
      </c>
      <c r="M597" s="104">
        <v>1</v>
      </c>
      <c r="N597" s="104"/>
      <c r="O597" s="104"/>
      <c r="P597" s="104">
        <v>4383182</v>
      </c>
      <c r="Q597" s="106">
        <v>46058</v>
      </c>
      <c r="R597" s="104">
        <v>4501421</v>
      </c>
      <c r="S597" s="160">
        <f>AD479</f>
        <v>25007</v>
      </c>
      <c r="T597" s="106">
        <v>46075</v>
      </c>
      <c r="U597" s="145">
        <v>503</v>
      </c>
      <c r="V597" s="145" t="s">
        <v>34</v>
      </c>
      <c r="W597" s="145" t="s">
        <v>48</v>
      </c>
      <c r="X597" s="104" t="s">
        <v>25</v>
      </c>
      <c r="Y597" s="194">
        <v>3114</v>
      </c>
      <c r="Z597" s="180">
        <v>46090</v>
      </c>
      <c r="AA597" s="195">
        <v>46093</v>
      </c>
      <c r="AB597" s="104" t="s">
        <v>60</v>
      </c>
      <c r="AC597" s="104"/>
      <c r="AD597" s="113">
        <f>S597-Y597</f>
        <v>21893</v>
      </c>
    </row>
    <row r="598" spans="2:30" ht="45" hidden="1" customHeight="1">
      <c r="B598" s="174">
        <v>595</v>
      </c>
      <c r="C598" s="104" t="s">
        <v>51</v>
      </c>
      <c r="D598" s="104" t="s">
        <v>33</v>
      </c>
      <c r="E598" s="104">
        <v>47049</v>
      </c>
      <c r="F598" s="104" t="s">
        <v>35</v>
      </c>
      <c r="G598" s="145" t="s">
        <v>1743</v>
      </c>
      <c r="H598" s="104">
        <v>5345</v>
      </c>
      <c r="I598" s="104">
        <v>242</v>
      </c>
      <c r="J598" s="104" t="s">
        <v>1575</v>
      </c>
      <c r="K598" s="104" t="s">
        <v>1744</v>
      </c>
      <c r="L598" s="104">
        <v>110395</v>
      </c>
      <c r="M598" s="104">
        <v>6</v>
      </c>
      <c r="N598" s="104" t="s">
        <v>34</v>
      </c>
      <c r="O598" s="104" t="s">
        <v>34</v>
      </c>
      <c r="P598" s="104">
        <v>4419743</v>
      </c>
      <c r="Q598" s="130">
        <v>46092</v>
      </c>
      <c r="R598" s="104">
        <v>4527397</v>
      </c>
      <c r="S598" s="160">
        <v>315</v>
      </c>
      <c r="T598" s="104" t="s">
        <v>34</v>
      </c>
      <c r="U598" s="145">
        <v>3330</v>
      </c>
      <c r="V598" s="145" t="s">
        <v>34</v>
      </c>
      <c r="W598" s="145" t="s">
        <v>40</v>
      </c>
      <c r="X598" s="104" t="s">
        <v>25</v>
      </c>
      <c r="Y598" s="194">
        <v>315</v>
      </c>
      <c r="Z598" s="195">
        <v>46098</v>
      </c>
      <c r="AA598" s="195">
        <v>46099</v>
      </c>
      <c r="AB598" s="104" t="s">
        <v>41</v>
      </c>
      <c r="AC598" s="104"/>
      <c r="AD598" s="113">
        <f>S598-Y598</f>
        <v>0</v>
      </c>
    </row>
    <row r="599" spans="2:30" ht="71.25" hidden="1" customHeight="1">
      <c r="B599" s="174">
        <v>596</v>
      </c>
      <c r="C599" s="104" t="s">
        <v>316</v>
      </c>
      <c r="D599" s="104" t="s">
        <v>423</v>
      </c>
      <c r="E599" s="104" t="s">
        <v>34</v>
      </c>
      <c r="F599" s="104" t="s">
        <v>44</v>
      </c>
      <c r="G599" s="145" t="s">
        <v>714</v>
      </c>
      <c r="H599" s="104" t="s">
        <v>715</v>
      </c>
      <c r="I599" s="104">
        <v>242</v>
      </c>
      <c r="J599" s="104" t="s">
        <v>1575</v>
      </c>
      <c r="K599" s="104" t="s">
        <v>716</v>
      </c>
      <c r="L599" s="104">
        <v>91007</v>
      </c>
      <c r="M599" s="104">
        <v>2</v>
      </c>
      <c r="N599" s="104" t="s">
        <v>717</v>
      </c>
      <c r="O599" s="104" t="s">
        <v>34</v>
      </c>
      <c r="P599" s="104">
        <v>4305605</v>
      </c>
      <c r="Q599" s="106">
        <v>45980</v>
      </c>
      <c r="R599" s="104">
        <v>4419849</v>
      </c>
      <c r="S599" s="113">
        <f>AD487</f>
        <v>2120</v>
      </c>
      <c r="T599" s="104"/>
      <c r="U599" s="145">
        <v>218</v>
      </c>
      <c r="V599" s="145"/>
      <c r="W599" s="145" t="s">
        <v>40</v>
      </c>
      <c r="X599" s="104" t="s">
        <v>25</v>
      </c>
      <c r="Y599" s="194">
        <v>2120</v>
      </c>
      <c r="Z599" s="180">
        <v>46091</v>
      </c>
      <c r="AA599" s="180">
        <v>46104</v>
      </c>
      <c r="AB599" s="104" t="s">
        <v>41</v>
      </c>
      <c r="AC599" s="104"/>
      <c r="AD599" s="113">
        <f>S599-Y599</f>
        <v>0</v>
      </c>
    </row>
    <row r="600" spans="2:30" ht="45" hidden="1" customHeight="1">
      <c r="B600" s="174">
        <v>597</v>
      </c>
      <c r="C600" s="104" t="s">
        <v>137</v>
      </c>
      <c r="D600" s="104" t="s">
        <v>479</v>
      </c>
      <c r="E600" s="104" t="s">
        <v>34</v>
      </c>
      <c r="F600" s="104" t="s">
        <v>44</v>
      </c>
      <c r="G600" s="145" t="s">
        <v>660</v>
      </c>
      <c r="H600" s="104" t="s">
        <v>1126</v>
      </c>
      <c r="I600" s="104">
        <v>5</v>
      </c>
      <c r="J600" s="104" t="s">
        <v>1575</v>
      </c>
      <c r="K600" s="104" t="s">
        <v>1745</v>
      </c>
      <c r="L600" s="104">
        <v>110132</v>
      </c>
      <c r="M600" s="104">
        <v>1</v>
      </c>
      <c r="N600" s="104" t="s">
        <v>1746</v>
      </c>
      <c r="O600" s="104" t="s">
        <v>34</v>
      </c>
      <c r="P600" s="104">
        <v>4419447</v>
      </c>
      <c r="Q600" s="130">
        <v>46092</v>
      </c>
      <c r="R600" s="104">
        <v>4538062</v>
      </c>
      <c r="S600" s="160">
        <v>45100</v>
      </c>
      <c r="T600" s="199">
        <v>46023</v>
      </c>
      <c r="U600" s="104">
        <v>2187</v>
      </c>
      <c r="V600" s="145" t="s">
        <v>34</v>
      </c>
      <c r="W600" s="145" t="s">
        <v>48</v>
      </c>
      <c r="X600" s="104" t="s">
        <v>94</v>
      </c>
      <c r="Y600" s="194">
        <v>24740</v>
      </c>
      <c r="Z600" s="195">
        <v>46129</v>
      </c>
      <c r="AA600" s="195">
        <v>46135</v>
      </c>
      <c r="AB600" s="104" t="s">
        <v>41</v>
      </c>
      <c r="AC600" s="104"/>
      <c r="AD600" s="113">
        <f>S600-Y600</f>
        <v>20360</v>
      </c>
    </row>
    <row r="601" spans="2:30" ht="45" hidden="1" customHeight="1">
      <c r="B601" s="174">
        <v>598</v>
      </c>
      <c r="C601" s="104" t="s">
        <v>32</v>
      </c>
      <c r="D601" s="104" t="s">
        <v>1747</v>
      </c>
      <c r="E601" s="104">
        <v>44851</v>
      </c>
      <c r="F601" s="104" t="s">
        <v>35</v>
      </c>
      <c r="G601" s="145" t="s">
        <v>1748</v>
      </c>
      <c r="H601" s="104">
        <v>2224</v>
      </c>
      <c r="I601" s="104">
        <v>242</v>
      </c>
      <c r="J601" s="104" t="s">
        <v>1430</v>
      </c>
      <c r="K601" s="104">
        <v>1074</v>
      </c>
      <c r="L601" s="104">
        <v>110570</v>
      </c>
      <c r="M601" s="104">
        <v>2</v>
      </c>
      <c r="N601" s="104" t="s">
        <v>1749</v>
      </c>
      <c r="O601" s="104"/>
      <c r="P601" s="104">
        <v>4420611</v>
      </c>
      <c r="Q601" s="130">
        <v>46093</v>
      </c>
      <c r="R601" s="104">
        <v>4528733</v>
      </c>
      <c r="S601" s="160">
        <v>2885</v>
      </c>
      <c r="T601" s="130">
        <v>46049</v>
      </c>
      <c r="U601" s="145">
        <v>832</v>
      </c>
      <c r="V601" s="145" t="s">
        <v>34</v>
      </c>
      <c r="W601" s="145" t="s">
        <v>1091</v>
      </c>
      <c r="X601" s="104" t="s">
        <v>131</v>
      </c>
      <c r="Y601" s="194">
        <v>2885</v>
      </c>
      <c r="Z601" s="195">
        <v>46098</v>
      </c>
      <c r="AA601" s="195">
        <v>46099</v>
      </c>
      <c r="AB601" s="104" t="s">
        <v>41</v>
      </c>
      <c r="AC601" s="104"/>
      <c r="AD601" s="113">
        <f>S601-Y601</f>
        <v>0</v>
      </c>
    </row>
    <row r="602" spans="2:30" ht="65.25" hidden="1" customHeight="1">
      <c r="B602" s="174">
        <v>599</v>
      </c>
      <c r="C602" s="104" t="s">
        <v>137</v>
      </c>
      <c r="D602" s="104" t="s">
        <v>479</v>
      </c>
      <c r="E602" s="104" t="s">
        <v>34</v>
      </c>
      <c r="F602" s="104" t="s">
        <v>44</v>
      </c>
      <c r="G602" s="145" t="s">
        <v>246</v>
      </c>
      <c r="H602" s="104" t="s">
        <v>247</v>
      </c>
      <c r="I602" s="104">
        <v>5</v>
      </c>
      <c r="J602" s="104" t="s">
        <v>1575</v>
      </c>
      <c r="K602" s="104" t="s">
        <v>1750</v>
      </c>
      <c r="L602" s="104">
        <v>110131</v>
      </c>
      <c r="M602" s="104">
        <v>1</v>
      </c>
      <c r="N602" s="104" t="s">
        <v>1751</v>
      </c>
      <c r="O602" s="104" t="s">
        <v>34</v>
      </c>
      <c r="P602" s="104">
        <v>4419792</v>
      </c>
      <c r="Q602" s="106">
        <v>46092</v>
      </c>
      <c r="R602" s="104">
        <v>4538044</v>
      </c>
      <c r="S602" s="160">
        <v>45000</v>
      </c>
      <c r="T602" s="130">
        <v>46082</v>
      </c>
      <c r="U602" s="145">
        <v>748</v>
      </c>
      <c r="V602" s="145" t="s">
        <v>34</v>
      </c>
      <c r="W602" s="145" t="s">
        <v>40</v>
      </c>
      <c r="X602" s="104" t="s">
        <v>25</v>
      </c>
      <c r="Y602" s="194">
        <v>17112</v>
      </c>
      <c r="Z602" s="195">
        <v>46146</v>
      </c>
      <c r="AA602" s="195">
        <v>46148</v>
      </c>
      <c r="AB602" s="104" t="s">
        <v>41</v>
      </c>
      <c r="AC602" s="104"/>
      <c r="AD602" s="113">
        <f>S602-Y602</f>
        <v>27888</v>
      </c>
    </row>
    <row r="603" spans="2:30" ht="45" hidden="1" customHeight="1">
      <c r="B603" s="174">
        <v>600</v>
      </c>
      <c r="C603" s="104" t="s">
        <v>80</v>
      </c>
      <c r="D603" s="104" t="s">
        <v>479</v>
      </c>
      <c r="E603" s="104" t="s">
        <v>34</v>
      </c>
      <c r="F603" s="104" t="s">
        <v>44</v>
      </c>
      <c r="G603" s="145" t="s">
        <v>1752</v>
      </c>
      <c r="H603" s="104">
        <v>1244</v>
      </c>
      <c r="I603" s="104">
        <v>242</v>
      </c>
      <c r="J603" s="104" t="s">
        <v>1575</v>
      </c>
      <c r="K603" s="104" t="s">
        <v>1753</v>
      </c>
      <c r="L603" s="104">
        <v>110269</v>
      </c>
      <c r="M603" s="104">
        <v>1</v>
      </c>
      <c r="N603" s="104" t="s">
        <v>1754</v>
      </c>
      <c r="O603" s="104" t="s">
        <v>34</v>
      </c>
      <c r="P603" s="104">
        <v>4419820</v>
      </c>
      <c r="Q603" s="106">
        <v>46092</v>
      </c>
      <c r="R603" s="104">
        <v>4537105</v>
      </c>
      <c r="S603" s="160">
        <v>7282.44</v>
      </c>
      <c r="T603" s="130">
        <v>46082</v>
      </c>
      <c r="U603" s="145">
        <v>2052</v>
      </c>
      <c r="V603" s="145" t="s">
        <v>34</v>
      </c>
      <c r="W603" s="145" t="s">
        <v>40</v>
      </c>
      <c r="X603" s="104" t="s">
        <v>44</v>
      </c>
      <c r="Y603" s="194">
        <v>6675.55</v>
      </c>
      <c r="Z603" s="195">
        <v>46129</v>
      </c>
      <c r="AA603" s="195">
        <v>46132</v>
      </c>
      <c r="AB603" s="104" t="s">
        <v>54</v>
      </c>
      <c r="AC603" s="104"/>
      <c r="AD603" s="113">
        <f>S603-Y603</f>
        <v>606.88999999999942</v>
      </c>
    </row>
    <row r="604" spans="2:30" ht="45" hidden="1" customHeight="1">
      <c r="B604" s="174">
        <v>601</v>
      </c>
      <c r="C604" s="104" t="s">
        <v>291</v>
      </c>
      <c r="D604" s="104" t="s">
        <v>616</v>
      </c>
      <c r="E604" s="104" t="s">
        <v>34</v>
      </c>
      <c r="F604" s="104" t="s">
        <v>44</v>
      </c>
      <c r="G604" s="145" t="s">
        <v>1755</v>
      </c>
      <c r="H604" s="104">
        <v>2488</v>
      </c>
      <c r="I604" s="104">
        <v>5</v>
      </c>
      <c r="J604" s="104" t="s">
        <v>1430</v>
      </c>
      <c r="K604" s="104" t="s">
        <v>1756</v>
      </c>
      <c r="L604" s="104">
        <v>110199</v>
      </c>
      <c r="M604" s="104">
        <v>1</v>
      </c>
      <c r="N604" s="104" t="s">
        <v>1757</v>
      </c>
      <c r="O604" s="104"/>
      <c r="P604" s="116" t="s">
        <v>1758</v>
      </c>
      <c r="Q604" s="106">
        <v>46093</v>
      </c>
      <c r="R604" s="104"/>
      <c r="S604" s="160" t="s">
        <v>1340</v>
      </c>
      <c r="T604" s="106">
        <v>46102</v>
      </c>
      <c r="U604" s="145"/>
      <c r="V604" s="145"/>
      <c r="W604" s="145"/>
      <c r="X604" s="104"/>
      <c r="Y604" s="194"/>
      <c r="Z604" s="145"/>
      <c r="AA604" s="145"/>
      <c r="AB604" s="104" t="s">
        <v>115</v>
      </c>
      <c r="AC604" s="104"/>
      <c r="AD604" s="113" t="e">
        <f>S604-Y604</f>
        <v>#VALUE!</v>
      </c>
    </row>
    <row r="605" spans="2:30" ht="45" hidden="1" customHeight="1">
      <c r="B605" s="174">
        <v>602</v>
      </c>
      <c r="C605" s="104" t="s">
        <v>70</v>
      </c>
      <c r="D605" s="104" t="s">
        <v>1016</v>
      </c>
      <c r="E605" s="104" t="s">
        <v>1759</v>
      </c>
      <c r="F605" s="104" t="s">
        <v>44</v>
      </c>
      <c r="G605" s="145" t="s">
        <v>1760</v>
      </c>
      <c r="H605" s="104" t="s">
        <v>1761</v>
      </c>
      <c r="I605" s="104">
        <v>242</v>
      </c>
      <c r="J605" s="104" t="s">
        <v>1430</v>
      </c>
      <c r="K605" s="104" t="s">
        <v>1762</v>
      </c>
      <c r="L605" s="104">
        <v>110032</v>
      </c>
      <c r="M605" s="104">
        <v>2</v>
      </c>
      <c r="N605" s="104" t="s">
        <v>1763</v>
      </c>
      <c r="O605" s="104"/>
      <c r="P605" s="104">
        <v>4419972</v>
      </c>
      <c r="Q605" s="106">
        <v>46092</v>
      </c>
      <c r="R605" s="104">
        <v>4529864</v>
      </c>
      <c r="S605" s="160">
        <v>11960</v>
      </c>
      <c r="T605" s="130">
        <v>46082</v>
      </c>
      <c r="U605" s="145">
        <v>411</v>
      </c>
      <c r="V605" s="145"/>
      <c r="W605" s="145" t="s">
        <v>1091</v>
      </c>
      <c r="X605" s="104" t="s">
        <v>508</v>
      </c>
      <c r="Y605" s="194">
        <v>5980</v>
      </c>
      <c r="Z605" s="180">
        <v>46129</v>
      </c>
      <c r="AA605" s="180">
        <v>46129</v>
      </c>
      <c r="AB605" s="104" t="s">
        <v>41</v>
      </c>
      <c r="AC605" s="104"/>
      <c r="AD605" s="113">
        <f>S605-Y605</f>
        <v>5980</v>
      </c>
    </row>
    <row r="606" spans="2:30" ht="45" hidden="1" customHeight="1">
      <c r="B606" s="174">
        <v>603</v>
      </c>
      <c r="C606" s="104" t="s">
        <v>291</v>
      </c>
      <c r="D606" s="104" t="s">
        <v>1162</v>
      </c>
      <c r="E606" s="104">
        <v>44893</v>
      </c>
      <c r="F606" s="104" t="s">
        <v>44</v>
      </c>
      <c r="G606" s="145" t="s">
        <v>1764</v>
      </c>
      <c r="H606" s="104">
        <v>2488</v>
      </c>
      <c r="I606" s="104">
        <v>242</v>
      </c>
      <c r="J606" s="104" t="s">
        <v>1430</v>
      </c>
      <c r="K606" s="104">
        <v>95531</v>
      </c>
      <c r="L606" s="104">
        <v>110156</v>
      </c>
      <c r="M606" s="104">
        <v>6</v>
      </c>
      <c r="N606" s="104"/>
      <c r="O606" s="104"/>
      <c r="P606" s="104">
        <v>4420352</v>
      </c>
      <c r="Q606" s="106">
        <v>46093</v>
      </c>
      <c r="R606" s="104">
        <v>4531524</v>
      </c>
      <c r="S606" s="160">
        <v>13968</v>
      </c>
      <c r="T606" s="106">
        <v>46112</v>
      </c>
      <c r="U606" s="145">
        <v>20457</v>
      </c>
      <c r="V606" s="145" t="s">
        <v>34</v>
      </c>
      <c r="W606" s="145" t="s">
        <v>48</v>
      </c>
      <c r="X606" s="104" t="s">
        <v>94</v>
      </c>
      <c r="Y606" s="194">
        <v>6984</v>
      </c>
      <c r="Z606" s="195">
        <v>46107</v>
      </c>
      <c r="AA606" s="195">
        <v>46112</v>
      </c>
      <c r="AB606" s="104" t="s">
        <v>41</v>
      </c>
      <c r="AC606" s="104"/>
      <c r="AD606" s="113">
        <f>S606-Y606</f>
        <v>6984</v>
      </c>
    </row>
    <row r="607" spans="2:30" ht="45" hidden="1" customHeight="1">
      <c r="B607" s="174">
        <v>604</v>
      </c>
      <c r="C607" s="104" t="s">
        <v>291</v>
      </c>
      <c r="D607" s="104" t="s">
        <v>1747</v>
      </c>
      <c r="E607" s="104">
        <v>45558</v>
      </c>
      <c r="F607" s="104" t="s">
        <v>35</v>
      </c>
      <c r="G607" s="145" t="s">
        <v>1765</v>
      </c>
      <c r="H607" s="104">
        <v>1228</v>
      </c>
      <c r="I607" s="104">
        <v>242</v>
      </c>
      <c r="J607" s="104" t="s">
        <v>1430</v>
      </c>
      <c r="K607" s="104">
        <v>1168</v>
      </c>
      <c r="L607" s="104">
        <v>110159</v>
      </c>
      <c r="M607" s="104">
        <v>5</v>
      </c>
      <c r="N607" s="104" t="s">
        <v>1766</v>
      </c>
      <c r="O607" s="104"/>
      <c r="P607" s="104">
        <v>4420411</v>
      </c>
      <c r="Q607" s="106">
        <v>46093</v>
      </c>
      <c r="R607" s="104">
        <v>4537198</v>
      </c>
      <c r="S607" s="160">
        <v>3860</v>
      </c>
      <c r="T607" s="104" t="s">
        <v>1759</v>
      </c>
      <c r="U607" s="145">
        <v>889</v>
      </c>
      <c r="V607" s="145" t="s">
        <v>34</v>
      </c>
      <c r="W607" s="145" t="s">
        <v>48</v>
      </c>
      <c r="X607" s="104" t="s">
        <v>131</v>
      </c>
      <c r="Y607" s="194">
        <v>3860</v>
      </c>
      <c r="Z607" s="195">
        <v>46113</v>
      </c>
      <c r="AA607" s="180">
        <v>46119</v>
      </c>
      <c r="AB607" s="104" t="s">
        <v>41</v>
      </c>
      <c r="AC607" s="104"/>
      <c r="AD607" s="113">
        <f>S607-Y607</f>
        <v>0</v>
      </c>
    </row>
    <row r="608" spans="2:30" ht="45" hidden="1" customHeight="1">
      <c r="B608" s="174">
        <v>605</v>
      </c>
      <c r="C608" s="104" t="s">
        <v>291</v>
      </c>
      <c r="D608" s="104" t="s">
        <v>1747</v>
      </c>
      <c r="E608" s="104">
        <v>45601</v>
      </c>
      <c r="F608" s="104" t="s">
        <v>35</v>
      </c>
      <c r="G608" s="145" t="s">
        <v>1767</v>
      </c>
      <c r="H608" s="104">
        <v>2470</v>
      </c>
      <c r="I608" s="104">
        <v>242</v>
      </c>
      <c r="J608" s="104" t="s">
        <v>1430</v>
      </c>
      <c r="K608" s="104">
        <v>1173</v>
      </c>
      <c r="L608" s="104">
        <v>110158</v>
      </c>
      <c r="M608" s="104">
        <v>5</v>
      </c>
      <c r="N608" s="104" t="s">
        <v>1768</v>
      </c>
      <c r="O608" s="104"/>
      <c r="P608" s="104">
        <v>4420452</v>
      </c>
      <c r="Q608" s="106">
        <v>46093</v>
      </c>
      <c r="R608" s="104">
        <v>4537197</v>
      </c>
      <c r="S608" s="160">
        <v>1695</v>
      </c>
      <c r="T608" s="104" t="s">
        <v>1759</v>
      </c>
      <c r="U608" s="145">
        <v>891</v>
      </c>
      <c r="V608" s="145" t="s">
        <v>34</v>
      </c>
      <c r="W608" s="145" t="s">
        <v>48</v>
      </c>
      <c r="X608" s="104" t="s">
        <v>131</v>
      </c>
      <c r="Y608" s="194">
        <v>1695</v>
      </c>
      <c r="Z608" s="195">
        <v>46113</v>
      </c>
      <c r="AA608" s="180">
        <v>46119</v>
      </c>
      <c r="AB608" s="104" t="s">
        <v>41</v>
      </c>
      <c r="AC608" s="104"/>
      <c r="AD608" s="113">
        <f>S608-Y608</f>
        <v>0</v>
      </c>
    </row>
    <row r="609" spans="2:30" ht="45" hidden="1" customHeight="1">
      <c r="B609" s="174">
        <v>606</v>
      </c>
      <c r="C609" s="104" t="s">
        <v>70</v>
      </c>
      <c r="D609" s="104" t="s">
        <v>1447</v>
      </c>
      <c r="E609" s="104" t="s">
        <v>1759</v>
      </c>
      <c r="F609" s="104" t="s">
        <v>44</v>
      </c>
      <c r="G609" s="145" t="s">
        <v>1769</v>
      </c>
      <c r="H609" s="104">
        <v>2313</v>
      </c>
      <c r="I609" s="104">
        <v>242</v>
      </c>
      <c r="J609" s="104" t="s">
        <v>1430</v>
      </c>
      <c r="K609" s="104">
        <v>23</v>
      </c>
      <c r="L609" s="104">
        <v>109378</v>
      </c>
      <c r="M609" s="104">
        <v>29</v>
      </c>
      <c r="N609" s="104" t="s">
        <v>1770</v>
      </c>
      <c r="O609" s="104"/>
      <c r="P609" s="104">
        <v>4420708</v>
      </c>
      <c r="Q609" s="106">
        <v>46093</v>
      </c>
      <c r="R609" s="104">
        <v>4537546</v>
      </c>
      <c r="S609" s="160">
        <v>52350</v>
      </c>
      <c r="T609" s="106">
        <v>46112</v>
      </c>
      <c r="U609" s="145"/>
      <c r="V609" s="145"/>
      <c r="W609" s="145"/>
      <c r="X609" s="104"/>
      <c r="Y609" s="194"/>
      <c r="Z609" s="145"/>
      <c r="AA609" s="145"/>
      <c r="AB609" s="104" t="s">
        <v>66</v>
      </c>
      <c r="AC609" s="104"/>
      <c r="AD609" s="113">
        <f>S609-Y609</f>
        <v>52350</v>
      </c>
    </row>
    <row r="610" spans="2:30" ht="45" hidden="1" customHeight="1">
      <c r="B610" s="174">
        <v>607</v>
      </c>
      <c r="C610" s="104" t="s">
        <v>95</v>
      </c>
      <c r="D610" s="104" t="s">
        <v>1295</v>
      </c>
      <c r="E610" s="104" t="s">
        <v>34</v>
      </c>
      <c r="F610" s="104" t="s">
        <v>44</v>
      </c>
      <c r="G610" s="145" t="s">
        <v>1771</v>
      </c>
      <c r="H610" s="104">
        <v>2101</v>
      </c>
      <c r="I610" s="104">
        <v>5</v>
      </c>
      <c r="J610" s="104" t="s">
        <v>854</v>
      </c>
      <c r="K610" s="104">
        <v>983</v>
      </c>
      <c r="L610" s="104">
        <v>110773</v>
      </c>
      <c r="M610" s="104">
        <v>1</v>
      </c>
      <c r="N610" s="104" t="s">
        <v>1772</v>
      </c>
      <c r="O610" s="104"/>
      <c r="P610" s="119" t="s">
        <v>1773</v>
      </c>
      <c r="Q610" s="106">
        <v>46093</v>
      </c>
      <c r="R610" s="104">
        <v>4539247</v>
      </c>
      <c r="S610" s="160">
        <v>3254</v>
      </c>
      <c r="T610" s="106">
        <v>46112</v>
      </c>
      <c r="U610" s="145">
        <v>916</v>
      </c>
      <c r="V610" s="145" t="s">
        <v>34</v>
      </c>
      <c r="W610" s="145" t="s">
        <v>48</v>
      </c>
      <c r="X610" s="104" t="s">
        <v>25</v>
      </c>
      <c r="Y610" s="194">
        <v>3254</v>
      </c>
      <c r="Z610" s="195">
        <v>46113</v>
      </c>
      <c r="AA610" s="180">
        <v>46118</v>
      </c>
      <c r="AB610" s="104" t="s">
        <v>60</v>
      </c>
      <c r="AC610" s="104"/>
      <c r="AD610" s="113">
        <f>S610-Y610</f>
        <v>0</v>
      </c>
    </row>
    <row r="611" spans="2:30" ht="45" hidden="1" customHeight="1">
      <c r="B611" s="174">
        <v>608</v>
      </c>
      <c r="C611" s="104" t="s">
        <v>32</v>
      </c>
      <c r="D611" s="104" t="s">
        <v>192</v>
      </c>
      <c r="E611" s="104">
        <v>46808</v>
      </c>
      <c r="F611" s="104" t="s">
        <v>35</v>
      </c>
      <c r="G611" s="145" t="s">
        <v>1774</v>
      </c>
      <c r="H611" s="104">
        <v>2224</v>
      </c>
      <c r="I611" s="104">
        <v>242</v>
      </c>
      <c r="J611" s="104" t="s">
        <v>1430</v>
      </c>
      <c r="K611" s="104">
        <v>1260</v>
      </c>
      <c r="L611" s="104">
        <v>109356</v>
      </c>
      <c r="M611" s="104">
        <v>5</v>
      </c>
      <c r="N611" s="104" t="s">
        <v>1775</v>
      </c>
      <c r="O611" s="104"/>
      <c r="P611" s="116" t="s">
        <v>1776</v>
      </c>
      <c r="Q611" s="117" t="s">
        <v>1777</v>
      </c>
      <c r="R611" s="104">
        <v>4573476</v>
      </c>
      <c r="S611" s="160">
        <v>8985</v>
      </c>
      <c r="T611" s="130">
        <v>46081</v>
      </c>
      <c r="U611" s="145">
        <v>1026</v>
      </c>
      <c r="V611" s="145"/>
      <c r="W611" s="145" t="s">
        <v>1091</v>
      </c>
      <c r="X611" s="104" t="s">
        <v>94</v>
      </c>
      <c r="Y611" s="194">
        <v>8985</v>
      </c>
      <c r="Z611" s="180">
        <v>46143</v>
      </c>
      <c r="AA611" s="180">
        <v>46146</v>
      </c>
      <c r="AB611" s="104" t="s">
        <v>41</v>
      </c>
      <c r="AC611" s="104"/>
      <c r="AD611" s="113">
        <f>S611-Y611</f>
        <v>0</v>
      </c>
    </row>
    <row r="612" spans="2:30" ht="45" hidden="1" customHeight="1">
      <c r="B612" s="174">
        <v>609</v>
      </c>
      <c r="C612" s="104" t="s">
        <v>95</v>
      </c>
      <c r="D612" s="104" t="s">
        <v>1778</v>
      </c>
      <c r="E612" s="104" t="s">
        <v>34</v>
      </c>
      <c r="F612" s="104" t="s">
        <v>44</v>
      </c>
      <c r="G612" s="145" t="s">
        <v>1779</v>
      </c>
      <c r="H612" s="104">
        <v>1210</v>
      </c>
      <c r="I612" s="104">
        <v>242</v>
      </c>
      <c r="J612" s="104" t="s">
        <v>854</v>
      </c>
      <c r="K612" s="104">
        <v>23800</v>
      </c>
      <c r="L612" s="104">
        <v>110775</v>
      </c>
      <c r="M612" s="104">
        <v>1</v>
      </c>
      <c r="N612" s="104" t="s">
        <v>1780</v>
      </c>
      <c r="O612" s="104"/>
      <c r="P612" s="116" t="s">
        <v>1781</v>
      </c>
      <c r="Q612" s="106">
        <v>46093</v>
      </c>
      <c r="R612" s="104"/>
      <c r="S612" s="160">
        <v>32300</v>
      </c>
      <c r="T612" s="106">
        <v>46112</v>
      </c>
      <c r="U612" s="145"/>
      <c r="V612" s="145"/>
      <c r="W612" s="145"/>
      <c r="X612" s="104"/>
      <c r="Y612" s="194"/>
      <c r="Z612" s="145"/>
      <c r="AA612" s="145"/>
      <c r="AB612" s="104" t="s">
        <v>115</v>
      </c>
      <c r="AC612" s="104"/>
      <c r="AD612" s="113">
        <f>S612-Y612</f>
        <v>32300</v>
      </c>
    </row>
    <row r="613" spans="2:30" ht="45" hidden="1" customHeight="1">
      <c r="B613" s="174">
        <v>610</v>
      </c>
      <c r="C613" s="104" t="s">
        <v>183</v>
      </c>
      <c r="D613" s="104" t="s">
        <v>1385</v>
      </c>
      <c r="E613" s="104">
        <v>46181</v>
      </c>
      <c r="F613" s="104" t="s">
        <v>44</v>
      </c>
      <c r="G613" s="145" t="s">
        <v>1782</v>
      </c>
      <c r="H613" s="104">
        <v>2224</v>
      </c>
      <c r="I613" s="104">
        <v>242</v>
      </c>
      <c r="J613" s="104" t="s">
        <v>1430</v>
      </c>
      <c r="K613" s="104">
        <v>494</v>
      </c>
      <c r="L613" s="104">
        <v>109349</v>
      </c>
      <c r="M613" s="104">
        <v>6</v>
      </c>
      <c r="N613" s="104"/>
      <c r="O613" s="104"/>
      <c r="P613" s="104">
        <v>4420525</v>
      </c>
      <c r="Q613" s="106">
        <v>46093</v>
      </c>
      <c r="R613" s="104">
        <v>4531527</v>
      </c>
      <c r="S613" s="160">
        <v>5624</v>
      </c>
      <c r="T613" s="106">
        <v>46112</v>
      </c>
      <c r="U613" s="145">
        <v>3341</v>
      </c>
      <c r="V613" s="145"/>
      <c r="W613" s="145" t="s">
        <v>48</v>
      </c>
      <c r="X613" s="104" t="s">
        <v>25</v>
      </c>
      <c r="Y613" s="194">
        <v>5624</v>
      </c>
      <c r="Z613" s="195">
        <v>46113</v>
      </c>
      <c r="AA613" s="195">
        <v>46118</v>
      </c>
      <c r="AB613" s="104" t="s">
        <v>41</v>
      </c>
      <c r="AC613" s="104"/>
      <c r="AD613" s="113">
        <f>S613-Y613</f>
        <v>0</v>
      </c>
    </row>
    <row r="614" spans="2:30" ht="45" hidden="1" customHeight="1">
      <c r="B614" s="174">
        <v>611</v>
      </c>
      <c r="C614" s="104" t="s">
        <v>70</v>
      </c>
      <c r="D614" s="104" t="s">
        <v>1437</v>
      </c>
      <c r="E614" s="104">
        <v>46741</v>
      </c>
      <c r="F614" s="104" t="s">
        <v>44</v>
      </c>
      <c r="G614" s="145" t="s">
        <v>1783</v>
      </c>
      <c r="H614" s="104">
        <v>2291</v>
      </c>
      <c r="I614" s="104">
        <v>242</v>
      </c>
      <c r="J614" s="104" t="s">
        <v>1430</v>
      </c>
      <c r="K614" s="104">
        <v>80029</v>
      </c>
      <c r="L614" s="104">
        <v>109952</v>
      </c>
      <c r="M614" s="104">
        <v>6</v>
      </c>
      <c r="N614" s="104"/>
      <c r="O614" s="104"/>
      <c r="P614" s="104">
        <v>4420593</v>
      </c>
      <c r="Q614" s="106">
        <v>46093</v>
      </c>
      <c r="R614" s="104">
        <v>4531525</v>
      </c>
      <c r="S614" s="160">
        <v>1398.7</v>
      </c>
      <c r="T614" s="199">
        <v>46113</v>
      </c>
      <c r="U614" s="145">
        <v>181</v>
      </c>
      <c r="V614" s="145" t="s">
        <v>34</v>
      </c>
      <c r="W614" s="145" t="s">
        <v>48</v>
      </c>
      <c r="X614" s="104" t="s">
        <v>25</v>
      </c>
      <c r="Y614" s="194">
        <v>1398.7</v>
      </c>
      <c r="Z614" s="195">
        <v>46113</v>
      </c>
      <c r="AA614" s="180">
        <v>46122</v>
      </c>
      <c r="AB614" s="104" t="s">
        <v>41</v>
      </c>
      <c r="AC614" s="104" t="s">
        <v>1174</v>
      </c>
      <c r="AD614" s="113">
        <f>S614-Y614</f>
        <v>0</v>
      </c>
    </row>
    <row r="615" spans="2:30" ht="45" hidden="1" customHeight="1">
      <c r="B615" s="174">
        <v>612</v>
      </c>
      <c r="C615" s="104" t="s">
        <v>70</v>
      </c>
      <c r="D615" s="104" t="s">
        <v>1784</v>
      </c>
      <c r="E615" s="104" t="s">
        <v>1759</v>
      </c>
      <c r="F615" s="104" t="s">
        <v>44</v>
      </c>
      <c r="G615" s="145" t="s">
        <v>1785</v>
      </c>
      <c r="H615" s="104">
        <v>2232</v>
      </c>
      <c r="I615" s="104">
        <v>242</v>
      </c>
      <c r="J615" s="104" t="s">
        <v>1430</v>
      </c>
      <c r="K615" s="104">
        <v>3381</v>
      </c>
      <c r="L615" s="104">
        <v>109290</v>
      </c>
      <c r="M615" s="104">
        <v>2</v>
      </c>
      <c r="N615" s="104" t="s">
        <v>1786</v>
      </c>
      <c r="O615" s="104"/>
      <c r="P615" s="104">
        <v>4420668</v>
      </c>
      <c r="Q615" s="106">
        <v>46093</v>
      </c>
      <c r="R615" s="104">
        <v>4528741</v>
      </c>
      <c r="S615" s="160">
        <v>5357.14</v>
      </c>
      <c r="T615" s="106">
        <v>46112</v>
      </c>
      <c r="U615" s="145"/>
      <c r="V615" s="145"/>
      <c r="W615" s="145"/>
      <c r="X615" s="104"/>
      <c r="Y615" s="194"/>
      <c r="Z615" s="145"/>
      <c r="AA615" s="145"/>
      <c r="AB615" s="104" t="s">
        <v>66</v>
      </c>
      <c r="AC615" s="104"/>
      <c r="AD615" s="113">
        <f>S615-Y615</f>
        <v>5357.14</v>
      </c>
    </row>
    <row r="616" spans="2:30" ht="45" hidden="1" customHeight="1">
      <c r="B616" s="174">
        <v>613</v>
      </c>
      <c r="C616" s="104" t="s">
        <v>95</v>
      </c>
      <c r="D616" s="104" t="s">
        <v>91</v>
      </c>
      <c r="E616" s="104" t="s">
        <v>34</v>
      </c>
      <c r="F616" s="104" t="s">
        <v>44</v>
      </c>
      <c r="G616" s="145" t="s">
        <v>1787</v>
      </c>
      <c r="H616" s="104">
        <v>4502</v>
      </c>
      <c r="I616" s="104">
        <v>326</v>
      </c>
      <c r="J616" s="104" t="s">
        <v>1575</v>
      </c>
      <c r="K616" s="104" t="s">
        <v>1788</v>
      </c>
      <c r="L616" s="104" t="s">
        <v>1725</v>
      </c>
      <c r="M616" s="104">
        <v>2</v>
      </c>
      <c r="N616" s="104" t="s">
        <v>34</v>
      </c>
      <c r="O616" s="104" t="s">
        <v>34</v>
      </c>
      <c r="P616" s="104">
        <v>4387267</v>
      </c>
      <c r="Q616" s="130">
        <v>46063</v>
      </c>
      <c r="R616" s="104">
        <v>4497286</v>
      </c>
      <c r="S616" s="160">
        <v>8760.01</v>
      </c>
      <c r="T616" s="104"/>
      <c r="U616" s="145">
        <v>2160</v>
      </c>
      <c r="V616" s="145" t="s">
        <v>34</v>
      </c>
      <c r="W616" s="145" t="s">
        <v>40</v>
      </c>
      <c r="X616" s="104" t="s">
        <v>44</v>
      </c>
      <c r="Y616" s="194">
        <v>8760.01</v>
      </c>
      <c r="Z616" s="195">
        <v>46090</v>
      </c>
      <c r="AA616" s="195">
        <v>46093</v>
      </c>
      <c r="AB616" s="104" t="s">
        <v>60</v>
      </c>
      <c r="AC616" s="104"/>
      <c r="AD616" s="113">
        <f>S616-Y616</f>
        <v>0</v>
      </c>
    </row>
    <row r="617" spans="2:30" ht="45" hidden="1" customHeight="1">
      <c r="B617" s="174">
        <v>614</v>
      </c>
      <c r="C617" s="104" t="s">
        <v>70</v>
      </c>
      <c r="D617" s="104" t="s">
        <v>1789</v>
      </c>
      <c r="E617" s="104" t="s">
        <v>1759</v>
      </c>
      <c r="F617" s="104" t="s">
        <v>44</v>
      </c>
      <c r="G617" s="145" t="s">
        <v>1790</v>
      </c>
      <c r="H617" s="104">
        <v>2330</v>
      </c>
      <c r="I617" s="104">
        <v>242</v>
      </c>
      <c r="J617" s="104" t="s">
        <v>1430</v>
      </c>
      <c r="K617" s="104">
        <v>7641</v>
      </c>
      <c r="L617" s="104">
        <v>106661</v>
      </c>
      <c r="M617" s="104">
        <v>29</v>
      </c>
      <c r="N617" s="104" t="s">
        <v>1791</v>
      </c>
      <c r="O617" s="104"/>
      <c r="P617" s="104">
        <v>4420718</v>
      </c>
      <c r="Q617" s="106">
        <v>46093</v>
      </c>
      <c r="R617" s="104">
        <v>4537124</v>
      </c>
      <c r="S617" s="160">
        <v>32400</v>
      </c>
      <c r="T617" s="199">
        <v>46113</v>
      </c>
      <c r="U617" s="145"/>
      <c r="V617" s="145"/>
      <c r="W617" s="145"/>
      <c r="X617" s="104"/>
      <c r="Y617" s="194"/>
      <c r="Z617" s="145"/>
      <c r="AA617" s="145"/>
      <c r="AB617" s="104" t="s">
        <v>66</v>
      </c>
      <c r="AC617" s="104"/>
      <c r="AD617" s="113">
        <f>S617-Y617</f>
        <v>32400</v>
      </c>
    </row>
    <row r="618" spans="2:30" ht="45" hidden="1" customHeight="1">
      <c r="B618" s="174">
        <v>615</v>
      </c>
      <c r="C618" s="104" t="s">
        <v>291</v>
      </c>
      <c r="D618" s="104" t="s">
        <v>192</v>
      </c>
      <c r="E618" s="104"/>
      <c r="F618" s="104" t="s">
        <v>35</v>
      </c>
      <c r="G618" s="145" t="s">
        <v>1792</v>
      </c>
      <c r="H618" s="104">
        <v>2291</v>
      </c>
      <c r="I618" s="104">
        <v>242</v>
      </c>
      <c r="J618" s="104" t="s">
        <v>1430</v>
      </c>
      <c r="K618" s="104">
        <v>1308</v>
      </c>
      <c r="L618" s="104">
        <v>110913</v>
      </c>
      <c r="M618" s="104">
        <v>5</v>
      </c>
      <c r="N618" s="104" t="s">
        <v>1793</v>
      </c>
      <c r="O618" s="104"/>
      <c r="P618" s="104">
        <v>4432188</v>
      </c>
      <c r="Q618" s="106">
        <v>46105</v>
      </c>
      <c r="R618" s="104">
        <v>4543197</v>
      </c>
      <c r="S618" s="160">
        <v>3860</v>
      </c>
      <c r="T618" s="104"/>
      <c r="U618" s="145">
        <v>886</v>
      </c>
      <c r="V618" s="145" t="s">
        <v>34</v>
      </c>
      <c r="W618" s="145" t="s">
        <v>48</v>
      </c>
      <c r="X618" s="104" t="s">
        <v>131</v>
      </c>
      <c r="Y618" s="194">
        <v>3860</v>
      </c>
      <c r="Z618" s="195">
        <v>46113</v>
      </c>
      <c r="AA618" s="180">
        <v>46119</v>
      </c>
      <c r="AB618" s="104" t="s">
        <v>41</v>
      </c>
      <c r="AC618" s="104"/>
      <c r="AD618" s="113">
        <f>S618-Y618</f>
        <v>0</v>
      </c>
    </row>
    <row r="619" spans="2:30" ht="45" hidden="1" customHeight="1">
      <c r="B619" s="174">
        <v>616</v>
      </c>
      <c r="C619" s="104" t="s">
        <v>183</v>
      </c>
      <c r="D619" s="104" t="s">
        <v>1385</v>
      </c>
      <c r="E619" s="104">
        <v>44473</v>
      </c>
      <c r="F619" s="104" t="s">
        <v>35</v>
      </c>
      <c r="G619" s="145" t="s">
        <v>1794</v>
      </c>
      <c r="H619" s="104">
        <v>5345</v>
      </c>
      <c r="I619" s="104">
        <v>242</v>
      </c>
      <c r="J619" s="104" t="s">
        <v>1430</v>
      </c>
      <c r="K619" s="104">
        <v>477</v>
      </c>
      <c r="L619" s="104">
        <v>111198</v>
      </c>
      <c r="M619" s="104">
        <v>6</v>
      </c>
      <c r="N619" s="104"/>
      <c r="O619" s="104"/>
      <c r="P619" s="104">
        <v>4422073</v>
      </c>
      <c r="Q619" s="106">
        <v>46094</v>
      </c>
      <c r="R619" s="104">
        <v>4532156</v>
      </c>
      <c r="S619" s="160">
        <v>4900</v>
      </c>
      <c r="T619" s="199">
        <v>46113</v>
      </c>
      <c r="U619" s="145">
        <v>3346</v>
      </c>
      <c r="V619" s="145" t="s">
        <v>34</v>
      </c>
      <c r="W619" s="145" t="s">
        <v>48</v>
      </c>
      <c r="X619" s="104" t="s">
        <v>25</v>
      </c>
      <c r="Y619" s="194">
        <v>4655</v>
      </c>
      <c r="Z619" s="195">
        <v>46113</v>
      </c>
      <c r="AA619" s="180">
        <v>46121</v>
      </c>
      <c r="AB619" s="104" t="s">
        <v>41</v>
      </c>
      <c r="AC619" s="104"/>
      <c r="AD619" s="113">
        <f>S619-Y619</f>
        <v>245</v>
      </c>
    </row>
    <row r="620" spans="2:30" ht="45" hidden="1" customHeight="1">
      <c r="B620" s="174">
        <v>617</v>
      </c>
      <c r="C620" s="104" t="s">
        <v>32</v>
      </c>
      <c r="D620" s="104" t="s">
        <v>192</v>
      </c>
      <c r="E620" s="104">
        <v>47234</v>
      </c>
      <c r="F620" s="104" t="s">
        <v>35</v>
      </c>
      <c r="G620" s="145" t="s">
        <v>1795</v>
      </c>
      <c r="H620" s="104">
        <v>2275</v>
      </c>
      <c r="I620" s="104">
        <v>242</v>
      </c>
      <c r="J620" s="104" t="s">
        <v>1430</v>
      </c>
      <c r="K620" s="104">
        <v>1305</v>
      </c>
      <c r="L620" s="104">
        <v>111195</v>
      </c>
      <c r="M620" s="104">
        <v>2</v>
      </c>
      <c r="N620" s="104" t="s">
        <v>1796</v>
      </c>
      <c r="O620" s="104"/>
      <c r="P620" s="116" t="s">
        <v>1797</v>
      </c>
      <c r="Q620" s="106">
        <v>46094</v>
      </c>
      <c r="R620" s="104"/>
      <c r="S620" s="160">
        <v>3460</v>
      </c>
      <c r="T620" s="130">
        <v>46089</v>
      </c>
      <c r="U620" s="145"/>
      <c r="V620" s="145"/>
      <c r="W620" s="145"/>
      <c r="X620" s="104"/>
      <c r="Y620" s="194"/>
      <c r="Z620" s="145"/>
      <c r="AA620" s="145"/>
      <c r="AB620" s="104" t="s">
        <v>1729</v>
      </c>
      <c r="AC620" s="104"/>
      <c r="AD620" s="113">
        <f>S620-Y620</f>
        <v>3460</v>
      </c>
    </row>
    <row r="621" spans="2:30" ht="45" customHeight="1">
      <c r="B621" s="174">
        <v>618</v>
      </c>
      <c r="C621" s="104" t="s">
        <v>70</v>
      </c>
      <c r="D621" s="104" t="s">
        <v>192</v>
      </c>
      <c r="E621" s="104">
        <v>47321</v>
      </c>
      <c r="F621" s="104" t="s">
        <v>35</v>
      </c>
      <c r="G621" s="145" t="s">
        <v>1798</v>
      </c>
      <c r="H621" s="104">
        <v>5345</v>
      </c>
      <c r="I621" s="104">
        <v>242</v>
      </c>
      <c r="J621" s="104" t="s">
        <v>1430</v>
      </c>
      <c r="K621" s="104">
        <v>1311</v>
      </c>
      <c r="L621" s="104">
        <v>110977</v>
      </c>
      <c r="M621" s="104">
        <v>8</v>
      </c>
      <c r="N621" s="104" t="s">
        <v>1799</v>
      </c>
      <c r="O621" s="104"/>
      <c r="P621" s="104">
        <v>4426249</v>
      </c>
      <c r="Q621" s="106">
        <v>46099</v>
      </c>
      <c r="R621" s="104">
        <v>4531402</v>
      </c>
      <c r="S621" s="160">
        <v>4675.8</v>
      </c>
      <c r="T621" s="199">
        <v>46082</v>
      </c>
      <c r="U621" s="145">
        <v>1024</v>
      </c>
      <c r="V621" s="145"/>
      <c r="W621" s="145" t="s">
        <v>1091</v>
      </c>
      <c r="X621" s="104" t="s">
        <v>508</v>
      </c>
      <c r="Y621" s="194">
        <v>4675.8</v>
      </c>
      <c r="Z621" s="180">
        <v>46143</v>
      </c>
      <c r="AA621" s="180">
        <v>46147</v>
      </c>
      <c r="AB621" s="104" t="s">
        <v>41</v>
      </c>
      <c r="AC621" s="104"/>
      <c r="AD621" s="113">
        <f>S621-Y621</f>
        <v>0</v>
      </c>
    </row>
    <row r="622" spans="2:30" ht="45" hidden="1" customHeight="1">
      <c r="B622" s="174">
        <v>619</v>
      </c>
      <c r="C622" s="104" t="s">
        <v>291</v>
      </c>
      <c r="D622" s="104" t="s">
        <v>479</v>
      </c>
      <c r="E622" s="104" t="s">
        <v>34</v>
      </c>
      <c r="F622" s="104" t="s">
        <v>44</v>
      </c>
      <c r="G622" s="145" t="s">
        <v>1800</v>
      </c>
      <c r="H622" s="104">
        <v>2216</v>
      </c>
      <c r="I622" s="104">
        <v>5</v>
      </c>
      <c r="J622" s="104" t="s">
        <v>1430</v>
      </c>
      <c r="K622" s="104" t="s">
        <v>1801</v>
      </c>
      <c r="L622" s="104">
        <v>110861</v>
      </c>
      <c r="M622" s="104">
        <v>1</v>
      </c>
      <c r="N622" s="104"/>
      <c r="O622" s="104"/>
      <c r="P622" s="104">
        <v>4422458</v>
      </c>
      <c r="Q622" s="106">
        <v>46094</v>
      </c>
      <c r="R622" s="104">
        <v>4536569</v>
      </c>
      <c r="S622" s="160" t="s">
        <v>709</v>
      </c>
      <c r="T622" s="106">
        <v>46116</v>
      </c>
      <c r="U622" s="145">
        <v>10</v>
      </c>
      <c r="V622" s="145"/>
      <c r="W622" s="145" t="s">
        <v>1091</v>
      </c>
      <c r="X622" s="104" t="s">
        <v>25</v>
      </c>
      <c r="Y622" s="194">
        <v>22300</v>
      </c>
      <c r="Z622" s="180">
        <v>46129</v>
      </c>
      <c r="AA622" s="180">
        <v>46135</v>
      </c>
      <c r="AB622" s="104" t="s">
        <v>41</v>
      </c>
      <c r="AC622" s="104"/>
      <c r="AD622" s="113" t="e">
        <f>S622-Y622</f>
        <v>#VALUE!</v>
      </c>
    </row>
    <row r="623" spans="2:30" ht="45" hidden="1" customHeight="1">
      <c r="B623" s="174">
        <v>620</v>
      </c>
      <c r="C623" s="104" t="s">
        <v>32</v>
      </c>
      <c r="D623" s="104" t="s">
        <v>192</v>
      </c>
      <c r="E623" s="104">
        <v>47428</v>
      </c>
      <c r="F623" s="104" t="s">
        <v>35</v>
      </c>
      <c r="G623" s="145" t="s">
        <v>1802</v>
      </c>
      <c r="H623" s="104">
        <v>2224</v>
      </c>
      <c r="I623" s="104">
        <v>242</v>
      </c>
      <c r="J623" s="104" t="s">
        <v>1430</v>
      </c>
      <c r="K623" s="104">
        <v>1304</v>
      </c>
      <c r="L623" s="104">
        <v>110782</v>
      </c>
      <c r="M623" s="104">
        <v>6</v>
      </c>
      <c r="N623" s="104"/>
      <c r="O623" s="104"/>
      <c r="P623" s="104">
        <v>4422482</v>
      </c>
      <c r="Q623" s="106">
        <v>46094</v>
      </c>
      <c r="R623" s="104">
        <v>4531557</v>
      </c>
      <c r="S623" s="160">
        <v>2745</v>
      </c>
      <c r="T623" s="104"/>
      <c r="U623" s="145">
        <v>854</v>
      </c>
      <c r="V623" s="145" t="s">
        <v>34</v>
      </c>
      <c r="W623" s="145" t="s">
        <v>48</v>
      </c>
      <c r="X623" s="104" t="s">
        <v>131</v>
      </c>
      <c r="Y623" s="194">
        <v>2745</v>
      </c>
      <c r="Z623" s="195">
        <v>46099</v>
      </c>
      <c r="AA623" s="195">
        <v>46099</v>
      </c>
      <c r="AB623" s="104" t="s">
        <v>41</v>
      </c>
      <c r="AC623" s="104"/>
      <c r="AD623" s="113">
        <f>S623-Y623</f>
        <v>0</v>
      </c>
    </row>
    <row r="624" spans="2:30" ht="45" hidden="1" customHeight="1">
      <c r="B624" s="174">
        <v>621</v>
      </c>
      <c r="C624" s="104" t="s">
        <v>70</v>
      </c>
      <c r="D624" s="104" t="s">
        <v>1803</v>
      </c>
      <c r="E624" s="104"/>
      <c r="F624" s="104" t="s">
        <v>44</v>
      </c>
      <c r="G624" s="145" t="s">
        <v>1804</v>
      </c>
      <c r="H624" s="104">
        <v>1228</v>
      </c>
      <c r="I624" s="104">
        <v>242</v>
      </c>
      <c r="J624" s="104" t="s">
        <v>1430</v>
      </c>
      <c r="K624" s="104">
        <v>332</v>
      </c>
      <c r="L624" s="104">
        <v>109486</v>
      </c>
      <c r="M624" s="104">
        <v>29</v>
      </c>
      <c r="N624" s="104" t="s">
        <v>1805</v>
      </c>
      <c r="O624" s="104"/>
      <c r="P624" s="104">
        <v>4422514</v>
      </c>
      <c r="Q624" s="106">
        <v>46094</v>
      </c>
      <c r="R624" s="104">
        <v>4538356</v>
      </c>
      <c r="S624" s="160">
        <v>12350</v>
      </c>
      <c r="T624" s="106">
        <v>46112</v>
      </c>
      <c r="U624" s="145"/>
      <c r="V624" s="145"/>
      <c r="W624" s="145"/>
      <c r="X624" s="104"/>
      <c r="Y624" s="194"/>
      <c r="Z624" s="145"/>
      <c r="AA624" s="145"/>
      <c r="AB624" s="104" t="s">
        <v>66</v>
      </c>
      <c r="AC624" s="104"/>
      <c r="AD624" s="113">
        <f>S624-Y624</f>
        <v>12350</v>
      </c>
    </row>
    <row r="625" spans="2:30" ht="45" hidden="1" customHeight="1">
      <c r="B625" s="174">
        <v>622</v>
      </c>
      <c r="C625" s="104" t="s">
        <v>95</v>
      </c>
      <c r="D625" s="104" t="s">
        <v>96</v>
      </c>
      <c r="E625" s="104" t="s">
        <v>34</v>
      </c>
      <c r="F625" s="104" t="s">
        <v>44</v>
      </c>
      <c r="G625" s="145" t="s">
        <v>1806</v>
      </c>
      <c r="H625" s="104">
        <v>1210</v>
      </c>
      <c r="I625" s="104">
        <v>332</v>
      </c>
      <c r="J625" s="104" t="s">
        <v>1807</v>
      </c>
      <c r="K625" s="104" t="s">
        <v>1808</v>
      </c>
      <c r="L625" s="104" t="s">
        <v>1809</v>
      </c>
      <c r="M625" s="104">
        <v>1</v>
      </c>
      <c r="N625" s="104" t="s">
        <v>34</v>
      </c>
      <c r="O625" s="104" t="s">
        <v>34</v>
      </c>
      <c r="P625" s="104">
        <v>4318800</v>
      </c>
      <c r="Q625" s="106">
        <v>45993</v>
      </c>
      <c r="R625" s="104">
        <v>4441666</v>
      </c>
      <c r="S625" s="160">
        <v>25200</v>
      </c>
      <c r="T625" s="104"/>
      <c r="U625" s="145">
        <v>784</v>
      </c>
      <c r="V625" s="145" t="s">
        <v>34</v>
      </c>
      <c r="W625" s="145" t="s">
        <v>48</v>
      </c>
      <c r="X625" s="104" t="s">
        <v>25</v>
      </c>
      <c r="Y625" s="194">
        <v>25200</v>
      </c>
      <c r="Z625" s="195">
        <v>46092</v>
      </c>
      <c r="AA625" s="195">
        <v>46094</v>
      </c>
      <c r="AB625" s="104" t="s">
        <v>60</v>
      </c>
      <c r="AC625" s="104"/>
      <c r="AD625" s="113">
        <f>S625-Y625</f>
        <v>0</v>
      </c>
    </row>
    <row r="626" spans="2:30" ht="45" hidden="1" customHeight="1">
      <c r="B626" s="174">
        <v>623</v>
      </c>
      <c r="C626" s="104" t="s">
        <v>282</v>
      </c>
      <c r="D626" s="104" t="s">
        <v>221</v>
      </c>
      <c r="E626" s="104">
        <v>44715</v>
      </c>
      <c r="F626" s="104" t="s">
        <v>44</v>
      </c>
      <c r="G626" s="145" t="s">
        <v>1730</v>
      </c>
      <c r="H626" s="104">
        <v>2330</v>
      </c>
      <c r="I626" s="104">
        <v>242</v>
      </c>
      <c r="J626" s="104" t="s">
        <v>1807</v>
      </c>
      <c r="K626" s="104" t="s">
        <v>1731</v>
      </c>
      <c r="L626" s="104">
        <v>102433</v>
      </c>
      <c r="M626" s="104">
        <v>6</v>
      </c>
      <c r="N626" s="104" t="s">
        <v>34</v>
      </c>
      <c r="O626" s="104" t="s">
        <v>34</v>
      </c>
      <c r="P626" s="104">
        <v>4422574</v>
      </c>
      <c r="Q626" s="106">
        <v>46094</v>
      </c>
      <c r="R626" s="104">
        <v>4532177</v>
      </c>
      <c r="S626" s="160">
        <v>5567.1</v>
      </c>
      <c r="T626" s="130">
        <v>46115</v>
      </c>
      <c r="U626" s="145">
        <v>2800</v>
      </c>
      <c r="V626" s="145" t="s">
        <v>34</v>
      </c>
      <c r="W626" s="145" t="s">
        <v>48</v>
      </c>
      <c r="X626" s="104" t="s">
        <v>131</v>
      </c>
      <c r="Y626" s="194">
        <v>5567.1</v>
      </c>
      <c r="Z626" s="195">
        <v>46132</v>
      </c>
      <c r="AA626" s="145" t="s">
        <v>1810</v>
      </c>
      <c r="AB626" s="104" t="s">
        <v>41</v>
      </c>
      <c r="AC626" s="104"/>
      <c r="AD626" s="113">
        <f>S626-Y626</f>
        <v>0</v>
      </c>
    </row>
    <row r="627" spans="2:30" ht="45" hidden="1" customHeight="1">
      <c r="B627" s="174">
        <v>624</v>
      </c>
      <c r="C627" s="104" t="s">
        <v>183</v>
      </c>
      <c r="D627" s="104" t="s">
        <v>192</v>
      </c>
      <c r="E627" s="104" t="s">
        <v>1759</v>
      </c>
      <c r="F627" s="104" t="s">
        <v>44</v>
      </c>
      <c r="G627" s="145" t="s">
        <v>1811</v>
      </c>
      <c r="H627" s="104">
        <v>4057</v>
      </c>
      <c r="I627" s="104">
        <v>242</v>
      </c>
      <c r="J627" s="104" t="s">
        <v>1430</v>
      </c>
      <c r="K627" s="104">
        <v>1331</v>
      </c>
      <c r="L627" s="104">
        <v>111666</v>
      </c>
      <c r="M627" s="104">
        <v>5</v>
      </c>
      <c r="N627" s="104" t="s">
        <v>1812</v>
      </c>
      <c r="O627" s="104"/>
      <c r="P627" s="116" t="s">
        <v>1813</v>
      </c>
      <c r="Q627" s="117" t="s">
        <v>1814</v>
      </c>
      <c r="R627" s="104">
        <v>4573477</v>
      </c>
      <c r="S627" s="160">
        <v>6786</v>
      </c>
      <c r="T627" s="106">
        <v>46113</v>
      </c>
      <c r="U627" s="145">
        <v>1025</v>
      </c>
      <c r="V627" s="145"/>
      <c r="W627" s="145" t="s">
        <v>1091</v>
      </c>
      <c r="X627" s="104" t="s">
        <v>508</v>
      </c>
      <c r="Y627" s="194">
        <v>6786</v>
      </c>
      <c r="Z627" s="180">
        <v>46143</v>
      </c>
      <c r="AA627" s="180">
        <v>46146</v>
      </c>
      <c r="AB627" s="104" t="s">
        <v>41</v>
      </c>
      <c r="AC627" s="104"/>
      <c r="AD627" s="113">
        <f>S627-Y627</f>
        <v>0</v>
      </c>
    </row>
    <row r="628" spans="2:30" ht="45" hidden="1" customHeight="1">
      <c r="B628" s="174">
        <v>625</v>
      </c>
      <c r="C628" s="104" t="s">
        <v>183</v>
      </c>
      <c r="D628" s="104" t="s">
        <v>192</v>
      </c>
      <c r="E628" s="104" t="s">
        <v>1759</v>
      </c>
      <c r="F628" s="104" t="s">
        <v>44</v>
      </c>
      <c r="G628" s="145" t="s">
        <v>1815</v>
      </c>
      <c r="H628" s="104">
        <v>2232</v>
      </c>
      <c r="I628" s="104">
        <v>242</v>
      </c>
      <c r="J628" s="104" t="s">
        <v>1430</v>
      </c>
      <c r="K628" s="104">
        <v>1330</v>
      </c>
      <c r="L628" s="104">
        <v>111664</v>
      </c>
      <c r="M628" s="104">
        <v>5</v>
      </c>
      <c r="N628" s="104" t="s">
        <v>1816</v>
      </c>
      <c r="O628" s="104"/>
      <c r="P628" s="104">
        <v>4423156</v>
      </c>
      <c r="Q628" s="106">
        <v>46097</v>
      </c>
      <c r="R628" s="104">
        <v>4538234</v>
      </c>
      <c r="S628" s="160">
        <v>895.6</v>
      </c>
      <c r="T628" s="199">
        <v>46113</v>
      </c>
      <c r="U628" s="145">
        <v>892</v>
      </c>
      <c r="V628" s="145" t="s">
        <v>34</v>
      </c>
      <c r="W628" s="145" t="s">
        <v>48</v>
      </c>
      <c r="X628" s="104" t="s">
        <v>131</v>
      </c>
      <c r="Y628" s="194">
        <v>895.6</v>
      </c>
      <c r="Z628" s="195">
        <v>46113</v>
      </c>
      <c r="AA628" s="195">
        <v>46118</v>
      </c>
      <c r="AB628" s="104" t="s">
        <v>41</v>
      </c>
      <c r="AC628" s="104"/>
      <c r="AD628" s="113">
        <f>S628-Y628</f>
        <v>0</v>
      </c>
    </row>
    <row r="629" spans="2:30" ht="45" hidden="1" customHeight="1">
      <c r="B629" s="174">
        <v>626</v>
      </c>
      <c r="C629" s="104" t="s">
        <v>32</v>
      </c>
      <c r="D629" s="104" t="s">
        <v>192</v>
      </c>
      <c r="E629" s="104">
        <v>47234</v>
      </c>
      <c r="F629" s="104" t="s">
        <v>35</v>
      </c>
      <c r="G629" s="145" t="s">
        <v>1817</v>
      </c>
      <c r="H629" s="104">
        <v>2275</v>
      </c>
      <c r="I629" s="104">
        <v>242</v>
      </c>
      <c r="J629" s="104" t="s">
        <v>1430</v>
      </c>
      <c r="K629" s="104">
        <v>1305</v>
      </c>
      <c r="L629" s="104">
        <v>111195</v>
      </c>
      <c r="M629" s="104">
        <v>5</v>
      </c>
      <c r="N629" s="104" t="s">
        <v>1796</v>
      </c>
      <c r="O629" s="104"/>
      <c r="P629" s="104">
        <v>4423187</v>
      </c>
      <c r="Q629" s="106">
        <v>46097</v>
      </c>
      <c r="R629" s="104">
        <v>4538232</v>
      </c>
      <c r="S629" s="160">
        <v>3460</v>
      </c>
      <c r="T629" s="130">
        <v>46089</v>
      </c>
      <c r="U629" s="104">
        <v>887</v>
      </c>
      <c r="V629" s="145" t="s">
        <v>34</v>
      </c>
      <c r="W629" s="104" t="s">
        <v>48</v>
      </c>
      <c r="X629" s="104" t="s">
        <v>131</v>
      </c>
      <c r="Y629" s="194">
        <v>3460</v>
      </c>
      <c r="Z629" s="195">
        <v>46113</v>
      </c>
      <c r="AA629" s="180">
        <v>46142</v>
      </c>
      <c r="AB629" s="104" t="s">
        <v>41</v>
      </c>
      <c r="AC629" s="104"/>
      <c r="AD629" s="113">
        <f>S629-Y629</f>
        <v>0</v>
      </c>
    </row>
    <row r="630" spans="2:30" ht="45" hidden="1" customHeight="1">
      <c r="B630" s="174">
        <v>627</v>
      </c>
      <c r="C630" s="104" t="s">
        <v>70</v>
      </c>
      <c r="D630" s="104" t="s">
        <v>1385</v>
      </c>
      <c r="E630" s="104">
        <v>47048</v>
      </c>
      <c r="F630" s="104" t="s">
        <v>35</v>
      </c>
      <c r="G630" s="145" t="s">
        <v>1818</v>
      </c>
      <c r="H630" s="104">
        <v>2291</v>
      </c>
      <c r="I630" s="104">
        <v>242</v>
      </c>
      <c r="J630" s="104" t="s">
        <v>1430</v>
      </c>
      <c r="K630" s="104">
        <v>500</v>
      </c>
      <c r="L630" s="104">
        <v>109715</v>
      </c>
      <c r="M630" s="104">
        <v>6</v>
      </c>
      <c r="N630" s="104"/>
      <c r="O630" s="104"/>
      <c r="P630" s="104">
        <v>4423262</v>
      </c>
      <c r="Q630" s="106">
        <v>46097</v>
      </c>
      <c r="R630" s="104">
        <v>4534660</v>
      </c>
      <c r="S630" s="160">
        <v>28320</v>
      </c>
      <c r="T630" s="104"/>
      <c r="U630" s="145">
        <v>3386</v>
      </c>
      <c r="V630" s="145"/>
      <c r="W630" s="145" t="s">
        <v>48</v>
      </c>
      <c r="X630" s="104" t="s">
        <v>25</v>
      </c>
      <c r="Y630" s="194">
        <v>13452</v>
      </c>
      <c r="Z630" s="180">
        <v>46143</v>
      </c>
      <c r="AA630" s="180">
        <v>46147</v>
      </c>
      <c r="AB630" s="104" t="s">
        <v>41</v>
      </c>
      <c r="AC630" s="104"/>
      <c r="AD630" s="113">
        <f>S630-Y630</f>
        <v>14868</v>
      </c>
    </row>
    <row r="631" spans="2:30" ht="45" hidden="1" customHeight="1">
      <c r="B631" s="174">
        <v>628</v>
      </c>
      <c r="C631" s="104" t="s">
        <v>95</v>
      </c>
      <c r="D631" s="104" t="s">
        <v>192</v>
      </c>
      <c r="E631" s="104" t="s">
        <v>34</v>
      </c>
      <c r="F631" s="104" t="s">
        <v>44</v>
      </c>
      <c r="G631" s="145" t="s">
        <v>564</v>
      </c>
      <c r="H631" s="104">
        <v>1210</v>
      </c>
      <c r="I631" s="104">
        <v>326</v>
      </c>
      <c r="J631" s="104" t="s">
        <v>58</v>
      </c>
      <c r="K631" s="104" t="s">
        <v>34</v>
      </c>
      <c r="L631" s="104" t="s">
        <v>34</v>
      </c>
      <c r="M631" s="104">
        <v>1</v>
      </c>
      <c r="N631" s="104" t="s">
        <v>34</v>
      </c>
      <c r="O631" s="104" t="s">
        <v>34</v>
      </c>
      <c r="P631" s="104">
        <v>4287988</v>
      </c>
      <c r="Q631" s="106">
        <v>45961</v>
      </c>
      <c r="R631" s="104">
        <v>4413918</v>
      </c>
      <c r="S631" s="160">
        <f>AD504</f>
        <v>49144.040000000008</v>
      </c>
      <c r="T631" s="104"/>
      <c r="U631" s="104">
        <v>830</v>
      </c>
      <c r="V631" s="145" t="s">
        <v>34</v>
      </c>
      <c r="W631" s="104" t="s">
        <v>40</v>
      </c>
      <c r="X631" s="104" t="s">
        <v>44</v>
      </c>
      <c r="Y631" s="131">
        <v>49144.04</v>
      </c>
      <c r="Z631" s="180">
        <v>46097</v>
      </c>
      <c r="AA631" s="180">
        <v>46097</v>
      </c>
      <c r="AB631" s="104" t="s">
        <v>60</v>
      </c>
      <c r="AC631" s="104"/>
      <c r="AD631" s="113">
        <f>S631-Y631</f>
        <v>0</v>
      </c>
    </row>
    <row r="632" spans="2:30" ht="45" hidden="1" customHeight="1">
      <c r="B632" s="174">
        <v>629</v>
      </c>
      <c r="C632" s="104" t="s">
        <v>282</v>
      </c>
      <c r="D632" s="104" t="s">
        <v>1541</v>
      </c>
      <c r="E632" s="104" t="s">
        <v>34</v>
      </c>
      <c r="F632" s="104" t="s">
        <v>44</v>
      </c>
      <c r="G632" s="145" t="s">
        <v>1819</v>
      </c>
      <c r="H632" s="104">
        <v>1295</v>
      </c>
      <c r="I632" s="104">
        <v>242</v>
      </c>
      <c r="J632" s="104" t="s">
        <v>1807</v>
      </c>
      <c r="K632" s="104" t="s">
        <v>1820</v>
      </c>
      <c r="L632" s="104">
        <v>110760</v>
      </c>
      <c r="M632" s="104">
        <v>27</v>
      </c>
      <c r="N632" s="104" t="s">
        <v>1821</v>
      </c>
      <c r="O632" s="104" t="s">
        <v>34</v>
      </c>
      <c r="P632" s="104" t="s">
        <v>1822</v>
      </c>
      <c r="Q632" s="106">
        <v>46097</v>
      </c>
      <c r="R632" s="104">
        <v>4348203</v>
      </c>
      <c r="S632" s="149">
        <v>6988.64</v>
      </c>
      <c r="T632" s="108">
        <v>46101</v>
      </c>
      <c r="U632" s="104">
        <v>20574</v>
      </c>
      <c r="V632" s="104" t="s">
        <v>34</v>
      </c>
      <c r="W632" s="104" t="s">
        <v>48</v>
      </c>
      <c r="X632" s="104" t="s">
        <v>94</v>
      </c>
      <c r="Y632" s="131">
        <v>6988.64</v>
      </c>
      <c r="Z632" s="106">
        <v>46126</v>
      </c>
      <c r="AA632" s="106">
        <v>46128</v>
      </c>
      <c r="AB632" s="104" t="s">
        <v>41</v>
      </c>
      <c r="AC632" s="104"/>
      <c r="AD632" s="113">
        <f>S632-Y632</f>
        <v>0</v>
      </c>
    </row>
    <row r="633" spans="2:30" ht="45" hidden="1" customHeight="1">
      <c r="B633" s="174">
        <v>630</v>
      </c>
      <c r="C633" s="104" t="s">
        <v>42</v>
      </c>
      <c r="D633" s="104" t="s">
        <v>308</v>
      </c>
      <c r="E633" s="104" t="s">
        <v>34</v>
      </c>
      <c r="F633" s="104" t="s">
        <v>44</v>
      </c>
      <c r="G633" s="255" t="s">
        <v>309</v>
      </c>
      <c r="H633" s="104">
        <v>1295</v>
      </c>
      <c r="I633" s="104">
        <v>242</v>
      </c>
      <c r="J633" s="104" t="s">
        <v>1118</v>
      </c>
      <c r="K633" s="104" t="s">
        <v>310</v>
      </c>
      <c r="L633" s="104">
        <v>84211</v>
      </c>
      <c r="M633" s="104">
        <v>1</v>
      </c>
      <c r="N633" s="104" t="s">
        <v>34</v>
      </c>
      <c r="O633" s="104" t="s">
        <v>34</v>
      </c>
      <c r="P633" s="104">
        <v>4257737</v>
      </c>
      <c r="Q633" s="106">
        <v>45931</v>
      </c>
      <c r="R633" s="104">
        <v>4378444</v>
      </c>
      <c r="S633" s="113">
        <v>30974.080000000002</v>
      </c>
      <c r="T633" s="108"/>
      <c r="U633" s="104">
        <v>125</v>
      </c>
      <c r="V633" s="104" t="s">
        <v>34</v>
      </c>
      <c r="W633" s="104" t="s">
        <v>48</v>
      </c>
      <c r="X633" s="104" t="s">
        <v>106</v>
      </c>
      <c r="Y633" s="131">
        <v>30974.080000000002</v>
      </c>
      <c r="Z633" s="106">
        <v>46097</v>
      </c>
      <c r="AA633" s="122">
        <v>46108</v>
      </c>
      <c r="AB633" s="104" t="s">
        <v>41</v>
      </c>
      <c r="AC633" s="104"/>
      <c r="AD633" s="113">
        <f>S633-Y633</f>
        <v>0</v>
      </c>
    </row>
    <row r="634" spans="2:30" ht="45" hidden="1" customHeight="1">
      <c r="B634" s="174">
        <v>631</v>
      </c>
      <c r="C634" s="104" t="s">
        <v>42</v>
      </c>
      <c r="D634" s="104" t="s">
        <v>479</v>
      </c>
      <c r="E634" s="104" t="s">
        <v>34</v>
      </c>
      <c r="F634" s="104" t="s">
        <v>44</v>
      </c>
      <c r="G634" s="145" t="s">
        <v>1823</v>
      </c>
      <c r="H634" s="104">
        <v>1295</v>
      </c>
      <c r="I634" s="104">
        <v>242</v>
      </c>
      <c r="J634" s="104" t="s">
        <v>1118</v>
      </c>
      <c r="K634" s="104" t="s">
        <v>1824</v>
      </c>
      <c r="L634" s="104">
        <v>110208</v>
      </c>
      <c r="M634" s="104">
        <v>1</v>
      </c>
      <c r="N634" s="104" t="s">
        <v>34</v>
      </c>
      <c r="O634" s="104" t="s">
        <v>34</v>
      </c>
      <c r="P634" s="104">
        <v>4424554</v>
      </c>
      <c r="Q634" s="106">
        <v>46098</v>
      </c>
      <c r="R634" s="104">
        <v>4539126</v>
      </c>
      <c r="S634" s="160" t="s">
        <v>709</v>
      </c>
      <c r="T634" s="104"/>
      <c r="U634" s="145"/>
      <c r="V634" s="145"/>
      <c r="W634" s="145"/>
      <c r="X634" s="104"/>
      <c r="Y634" s="194"/>
      <c r="Z634" s="145"/>
      <c r="AA634" s="145"/>
      <c r="AB634" s="104" t="s">
        <v>66</v>
      </c>
      <c r="AC634" s="104"/>
      <c r="AD634" s="113" t="e">
        <f>S634-Y634</f>
        <v>#VALUE!</v>
      </c>
    </row>
    <row r="635" spans="2:30" ht="45" hidden="1" customHeight="1">
      <c r="B635" s="174">
        <v>632</v>
      </c>
      <c r="C635" s="104" t="s">
        <v>183</v>
      </c>
      <c r="D635" s="104" t="s">
        <v>1385</v>
      </c>
      <c r="E635" s="104">
        <v>47587</v>
      </c>
      <c r="F635" s="104" t="s">
        <v>35</v>
      </c>
      <c r="G635" s="145" t="s">
        <v>1825</v>
      </c>
      <c r="H635" s="104">
        <v>2224</v>
      </c>
      <c r="I635" s="104">
        <v>242</v>
      </c>
      <c r="J635" s="104" t="s">
        <v>1430</v>
      </c>
      <c r="K635" s="104">
        <v>501</v>
      </c>
      <c r="L635" s="104">
        <v>111932</v>
      </c>
      <c r="M635" s="104">
        <v>5</v>
      </c>
      <c r="N635" s="104" t="s">
        <v>1826</v>
      </c>
      <c r="O635" s="104"/>
      <c r="P635" s="104">
        <v>4424535</v>
      </c>
      <c r="Q635" s="106">
        <v>46098</v>
      </c>
      <c r="R635" s="104">
        <v>4538414</v>
      </c>
      <c r="S635" s="160">
        <v>680</v>
      </c>
      <c r="T635" s="104" t="s">
        <v>34</v>
      </c>
      <c r="U635" s="145">
        <v>3340</v>
      </c>
      <c r="V635" s="145"/>
      <c r="W635" s="145" t="s">
        <v>48</v>
      </c>
      <c r="X635" s="104" t="s">
        <v>25</v>
      </c>
      <c r="Y635" s="194">
        <v>680</v>
      </c>
      <c r="Z635" s="195">
        <v>46113</v>
      </c>
      <c r="AA635" s="195">
        <v>46118</v>
      </c>
      <c r="AB635" s="104" t="s">
        <v>41</v>
      </c>
      <c r="AC635" s="104"/>
      <c r="AD635" s="113">
        <f>S635-Y635</f>
        <v>0</v>
      </c>
    </row>
    <row r="636" spans="2:30" ht="45" hidden="1" customHeight="1">
      <c r="B636" s="174">
        <v>633</v>
      </c>
      <c r="C636" s="104" t="s">
        <v>70</v>
      </c>
      <c r="D636" s="104" t="s">
        <v>1827</v>
      </c>
      <c r="E636" s="104" t="s">
        <v>1759</v>
      </c>
      <c r="F636" s="104" t="s">
        <v>44</v>
      </c>
      <c r="G636" s="145" t="s">
        <v>1828</v>
      </c>
      <c r="H636" s="104">
        <v>2313</v>
      </c>
      <c r="I636" s="104">
        <v>242</v>
      </c>
      <c r="J636" s="104" t="s">
        <v>1430</v>
      </c>
      <c r="K636" s="104">
        <v>2274</v>
      </c>
      <c r="L636" s="104">
        <v>110979</v>
      </c>
      <c r="M636" s="104">
        <v>29</v>
      </c>
      <c r="N636" s="104" t="s">
        <v>1829</v>
      </c>
      <c r="O636" s="104"/>
      <c r="P636" s="104">
        <v>4424567</v>
      </c>
      <c r="Q636" s="106">
        <v>46098</v>
      </c>
      <c r="R636" s="104">
        <v>4538335</v>
      </c>
      <c r="S636" s="160">
        <v>4941.38</v>
      </c>
      <c r="T636" s="104"/>
      <c r="U636" s="244" t="s">
        <v>1830</v>
      </c>
      <c r="V636" s="145"/>
      <c r="W636" s="145" t="s">
        <v>1091</v>
      </c>
      <c r="X636" s="104" t="s">
        <v>94</v>
      </c>
      <c r="Y636" s="194">
        <v>4941.38</v>
      </c>
      <c r="Z636" s="245" t="s">
        <v>1831</v>
      </c>
      <c r="AA636" s="274">
        <v>46129</v>
      </c>
      <c r="AB636" s="104" t="s">
        <v>1425</v>
      </c>
      <c r="AC636" s="104"/>
      <c r="AD636" s="113">
        <f>S636-Y636</f>
        <v>0</v>
      </c>
    </row>
    <row r="637" spans="2:30" ht="45" hidden="1" customHeight="1">
      <c r="B637" s="174">
        <v>634</v>
      </c>
      <c r="C637" s="104" t="s">
        <v>51</v>
      </c>
      <c r="D637" s="104" t="s">
        <v>1832</v>
      </c>
      <c r="E637" s="104" t="s">
        <v>34</v>
      </c>
      <c r="F637" s="104" t="s">
        <v>44</v>
      </c>
      <c r="G637" s="145" t="s">
        <v>1833</v>
      </c>
      <c r="H637" s="104">
        <v>2275</v>
      </c>
      <c r="I637" s="104">
        <v>242</v>
      </c>
      <c r="J637" s="104" t="s">
        <v>1118</v>
      </c>
      <c r="K637" s="104" t="s">
        <v>1834</v>
      </c>
      <c r="L637" s="104">
        <v>111944</v>
      </c>
      <c r="M637" s="104">
        <v>29</v>
      </c>
      <c r="N637" s="104" t="s">
        <v>1835</v>
      </c>
      <c r="O637" s="104" t="s">
        <v>34</v>
      </c>
      <c r="P637" s="116" t="s">
        <v>1836</v>
      </c>
      <c r="Q637" s="106">
        <v>46098</v>
      </c>
      <c r="R637" s="104"/>
      <c r="S637" s="160">
        <v>6118.71</v>
      </c>
      <c r="T637" s="104"/>
      <c r="U637" s="145"/>
      <c r="V637" s="145"/>
      <c r="W637" s="145"/>
      <c r="X637" s="104"/>
      <c r="Y637" s="194"/>
      <c r="Z637" s="145"/>
      <c r="AA637" s="145"/>
      <c r="AB637" s="104" t="s">
        <v>115</v>
      </c>
      <c r="AC637" s="104"/>
      <c r="AD637" s="113">
        <f>S637-Y637</f>
        <v>6118.71</v>
      </c>
    </row>
    <row r="638" spans="2:30" ht="45" customHeight="1">
      <c r="B638" s="174">
        <v>635</v>
      </c>
      <c r="C638" s="104" t="s">
        <v>224</v>
      </c>
      <c r="D638" s="104" t="s">
        <v>1837</v>
      </c>
      <c r="E638" s="104" t="s">
        <v>34</v>
      </c>
      <c r="F638" s="104" t="s">
        <v>44</v>
      </c>
      <c r="G638" s="145" t="s">
        <v>1838</v>
      </c>
      <c r="H638" s="104">
        <v>2313</v>
      </c>
      <c r="I638" s="104">
        <v>326</v>
      </c>
      <c r="J638" s="104" t="s">
        <v>854</v>
      </c>
      <c r="K638" s="104" t="s">
        <v>1839</v>
      </c>
      <c r="L638" s="104" t="s">
        <v>34</v>
      </c>
      <c r="M638" s="104">
        <v>8</v>
      </c>
      <c r="N638" s="104"/>
      <c r="O638" s="104"/>
      <c r="P638" s="104">
        <v>4425886</v>
      </c>
      <c r="Q638" s="106">
        <v>46098</v>
      </c>
      <c r="R638" s="104" t="s">
        <v>1840</v>
      </c>
      <c r="S638" s="160">
        <v>41380.61</v>
      </c>
      <c r="T638" s="104"/>
      <c r="U638" s="145">
        <v>14</v>
      </c>
      <c r="V638" s="145" t="s">
        <v>34</v>
      </c>
      <c r="W638" s="145" t="s">
        <v>48</v>
      </c>
      <c r="X638" s="104" t="s">
        <v>94</v>
      </c>
      <c r="Y638" s="194">
        <v>18000</v>
      </c>
      <c r="Z638" s="239">
        <v>46082</v>
      </c>
      <c r="AA638" s="195">
        <v>46129</v>
      </c>
      <c r="AB638" s="104" t="s">
        <v>41</v>
      </c>
      <c r="AC638" s="104"/>
      <c r="AD638" s="113">
        <f>S638-Y638</f>
        <v>23380.61</v>
      </c>
    </row>
    <row r="639" spans="2:30" ht="45" hidden="1" customHeight="1">
      <c r="B639" s="174">
        <v>636</v>
      </c>
      <c r="C639" s="104" t="s">
        <v>316</v>
      </c>
      <c r="D639" s="104" t="s">
        <v>1841</v>
      </c>
      <c r="E639" s="104">
        <v>44620</v>
      </c>
      <c r="F639" s="104" t="s">
        <v>44</v>
      </c>
      <c r="G639" s="145" t="s">
        <v>1842</v>
      </c>
      <c r="H639" s="104">
        <v>2437</v>
      </c>
      <c r="I639" s="104">
        <v>242</v>
      </c>
      <c r="J639" s="104" t="s">
        <v>1430</v>
      </c>
      <c r="K639" s="104">
        <v>12423</v>
      </c>
      <c r="L639" s="104">
        <v>112171</v>
      </c>
      <c r="M639" s="104">
        <v>6</v>
      </c>
      <c r="N639" s="104"/>
      <c r="O639" s="104"/>
      <c r="P639" s="104"/>
      <c r="Q639" s="106"/>
      <c r="R639" s="104"/>
      <c r="S639" s="160">
        <v>2400</v>
      </c>
      <c r="T639" s="104"/>
      <c r="U639" s="145"/>
      <c r="V639" s="145"/>
      <c r="W639" s="145"/>
      <c r="X639" s="104"/>
      <c r="Y639" s="194"/>
      <c r="Z639" s="145"/>
      <c r="AA639" s="145"/>
      <c r="AB639" s="104" t="s">
        <v>1391</v>
      </c>
      <c r="AC639" s="104"/>
      <c r="AD639" s="113">
        <f>S639-Y639</f>
        <v>2400</v>
      </c>
    </row>
    <row r="640" spans="2:30" ht="45" customHeight="1">
      <c r="B640" s="174">
        <v>637</v>
      </c>
      <c r="C640" s="104" t="s">
        <v>70</v>
      </c>
      <c r="D640" s="104" t="s">
        <v>192</v>
      </c>
      <c r="E640" s="104">
        <v>46528</v>
      </c>
      <c r="F640" s="104" t="s">
        <v>35</v>
      </c>
      <c r="G640" s="145" t="s">
        <v>1843</v>
      </c>
      <c r="H640" s="104">
        <v>2470</v>
      </c>
      <c r="I640" s="104">
        <v>242</v>
      </c>
      <c r="J640" s="104" t="s">
        <v>1430</v>
      </c>
      <c r="K640" s="104">
        <v>1239</v>
      </c>
      <c r="L640" s="104">
        <v>109386</v>
      </c>
      <c r="M640" s="104">
        <v>8</v>
      </c>
      <c r="N640" s="104" t="s">
        <v>1844</v>
      </c>
      <c r="O640" s="104"/>
      <c r="P640" s="104">
        <v>4426184</v>
      </c>
      <c r="Q640" s="106">
        <v>46099</v>
      </c>
      <c r="R640" s="104">
        <v>4531401</v>
      </c>
      <c r="S640" s="160">
        <v>1030</v>
      </c>
      <c r="T640" s="104"/>
      <c r="U640" s="145">
        <v>1023</v>
      </c>
      <c r="V640" s="145"/>
      <c r="W640" s="145" t="s">
        <v>48</v>
      </c>
      <c r="X640" s="104" t="s">
        <v>94</v>
      </c>
      <c r="Y640" s="194">
        <v>1030</v>
      </c>
      <c r="Z640" s="180">
        <v>46143</v>
      </c>
      <c r="AA640" s="180">
        <v>46147</v>
      </c>
      <c r="AB640" s="104" t="s">
        <v>41</v>
      </c>
      <c r="AC640" s="104"/>
      <c r="AD640" s="113">
        <f>S640-Y640</f>
        <v>0</v>
      </c>
    </row>
    <row r="641" spans="2:30" ht="45" hidden="1" customHeight="1">
      <c r="B641" s="174">
        <v>638</v>
      </c>
      <c r="C641" s="104" t="s">
        <v>282</v>
      </c>
      <c r="D641" s="104" t="s">
        <v>192</v>
      </c>
      <c r="E641" s="104">
        <v>46875</v>
      </c>
      <c r="F641" s="104" t="s">
        <v>35</v>
      </c>
      <c r="G641" s="145" t="s">
        <v>1845</v>
      </c>
      <c r="H641" s="104">
        <v>1236</v>
      </c>
      <c r="I641" s="104">
        <v>242</v>
      </c>
      <c r="J641" s="104" t="s">
        <v>1575</v>
      </c>
      <c r="K641" s="104" t="s">
        <v>1846</v>
      </c>
      <c r="L641" s="104">
        <v>112041</v>
      </c>
      <c r="M641" s="104">
        <v>5</v>
      </c>
      <c r="N641" s="104" t="s">
        <v>1847</v>
      </c>
      <c r="O641" s="104" t="s">
        <v>34</v>
      </c>
      <c r="P641" s="104">
        <v>4426389</v>
      </c>
      <c r="Q641" s="130">
        <v>46099</v>
      </c>
      <c r="R641" s="104">
        <v>4537144</v>
      </c>
      <c r="S641" s="160">
        <v>920</v>
      </c>
      <c r="T641" s="130">
        <v>46116</v>
      </c>
      <c r="U641" s="145">
        <v>890</v>
      </c>
      <c r="V641" s="145" t="s">
        <v>34</v>
      </c>
      <c r="W641" s="145" t="s">
        <v>48</v>
      </c>
      <c r="X641" s="104" t="s">
        <v>131</v>
      </c>
      <c r="Y641" s="194">
        <v>920</v>
      </c>
      <c r="Z641" s="195">
        <v>46113</v>
      </c>
      <c r="AA641" s="195">
        <v>46121</v>
      </c>
      <c r="AB641" s="104" t="s">
        <v>41</v>
      </c>
      <c r="AC641" s="104"/>
      <c r="AD641" s="113">
        <f>S641-Y641</f>
        <v>0</v>
      </c>
    </row>
    <row r="642" spans="2:30" ht="45" hidden="1" customHeight="1">
      <c r="B642" s="174">
        <v>639</v>
      </c>
      <c r="C642" s="104" t="s">
        <v>95</v>
      </c>
      <c r="D642" s="104" t="s">
        <v>1848</v>
      </c>
      <c r="E642" s="104"/>
      <c r="F642" s="104" t="s">
        <v>44</v>
      </c>
      <c r="G642" s="145" t="s">
        <v>1849</v>
      </c>
      <c r="H642" s="104" t="s">
        <v>1850</v>
      </c>
      <c r="I642" s="104">
        <v>5</v>
      </c>
      <c r="J642" s="104" t="s">
        <v>854</v>
      </c>
      <c r="K642" s="104">
        <v>3849</v>
      </c>
      <c r="L642" s="104">
        <v>112129</v>
      </c>
      <c r="M642" s="104">
        <v>29</v>
      </c>
      <c r="N642" s="104" t="s">
        <v>1851</v>
      </c>
      <c r="O642" s="104"/>
      <c r="P642" s="104">
        <v>4426475</v>
      </c>
      <c r="Q642" s="130">
        <v>46099</v>
      </c>
      <c r="R642" s="104">
        <v>4541071</v>
      </c>
      <c r="S642" s="160">
        <v>24990</v>
      </c>
      <c r="T642" s="104">
        <v>4541071</v>
      </c>
      <c r="U642" s="145">
        <v>2177</v>
      </c>
      <c r="V642" s="145"/>
      <c r="W642" s="145" t="s">
        <v>48</v>
      </c>
      <c r="X642" s="104" t="s">
        <v>131</v>
      </c>
      <c r="Y642" s="194">
        <v>24990</v>
      </c>
      <c r="Z642" s="195">
        <v>46113</v>
      </c>
      <c r="AA642" s="195">
        <v>46120</v>
      </c>
      <c r="AB642" s="104" t="s">
        <v>41</v>
      </c>
      <c r="AC642" s="104"/>
      <c r="AD642" s="113">
        <f>S642-Y642</f>
        <v>0</v>
      </c>
    </row>
    <row r="643" spans="2:30" ht="52.5" hidden="1" customHeight="1">
      <c r="B643" s="174">
        <v>640</v>
      </c>
      <c r="C643" s="104" t="s">
        <v>137</v>
      </c>
      <c r="D643" s="104" t="s">
        <v>409</v>
      </c>
      <c r="E643" s="104" t="s">
        <v>34</v>
      </c>
      <c r="F643" s="104" t="s">
        <v>44</v>
      </c>
      <c r="G643" s="145" t="s">
        <v>234</v>
      </c>
      <c r="H643" s="104" t="s">
        <v>679</v>
      </c>
      <c r="I643" s="104">
        <v>5</v>
      </c>
      <c r="J643" s="104" t="s">
        <v>1118</v>
      </c>
      <c r="K643" s="104" t="s">
        <v>1122</v>
      </c>
      <c r="L643" s="104">
        <v>99887</v>
      </c>
      <c r="M643" s="104">
        <v>2</v>
      </c>
      <c r="N643" s="104" t="s">
        <v>680</v>
      </c>
      <c r="O643" s="104" t="s">
        <v>34</v>
      </c>
      <c r="P643" s="104">
        <v>4359817</v>
      </c>
      <c r="Q643" s="106">
        <v>46036</v>
      </c>
      <c r="R643" s="110">
        <v>4474583</v>
      </c>
      <c r="S643" s="160">
        <f>AD371</f>
        <v>35504.83</v>
      </c>
      <c r="T643" s="108"/>
      <c r="U643" s="104">
        <v>69</v>
      </c>
      <c r="V643" s="104" t="s">
        <v>34</v>
      </c>
      <c r="W643" s="104" t="s">
        <v>40</v>
      </c>
      <c r="X643" s="104" t="s">
        <v>25</v>
      </c>
      <c r="Y643" s="216">
        <v>35504.83</v>
      </c>
      <c r="Z643" s="106">
        <v>46099</v>
      </c>
      <c r="AA643" s="106">
        <v>46104</v>
      </c>
      <c r="AB643" s="104" t="s">
        <v>41</v>
      </c>
      <c r="AC643" s="104"/>
      <c r="AD643" s="113">
        <f>S643-Y643</f>
        <v>0</v>
      </c>
    </row>
    <row r="644" spans="2:30" ht="45" hidden="1" customHeight="1">
      <c r="B644" s="174">
        <v>641</v>
      </c>
      <c r="C644" s="104" t="s">
        <v>291</v>
      </c>
      <c r="D644" s="104" t="s">
        <v>1340</v>
      </c>
      <c r="E644" s="104" t="s">
        <v>1759</v>
      </c>
      <c r="F644" s="104" t="s">
        <v>44</v>
      </c>
      <c r="G644" s="145" t="s">
        <v>1852</v>
      </c>
      <c r="H644" s="104">
        <v>2488</v>
      </c>
      <c r="I644" s="104">
        <v>5</v>
      </c>
      <c r="J644" s="104" t="s">
        <v>1430</v>
      </c>
      <c r="K644" s="104" t="s">
        <v>1853</v>
      </c>
      <c r="L644" s="104">
        <v>110199</v>
      </c>
      <c r="M644" s="104">
        <v>29</v>
      </c>
      <c r="N644" s="104" t="s">
        <v>1854</v>
      </c>
      <c r="O644" s="104"/>
      <c r="P644" s="104">
        <v>4431822</v>
      </c>
      <c r="Q644" s="106">
        <v>46105</v>
      </c>
      <c r="R644" s="104">
        <v>4546969</v>
      </c>
      <c r="S644" s="160" t="s">
        <v>1340</v>
      </c>
      <c r="T644" s="130">
        <v>46111</v>
      </c>
      <c r="U644" s="145">
        <v>9</v>
      </c>
      <c r="V644" s="145"/>
      <c r="W644" s="145" t="s">
        <v>1091</v>
      </c>
      <c r="X644" s="104" t="s">
        <v>25</v>
      </c>
      <c r="Y644" s="194">
        <v>3890</v>
      </c>
      <c r="Z644" s="180">
        <v>46129</v>
      </c>
      <c r="AA644" s="180">
        <v>46135</v>
      </c>
      <c r="AB644" s="104" t="s">
        <v>41</v>
      </c>
      <c r="AC644" s="104"/>
      <c r="AD644" s="113" t="e">
        <f>S644-Y644</f>
        <v>#VALUE!</v>
      </c>
    </row>
    <row r="645" spans="2:30" ht="45" hidden="1" customHeight="1">
      <c r="B645" s="174">
        <v>642</v>
      </c>
      <c r="C645" s="104" t="s">
        <v>32</v>
      </c>
      <c r="D645" s="104" t="s">
        <v>1385</v>
      </c>
      <c r="E645" s="104">
        <v>47944</v>
      </c>
      <c r="F645" s="104" t="s">
        <v>35</v>
      </c>
      <c r="G645" s="145" t="s">
        <v>1855</v>
      </c>
      <c r="H645" s="104">
        <v>2470</v>
      </c>
      <c r="I645" s="104">
        <v>242</v>
      </c>
      <c r="J645" s="104" t="s">
        <v>1430</v>
      </c>
      <c r="K645" s="104">
        <v>505</v>
      </c>
      <c r="L645" s="104">
        <v>112510</v>
      </c>
      <c r="M645" s="104">
        <v>6</v>
      </c>
      <c r="N645" s="104"/>
      <c r="O645" s="104"/>
      <c r="P645" s="104">
        <v>4431859</v>
      </c>
      <c r="Q645" s="106">
        <v>46105</v>
      </c>
      <c r="R645" s="104">
        <v>4543072</v>
      </c>
      <c r="S645" s="160">
        <v>2094.75</v>
      </c>
      <c r="T645" s="130">
        <v>46104</v>
      </c>
      <c r="U645" s="104">
        <v>3338</v>
      </c>
      <c r="V645" s="145"/>
      <c r="W645" s="104" t="s">
        <v>48</v>
      </c>
      <c r="X645" s="104" t="s">
        <v>25</v>
      </c>
      <c r="Y645" s="194">
        <v>2094.75</v>
      </c>
      <c r="Z645" s="195">
        <v>46113</v>
      </c>
      <c r="AA645" s="180">
        <v>46142</v>
      </c>
      <c r="AB645" s="104" t="s">
        <v>41</v>
      </c>
      <c r="AC645" s="104"/>
      <c r="AD645" s="113">
        <f>S645-Y645</f>
        <v>0</v>
      </c>
    </row>
    <row r="646" spans="2:30" ht="45" hidden="1" customHeight="1">
      <c r="B646" s="174">
        <v>643</v>
      </c>
      <c r="C646" s="104" t="s">
        <v>316</v>
      </c>
      <c r="D646" s="104" t="s">
        <v>1856</v>
      </c>
      <c r="E646" s="104">
        <v>44328</v>
      </c>
      <c r="F646" s="104" t="s">
        <v>44</v>
      </c>
      <c r="G646" s="145" t="s">
        <v>1857</v>
      </c>
      <c r="H646" s="104">
        <v>2470</v>
      </c>
      <c r="I646" s="104">
        <v>242</v>
      </c>
      <c r="J646" s="104" t="s">
        <v>1430</v>
      </c>
      <c r="K646" s="104">
        <v>12709</v>
      </c>
      <c r="L646" s="104">
        <v>112532</v>
      </c>
      <c r="M646" s="104">
        <v>6</v>
      </c>
      <c r="N646" s="104"/>
      <c r="O646" s="104"/>
      <c r="P646" s="104">
        <v>4431885</v>
      </c>
      <c r="Q646" s="106">
        <v>46105</v>
      </c>
      <c r="R646" s="104">
        <v>4543135</v>
      </c>
      <c r="S646" s="160">
        <v>1366.25</v>
      </c>
      <c r="T646" s="130">
        <v>46111</v>
      </c>
      <c r="U646" s="104">
        <v>5344</v>
      </c>
      <c r="V646" s="145" t="s">
        <v>34</v>
      </c>
      <c r="W646" s="104" t="s">
        <v>40</v>
      </c>
      <c r="X646" s="104" t="s">
        <v>25</v>
      </c>
      <c r="Y646" s="194">
        <v>1339</v>
      </c>
      <c r="Z646" s="195">
        <v>46118</v>
      </c>
      <c r="AA646" s="180">
        <v>46142</v>
      </c>
      <c r="AB646" s="104" t="s">
        <v>41</v>
      </c>
      <c r="AC646" s="104"/>
      <c r="AD646" s="113">
        <f>S646-Y646</f>
        <v>27.25</v>
      </c>
    </row>
    <row r="647" spans="2:30" ht="45" hidden="1" customHeight="1">
      <c r="B647" s="174">
        <v>644</v>
      </c>
      <c r="C647" s="104" t="s">
        <v>95</v>
      </c>
      <c r="D647" s="104" t="s">
        <v>1858</v>
      </c>
      <c r="E647" s="104"/>
      <c r="F647" s="104" t="s">
        <v>44</v>
      </c>
      <c r="G647" s="145" t="s">
        <v>1859</v>
      </c>
      <c r="H647" s="104">
        <v>2488</v>
      </c>
      <c r="I647" s="104">
        <v>242</v>
      </c>
      <c r="J647" s="104" t="s">
        <v>46</v>
      </c>
      <c r="K647" s="104">
        <v>910</v>
      </c>
      <c r="L647" s="104">
        <v>112759</v>
      </c>
      <c r="M647" s="104">
        <v>5</v>
      </c>
      <c r="N647" s="104" t="s">
        <v>1860</v>
      </c>
      <c r="O647" s="104"/>
      <c r="P647" s="104">
        <v>4431865</v>
      </c>
      <c r="Q647" s="106">
        <v>46105</v>
      </c>
      <c r="R647" s="104">
        <v>4545367</v>
      </c>
      <c r="S647" s="160">
        <v>7080</v>
      </c>
      <c r="T647" s="104"/>
      <c r="U647" s="145">
        <v>3594</v>
      </c>
      <c r="V647" s="145" t="s">
        <v>34</v>
      </c>
      <c r="W647" s="145" t="s">
        <v>48</v>
      </c>
      <c r="X647" s="104" t="s">
        <v>25</v>
      </c>
      <c r="Y647" s="194">
        <v>7080</v>
      </c>
      <c r="Z647" s="195">
        <v>46113</v>
      </c>
      <c r="AA647" s="195">
        <v>46136</v>
      </c>
      <c r="AB647" s="104" t="s">
        <v>41</v>
      </c>
      <c r="AC647" s="104"/>
      <c r="AD647" s="113">
        <f>S647-Y647</f>
        <v>0</v>
      </c>
    </row>
    <row r="648" spans="2:30" ht="45" hidden="1" customHeight="1">
      <c r="B648" s="174">
        <v>645</v>
      </c>
      <c r="C648" s="104" t="s">
        <v>70</v>
      </c>
      <c r="D648" s="104" t="s">
        <v>323</v>
      </c>
      <c r="E648" s="104">
        <v>47406</v>
      </c>
      <c r="F648" s="104" t="s">
        <v>44</v>
      </c>
      <c r="G648" s="145" t="s">
        <v>1861</v>
      </c>
      <c r="H648" s="104">
        <v>2291</v>
      </c>
      <c r="I648" s="104">
        <v>242</v>
      </c>
      <c r="J648" s="104" t="s">
        <v>1430</v>
      </c>
      <c r="K648" s="104">
        <v>80038</v>
      </c>
      <c r="L648" s="104">
        <v>112535</v>
      </c>
      <c r="M648" s="104">
        <v>6</v>
      </c>
      <c r="N648" s="104"/>
      <c r="O648" s="104"/>
      <c r="P648" s="104">
        <v>4431892</v>
      </c>
      <c r="Q648" s="106">
        <v>46105</v>
      </c>
      <c r="R648" s="104">
        <v>4543134</v>
      </c>
      <c r="S648" s="160">
        <v>1981.8</v>
      </c>
      <c r="T648" s="199">
        <v>46113</v>
      </c>
      <c r="U648" s="145">
        <v>190</v>
      </c>
      <c r="V648" s="145"/>
      <c r="W648" s="145" t="s">
        <v>1091</v>
      </c>
      <c r="X648" s="104" t="s">
        <v>25</v>
      </c>
      <c r="Y648" s="194">
        <v>1981.8</v>
      </c>
      <c r="Z648" s="180">
        <v>46127</v>
      </c>
      <c r="AA648" s="180">
        <v>46141</v>
      </c>
      <c r="AB648" s="104" t="s">
        <v>41</v>
      </c>
      <c r="AC648" s="104"/>
      <c r="AD648" s="113">
        <f>S648-Y648</f>
        <v>0</v>
      </c>
    </row>
    <row r="649" spans="2:30" ht="45" hidden="1" customHeight="1">
      <c r="B649" s="174">
        <v>646</v>
      </c>
      <c r="C649" s="104" t="s">
        <v>70</v>
      </c>
      <c r="D649" s="104" t="s">
        <v>323</v>
      </c>
      <c r="E649" s="104">
        <v>47406</v>
      </c>
      <c r="F649" s="104" t="s">
        <v>44</v>
      </c>
      <c r="G649" s="145" t="s">
        <v>1862</v>
      </c>
      <c r="H649" s="104">
        <v>5525</v>
      </c>
      <c r="I649" s="104">
        <v>242</v>
      </c>
      <c r="J649" s="104" t="s">
        <v>1430</v>
      </c>
      <c r="K649" s="104">
        <v>80039</v>
      </c>
      <c r="L649" s="104">
        <v>112536</v>
      </c>
      <c r="M649" s="104">
        <v>6</v>
      </c>
      <c r="N649" s="104"/>
      <c r="O649" s="104"/>
      <c r="P649" s="104">
        <v>4443324</v>
      </c>
      <c r="Q649" s="106">
        <v>46113</v>
      </c>
      <c r="R649" s="104">
        <v>4554786</v>
      </c>
      <c r="S649" s="160">
        <v>2978.4</v>
      </c>
      <c r="T649" s="199">
        <v>46113</v>
      </c>
      <c r="U649" s="145">
        <v>200</v>
      </c>
      <c r="V649" s="145"/>
      <c r="W649" s="145" t="s">
        <v>1091</v>
      </c>
      <c r="X649" s="104" t="s">
        <v>25</v>
      </c>
      <c r="Y649" s="194">
        <v>2978.4</v>
      </c>
      <c r="Z649" s="180">
        <v>46146</v>
      </c>
      <c r="AA649" s="145"/>
      <c r="AB649" s="104" t="s">
        <v>1425</v>
      </c>
      <c r="AC649" s="104"/>
      <c r="AD649" s="113">
        <f>S649-Y649</f>
        <v>0</v>
      </c>
    </row>
    <row r="650" spans="2:30" ht="45" hidden="1" customHeight="1">
      <c r="B650" s="174">
        <v>647</v>
      </c>
      <c r="C650" s="104" t="s">
        <v>70</v>
      </c>
      <c r="D650" s="104" t="s">
        <v>323</v>
      </c>
      <c r="E650" s="104">
        <v>47406</v>
      </c>
      <c r="F650" s="104" t="s">
        <v>44</v>
      </c>
      <c r="G650" s="145" t="s">
        <v>1863</v>
      </c>
      <c r="H650" s="104">
        <v>5525</v>
      </c>
      <c r="I650" s="104">
        <v>242</v>
      </c>
      <c r="J650" s="104" t="s">
        <v>1430</v>
      </c>
      <c r="K650" s="104">
        <v>80040</v>
      </c>
      <c r="L650" s="104">
        <v>112537</v>
      </c>
      <c r="M650" s="104">
        <v>6</v>
      </c>
      <c r="N650" s="104"/>
      <c r="O650" s="104"/>
      <c r="P650" s="104">
        <v>4443330</v>
      </c>
      <c r="Q650" s="106">
        <v>46113</v>
      </c>
      <c r="R650" s="104">
        <v>4554788</v>
      </c>
      <c r="S650" s="160">
        <v>4978.5</v>
      </c>
      <c r="T650" s="199">
        <v>46113</v>
      </c>
      <c r="U650" s="145">
        <v>201</v>
      </c>
      <c r="V650" s="145"/>
      <c r="W650" s="145" t="s">
        <v>1091</v>
      </c>
      <c r="X650" s="104" t="s">
        <v>25</v>
      </c>
      <c r="Y650" s="194">
        <v>4978.5</v>
      </c>
      <c r="Z650" s="180">
        <v>46146</v>
      </c>
      <c r="AA650" s="145"/>
      <c r="AB650" s="104" t="s">
        <v>1425</v>
      </c>
      <c r="AC650" s="104"/>
      <c r="AD650" s="113">
        <f>S650-Y650</f>
        <v>0</v>
      </c>
    </row>
    <row r="651" spans="2:30" ht="45" hidden="1" customHeight="1">
      <c r="B651" s="174">
        <v>648</v>
      </c>
      <c r="C651" s="104" t="s">
        <v>95</v>
      </c>
      <c r="D651" s="104" t="s">
        <v>1864</v>
      </c>
      <c r="E651" s="104" t="s">
        <v>34</v>
      </c>
      <c r="F651" s="104" t="s">
        <v>44</v>
      </c>
      <c r="G651" s="145" t="s">
        <v>1865</v>
      </c>
      <c r="H651" s="104">
        <v>4502</v>
      </c>
      <c r="I651" s="104">
        <v>332</v>
      </c>
      <c r="J651" s="104" t="s">
        <v>1118</v>
      </c>
      <c r="K651" s="104" t="s">
        <v>34</v>
      </c>
      <c r="L651" s="104" t="s">
        <v>1725</v>
      </c>
      <c r="M651" s="104">
        <v>2</v>
      </c>
      <c r="N651" s="104" t="s">
        <v>34</v>
      </c>
      <c r="O651" s="104" t="s">
        <v>34</v>
      </c>
      <c r="P651" s="104">
        <v>4392973</v>
      </c>
      <c r="Q651" s="130">
        <v>46069</v>
      </c>
      <c r="R651" s="104">
        <v>4504050</v>
      </c>
      <c r="S651" s="160">
        <v>183472</v>
      </c>
      <c r="T651" s="104" t="s">
        <v>34</v>
      </c>
      <c r="U651" s="145">
        <v>661</v>
      </c>
      <c r="V651" s="145" t="s">
        <v>34</v>
      </c>
      <c r="W651" s="145" t="s">
        <v>40</v>
      </c>
      <c r="X651" s="104" t="s">
        <v>44</v>
      </c>
      <c r="Y651" s="216">
        <v>36960</v>
      </c>
      <c r="Z651" s="195">
        <v>46104</v>
      </c>
      <c r="AA651" s="195">
        <v>46105</v>
      </c>
      <c r="AB651" s="104" t="s">
        <v>41</v>
      </c>
      <c r="AC651" s="104"/>
      <c r="AD651" s="113">
        <f>S651-Y651</f>
        <v>146512</v>
      </c>
    </row>
    <row r="652" spans="2:30" ht="45" hidden="1" customHeight="1">
      <c r="B652" s="174">
        <v>649</v>
      </c>
      <c r="C652" s="104" t="s">
        <v>291</v>
      </c>
      <c r="D652" s="104" t="s">
        <v>192</v>
      </c>
      <c r="E652" s="104" t="s">
        <v>1759</v>
      </c>
      <c r="F652" s="104" t="s">
        <v>35</v>
      </c>
      <c r="G652" s="145" t="s">
        <v>1866</v>
      </c>
      <c r="H652" s="104">
        <v>4057</v>
      </c>
      <c r="I652" s="104">
        <v>242</v>
      </c>
      <c r="J652" s="104" t="s">
        <v>1430</v>
      </c>
      <c r="K652" s="104">
        <v>1075</v>
      </c>
      <c r="L652" s="104">
        <v>110160</v>
      </c>
      <c r="M652" s="104">
        <v>5</v>
      </c>
      <c r="N652" s="104" t="s">
        <v>1867</v>
      </c>
      <c r="O652" s="104"/>
      <c r="P652" s="104">
        <v>4432223</v>
      </c>
      <c r="Q652" s="106">
        <v>46105</v>
      </c>
      <c r="R652" s="104">
        <v>4543201</v>
      </c>
      <c r="S652" s="160">
        <v>5550</v>
      </c>
      <c r="T652" s="104"/>
      <c r="U652" s="145">
        <v>885</v>
      </c>
      <c r="V652" s="145" t="s">
        <v>34</v>
      </c>
      <c r="W652" s="145" t="s">
        <v>48</v>
      </c>
      <c r="X652" s="104" t="s">
        <v>94</v>
      </c>
      <c r="Y652" s="194">
        <v>5550</v>
      </c>
      <c r="Z652" s="195">
        <v>46113</v>
      </c>
      <c r="AA652" s="180">
        <v>46119</v>
      </c>
      <c r="AB652" s="104" t="s">
        <v>41</v>
      </c>
      <c r="AC652" s="104"/>
      <c r="AD652" s="113">
        <f>S652-Y652</f>
        <v>0</v>
      </c>
    </row>
    <row r="653" spans="2:30" ht="45" hidden="1" customHeight="1">
      <c r="B653" s="174">
        <v>650</v>
      </c>
      <c r="C653" s="104" t="s">
        <v>291</v>
      </c>
      <c r="D653" s="104" t="s">
        <v>192</v>
      </c>
      <c r="E653" s="104" t="s">
        <v>1759</v>
      </c>
      <c r="F653" s="104" t="s">
        <v>35</v>
      </c>
      <c r="G653" s="145" t="s">
        <v>1868</v>
      </c>
      <c r="H653" s="104">
        <v>4057</v>
      </c>
      <c r="I653" s="104">
        <v>242</v>
      </c>
      <c r="J653" s="104" t="s">
        <v>1430</v>
      </c>
      <c r="K653" s="104">
        <v>1033</v>
      </c>
      <c r="L653" s="104">
        <v>111319</v>
      </c>
      <c r="M653" s="104">
        <v>5</v>
      </c>
      <c r="N653" s="104" t="s">
        <v>1869</v>
      </c>
      <c r="O653" s="104"/>
      <c r="P653" s="104">
        <v>4432270</v>
      </c>
      <c r="Q653" s="106">
        <v>46105</v>
      </c>
      <c r="R653" s="104">
        <v>4543203</v>
      </c>
      <c r="S653" s="160">
        <v>5670</v>
      </c>
      <c r="T653" s="104"/>
      <c r="U653" s="145">
        <v>884</v>
      </c>
      <c r="V653" s="145" t="s">
        <v>34</v>
      </c>
      <c r="W653" s="145" t="s">
        <v>48</v>
      </c>
      <c r="X653" s="104" t="s">
        <v>131</v>
      </c>
      <c r="Y653" s="194">
        <v>5670</v>
      </c>
      <c r="Z653" s="195">
        <v>46113</v>
      </c>
      <c r="AA653" s="180">
        <v>46119</v>
      </c>
      <c r="AB653" s="104" t="s">
        <v>41</v>
      </c>
      <c r="AC653" s="104"/>
      <c r="AD653" s="113">
        <f>S653-Y653</f>
        <v>0</v>
      </c>
    </row>
    <row r="654" spans="2:30" ht="45" hidden="1" customHeight="1">
      <c r="B654" s="174">
        <v>651</v>
      </c>
      <c r="C654" s="104" t="s">
        <v>137</v>
      </c>
      <c r="D654" s="104" t="s">
        <v>709</v>
      </c>
      <c r="E654" s="104" t="s">
        <v>34</v>
      </c>
      <c r="F654" s="104" t="s">
        <v>44</v>
      </c>
      <c r="G654" s="145" t="s">
        <v>234</v>
      </c>
      <c r="H654" s="104" t="s">
        <v>679</v>
      </c>
      <c r="I654" s="104">
        <v>5</v>
      </c>
      <c r="J654" s="104" t="s">
        <v>1118</v>
      </c>
      <c r="K654" s="104" t="s">
        <v>1870</v>
      </c>
      <c r="L654" s="104">
        <v>112615</v>
      </c>
      <c r="M654" s="104">
        <v>1</v>
      </c>
      <c r="N654" s="104" t="s">
        <v>680</v>
      </c>
      <c r="O654" s="104"/>
      <c r="P654" s="104">
        <v>4432295</v>
      </c>
      <c r="Q654" s="106">
        <v>46105</v>
      </c>
      <c r="R654" s="104">
        <v>4547602</v>
      </c>
      <c r="S654" s="160" t="s">
        <v>709</v>
      </c>
      <c r="T654" s="104" t="s">
        <v>34</v>
      </c>
      <c r="U654" s="145">
        <v>85</v>
      </c>
      <c r="V654" s="145" t="s">
        <v>34</v>
      </c>
      <c r="W654" s="145" t="s">
        <v>40</v>
      </c>
      <c r="X654" s="104" t="s">
        <v>25</v>
      </c>
      <c r="Y654" s="194">
        <v>31433.25</v>
      </c>
      <c r="Z654" s="180">
        <v>46146</v>
      </c>
      <c r="AA654" s="195">
        <v>46147</v>
      </c>
      <c r="AB654" s="104" t="s">
        <v>41</v>
      </c>
      <c r="AC654" s="104"/>
      <c r="AD654" s="113" t="e">
        <f>S654-Y654</f>
        <v>#VALUE!</v>
      </c>
    </row>
    <row r="655" spans="2:30" ht="45" hidden="1" customHeight="1">
      <c r="B655" s="174">
        <v>652</v>
      </c>
      <c r="C655" s="104" t="s">
        <v>95</v>
      </c>
      <c r="D655" s="104" t="s">
        <v>1162</v>
      </c>
      <c r="E655" s="104" t="s">
        <v>34</v>
      </c>
      <c r="F655" s="104" t="s">
        <v>44</v>
      </c>
      <c r="G655" s="145" t="s">
        <v>1871</v>
      </c>
      <c r="H655" s="104">
        <v>4502</v>
      </c>
      <c r="I655" s="104">
        <v>327</v>
      </c>
      <c r="J655" s="104" t="s">
        <v>1118</v>
      </c>
      <c r="K655" s="104" t="s">
        <v>34</v>
      </c>
      <c r="L655" s="104" t="s">
        <v>1725</v>
      </c>
      <c r="M655" s="104">
        <v>2</v>
      </c>
      <c r="N655" s="104" t="s">
        <v>34</v>
      </c>
      <c r="O655" s="104" t="s">
        <v>34</v>
      </c>
      <c r="P655" s="104">
        <v>4410671</v>
      </c>
      <c r="Q655" s="130">
        <v>46084</v>
      </c>
      <c r="R655" s="104">
        <v>4525161</v>
      </c>
      <c r="S655" s="160">
        <v>50726</v>
      </c>
      <c r="T655" s="104" t="s">
        <v>34</v>
      </c>
      <c r="U655" s="145">
        <v>20427</v>
      </c>
      <c r="V655" s="145" t="s">
        <v>34</v>
      </c>
      <c r="W655" s="145" t="s">
        <v>40</v>
      </c>
      <c r="X655" s="104" t="s">
        <v>44</v>
      </c>
      <c r="Y655" s="216">
        <v>50726</v>
      </c>
      <c r="Z655" s="195">
        <v>46105</v>
      </c>
      <c r="AA655" s="195">
        <v>46105</v>
      </c>
      <c r="AB655" s="104" t="s">
        <v>41</v>
      </c>
      <c r="AC655" s="104"/>
      <c r="AD655" s="113">
        <f>S655-Y655</f>
        <v>0</v>
      </c>
    </row>
    <row r="656" spans="2:30" ht="45" hidden="1" customHeight="1">
      <c r="B656" s="174">
        <v>653</v>
      </c>
      <c r="C656" s="104" t="s">
        <v>95</v>
      </c>
      <c r="D656" s="104" t="s">
        <v>1872</v>
      </c>
      <c r="E656" s="104" t="s">
        <v>34</v>
      </c>
      <c r="F656" s="104" t="s">
        <v>44</v>
      </c>
      <c r="G656" s="145" t="s">
        <v>1873</v>
      </c>
      <c r="H656" s="104">
        <v>4502</v>
      </c>
      <c r="I656" s="104">
        <v>327</v>
      </c>
      <c r="J656" s="104" t="s">
        <v>1118</v>
      </c>
      <c r="K656" s="104" t="s">
        <v>34</v>
      </c>
      <c r="L656" s="104" t="s">
        <v>1725</v>
      </c>
      <c r="M656" s="104">
        <v>2</v>
      </c>
      <c r="N656" s="104" t="s">
        <v>34</v>
      </c>
      <c r="O656" s="104" t="s">
        <v>34</v>
      </c>
      <c r="P656" s="104">
        <v>4373309</v>
      </c>
      <c r="Q656" s="130">
        <v>46050</v>
      </c>
      <c r="R656" s="104">
        <v>4488389</v>
      </c>
      <c r="S656" s="160">
        <v>223637</v>
      </c>
      <c r="T656" s="104" t="s">
        <v>34</v>
      </c>
      <c r="U656" s="145">
        <v>19</v>
      </c>
      <c r="V656" s="145" t="s">
        <v>34</v>
      </c>
      <c r="W656" s="145" t="s">
        <v>40</v>
      </c>
      <c r="X656" s="104" t="s">
        <v>44</v>
      </c>
      <c r="Y656" s="216">
        <v>223637</v>
      </c>
      <c r="Z656" s="195">
        <v>46105</v>
      </c>
      <c r="AA656" s="195">
        <v>46105</v>
      </c>
      <c r="AB656" s="104" t="s">
        <v>41</v>
      </c>
      <c r="AC656" s="104"/>
      <c r="AD656" s="113">
        <f>S656-Y656</f>
        <v>0</v>
      </c>
    </row>
    <row r="657" spans="2:30" ht="45" hidden="1" customHeight="1">
      <c r="B657" s="174">
        <v>654</v>
      </c>
      <c r="C657" s="104" t="s">
        <v>95</v>
      </c>
      <c r="D657" s="104" t="s">
        <v>1874</v>
      </c>
      <c r="E657" s="104" t="s">
        <v>34</v>
      </c>
      <c r="F657" s="104" t="s">
        <v>44</v>
      </c>
      <c r="G657" s="145" t="s">
        <v>1875</v>
      </c>
      <c r="H657" s="104">
        <v>4502</v>
      </c>
      <c r="I657" s="104">
        <v>326</v>
      </c>
      <c r="J657" s="104" t="s">
        <v>1118</v>
      </c>
      <c r="K657" s="104" t="s">
        <v>34</v>
      </c>
      <c r="L657" s="104" t="s">
        <v>1725</v>
      </c>
      <c r="M657" s="104">
        <v>2</v>
      </c>
      <c r="N657" s="104" t="s">
        <v>34</v>
      </c>
      <c r="O657" s="104" t="s">
        <v>34</v>
      </c>
      <c r="P657" s="104">
        <v>4395185</v>
      </c>
      <c r="Q657" s="130">
        <v>46070</v>
      </c>
      <c r="R657" s="104">
        <v>4505129</v>
      </c>
      <c r="S657" s="160">
        <v>510000</v>
      </c>
      <c r="T657" s="104" t="s">
        <v>34</v>
      </c>
      <c r="U657" s="145">
        <v>880</v>
      </c>
      <c r="V657" s="145" t="s">
        <v>34</v>
      </c>
      <c r="W657" s="145" t="s">
        <v>40</v>
      </c>
      <c r="X657" s="104" t="s">
        <v>44</v>
      </c>
      <c r="Y657" s="194">
        <v>482630</v>
      </c>
      <c r="Z657" s="195">
        <v>46106</v>
      </c>
      <c r="AA657" s="195">
        <v>46107</v>
      </c>
      <c r="AB657" s="104" t="s">
        <v>41</v>
      </c>
      <c r="AC657" s="104"/>
      <c r="AD657" s="113">
        <f>S657-Y657</f>
        <v>27370</v>
      </c>
    </row>
    <row r="658" spans="2:30" ht="45" hidden="1" customHeight="1">
      <c r="B658" s="174">
        <v>655</v>
      </c>
      <c r="C658" s="104" t="s">
        <v>282</v>
      </c>
      <c r="D658" s="104" t="s">
        <v>687</v>
      </c>
      <c r="E658" s="104"/>
      <c r="F658" s="104" t="s">
        <v>44</v>
      </c>
      <c r="G658" s="145" t="s">
        <v>1876</v>
      </c>
      <c r="H658" s="104">
        <v>1210</v>
      </c>
      <c r="I658" s="104">
        <v>242</v>
      </c>
      <c r="J658" s="104" t="s">
        <v>1118</v>
      </c>
      <c r="K658" s="104" t="s">
        <v>1877</v>
      </c>
      <c r="L658" s="104">
        <v>113013</v>
      </c>
      <c r="M658" s="104">
        <v>5</v>
      </c>
      <c r="N658" s="104" t="s">
        <v>1878</v>
      </c>
      <c r="O658" s="104" t="s">
        <v>48</v>
      </c>
      <c r="P658" s="104">
        <v>4434816</v>
      </c>
      <c r="Q658" s="130">
        <v>46108</v>
      </c>
      <c r="R658" s="104">
        <v>4552330</v>
      </c>
      <c r="S658" s="160">
        <v>9661.7000000000007</v>
      </c>
      <c r="T658" s="106">
        <v>46099</v>
      </c>
      <c r="U658" s="104">
        <v>172010</v>
      </c>
      <c r="V658" s="145" t="s">
        <v>34</v>
      </c>
      <c r="W658" s="145" t="s">
        <v>48</v>
      </c>
      <c r="X658" s="104" t="s">
        <v>94</v>
      </c>
      <c r="Y658" s="218">
        <v>9661.7000000000007</v>
      </c>
      <c r="Z658" s="195">
        <v>46121</v>
      </c>
      <c r="AA658" s="195">
        <v>46126</v>
      </c>
      <c r="AB658" s="104" t="s">
        <v>41</v>
      </c>
      <c r="AC658" s="104"/>
      <c r="AD658" s="113">
        <f>S658-Y658</f>
        <v>0</v>
      </c>
    </row>
    <row r="659" spans="2:30" ht="45" customHeight="1">
      <c r="B659" s="174">
        <v>656</v>
      </c>
      <c r="C659" s="104" t="s">
        <v>42</v>
      </c>
      <c r="D659" s="104" t="s">
        <v>1251</v>
      </c>
      <c r="E659" s="104" t="s">
        <v>34</v>
      </c>
      <c r="F659" s="104" t="s">
        <v>44</v>
      </c>
      <c r="G659" s="145" t="s">
        <v>1879</v>
      </c>
      <c r="H659" s="104">
        <v>2283</v>
      </c>
      <c r="I659" s="104">
        <v>242</v>
      </c>
      <c r="J659" s="104" t="s">
        <v>1118</v>
      </c>
      <c r="K659" s="104" t="s">
        <v>1880</v>
      </c>
      <c r="L659" s="104">
        <v>113581</v>
      </c>
      <c r="M659" s="104">
        <v>8</v>
      </c>
      <c r="N659" s="104" t="s">
        <v>34</v>
      </c>
      <c r="O659" s="104" t="s">
        <v>34</v>
      </c>
      <c r="P659" s="104">
        <v>4435434</v>
      </c>
      <c r="Q659" s="106">
        <v>46107</v>
      </c>
      <c r="R659" s="104">
        <v>4539421</v>
      </c>
      <c r="S659" s="160">
        <v>3704</v>
      </c>
      <c r="T659" s="130">
        <v>46105</v>
      </c>
      <c r="U659" s="145">
        <v>509</v>
      </c>
      <c r="V659" s="145" t="s">
        <v>34</v>
      </c>
      <c r="W659" s="145" t="s">
        <v>40</v>
      </c>
      <c r="X659" s="104" t="s">
        <v>25</v>
      </c>
      <c r="Y659" s="194">
        <v>3704</v>
      </c>
      <c r="Z659" s="195">
        <v>46097</v>
      </c>
      <c r="AA659" s="195">
        <v>46126</v>
      </c>
      <c r="AB659" s="104" t="s">
        <v>41</v>
      </c>
      <c r="AC659" s="104"/>
      <c r="AD659" s="113">
        <f>S659-Y659</f>
        <v>0</v>
      </c>
    </row>
    <row r="660" spans="2:30" ht="45" hidden="1" customHeight="1">
      <c r="B660" s="174">
        <v>657</v>
      </c>
      <c r="C660" s="104" t="s">
        <v>137</v>
      </c>
      <c r="D660" s="104" t="s">
        <v>1125</v>
      </c>
      <c r="E660" s="104" t="s">
        <v>34</v>
      </c>
      <c r="F660" s="104" t="s">
        <v>44</v>
      </c>
      <c r="G660" s="145" t="s">
        <v>660</v>
      </c>
      <c r="H660" s="104" t="s">
        <v>1126</v>
      </c>
      <c r="I660" s="104">
        <v>5</v>
      </c>
      <c r="J660" s="104" t="s">
        <v>1118</v>
      </c>
      <c r="K660" s="104" t="s">
        <v>1127</v>
      </c>
      <c r="L660" s="104">
        <v>100348</v>
      </c>
      <c r="M660" s="104">
        <v>2</v>
      </c>
      <c r="N660" s="104" t="s">
        <v>1128</v>
      </c>
      <c r="O660" s="104" t="s">
        <v>34</v>
      </c>
      <c r="P660" s="104">
        <v>4359862</v>
      </c>
      <c r="Q660" s="106">
        <v>46036</v>
      </c>
      <c r="R660" s="110">
        <v>4474588</v>
      </c>
      <c r="S660" s="160">
        <f>AD373</f>
        <v>15103</v>
      </c>
      <c r="T660" s="108"/>
      <c r="U660" s="104">
        <v>428</v>
      </c>
      <c r="V660" s="104" t="s">
        <v>34</v>
      </c>
      <c r="W660" s="104" t="s">
        <v>40</v>
      </c>
      <c r="X660" s="104" t="s">
        <v>25</v>
      </c>
      <c r="Y660" s="216">
        <v>15103</v>
      </c>
      <c r="Z660" s="106">
        <v>46106</v>
      </c>
      <c r="AA660" s="106">
        <v>46107</v>
      </c>
      <c r="AB660" s="104" t="s">
        <v>41</v>
      </c>
      <c r="AC660" s="104"/>
      <c r="AD660" s="113">
        <f>S660-Y660</f>
        <v>0</v>
      </c>
    </row>
    <row r="661" spans="2:30" ht="45" hidden="1" customHeight="1">
      <c r="B661" s="174">
        <v>658</v>
      </c>
      <c r="C661" s="104" t="s">
        <v>282</v>
      </c>
      <c r="D661" s="104" t="s">
        <v>1694</v>
      </c>
      <c r="E661" s="104">
        <v>47688</v>
      </c>
      <c r="F661" s="104" t="s">
        <v>35</v>
      </c>
      <c r="G661" s="145" t="s">
        <v>1881</v>
      </c>
      <c r="H661" s="104">
        <v>1236</v>
      </c>
      <c r="I661" s="104">
        <v>242</v>
      </c>
      <c r="J661" s="104" t="s">
        <v>1118</v>
      </c>
      <c r="K661" s="104" t="s">
        <v>1882</v>
      </c>
      <c r="L661" s="104">
        <v>110896</v>
      </c>
      <c r="M661" s="104">
        <v>6</v>
      </c>
      <c r="N661" s="104" t="s">
        <v>1883</v>
      </c>
      <c r="O661" s="104" t="s">
        <v>34</v>
      </c>
      <c r="P661" s="104">
        <v>4437078</v>
      </c>
      <c r="Q661" s="106">
        <v>46108</v>
      </c>
      <c r="R661" s="104">
        <v>4549417</v>
      </c>
      <c r="S661" s="160">
        <v>6977</v>
      </c>
      <c r="T661" s="104" t="s">
        <v>34</v>
      </c>
      <c r="U661" s="145">
        <v>978</v>
      </c>
      <c r="V661" s="145" t="s">
        <v>34</v>
      </c>
      <c r="W661" s="145" t="s">
        <v>48</v>
      </c>
      <c r="X661" s="104" t="s">
        <v>131</v>
      </c>
      <c r="Y661" s="194">
        <v>6977</v>
      </c>
      <c r="Z661" s="195">
        <v>46136</v>
      </c>
      <c r="AA661" s="195">
        <v>46139</v>
      </c>
      <c r="AB661" s="104" t="s">
        <v>41</v>
      </c>
      <c r="AC661" s="104"/>
      <c r="AD661" s="113">
        <f>S661-Y661</f>
        <v>0</v>
      </c>
    </row>
    <row r="662" spans="2:30" ht="45" customHeight="1">
      <c r="B662" s="174">
        <v>659</v>
      </c>
      <c r="C662" s="104" t="s">
        <v>282</v>
      </c>
      <c r="D662" s="104" t="s">
        <v>192</v>
      </c>
      <c r="E662" s="104">
        <v>48057</v>
      </c>
      <c r="F662" s="104" t="s">
        <v>35</v>
      </c>
      <c r="G662" s="145" t="s">
        <v>1884</v>
      </c>
      <c r="H662" s="104">
        <v>1210</v>
      </c>
      <c r="I662" s="104">
        <v>242</v>
      </c>
      <c r="J662" s="104" t="s">
        <v>1118</v>
      </c>
      <c r="K662" s="104" t="s">
        <v>1885</v>
      </c>
      <c r="L662" s="116" t="s">
        <v>1886</v>
      </c>
      <c r="M662" s="104">
        <v>8</v>
      </c>
      <c r="N662" s="104" t="s">
        <v>1887</v>
      </c>
      <c r="O662" s="104" t="s">
        <v>34</v>
      </c>
      <c r="P662" s="116" t="s">
        <v>1888</v>
      </c>
      <c r="Q662" s="106">
        <v>46108</v>
      </c>
      <c r="R662" s="104">
        <v>4552250</v>
      </c>
      <c r="S662" s="160">
        <v>1720</v>
      </c>
      <c r="T662" s="104" t="s">
        <v>34</v>
      </c>
      <c r="U662" s="244" t="s">
        <v>1889</v>
      </c>
      <c r="V662" s="145" t="s">
        <v>34</v>
      </c>
      <c r="W662" s="145" t="s">
        <v>48</v>
      </c>
      <c r="X662" s="104" t="s">
        <v>94</v>
      </c>
      <c r="Y662" s="194">
        <v>1720</v>
      </c>
      <c r="Z662" s="195">
        <v>46139</v>
      </c>
      <c r="AA662" s="195">
        <v>46139</v>
      </c>
      <c r="AB662" s="104" t="s">
        <v>41</v>
      </c>
      <c r="AC662" s="104"/>
      <c r="AD662" s="113">
        <f>S662-Y662</f>
        <v>0</v>
      </c>
    </row>
    <row r="663" spans="2:30" ht="45" customHeight="1">
      <c r="B663" s="174">
        <v>660</v>
      </c>
      <c r="C663" s="104" t="s">
        <v>282</v>
      </c>
      <c r="D663" s="104" t="s">
        <v>192</v>
      </c>
      <c r="E663" s="104">
        <v>48029</v>
      </c>
      <c r="F663" s="104" t="s">
        <v>35</v>
      </c>
      <c r="G663" s="145" t="s">
        <v>1890</v>
      </c>
      <c r="H663" s="104">
        <v>1236</v>
      </c>
      <c r="I663" s="104">
        <v>242</v>
      </c>
      <c r="J663" s="104" t="s">
        <v>1118</v>
      </c>
      <c r="K663" s="104" t="s">
        <v>1891</v>
      </c>
      <c r="L663" s="116" t="s">
        <v>1892</v>
      </c>
      <c r="M663" s="104">
        <v>8</v>
      </c>
      <c r="N663" s="104" t="s">
        <v>1893</v>
      </c>
      <c r="O663" s="104" t="s">
        <v>34</v>
      </c>
      <c r="P663" s="116" t="s">
        <v>1894</v>
      </c>
      <c r="Q663" s="106">
        <v>46108</v>
      </c>
      <c r="R663" s="119" t="s">
        <v>1895</v>
      </c>
      <c r="S663" s="160">
        <v>5265</v>
      </c>
      <c r="T663" s="104" t="s">
        <v>34</v>
      </c>
      <c r="U663" s="211" t="s">
        <v>1896</v>
      </c>
      <c r="V663" s="145" t="s">
        <v>34</v>
      </c>
      <c r="W663" s="145" t="s">
        <v>40</v>
      </c>
      <c r="X663" s="104" t="s">
        <v>44</v>
      </c>
      <c r="Y663" s="194">
        <v>5265</v>
      </c>
      <c r="Z663" s="241" t="s">
        <v>1897</v>
      </c>
      <c r="AA663" s="195">
        <v>46142</v>
      </c>
      <c r="AB663" s="104" t="s">
        <v>41</v>
      </c>
      <c r="AC663" s="104"/>
      <c r="AD663" s="113">
        <f>S663-Y663</f>
        <v>0</v>
      </c>
    </row>
    <row r="664" spans="2:30" ht="45" hidden="1" customHeight="1">
      <c r="B664" s="174">
        <v>661</v>
      </c>
      <c r="C664" s="104" t="s">
        <v>316</v>
      </c>
      <c r="D664" s="104" t="s">
        <v>1385</v>
      </c>
      <c r="E664" s="104">
        <v>48211</v>
      </c>
      <c r="F664" s="104" t="s">
        <v>35</v>
      </c>
      <c r="G664" s="145" t="s">
        <v>1898</v>
      </c>
      <c r="H664" s="104">
        <v>5345</v>
      </c>
      <c r="I664" s="104">
        <v>242</v>
      </c>
      <c r="J664" s="104" t="s">
        <v>1430</v>
      </c>
      <c r="K664" s="104">
        <v>509</v>
      </c>
      <c r="L664" s="104">
        <v>114083</v>
      </c>
      <c r="M664" s="104">
        <v>6</v>
      </c>
      <c r="N664" s="104"/>
      <c r="O664" s="104"/>
      <c r="P664" s="104">
        <v>4438600</v>
      </c>
      <c r="Q664" s="106">
        <v>46109</v>
      </c>
      <c r="R664" s="104">
        <v>4550098</v>
      </c>
      <c r="S664" s="160">
        <v>2070</v>
      </c>
      <c r="T664" s="130">
        <v>46111</v>
      </c>
      <c r="U664" s="104">
        <v>3349</v>
      </c>
      <c r="V664" s="145"/>
      <c r="W664" s="104" t="s">
        <v>1091</v>
      </c>
      <c r="X664" s="104" t="s">
        <v>25</v>
      </c>
      <c r="Y664" s="194">
        <v>1966.5</v>
      </c>
      <c r="Z664" s="180">
        <v>46119</v>
      </c>
      <c r="AA664" s="180">
        <v>46142</v>
      </c>
      <c r="AB664" s="104" t="s">
        <v>41</v>
      </c>
      <c r="AC664" s="104"/>
      <c r="AD664" s="113">
        <f>S664-Y664</f>
        <v>103.5</v>
      </c>
    </row>
    <row r="665" spans="2:30" ht="45" hidden="1" customHeight="1">
      <c r="B665" s="174">
        <v>662</v>
      </c>
      <c r="C665" s="104" t="s">
        <v>291</v>
      </c>
      <c r="D665" s="104" t="s">
        <v>192</v>
      </c>
      <c r="E665" s="104">
        <v>48048</v>
      </c>
      <c r="F665" s="104" t="s">
        <v>35</v>
      </c>
      <c r="G665" s="145" t="s">
        <v>1899</v>
      </c>
      <c r="H665" s="104">
        <v>2313</v>
      </c>
      <c r="I665" s="104">
        <v>242</v>
      </c>
      <c r="J665" s="104" t="s">
        <v>1430</v>
      </c>
      <c r="K665" s="104">
        <v>1363</v>
      </c>
      <c r="L665" s="104">
        <v>113564</v>
      </c>
      <c r="M665" s="104">
        <v>5</v>
      </c>
      <c r="N665" s="104" t="s">
        <v>1900</v>
      </c>
      <c r="O665" s="104"/>
      <c r="P665" s="104">
        <v>4438606</v>
      </c>
      <c r="Q665" s="106">
        <v>46109</v>
      </c>
      <c r="R665" s="104">
        <v>4552256</v>
      </c>
      <c r="S665" s="160">
        <v>1848</v>
      </c>
      <c r="T665" s="104"/>
      <c r="U665" s="244" t="s">
        <v>1901</v>
      </c>
      <c r="V665" s="145"/>
      <c r="W665" s="145" t="s">
        <v>197</v>
      </c>
      <c r="X665" s="104" t="s">
        <v>90</v>
      </c>
      <c r="Y665" s="194">
        <v>1848</v>
      </c>
      <c r="Z665" s="245" t="s">
        <v>1902</v>
      </c>
      <c r="AA665" s="245" t="s">
        <v>1903</v>
      </c>
      <c r="AB665" s="104" t="s">
        <v>41</v>
      </c>
      <c r="AC665" s="104"/>
      <c r="AD665" s="113">
        <f>S665-Y665</f>
        <v>0</v>
      </c>
    </row>
    <row r="666" spans="2:30" ht="45" customHeight="1">
      <c r="B666" s="174">
        <v>663</v>
      </c>
      <c r="C666" s="104" t="s">
        <v>183</v>
      </c>
      <c r="D666" s="104" t="s">
        <v>192</v>
      </c>
      <c r="E666" s="104">
        <v>48058</v>
      </c>
      <c r="F666" s="104" t="s">
        <v>35</v>
      </c>
      <c r="G666" s="145" t="s">
        <v>1904</v>
      </c>
      <c r="H666" s="104">
        <v>2283</v>
      </c>
      <c r="I666" s="104">
        <v>242</v>
      </c>
      <c r="J666" s="104" t="s">
        <v>1430</v>
      </c>
      <c r="K666" s="104">
        <v>1368</v>
      </c>
      <c r="L666" s="118">
        <v>113024</v>
      </c>
      <c r="M666" s="104">
        <v>8</v>
      </c>
      <c r="N666" s="104" t="s">
        <v>1905</v>
      </c>
      <c r="O666" s="104"/>
      <c r="P666" s="116" t="s">
        <v>1906</v>
      </c>
      <c r="Q666" s="106">
        <v>46109</v>
      </c>
      <c r="R666" s="104">
        <v>4552266</v>
      </c>
      <c r="S666" s="160">
        <v>3825</v>
      </c>
      <c r="T666" s="104"/>
      <c r="U666" s="116" t="s">
        <v>1907</v>
      </c>
      <c r="V666" s="145"/>
      <c r="W666" s="104" t="s">
        <v>40</v>
      </c>
      <c r="X666" s="104" t="s">
        <v>44</v>
      </c>
      <c r="Y666" s="194">
        <v>3825</v>
      </c>
      <c r="Z666" s="274">
        <v>38816</v>
      </c>
      <c r="AA666" s="245" t="s">
        <v>1908</v>
      </c>
      <c r="AB666" s="104" t="s">
        <v>41</v>
      </c>
      <c r="AC666" s="104"/>
      <c r="AD666" s="113">
        <f>S666-Y666</f>
        <v>0</v>
      </c>
    </row>
    <row r="667" spans="2:30" ht="45" hidden="1" customHeight="1">
      <c r="B667" s="174">
        <v>664</v>
      </c>
      <c r="C667" s="104" t="s">
        <v>70</v>
      </c>
      <c r="D667" s="104" t="s">
        <v>1437</v>
      </c>
      <c r="E667" s="104">
        <v>47787</v>
      </c>
      <c r="F667" s="104" t="s">
        <v>44</v>
      </c>
      <c r="G667" s="145" t="s">
        <v>1909</v>
      </c>
      <c r="H667" s="104">
        <v>2283</v>
      </c>
      <c r="I667" s="104">
        <v>242</v>
      </c>
      <c r="J667" s="104" t="s">
        <v>1430</v>
      </c>
      <c r="K667" s="104" t="s">
        <v>1910</v>
      </c>
      <c r="L667" s="104">
        <v>112583</v>
      </c>
      <c r="M667" s="104">
        <v>6</v>
      </c>
      <c r="N667" s="104"/>
      <c r="O667" s="104"/>
      <c r="P667" s="104">
        <v>4438622</v>
      </c>
      <c r="Q667" s="106">
        <v>46109</v>
      </c>
      <c r="R667" s="104">
        <v>4552200</v>
      </c>
      <c r="S667" s="160">
        <v>15704.6</v>
      </c>
      <c r="T667" s="199">
        <v>46113</v>
      </c>
      <c r="U667" s="145">
        <v>198</v>
      </c>
      <c r="V667" s="145"/>
      <c r="W667" s="145" t="s">
        <v>1091</v>
      </c>
      <c r="X667" s="104" t="s">
        <v>25</v>
      </c>
      <c r="Y667" s="194">
        <v>15704.6</v>
      </c>
      <c r="Z667" s="180">
        <v>46146</v>
      </c>
      <c r="AA667" s="145"/>
      <c r="AB667" s="104" t="s">
        <v>1425</v>
      </c>
      <c r="AC667" s="104"/>
      <c r="AD667" s="113">
        <f>S667-Y667</f>
        <v>0</v>
      </c>
    </row>
    <row r="668" spans="2:30" ht="45" hidden="1" customHeight="1">
      <c r="B668" s="174">
        <v>665</v>
      </c>
      <c r="C668" s="104" t="s">
        <v>70</v>
      </c>
      <c r="D668" s="104" t="s">
        <v>1437</v>
      </c>
      <c r="E668" s="104">
        <v>47787</v>
      </c>
      <c r="F668" s="104" t="s">
        <v>44</v>
      </c>
      <c r="G668" s="145" t="s">
        <v>1911</v>
      </c>
      <c r="H668" s="104">
        <v>2291</v>
      </c>
      <c r="I668" s="104">
        <v>242</v>
      </c>
      <c r="J668" s="104" t="s">
        <v>1430</v>
      </c>
      <c r="K668" s="104">
        <v>80043</v>
      </c>
      <c r="L668" s="104">
        <v>112534</v>
      </c>
      <c r="M668" s="104">
        <v>6</v>
      </c>
      <c r="N668" s="104"/>
      <c r="O668" s="104"/>
      <c r="P668" s="104">
        <v>4438627</v>
      </c>
      <c r="Q668" s="106">
        <v>46109</v>
      </c>
      <c r="R668" s="104">
        <v>4552201</v>
      </c>
      <c r="S668" s="160">
        <v>5292.6</v>
      </c>
      <c r="T668" s="199">
        <v>46113</v>
      </c>
      <c r="U668" s="145"/>
      <c r="V668" s="145"/>
      <c r="W668" s="145"/>
      <c r="X668" s="104"/>
      <c r="Y668" s="194"/>
      <c r="Z668" s="145"/>
      <c r="AA668" s="145"/>
      <c r="AB668" s="104" t="s">
        <v>66</v>
      </c>
      <c r="AC668" s="104"/>
      <c r="AD668" s="113">
        <f>S668-Y668</f>
        <v>5292.6</v>
      </c>
    </row>
    <row r="669" spans="2:30" ht="45" hidden="1" customHeight="1">
      <c r="B669" s="174">
        <v>666</v>
      </c>
      <c r="C669" s="104" t="s">
        <v>70</v>
      </c>
      <c r="D669" s="104" t="s">
        <v>1437</v>
      </c>
      <c r="E669" s="104">
        <v>46741</v>
      </c>
      <c r="F669" s="104" t="s">
        <v>44</v>
      </c>
      <c r="G669" s="145" t="s">
        <v>1912</v>
      </c>
      <c r="H669" s="104">
        <v>2283</v>
      </c>
      <c r="I669" s="104">
        <v>242</v>
      </c>
      <c r="J669" s="104" t="s">
        <v>1430</v>
      </c>
      <c r="K669" s="104">
        <v>80030</v>
      </c>
      <c r="L669" s="104">
        <v>112416</v>
      </c>
      <c r="M669" s="104">
        <v>6</v>
      </c>
      <c r="N669" s="104"/>
      <c r="O669" s="104"/>
      <c r="P669" s="104">
        <v>4438630</v>
      </c>
      <c r="Q669" s="106">
        <v>46109</v>
      </c>
      <c r="R669" s="104">
        <v>4552411</v>
      </c>
      <c r="S669" s="160">
        <v>5782.4</v>
      </c>
      <c r="T669" s="199">
        <v>46113</v>
      </c>
      <c r="U669" s="145"/>
      <c r="V669" s="145"/>
      <c r="W669" s="145"/>
      <c r="X669" s="104"/>
      <c r="Y669" s="194"/>
      <c r="Z669" s="145"/>
      <c r="AA669" s="145"/>
      <c r="AB669" s="104" t="s">
        <v>66</v>
      </c>
      <c r="AC669" s="104"/>
      <c r="AD669" s="113">
        <f>S669-Y669</f>
        <v>5782.4</v>
      </c>
    </row>
    <row r="670" spans="2:30" ht="45" hidden="1" customHeight="1">
      <c r="B670" s="174">
        <v>667</v>
      </c>
      <c r="C670" s="104" t="s">
        <v>70</v>
      </c>
      <c r="D670" s="104" t="s">
        <v>1437</v>
      </c>
      <c r="E670" s="104">
        <v>45643</v>
      </c>
      <c r="F670" s="104" t="s">
        <v>44</v>
      </c>
      <c r="G670" s="145" t="s">
        <v>1912</v>
      </c>
      <c r="H670" s="104">
        <v>2283</v>
      </c>
      <c r="I670" s="104">
        <v>242</v>
      </c>
      <c r="J670" s="104" t="s">
        <v>1430</v>
      </c>
      <c r="K670" s="104">
        <v>80023</v>
      </c>
      <c r="L670" s="104">
        <v>112415</v>
      </c>
      <c r="M670" s="104">
        <v>6</v>
      </c>
      <c r="N670" s="104"/>
      <c r="O670" s="104"/>
      <c r="P670" s="104">
        <v>4438633</v>
      </c>
      <c r="Q670" s="106">
        <v>46109</v>
      </c>
      <c r="R670" s="104">
        <v>4552207</v>
      </c>
      <c r="S670" s="160">
        <v>5797.1</v>
      </c>
      <c r="T670" s="199">
        <v>46113</v>
      </c>
      <c r="U670" s="145"/>
      <c r="V670" s="145"/>
      <c r="W670" s="145"/>
      <c r="X670" s="104"/>
      <c r="Y670" s="194"/>
      <c r="Z670" s="145"/>
      <c r="AA670" s="145"/>
      <c r="AB670" s="104" t="s">
        <v>66</v>
      </c>
      <c r="AC670" s="104"/>
      <c r="AD670" s="113">
        <f>S670-Y670</f>
        <v>5797.1</v>
      </c>
    </row>
    <row r="671" spans="2:30" ht="45" customHeight="1">
      <c r="B671" s="174">
        <v>668</v>
      </c>
      <c r="C671" s="104" t="s">
        <v>32</v>
      </c>
      <c r="D671" s="104" t="s">
        <v>1913</v>
      </c>
      <c r="E671" s="104">
        <v>47872</v>
      </c>
      <c r="F671" s="104" t="s">
        <v>35</v>
      </c>
      <c r="G671" s="145" t="s">
        <v>1914</v>
      </c>
      <c r="H671" s="104">
        <v>2224</v>
      </c>
      <c r="I671" s="104">
        <v>242</v>
      </c>
      <c r="J671" s="104" t="s">
        <v>1430</v>
      </c>
      <c r="K671" s="104">
        <v>1353</v>
      </c>
      <c r="L671" s="116" t="s">
        <v>1915</v>
      </c>
      <c r="M671" s="104">
        <v>8</v>
      </c>
      <c r="N671" s="104" t="s">
        <v>1916</v>
      </c>
      <c r="O671" s="104"/>
      <c r="P671" s="116" t="s">
        <v>1917</v>
      </c>
      <c r="Q671" s="106">
        <v>46109</v>
      </c>
      <c r="R671" s="104">
        <v>4552248</v>
      </c>
      <c r="S671" s="160">
        <v>1425</v>
      </c>
      <c r="T671" s="130">
        <v>46099</v>
      </c>
      <c r="U671" s="211" t="s">
        <v>1918</v>
      </c>
      <c r="V671" s="145"/>
      <c r="W671" s="145" t="s">
        <v>40</v>
      </c>
      <c r="X671" s="104" t="s">
        <v>90</v>
      </c>
      <c r="Y671" s="194">
        <v>1425</v>
      </c>
      <c r="Z671" s="273" t="s">
        <v>1902</v>
      </c>
      <c r="AA671" s="180">
        <v>46121</v>
      </c>
      <c r="AB671" s="104" t="s">
        <v>41</v>
      </c>
      <c r="AC671" s="104"/>
      <c r="AD671" s="113">
        <f>S671-Y671</f>
        <v>0</v>
      </c>
    </row>
    <row r="672" spans="2:30" ht="45" hidden="1" customHeight="1">
      <c r="B672" s="174">
        <v>669</v>
      </c>
      <c r="C672" s="104" t="s">
        <v>316</v>
      </c>
      <c r="D672" s="104" t="s">
        <v>1919</v>
      </c>
      <c r="E672" s="104">
        <v>46321</v>
      </c>
      <c r="F672" s="104" t="s">
        <v>44</v>
      </c>
      <c r="G672" s="145" t="s">
        <v>1920</v>
      </c>
      <c r="H672" s="104">
        <v>2437</v>
      </c>
      <c r="I672" s="104">
        <v>242</v>
      </c>
      <c r="J672" s="104" t="s">
        <v>1430</v>
      </c>
      <c r="K672" s="104">
        <v>311792</v>
      </c>
      <c r="L672" s="104">
        <v>110562</v>
      </c>
      <c r="M672" s="104">
        <v>6</v>
      </c>
      <c r="N672" s="104"/>
      <c r="O672" s="104"/>
      <c r="P672" s="104">
        <v>4438641</v>
      </c>
      <c r="Q672" s="106">
        <v>46109</v>
      </c>
      <c r="R672" s="104">
        <v>4554148</v>
      </c>
      <c r="S672" s="160">
        <v>5015.8900000000003</v>
      </c>
      <c r="T672" s="106">
        <v>46111</v>
      </c>
      <c r="U672" s="145"/>
      <c r="V672" s="145"/>
      <c r="W672" s="145"/>
      <c r="X672" s="104"/>
      <c r="Y672" s="194"/>
      <c r="Z672" s="145"/>
      <c r="AA672" s="145"/>
      <c r="AB672" s="104" t="s">
        <v>66</v>
      </c>
      <c r="AC672" s="104"/>
      <c r="AD672" s="113">
        <f>S672-Y672</f>
        <v>5015.8900000000003</v>
      </c>
    </row>
    <row r="673" spans="2:30" ht="45" hidden="1" customHeight="1">
      <c r="B673" s="174">
        <v>670</v>
      </c>
      <c r="C673" s="104" t="s">
        <v>95</v>
      </c>
      <c r="D673" s="104" t="s">
        <v>1921</v>
      </c>
      <c r="E673" s="104" t="s">
        <v>34</v>
      </c>
      <c r="F673" s="104" t="s">
        <v>44</v>
      </c>
      <c r="G673" s="145" t="s">
        <v>1922</v>
      </c>
      <c r="H673" s="104" t="s">
        <v>1458</v>
      </c>
      <c r="I673" s="104">
        <v>5</v>
      </c>
      <c r="J673" s="104" t="s">
        <v>1459</v>
      </c>
      <c r="K673" s="104" t="s">
        <v>1923</v>
      </c>
      <c r="L673" s="104">
        <v>114947</v>
      </c>
      <c r="M673" s="104">
        <v>1</v>
      </c>
      <c r="N673" s="104"/>
      <c r="O673" s="104"/>
      <c r="P673" s="104">
        <v>4443453</v>
      </c>
      <c r="Q673" s="106">
        <v>46113</v>
      </c>
      <c r="R673" s="104">
        <v>4555833</v>
      </c>
      <c r="S673" s="160">
        <v>45600</v>
      </c>
      <c r="T673" s="130">
        <v>46142</v>
      </c>
      <c r="U673" s="145">
        <v>817</v>
      </c>
      <c r="V673" s="145" t="s">
        <v>34</v>
      </c>
      <c r="W673" s="145" t="s">
        <v>48</v>
      </c>
      <c r="X673" s="104" t="s">
        <v>25</v>
      </c>
      <c r="Y673" s="194">
        <v>42900</v>
      </c>
      <c r="Z673" s="180">
        <v>46147</v>
      </c>
      <c r="AA673" s="180">
        <v>46148</v>
      </c>
      <c r="AB673" s="104" t="s">
        <v>41</v>
      </c>
      <c r="AC673" s="104"/>
      <c r="AD673" s="113" t="e">
        <f>#REF!-#REF!</f>
        <v>#REF!</v>
      </c>
    </row>
    <row r="674" spans="2:30" ht="45" hidden="1" customHeight="1">
      <c r="B674" s="174">
        <v>671</v>
      </c>
      <c r="C674" s="104" t="s">
        <v>282</v>
      </c>
      <c r="D674" s="104" t="s">
        <v>1924</v>
      </c>
      <c r="E674" s="104">
        <v>45902</v>
      </c>
      <c r="F674" s="104" t="s">
        <v>44</v>
      </c>
      <c r="G674" s="145" t="s">
        <v>1925</v>
      </c>
      <c r="H674" s="104">
        <v>1210</v>
      </c>
      <c r="I674" s="104">
        <v>242</v>
      </c>
      <c r="J674" s="104" t="s">
        <v>1118</v>
      </c>
      <c r="K674" s="104" t="s">
        <v>1926</v>
      </c>
      <c r="L674" s="104">
        <v>104873</v>
      </c>
      <c r="M674" s="104">
        <v>6</v>
      </c>
      <c r="N674" s="104" t="s">
        <v>34</v>
      </c>
      <c r="O674" s="104" t="s">
        <v>34</v>
      </c>
      <c r="P674" s="104">
        <v>4443838</v>
      </c>
      <c r="Q674" s="130">
        <v>46113</v>
      </c>
      <c r="R674" s="104">
        <v>4554790</v>
      </c>
      <c r="S674" s="160">
        <v>31114.6</v>
      </c>
      <c r="T674" s="130">
        <v>46132</v>
      </c>
      <c r="U674" s="145">
        <v>3092</v>
      </c>
      <c r="V674" s="145" t="s">
        <v>34</v>
      </c>
      <c r="W674" s="145" t="s">
        <v>48</v>
      </c>
      <c r="X674" s="104" t="s">
        <v>94</v>
      </c>
      <c r="Y674" s="194">
        <v>3114.6</v>
      </c>
      <c r="Z674" s="180">
        <v>46146</v>
      </c>
      <c r="AA674" s="145"/>
      <c r="AB674" s="104" t="s">
        <v>1425</v>
      </c>
      <c r="AC674" s="104" t="s">
        <v>132</v>
      </c>
      <c r="AD674" s="113">
        <f>S674-Y674</f>
        <v>28000</v>
      </c>
    </row>
    <row r="675" spans="2:30" ht="45" hidden="1" customHeight="1">
      <c r="B675" s="174">
        <v>672</v>
      </c>
      <c r="C675" s="104" t="s">
        <v>80</v>
      </c>
      <c r="D675" s="104" t="s">
        <v>195</v>
      </c>
      <c r="E675" s="104"/>
      <c r="F675" s="104" t="s">
        <v>44</v>
      </c>
      <c r="G675" s="145" t="s">
        <v>1927</v>
      </c>
      <c r="H675" s="104">
        <v>2101</v>
      </c>
      <c r="I675" s="104">
        <v>242</v>
      </c>
      <c r="J675" s="104" t="s">
        <v>1118</v>
      </c>
      <c r="K675" s="104" t="s">
        <v>1928</v>
      </c>
      <c r="L675" s="104">
        <v>115150</v>
      </c>
      <c r="M675" s="104">
        <v>29</v>
      </c>
      <c r="N675" s="104" t="s">
        <v>34</v>
      </c>
      <c r="O675" s="104" t="s">
        <v>34</v>
      </c>
      <c r="P675" s="104">
        <v>4444505</v>
      </c>
      <c r="Q675" s="130">
        <v>46113</v>
      </c>
      <c r="R675" s="104">
        <v>4556037</v>
      </c>
      <c r="S675" s="160">
        <v>2500</v>
      </c>
      <c r="T675" s="104" t="s">
        <v>34</v>
      </c>
      <c r="U675" s="145">
        <v>284</v>
      </c>
      <c r="V675" s="145" t="s">
        <v>34</v>
      </c>
      <c r="W675" s="145" t="s">
        <v>48</v>
      </c>
      <c r="X675" s="104" t="s">
        <v>25</v>
      </c>
      <c r="Y675" s="194">
        <v>2500</v>
      </c>
      <c r="Z675" s="195">
        <v>46127</v>
      </c>
      <c r="AA675" s="195">
        <v>46137</v>
      </c>
      <c r="AB675" s="104" t="s">
        <v>41</v>
      </c>
      <c r="AC675" s="104"/>
      <c r="AD675" s="113">
        <f>S675-Y675</f>
        <v>0</v>
      </c>
    </row>
    <row r="676" spans="2:30" ht="45" hidden="1" customHeight="1">
      <c r="B676" s="174">
        <v>673</v>
      </c>
      <c r="C676" s="104" t="s">
        <v>80</v>
      </c>
      <c r="D676" s="104" t="s">
        <v>916</v>
      </c>
      <c r="E676" s="104">
        <v>48130</v>
      </c>
      <c r="F676" s="104" t="s">
        <v>44</v>
      </c>
      <c r="G676" s="145" t="s">
        <v>1929</v>
      </c>
      <c r="H676" s="104">
        <v>1228</v>
      </c>
      <c r="I676" s="104">
        <v>242</v>
      </c>
      <c r="J676" s="104" t="s">
        <v>1118</v>
      </c>
      <c r="K676" s="104" t="s">
        <v>1930</v>
      </c>
      <c r="L676" s="104">
        <v>114143</v>
      </c>
      <c r="M676" s="104">
        <v>2</v>
      </c>
      <c r="N676" s="104" t="s">
        <v>1931</v>
      </c>
      <c r="O676" s="104" t="s">
        <v>34</v>
      </c>
      <c r="P676" s="104">
        <v>4444748</v>
      </c>
      <c r="Q676" s="106">
        <v>46113</v>
      </c>
      <c r="R676" s="104">
        <v>4547666</v>
      </c>
      <c r="S676" s="160">
        <v>6800</v>
      </c>
      <c r="T676" s="104"/>
      <c r="U676" s="104">
        <v>292</v>
      </c>
      <c r="V676" s="145"/>
      <c r="W676" s="145" t="s">
        <v>1932</v>
      </c>
      <c r="X676" s="104" t="s">
        <v>94</v>
      </c>
      <c r="Y676" s="218">
        <v>6800</v>
      </c>
      <c r="Z676" s="195">
        <v>46119</v>
      </c>
      <c r="AA676" s="145">
        <v>10042026</v>
      </c>
      <c r="AB676" s="104" t="s">
        <v>41</v>
      </c>
      <c r="AC676" s="104"/>
      <c r="AD676" s="113">
        <f>S675-Y675</f>
        <v>0</v>
      </c>
    </row>
    <row r="677" spans="2:30" ht="45" hidden="1" customHeight="1">
      <c r="B677" s="174">
        <v>674</v>
      </c>
      <c r="C677" s="104" t="s">
        <v>282</v>
      </c>
      <c r="D677" s="104" t="s">
        <v>250</v>
      </c>
      <c r="E677" s="104">
        <v>46712</v>
      </c>
      <c r="F677" s="104" t="s">
        <v>44</v>
      </c>
      <c r="G677" s="145" t="s">
        <v>1933</v>
      </c>
      <c r="H677" s="104">
        <v>1236</v>
      </c>
      <c r="I677" s="104">
        <v>242</v>
      </c>
      <c r="J677" s="104" t="s">
        <v>1118</v>
      </c>
      <c r="K677" s="104" t="s">
        <v>1934</v>
      </c>
      <c r="L677" s="104">
        <v>108074</v>
      </c>
      <c r="M677" s="104">
        <v>6</v>
      </c>
      <c r="N677" s="104" t="s">
        <v>34</v>
      </c>
      <c r="O677" s="104" t="s">
        <v>34</v>
      </c>
      <c r="P677" s="119" t="s">
        <v>1935</v>
      </c>
      <c r="Q677" s="130">
        <v>46113</v>
      </c>
      <c r="R677" s="104">
        <v>4557177</v>
      </c>
      <c r="S677" s="160">
        <v>2980</v>
      </c>
      <c r="T677" s="104"/>
      <c r="U677" s="145"/>
      <c r="V677" s="145"/>
      <c r="W677" s="145"/>
      <c r="X677" s="104"/>
      <c r="Y677" s="194"/>
      <c r="Z677" s="145"/>
      <c r="AA677" s="145"/>
      <c r="AB677" s="104" t="s">
        <v>66</v>
      </c>
      <c r="AC677" s="104"/>
      <c r="AD677" s="113">
        <f>S676-Y676</f>
        <v>0</v>
      </c>
    </row>
    <row r="678" spans="2:30" ht="45" hidden="1" customHeight="1">
      <c r="B678" s="174">
        <v>675</v>
      </c>
      <c r="C678" s="104" t="s">
        <v>282</v>
      </c>
      <c r="D678" s="104" t="s">
        <v>687</v>
      </c>
      <c r="E678" s="104" t="s">
        <v>34</v>
      </c>
      <c r="F678" s="104" t="s">
        <v>44</v>
      </c>
      <c r="G678" s="145" t="s">
        <v>1936</v>
      </c>
      <c r="H678" s="104">
        <v>1210</v>
      </c>
      <c r="I678" s="104">
        <v>242</v>
      </c>
      <c r="J678" s="104" t="s">
        <v>1118</v>
      </c>
      <c r="K678" s="104" t="s">
        <v>1937</v>
      </c>
      <c r="L678" s="104">
        <v>114401</v>
      </c>
      <c r="M678" s="104">
        <v>29</v>
      </c>
      <c r="N678" s="104" t="s">
        <v>1938</v>
      </c>
      <c r="O678" s="104" t="s">
        <v>34</v>
      </c>
      <c r="P678" s="104"/>
      <c r="Q678" s="104"/>
      <c r="R678" s="104"/>
      <c r="S678" s="160">
        <v>25614</v>
      </c>
      <c r="T678" s="130">
        <v>46132</v>
      </c>
      <c r="U678" s="145"/>
      <c r="V678" s="145"/>
      <c r="W678" s="145"/>
      <c r="X678" s="104"/>
      <c r="Y678" s="194"/>
      <c r="Z678" s="145"/>
      <c r="AA678" s="145"/>
      <c r="AB678" s="104" t="s">
        <v>1939</v>
      </c>
      <c r="AC678" s="104"/>
      <c r="AD678" s="113">
        <f>S677-Y677</f>
        <v>2980</v>
      </c>
    </row>
    <row r="679" spans="2:30" ht="45" hidden="1" customHeight="1">
      <c r="B679" s="174">
        <v>676</v>
      </c>
      <c r="C679" s="104" t="s">
        <v>282</v>
      </c>
      <c r="D679" s="104" t="s">
        <v>1443</v>
      </c>
      <c r="E679" s="104">
        <v>48309</v>
      </c>
      <c r="F679" s="104" t="s">
        <v>35</v>
      </c>
      <c r="G679" s="145" t="s">
        <v>1940</v>
      </c>
      <c r="H679" s="104">
        <v>1210</v>
      </c>
      <c r="I679" s="104">
        <v>242</v>
      </c>
      <c r="J679" s="104" t="s">
        <v>1118</v>
      </c>
      <c r="K679" s="104" t="s">
        <v>1941</v>
      </c>
      <c r="L679" s="104">
        <v>113471</v>
      </c>
      <c r="M679" s="104">
        <v>6</v>
      </c>
      <c r="N679" s="104" t="s">
        <v>34</v>
      </c>
      <c r="O679" s="104" t="s">
        <v>34</v>
      </c>
      <c r="P679" s="104">
        <v>4444855</v>
      </c>
      <c r="Q679" s="130">
        <v>46113</v>
      </c>
      <c r="R679" s="104">
        <v>4555634</v>
      </c>
      <c r="S679" s="160">
        <v>825</v>
      </c>
      <c r="T679" s="130">
        <v>46125</v>
      </c>
      <c r="U679" s="211" t="s">
        <v>1942</v>
      </c>
      <c r="V679" s="145" t="s">
        <v>34</v>
      </c>
      <c r="W679" s="145" t="s">
        <v>48</v>
      </c>
      <c r="X679" s="104" t="s">
        <v>94</v>
      </c>
      <c r="Y679" s="194">
        <v>825</v>
      </c>
      <c r="Z679" s="241" t="s">
        <v>1943</v>
      </c>
      <c r="AA679" s="195">
        <v>46132</v>
      </c>
      <c r="AB679" s="104" t="s">
        <v>41</v>
      </c>
      <c r="AC679" s="104"/>
      <c r="AD679" s="113">
        <f>S679-Y679</f>
        <v>0</v>
      </c>
    </row>
    <row r="680" spans="2:30" ht="45" hidden="1" customHeight="1">
      <c r="B680" s="174">
        <v>677</v>
      </c>
      <c r="C680" s="104" t="s">
        <v>291</v>
      </c>
      <c r="D680" s="104" t="s">
        <v>1162</v>
      </c>
      <c r="E680" s="104">
        <v>44893</v>
      </c>
      <c r="F680" s="104" t="s">
        <v>44</v>
      </c>
      <c r="G680" s="145" t="s">
        <v>1764</v>
      </c>
      <c r="H680" s="104">
        <v>2488</v>
      </c>
      <c r="I680" s="104">
        <v>242</v>
      </c>
      <c r="J680" s="104" t="s">
        <v>1430</v>
      </c>
      <c r="K680" s="104">
        <v>95531</v>
      </c>
      <c r="L680" s="104">
        <v>110156</v>
      </c>
      <c r="M680" s="104">
        <v>6</v>
      </c>
      <c r="N680" s="104"/>
      <c r="O680" s="104"/>
      <c r="P680" s="104">
        <v>4420352</v>
      </c>
      <c r="Q680" s="106">
        <v>46093</v>
      </c>
      <c r="R680" s="104">
        <v>4531524</v>
      </c>
      <c r="S680" s="160">
        <f>AD606</f>
        <v>6984</v>
      </c>
      <c r="T680" s="106">
        <v>46112</v>
      </c>
      <c r="U680" s="145">
        <v>20464</v>
      </c>
      <c r="V680" s="145" t="s">
        <v>34</v>
      </c>
      <c r="W680" s="145" t="s">
        <v>48</v>
      </c>
      <c r="X680" s="104" t="s">
        <v>94</v>
      </c>
      <c r="Y680" s="194">
        <v>6984</v>
      </c>
      <c r="Z680" s="195">
        <v>46113</v>
      </c>
      <c r="AA680" s="195">
        <v>46119</v>
      </c>
      <c r="AB680" s="104" t="s">
        <v>41</v>
      </c>
      <c r="AC680" s="104"/>
      <c r="AD680" s="113"/>
    </row>
    <row r="681" spans="2:30" ht="45" hidden="1" customHeight="1">
      <c r="B681" s="174">
        <v>678</v>
      </c>
      <c r="C681" s="104" t="s">
        <v>137</v>
      </c>
      <c r="D681" s="104" t="s">
        <v>1383</v>
      </c>
      <c r="E681" s="104" t="s">
        <v>34</v>
      </c>
      <c r="F681" s="104" t="s">
        <v>44</v>
      </c>
      <c r="G681" s="145" t="s">
        <v>1384</v>
      </c>
      <c r="H681" s="104" t="s">
        <v>679</v>
      </c>
      <c r="I681" s="104">
        <v>5</v>
      </c>
      <c r="J681" s="104" t="s">
        <v>1118</v>
      </c>
      <c r="K681" s="104" t="s">
        <v>709</v>
      </c>
      <c r="L681" s="104">
        <v>100942</v>
      </c>
      <c r="M681" s="104">
        <v>1</v>
      </c>
      <c r="N681" s="104" t="s">
        <v>34</v>
      </c>
      <c r="O681" s="104" t="s">
        <v>34</v>
      </c>
      <c r="P681" s="104">
        <v>4369660</v>
      </c>
      <c r="Q681" s="106">
        <v>46045</v>
      </c>
      <c r="R681" s="104">
        <v>4489681</v>
      </c>
      <c r="S681" s="160">
        <f>AD444</f>
        <v>20875</v>
      </c>
      <c r="T681" s="108">
        <v>46023</v>
      </c>
      <c r="U681" s="104">
        <v>20460</v>
      </c>
      <c r="V681" s="104" t="s">
        <v>34</v>
      </c>
      <c r="W681" s="104" t="s">
        <v>48</v>
      </c>
      <c r="X681" s="104" t="s">
        <v>94</v>
      </c>
      <c r="Y681" s="216">
        <v>20875</v>
      </c>
      <c r="Z681" s="106">
        <v>46113</v>
      </c>
      <c r="AA681" s="106">
        <v>46119</v>
      </c>
      <c r="AB681" s="104" t="s">
        <v>41</v>
      </c>
      <c r="AC681" s="104"/>
      <c r="AD681" s="113">
        <f>S681-Y681</f>
        <v>0</v>
      </c>
    </row>
    <row r="682" spans="2:30" ht="45" hidden="1" customHeight="1">
      <c r="B682" s="174">
        <v>679</v>
      </c>
      <c r="C682" s="104" t="s">
        <v>291</v>
      </c>
      <c r="D682" s="104" t="s">
        <v>1913</v>
      </c>
      <c r="E682" s="104">
        <v>48442</v>
      </c>
      <c r="F682" s="104" t="s">
        <v>35</v>
      </c>
      <c r="G682" s="145" t="s">
        <v>1944</v>
      </c>
      <c r="H682" s="104">
        <v>2313</v>
      </c>
      <c r="I682" s="104">
        <v>242</v>
      </c>
      <c r="J682" s="104" t="s">
        <v>1430</v>
      </c>
      <c r="K682" s="104">
        <v>1400</v>
      </c>
      <c r="L682" s="104">
        <v>114847</v>
      </c>
      <c r="M682" s="104">
        <v>5</v>
      </c>
      <c r="N682" s="104" t="s">
        <v>1945</v>
      </c>
      <c r="O682" s="104"/>
      <c r="P682" s="104">
        <v>4445766</v>
      </c>
      <c r="Q682" s="106">
        <v>46114</v>
      </c>
      <c r="R682" s="104">
        <v>4554527</v>
      </c>
      <c r="S682" s="160">
        <v>1895</v>
      </c>
      <c r="T682" s="199">
        <v>46113</v>
      </c>
      <c r="U682" s="244" t="s">
        <v>1946</v>
      </c>
      <c r="V682" s="145"/>
      <c r="W682" s="145" t="s">
        <v>48</v>
      </c>
      <c r="X682" s="162" t="s">
        <v>508</v>
      </c>
      <c r="Y682" s="194">
        <v>1895</v>
      </c>
      <c r="Z682" s="245" t="s">
        <v>1943</v>
      </c>
      <c r="AA682" s="245" t="s">
        <v>754</v>
      </c>
      <c r="AB682" s="104" t="s">
        <v>41</v>
      </c>
      <c r="AC682" s="104"/>
      <c r="AD682" s="113">
        <f>S682-Y682</f>
        <v>0</v>
      </c>
    </row>
    <row r="683" spans="2:30" ht="45" hidden="1" customHeight="1">
      <c r="B683" s="174">
        <v>680</v>
      </c>
      <c r="C683" s="104" t="s">
        <v>183</v>
      </c>
      <c r="D683" s="104" t="s">
        <v>192</v>
      </c>
      <c r="E683" s="104"/>
      <c r="F683" s="104" t="s">
        <v>35</v>
      </c>
      <c r="G683" s="145" t="s">
        <v>1947</v>
      </c>
      <c r="H683" s="104">
        <v>2496</v>
      </c>
      <c r="I683" s="104">
        <v>242</v>
      </c>
      <c r="J683" s="104" t="s">
        <v>1430</v>
      </c>
      <c r="K683" s="104">
        <v>1378</v>
      </c>
      <c r="L683" s="104">
        <v>114702</v>
      </c>
      <c r="M683" s="104">
        <v>5</v>
      </c>
      <c r="N683" s="104" t="s">
        <v>1948</v>
      </c>
      <c r="O683" s="104"/>
      <c r="P683" s="104">
        <v>4445778</v>
      </c>
      <c r="Q683" s="106">
        <v>46114</v>
      </c>
      <c r="R683" s="104">
        <v>4555924</v>
      </c>
      <c r="S683" s="160">
        <v>3376</v>
      </c>
      <c r="T683" s="199">
        <v>46113</v>
      </c>
      <c r="U683" s="244" t="s">
        <v>1949</v>
      </c>
      <c r="V683" s="145"/>
      <c r="W683" s="145" t="s">
        <v>1091</v>
      </c>
      <c r="X683" s="104" t="s">
        <v>94</v>
      </c>
      <c r="Y683" s="194">
        <v>3376</v>
      </c>
      <c r="Z683" s="245" t="s">
        <v>1943</v>
      </c>
      <c r="AA683" s="245" t="s">
        <v>1950</v>
      </c>
      <c r="AB683" s="104" t="s">
        <v>41</v>
      </c>
      <c r="AC683" s="104"/>
      <c r="AD683" s="113">
        <f>S683-Y683</f>
        <v>0</v>
      </c>
    </row>
    <row r="684" spans="2:30" ht="45" hidden="1" customHeight="1">
      <c r="B684" s="174">
        <v>681</v>
      </c>
      <c r="C684" s="104" t="s">
        <v>316</v>
      </c>
      <c r="D684" s="104" t="s">
        <v>575</v>
      </c>
      <c r="E684" s="104">
        <v>45052</v>
      </c>
      <c r="F684" s="104" t="s">
        <v>44</v>
      </c>
      <c r="G684" s="145" t="s">
        <v>1951</v>
      </c>
      <c r="H684" s="104">
        <v>5345</v>
      </c>
      <c r="I684" s="104">
        <v>242</v>
      </c>
      <c r="J684" s="104" t="s">
        <v>1430</v>
      </c>
      <c r="K684" s="104">
        <v>12</v>
      </c>
      <c r="L684" s="104">
        <v>112375</v>
      </c>
      <c r="M684" s="104">
        <v>6</v>
      </c>
      <c r="N684" s="104"/>
      <c r="O684" s="104"/>
      <c r="P684" s="104">
        <v>4445795</v>
      </c>
      <c r="Q684" s="106">
        <v>46114</v>
      </c>
      <c r="R684" s="104">
        <v>4555845</v>
      </c>
      <c r="S684" s="160">
        <v>7178.9</v>
      </c>
      <c r="T684" s="106">
        <v>46111</v>
      </c>
      <c r="U684" s="145"/>
      <c r="V684" s="145"/>
      <c r="W684" s="145"/>
      <c r="X684" s="104"/>
      <c r="Y684" s="194"/>
      <c r="Z684" s="145"/>
      <c r="AA684" s="145"/>
      <c r="AB684" s="104" t="s">
        <v>66</v>
      </c>
      <c r="AC684" s="104"/>
      <c r="AD684" s="113">
        <f>S684-Y684</f>
        <v>7178.9</v>
      </c>
    </row>
    <row r="685" spans="2:30" ht="45" hidden="1" customHeight="1">
      <c r="B685" s="174">
        <v>682</v>
      </c>
      <c r="C685" s="104" t="s">
        <v>316</v>
      </c>
      <c r="D685" s="104" t="s">
        <v>575</v>
      </c>
      <c r="E685" s="104">
        <v>47120</v>
      </c>
      <c r="F685" s="104" t="s">
        <v>44</v>
      </c>
      <c r="G685" s="145" t="s">
        <v>1952</v>
      </c>
      <c r="H685" s="104">
        <v>5345</v>
      </c>
      <c r="I685" s="104">
        <v>242</v>
      </c>
      <c r="J685" s="104" t="s">
        <v>1430</v>
      </c>
      <c r="K685" s="104">
        <v>13</v>
      </c>
      <c r="L685" s="104">
        <v>112376</v>
      </c>
      <c r="M685" s="104">
        <v>6</v>
      </c>
      <c r="N685" s="104"/>
      <c r="O685" s="104"/>
      <c r="P685" s="104">
        <v>4445831</v>
      </c>
      <c r="Q685" s="106">
        <v>46114</v>
      </c>
      <c r="R685" s="104">
        <v>4555846</v>
      </c>
      <c r="S685" s="160">
        <v>9890.9</v>
      </c>
      <c r="T685" s="106">
        <v>46111</v>
      </c>
      <c r="U685" s="145"/>
      <c r="V685" s="145"/>
      <c r="W685" s="145"/>
      <c r="X685" s="104"/>
      <c r="Y685" s="194"/>
      <c r="Z685" s="145"/>
      <c r="AA685" s="145"/>
      <c r="AB685" s="104" t="s">
        <v>66</v>
      </c>
      <c r="AC685" s="104"/>
      <c r="AD685" s="113">
        <f>S685-Y685</f>
        <v>9890.9</v>
      </c>
    </row>
    <row r="686" spans="2:30" ht="45" hidden="1" customHeight="1">
      <c r="B686" s="174">
        <v>683</v>
      </c>
      <c r="C686" s="104" t="s">
        <v>316</v>
      </c>
      <c r="D686" s="104" t="s">
        <v>575</v>
      </c>
      <c r="E686" s="104">
        <v>47676</v>
      </c>
      <c r="F686" s="104" t="s">
        <v>35</v>
      </c>
      <c r="G686" s="145" t="s">
        <v>1953</v>
      </c>
      <c r="H686" s="104">
        <v>2470</v>
      </c>
      <c r="I686" s="104">
        <v>242</v>
      </c>
      <c r="J686" s="104" t="s">
        <v>1430</v>
      </c>
      <c r="K686" s="104">
        <v>14</v>
      </c>
      <c r="L686" s="104">
        <v>112374</v>
      </c>
      <c r="M686" s="104">
        <v>6</v>
      </c>
      <c r="N686" s="104"/>
      <c r="O686" s="104"/>
      <c r="P686" s="104">
        <v>4445841</v>
      </c>
      <c r="Q686" s="106">
        <v>46114</v>
      </c>
      <c r="R686" s="104">
        <v>4555824</v>
      </c>
      <c r="S686" s="160">
        <v>7818</v>
      </c>
      <c r="T686" s="106">
        <v>46111</v>
      </c>
      <c r="U686" s="104">
        <v>1881</v>
      </c>
      <c r="V686" s="145"/>
      <c r="W686" s="104" t="s">
        <v>1091</v>
      </c>
      <c r="X686" s="104" t="s">
        <v>25</v>
      </c>
      <c r="Y686" s="194">
        <v>7818.8</v>
      </c>
      <c r="Z686" s="180">
        <v>46134</v>
      </c>
      <c r="AA686" s="180">
        <v>46142</v>
      </c>
      <c r="AB686" s="104" t="s">
        <v>41</v>
      </c>
      <c r="AC686" s="104"/>
      <c r="AD686" s="113">
        <f>S686-Y686</f>
        <v>-0.8000000000001819</v>
      </c>
    </row>
    <row r="687" spans="2:30" ht="45" hidden="1" customHeight="1">
      <c r="B687" s="174">
        <v>684</v>
      </c>
      <c r="C687" s="104" t="s">
        <v>183</v>
      </c>
      <c r="D687" s="104" t="s">
        <v>1954</v>
      </c>
      <c r="E687" s="104">
        <v>47585</v>
      </c>
      <c r="F687" s="104" t="s">
        <v>44</v>
      </c>
      <c r="G687" s="145" t="s">
        <v>1955</v>
      </c>
      <c r="H687" s="104">
        <v>2224</v>
      </c>
      <c r="I687" s="104">
        <v>242</v>
      </c>
      <c r="J687" s="104" t="s">
        <v>1430</v>
      </c>
      <c r="K687" s="104">
        <v>511</v>
      </c>
      <c r="L687" s="104">
        <v>115820</v>
      </c>
      <c r="M687" s="104">
        <v>6</v>
      </c>
      <c r="N687" s="104"/>
      <c r="O687" s="104"/>
      <c r="P687" s="104">
        <v>4447034</v>
      </c>
      <c r="Q687" s="106">
        <v>46118</v>
      </c>
      <c r="R687" s="104">
        <v>4557231</v>
      </c>
      <c r="S687" s="160">
        <v>6655</v>
      </c>
      <c r="T687" s="199">
        <v>46113</v>
      </c>
      <c r="U687" s="104">
        <v>3366</v>
      </c>
      <c r="V687" s="145"/>
      <c r="W687" s="104" t="s">
        <v>48</v>
      </c>
      <c r="X687" s="104" t="s">
        <v>25</v>
      </c>
      <c r="Y687" s="194">
        <v>6322.25</v>
      </c>
      <c r="Z687" s="195">
        <v>46127</v>
      </c>
      <c r="AA687" s="180">
        <v>46139</v>
      </c>
      <c r="AB687" s="104" t="s">
        <v>41</v>
      </c>
      <c r="AC687" s="104"/>
      <c r="AD687" s="113">
        <f>S687-Y687</f>
        <v>332.75</v>
      </c>
    </row>
    <row r="688" spans="2:30" ht="45" hidden="1" customHeight="1">
      <c r="B688" s="174">
        <v>685</v>
      </c>
      <c r="C688" s="104" t="s">
        <v>32</v>
      </c>
      <c r="D688" s="104" t="s">
        <v>1543</v>
      </c>
      <c r="E688" s="104">
        <v>47684</v>
      </c>
      <c r="F688" s="104" t="s">
        <v>35</v>
      </c>
      <c r="G688" s="145" t="s">
        <v>1956</v>
      </c>
      <c r="H688" s="104">
        <v>2488</v>
      </c>
      <c r="I688" s="104">
        <v>242</v>
      </c>
      <c r="J688" s="104" t="s">
        <v>1430</v>
      </c>
      <c r="K688" s="104">
        <v>1345</v>
      </c>
      <c r="L688" s="104">
        <v>112324</v>
      </c>
      <c r="M688" s="104">
        <v>5</v>
      </c>
      <c r="N688" s="104" t="s">
        <v>1957</v>
      </c>
      <c r="O688" s="104"/>
      <c r="P688" s="104">
        <v>4447040</v>
      </c>
      <c r="Q688" s="106">
        <v>46118</v>
      </c>
      <c r="R688" s="104">
        <v>4560085</v>
      </c>
      <c r="S688" s="160">
        <v>850</v>
      </c>
      <c r="T688" s="199">
        <v>46113</v>
      </c>
      <c r="U688" s="104">
        <v>953</v>
      </c>
      <c r="V688" s="145"/>
      <c r="W688" s="104" t="s">
        <v>48</v>
      </c>
      <c r="X688" s="104" t="s">
        <v>1958</v>
      </c>
      <c r="Y688" s="194">
        <v>850</v>
      </c>
      <c r="Z688" s="180">
        <v>46129</v>
      </c>
      <c r="AA688" s="180">
        <v>46142</v>
      </c>
      <c r="AB688" s="104" t="s">
        <v>41</v>
      </c>
      <c r="AC688" s="104" t="s">
        <v>1174</v>
      </c>
      <c r="AD688" s="113">
        <f>S688-Y688</f>
        <v>0</v>
      </c>
    </row>
    <row r="689" spans="2:30" ht="45" hidden="1" customHeight="1">
      <c r="B689" s="174">
        <v>686</v>
      </c>
      <c r="C689" s="104" t="s">
        <v>95</v>
      </c>
      <c r="D689" s="104" t="s">
        <v>192</v>
      </c>
      <c r="E689" s="104">
        <v>48385</v>
      </c>
      <c r="F689" s="104" t="s">
        <v>44</v>
      </c>
      <c r="G689" s="145" t="s">
        <v>1959</v>
      </c>
      <c r="H689" s="104">
        <v>2488</v>
      </c>
      <c r="I689" s="104">
        <v>242</v>
      </c>
      <c r="J689" s="104" t="s">
        <v>224</v>
      </c>
      <c r="K689" s="104" t="s">
        <v>1960</v>
      </c>
      <c r="L689" s="104">
        <v>114384</v>
      </c>
      <c r="M689" s="104">
        <v>6</v>
      </c>
      <c r="N689" s="104"/>
      <c r="O689" s="104"/>
      <c r="P689" s="104">
        <v>4439010</v>
      </c>
      <c r="Q689" s="130">
        <v>46111</v>
      </c>
      <c r="R689" s="104">
        <v>4550096</v>
      </c>
      <c r="S689" s="160">
        <v>1920</v>
      </c>
      <c r="T689" s="104" t="s">
        <v>34</v>
      </c>
      <c r="U689" s="116" t="s">
        <v>1961</v>
      </c>
      <c r="V689" s="145" t="s">
        <v>34</v>
      </c>
      <c r="W689" s="145" t="s">
        <v>40</v>
      </c>
      <c r="X689" s="104" t="s">
        <v>44</v>
      </c>
      <c r="Y689" s="218">
        <v>1920</v>
      </c>
      <c r="Z689" s="195">
        <v>46139</v>
      </c>
      <c r="AA689" s="195">
        <v>46139</v>
      </c>
      <c r="AB689" s="104" t="s">
        <v>41</v>
      </c>
      <c r="AC689" s="104"/>
      <c r="AD689" s="113">
        <f>S689-Y689</f>
        <v>0</v>
      </c>
    </row>
    <row r="690" spans="2:30" ht="45" hidden="1" customHeight="1">
      <c r="B690" s="174">
        <v>687</v>
      </c>
      <c r="C690" s="104" t="s">
        <v>80</v>
      </c>
      <c r="D690" s="104" t="s">
        <v>192</v>
      </c>
      <c r="E690" s="104" t="s">
        <v>1962</v>
      </c>
      <c r="F690" s="104" t="s">
        <v>44</v>
      </c>
      <c r="G690" s="145" t="s">
        <v>1963</v>
      </c>
      <c r="H690" s="104">
        <v>2330</v>
      </c>
      <c r="I690" s="104">
        <v>242</v>
      </c>
      <c r="J690" s="104" t="s">
        <v>1118</v>
      </c>
      <c r="K690" s="104" t="s">
        <v>1964</v>
      </c>
      <c r="L690" s="104">
        <v>115150</v>
      </c>
      <c r="M690" s="104">
        <v>5</v>
      </c>
      <c r="N690" s="104" t="s">
        <v>34</v>
      </c>
      <c r="O690" s="104" t="s">
        <v>34</v>
      </c>
      <c r="P690" s="104">
        <v>4449656</v>
      </c>
      <c r="Q690" s="106">
        <v>46119</v>
      </c>
      <c r="R690" s="104">
        <v>4557216</v>
      </c>
      <c r="S690" s="160">
        <v>3380</v>
      </c>
      <c r="T690" s="199">
        <v>46113</v>
      </c>
      <c r="U690" s="211" t="s">
        <v>1965</v>
      </c>
      <c r="V690" s="145" t="s">
        <v>34</v>
      </c>
      <c r="W690" s="145" t="s">
        <v>48</v>
      </c>
      <c r="X690" s="104" t="s">
        <v>131</v>
      </c>
      <c r="Y690" s="194">
        <v>3380</v>
      </c>
      <c r="Z690" s="241" t="s">
        <v>753</v>
      </c>
      <c r="AA690" s="242" t="s">
        <v>1966</v>
      </c>
      <c r="AB690" s="104" t="s">
        <v>41</v>
      </c>
      <c r="AC690" s="104"/>
      <c r="AD690" s="113" t="e">
        <f>#REF!-#REF!</f>
        <v>#REF!</v>
      </c>
    </row>
    <row r="691" spans="2:30" ht="45" hidden="1" customHeight="1">
      <c r="B691" s="174">
        <v>688</v>
      </c>
      <c r="C691" s="104" t="s">
        <v>282</v>
      </c>
      <c r="D691" s="104" t="s">
        <v>1967</v>
      </c>
      <c r="E691" s="104" t="s">
        <v>34</v>
      </c>
      <c r="F691" s="104" t="s">
        <v>44</v>
      </c>
      <c r="G691" s="145" t="s">
        <v>1968</v>
      </c>
      <c r="H691" s="104">
        <v>1236</v>
      </c>
      <c r="I691" s="104">
        <v>242</v>
      </c>
      <c r="J691" s="104" t="s">
        <v>1118</v>
      </c>
      <c r="K691" s="104" t="s">
        <v>1969</v>
      </c>
      <c r="L691" s="104">
        <v>116305</v>
      </c>
      <c r="M691" s="104">
        <v>1</v>
      </c>
      <c r="N691" s="104" t="s">
        <v>34</v>
      </c>
      <c r="O691" s="104" t="s">
        <v>34</v>
      </c>
      <c r="P691" s="104">
        <v>4451570</v>
      </c>
      <c r="Q691" s="130">
        <v>46121</v>
      </c>
      <c r="R691" s="104">
        <v>4563125</v>
      </c>
      <c r="S691" s="160" t="s">
        <v>479</v>
      </c>
      <c r="T691" s="104"/>
      <c r="U691" s="145"/>
      <c r="V691" s="145"/>
      <c r="W691" s="145"/>
      <c r="X691" s="104"/>
      <c r="Y691" s="194"/>
      <c r="Z691" s="145"/>
      <c r="AA691" s="145"/>
      <c r="AB691" s="104" t="s">
        <v>66</v>
      </c>
      <c r="AC691" s="104"/>
      <c r="AD691" s="113">
        <f>S690-Y690</f>
        <v>0</v>
      </c>
    </row>
    <row r="692" spans="2:30" ht="45" hidden="1" customHeight="1">
      <c r="B692" s="174">
        <v>689</v>
      </c>
      <c r="C692" s="104" t="s">
        <v>1970</v>
      </c>
      <c r="D692" s="104" t="s">
        <v>33</v>
      </c>
      <c r="E692" s="104">
        <v>48779</v>
      </c>
      <c r="F692" s="104" t="s">
        <v>35</v>
      </c>
      <c r="G692" s="145" t="s">
        <v>1971</v>
      </c>
      <c r="H692" s="104">
        <v>2291</v>
      </c>
      <c r="I692" s="104">
        <v>242</v>
      </c>
      <c r="J692" s="104" t="s">
        <v>1118</v>
      </c>
      <c r="K692" s="104" t="s">
        <v>1972</v>
      </c>
      <c r="L692" s="104">
        <v>115628</v>
      </c>
      <c r="M692" s="104">
        <v>6</v>
      </c>
      <c r="N692" s="104" t="s">
        <v>34</v>
      </c>
      <c r="O692" s="104" t="s">
        <v>34</v>
      </c>
      <c r="P692" s="104">
        <v>4449743</v>
      </c>
      <c r="Q692" s="130">
        <v>46119</v>
      </c>
      <c r="R692" s="104">
        <v>4556643</v>
      </c>
      <c r="S692" s="160">
        <v>3098</v>
      </c>
      <c r="T692" s="130">
        <v>46142</v>
      </c>
      <c r="U692" s="145">
        <v>3365</v>
      </c>
      <c r="V692" s="145" t="s">
        <v>34</v>
      </c>
      <c r="W692" s="145" t="s">
        <v>48</v>
      </c>
      <c r="X692" s="104" t="s">
        <v>25</v>
      </c>
      <c r="Y692" s="194">
        <v>2943.1</v>
      </c>
      <c r="Z692" s="195">
        <v>46127</v>
      </c>
      <c r="AA692" s="195">
        <v>46128</v>
      </c>
      <c r="AB692" s="104" t="s">
        <v>41</v>
      </c>
      <c r="AC692" s="104"/>
      <c r="AD692" s="113" t="e">
        <f>S691-Y691</f>
        <v>#VALUE!</v>
      </c>
    </row>
    <row r="693" spans="2:30" ht="45" hidden="1" customHeight="1">
      <c r="B693" s="174">
        <v>690</v>
      </c>
      <c r="C693" s="104" t="s">
        <v>95</v>
      </c>
      <c r="D693" s="104" t="s">
        <v>1973</v>
      </c>
      <c r="E693" s="104" t="s">
        <v>34</v>
      </c>
      <c r="F693" s="104" t="s">
        <v>44</v>
      </c>
      <c r="G693" s="145" t="s">
        <v>1974</v>
      </c>
      <c r="H693" s="104">
        <v>4502</v>
      </c>
      <c r="I693" s="104">
        <v>327</v>
      </c>
      <c r="J693" s="104" t="s">
        <v>1118</v>
      </c>
      <c r="K693" s="104" t="s">
        <v>1973</v>
      </c>
      <c r="L693" s="104" t="s">
        <v>1739</v>
      </c>
      <c r="M693" s="104">
        <v>1</v>
      </c>
      <c r="N693" s="104" t="s">
        <v>34</v>
      </c>
      <c r="O693" s="104" t="s">
        <v>34</v>
      </c>
      <c r="P693" s="104">
        <v>4420410</v>
      </c>
      <c r="Q693" s="130">
        <v>46093</v>
      </c>
      <c r="R693" s="104"/>
      <c r="S693" s="160">
        <v>5700</v>
      </c>
      <c r="T693" s="104" t="s">
        <v>34</v>
      </c>
      <c r="U693" s="104">
        <v>1531</v>
      </c>
      <c r="V693" s="145" t="s">
        <v>34</v>
      </c>
      <c r="W693" s="145" t="s">
        <v>40</v>
      </c>
      <c r="X693" s="104" t="s">
        <v>25</v>
      </c>
      <c r="Y693" s="218">
        <v>5700</v>
      </c>
      <c r="Z693" s="195">
        <v>46119</v>
      </c>
      <c r="AA693" s="145"/>
      <c r="AB693" s="104" t="s">
        <v>41</v>
      </c>
      <c r="AC693" s="104"/>
      <c r="AD693" s="113">
        <f>S693-Y693</f>
        <v>0</v>
      </c>
    </row>
    <row r="694" spans="2:30" ht="45" hidden="1" customHeight="1">
      <c r="B694" s="174">
        <v>691</v>
      </c>
      <c r="C694" s="104" t="s">
        <v>95</v>
      </c>
      <c r="D694" s="212" t="s">
        <v>1975</v>
      </c>
      <c r="E694" s="212">
        <v>46774</v>
      </c>
      <c r="F694" s="104" t="s">
        <v>44</v>
      </c>
      <c r="G694" s="262" t="s">
        <v>1976</v>
      </c>
      <c r="H694" s="212">
        <v>2232</v>
      </c>
      <c r="I694" s="212">
        <v>5</v>
      </c>
      <c r="J694" s="212" t="s">
        <v>854</v>
      </c>
      <c r="K694" s="212">
        <v>2309</v>
      </c>
      <c r="L694" s="212">
        <v>116889</v>
      </c>
      <c r="M694" s="212">
        <v>6</v>
      </c>
      <c r="N694" s="212"/>
      <c r="O694" s="212"/>
      <c r="P694" s="212">
        <v>4450570</v>
      </c>
      <c r="Q694" s="267">
        <v>46120</v>
      </c>
      <c r="R694" s="212">
        <v>4557647</v>
      </c>
      <c r="S694" s="268">
        <v>42900</v>
      </c>
      <c r="T694" s="269"/>
      <c r="U694" s="213">
        <v>812</v>
      </c>
      <c r="V694" s="213" t="s">
        <v>34</v>
      </c>
      <c r="W694" s="213" t="s">
        <v>48</v>
      </c>
      <c r="X694" s="212" t="s">
        <v>25</v>
      </c>
      <c r="Y694" s="229">
        <v>42900</v>
      </c>
      <c r="Z694" s="214">
        <v>46147</v>
      </c>
      <c r="AA694" s="214">
        <v>46148</v>
      </c>
      <c r="AB694" s="104" t="s">
        <v>41</v>
      </c>
      <c r="AC694" s="264"/>
      <c r="AD694" s="113">
        <f>S694-Y694</f>
        <v>0</v>
      </c>
    </row>
    <row r="695" spans="2:30" ht="45" hidden="1" customHeight="1">
      <c r="B695" s="174">
        <v>692</v>
      </c>
      <c r="C695" s="104" t="s">
        <v>95</v>
      </c>
      <c r="D695" s="104" t="s">
        <v>1977</v>
      </c>
      <c r="E695" s="104">
        <v>48383</v>
      </c>
      <c r="F695" s="104" t="s">
        <v>44</v>
      </c>
      <c r="G695" s="145" t="s">
        <v>1978</v>
      </c>
      <c r="H695" s="104">
        <v>2488</v>
      </c>
      <c r="I695" s="104">
        <v>242</v>
      </c>
      <c r="J695" s="104" t="s">
        <v>854</v>
      </c>
      <c r="K695" s="104">
        <v>96583</v>
      </c>
      <c r="L695" s="104">
        <v>116867</v>
      </c>
      <c r="M695" s="104">
        <v>6</v>
      </c>
      <c r="N695" s="104"/>
      <c r="O695" s="104"/>
      <c r="P695" s="104">
        <v>4450585</v>
      </c>
      <c r="Q695" s="106">
        <v>46120</v>
      </c>
      <c r="R695" s="104">
        <v>4557645</v>
      </c>
      <c r="S695" s="160">
        <v>7563.8</v>
      </c>
      <c r="T695" s="104"/>
      <c r="U695" s="145">
        <v>20662</v>
      </c>
      <c r="V695" s="145" t="s">
        <v>34</v>
      </c>
      <c r="W695" s="145" t="s">
        <v>40</v>
      </c>
      <c r="X695" s="104" t="s">
        <v>94</v>
      </c>
      <c r="Y695" s="194">
        <v>7563.8</v>
      </c>
      <c r="Z695" s="180">
        <v>46146</v>
      </c>
      <c r="AA695" s="145"/>
      <c r="AB695" s="104" t="s">
        <v>1425</v>
      </c>
      <c r="AC695" s="104" t="s">
        <v>1979</v>
      </c>
      <c r="AD695" s="113">
        <f>S695-Y695</f>
        <v>0</v>
      </c>
    </row>
    <row r="696" spans="2:30" ht="45" hidden="1" customHeight="1">
      <c r="B696" s="174">
        <v>693</v>
      </c>
      <c r="C696" s="104" t="s">
        <v>70</v>
      </c>
      <c r="D696" s="104" t="s">
        <v>1437</v>
      </c>
      <c r="E696" s="104">
        <v>47406</v>
      </c>
      <c r="F696" s="104" t="s">
        <v>44</v>
      </c>
      <c r="G696" s="145" t="s">
        <v>1980</v>
      </c>
      <c r="H696" s="104">
        <v>2275</v>
      </c>
      <c r="I696" s="104">
        <v>242</v>
      </c>
      <c r="J696" s="104" t="s">
        <v>1430</v>
      </c>
      <c r="K696" s="104" t="s">
        <v>1981</v>
      </c>
      <c r="L696" s="104">
        <v>117794</v>
      </c>
      <c r="M696" s="104">
        <v>6</v>
      </c>
      <c r="N696" s="104"/>
      <c r="O696" s="104"/>
      <c r="P696" s="104">
        <v>4453178</v>
      </c>
      <c r="Q696" s="106">
        <v>46122</v>
      </c>
      <c r="R696" s="104">
        <v>4561954</v>
      </c>
      <c r="S696" s="160">
        <v>4987.5</v>
      </c>
      <c r="T696" s="130">
        <v>46143</v>
      </c>
      <c r="U696" s="145">
        <v>202</v>
      </c>
      <c r="V696" s="145"/>
      <c r="W696" s="145" t="s">
        <v>1091</v>
      </c>
      <c r="X696" s="104" t="s">
        <v>25</v>
      </c>
      <c r="Y696" s="194">
        <v>4987.5</v>
      </c>
      <c r="Z696" s="180">
        <v>46146</v>
      </c>
      <c r="AA696" s="145"/>
      <c r="AB696" s="104" t="s">
        <v>1425</v>
      </c>
      <c r="AC696" s="104"/>
      <c r="AD696" s="113">
        <f>S696-Y696</f>
        <v>0</v>
      </c>
    </row>
    <row r="697" spans="2:30" ht="45" hidden="1" customHeight="1">
      <c r="B697" s="174">
        <v>694</v>
      </c>
      <c r="C697" s="104" t="s">
        <v>810</v>
      </c>
      <c r="D697" s="104" t="s">
        <v>1982</v>
      </c>
      <c r="E697" s="104"/>
      <c r="F697" s="104" t="s">
        <v>44</v>
      </c>
      <c r="G697" s="145" t="s">
        <v>1983</v>
      </c>
      <c r="H697" s="104">
        <v>4600</v>
      </c>
      <c r="I697" s="104">
        <v>242</v>
      </c>
      <c r="J697" s="104" t="s">
        <v>1984</v>
      </c>
      <c r="K697" s="104">
        <v>8126</v>
      </c>
      <c r="L697" s="104">
        <v>117843</v>
      </c>
      <c r="M697" s="104">
        <v>29</v>
      </c>
      <c r="N697" s="104" t="s">
        <v>1985</v>
      </c>
      <c r="O697" s="104"/>
      <c r="P697" s="104">
        <v>4453434</v>
      </c>
      <c r="Q697" s="106">
        <v>46122</v>
      </c>
      <c r="R697" s="104">
        <v>4563148</v>
      </c>
      <c r="S697" s="160">
        <v>32882.5</v>
      </c>
      <c r="T697" s="130">
        <v>46126</v>
      </c>
      <c r="U697" s="145">
        <v>6518</v>
      </c>
      <c r="V697" s="145" t="s">
        <v>34</v>
      </c>
      <c r="W697" s="145" t="s">
        <v>40</v>
      </c>
      <c r="X697" s="104" t="s">
        <v>44</v>
      </c>
      <c r="Y697" s="194">
        <v>32882.5</v>
      </c>
      <c r="Z697" s="195">
        <v>46135</v>
      </c>
      <c r="AA697" s="195">
        <v>46135</v>
      </c>
      <c r="AB697" s="104" t="s">
        <v>66</v>
      </c>
      <c r="AC697" s="104" t="s">
        <v>1986</v>
      </c>
      <c r="AD697" s="113">
        <f>S697-Y697</f>
        <v>0</v>
      </c>
    </row>
    <row r="698" spans="2:30" ht="45" hidden="1" customHeight="1">
      <c r="B698" s="174">
        <v>695</v>
      </c>
      <c r="C698" s="104" t="s">
        <v>95</v>
      </c>
      <c r="D698" s="104" t="s">
        <v>1987</v>
      </c>
      <c r="E698" s="104" t="s">
        <v>34</v>
      </c>
      <c r="F698" s="104" t="s">
        <v>44</v>
      </c>
      <c r="G698" s="145" t="s">
        <v>1988</v>
      </c>
      <c r="H698" s="104">
        <v>2089</v>
      </c>
      <c r="I698" s="104">
        <v>5</v>
      </c>
      <c r="J698" s="104" t="s">
        <v>854</v>
      </c>
      <c r="K698" s="104" t="s">
        <v>1416</v>
      </c>
      <c r="L698" s="104">
        <v>117841</v>
      </c>
      <c r="M698" s="104">
        <v>1</v>
      </c>
      <c r="N698" s="104"/>
      <c r="O698" s="104"/>
      <c r="P698" s="119" t="s">
        <v>1989</v>
      </c>
      <c r="Q698" s="106">
        <v>46122</v>
      </c>
      <c r="R698" s="104">
        <v>4571961</v>
      </c>
      <c r="S698" s="160" t="s">
        <v>1416</v>
      </c>
      <c r="T698" s="130">
        <v>46143</v>
      </c>
      <c r="U698" s="145"/>
      <c r="V698" s="145"/>
      <c r="W698" s="145"/>
      <c r="X698" s="104"/>
      <c r="Y698" s="194"/>
      <c r="Z698" s="145"/>
      <c r="AA698" s="145"/>
      <c r="AB698" s="104" t="s">
        <v>66</v>
      </c>
      <c r="AC698" s="104"/>
      <c r="AD698" s="113" t="e">
        <f>S698-Y698</f>
        <v>#VALUE!</v>
      </c>
    </row>
    <row r="699" spans="2:30" ht="45" hidden="1" customHeight="1">
      <c r="B699" s="174">
        <v>696</v>
      </c>
      <c r="C699" s="104" t="s">
        <v>95</v>
      </c>
      <c r="D699" s="104" t="s">
        <v>1990</v>
      </c>
      <c r="E699" s="104" t="s">
        <v>34</v>
      </c>
      <c r="F699" s="104" t="s">
        <v>44</v>
      </c>
      <c r="G699" s="145" t="s">
        <v>1991</v>
      </c>
      <c r="H699" s="104">
        <v>2348</v>
      </c>
      <c r="I699" s="104">
        <v>5</v>
      </c>
      <c r="J699" s="104" t="s">
        <v>1984</v>
      </c>
      <c r="K699" s="104" t="s">
        <v>1416</v>
      </c>
      <c r="L699" s="104">
        <v>117834</v>
      </c>
      <c r="M699" s="104">
        <v>1</v>
      </c>
      <c r="N699" s="104"/>
      <c r="O699" s="104"/>
      <c r="P699" s="104">
        <v>4453515</v>
      </c>
      <c r="Q699" s="106">
        <v>46122</v>
      </c>
      <c r="R699" s="104">
        <v>4572273</v>
      </c>
      <c r="S699" s="160" t="s">
        <v>1416</v>
      </c>
      <c r="T699" s="130">
        <v>46143</v>
      </c>
      <c r="U699" s="145"/>
      <c r="V699" s="145"/>
      <c r="W699" s="145"/>
      <c r="X699" s="104"/>
      <c r="Y699" s="194"/>
      <c r="Z699" s="145"/>
      <c r="AA699" s="145"/>
      <c r="AB699" s="104" t="s">
        <v>66</v>
      </c>
      <c r="AC699" s="104"/>
      <c r="AD699" s="113" t="e">
        <f>S699-Y699</f>
        <v>#VALUE!</v>
      </c>
    </row>
    <row r="700" spans="2:30" ht="45" hidden="1" customHeight="1">
      <c r="B700" s="174">
        <v>697</v>
      </c>
      <c r="C700" s="104" t="s">
        <v>70</v>
      </c>
      <c r="D700" s="104" t="s">
        <v>1992</v>
      </c>
      <c r="E700" s="104">
        <v>48176</v>
      </c>
      <c r="F700" s="104" t="s">
        <v>44</v>
      </c>
      <c r="G700" s="145" t="s">
        <v>1993</v>
      </c>
      <c r="H700" s="104">
        <v>2348</v>
      </c>
      <c r="I700" s="104">
        <v>242</v>
      </c>
      <c r="J700" s="104" t="s">
        <v>1430</v>
      </c>
      <c r="K700" s="104">
        <v>10312</v>
      </c>
      <c r="L700" s="104">
        <v>117948</v>
      </c>
      <c r="M700" s="104">
        <v>6</v>
      </c>
      <c r="N700" s="104"/>
      <c r="O700" s="104"/>
      <c r="P700" s="104">
        <v>4454272</v>
      </c>
      <c r="Q700" s="106">
        <v>46123</v>
      </c>
      <c r="R700" s="104">
        <v>4562084</v>
      </c>
      <c r="S700" s="160">
        <v>1560</v>
      </c>
      <c r="T700" s="199">
        <v>46113</v>
      </c>
      <c r="U700" s="145">
        <v>1542</v>
      </c>
      <c r="V700" s="145"/>
      <c r="W700" s="145" t="s">
        <v>1091</v>
      </c>
      <c r="X700" s="104" t="s">
        <v>25</v>
      </c>
      <c r="Y700" s="194">
        <v>1560</v>
      </c>
      <c r="Z700" s="180">
        <v>46129</v>
      </c>
      <c r="AA700" s="180">
        <v>46135</v>
      </c>
      <c r="AB700" s="104" t="s">
        <v>41</v>
      </c>
      <c r="AC700" s="104"/>
      <c r="AD700" s="113">
        <f>S700-Y700</f>
        <v>0</v>
      </c>
    </row>
    <row r="701" spans="2:30" ht="45" hidden="1" customHeight="1">
      <c r="B701" s="174">
        <v>698</v>
      </c>
      <c r="C701" s="104" t="s">
        <v>70</v>
      </c>
      <c r="D701" s="104" t="s">
        <v>1437</v>
      </c>
      <c r="E701" s="104">
        <v>48470</v>
      </c>
      <c r="F701" s="104" t="s">
        <v>44</v>
      </c>
      <c r="G701" s="145" t="s">
        <v>1994</v>
      </c>
      <c r="H701" s="104">
        <v>2496</v>
      </c>
      <c r="I701" s="104">
        <v>242</v>
      </c>
      <c r="J701" s="104" t="s">
        <v>1430</v>
      </c>
      <c r="K701" s="104">
        <v>80050</v>
      </c>
      <c r="L701" s="104">
        <v>117965</v>
      </c>
      <c r="M701" s="104">
        <v>6</v>
      </c>
      <c r="N701" s="104"/>
      <c r="O701" s="104"/>
      <c r="P701" s="104">
        <v>4454302</v>
      </c>
      <c r="Q701" s="106">
        <v>46123</v>
      </c>
      <c r="R701" s="104">
        <v>4562087</v>
      </c>
      <c r="S701" s="160">
        <v>2987.5</v>
      </c>
      <c r="T701" s="199">
        <v>46143</v>
      </c>
      <c r="U701" s="145"/>
      <c r="V701" s="145"/>
      <c r="W701" s="145"/>
      <c r="X701" s="104"/>
      <c r="Y701" s="194"/>
      <c r="Z701" s="145"/>
      <c r="AA701" s="145"/>
      <c r="AB701" s="104" t="s">
        <v>66</v>
      </c>
      <c r="AC701" s="104"/>
      <c r="AD701" s="113">
        <f>S701-Y701</f>
        <v>2987.5</v>
      </c>
    </row>
    <row r="702" spans="2:30" ht="45" hidden="1" customHeight="1">
      <c r="B702" s="174">
        <v>699</v>
      </c>
      <c r="C702" s="104" t="s">
        <v>70</v>
      </c>
      <c r="D702" s="104" t="s">
        <v>1995</v>
      </c>
      <c r="E702" s="104">
        <v>46020</v>
      </c>
      <c r="F702" s="104" t="s">
        <v>44</v>
      </c>
      <c r="G702" s="145" t="s">
        <v>1996</v>
      </c>
      <c r="H702" s="104">
        <v>4588</v>
      </c>
      <c r="I702" s="104">
        <v>242</v>
      </c>
      <c r="J702" s="104" t="s">
        <v>1430</v>
      </c>
      <c r="K702" s="104">
        <v>32899</v>
      </c>
      <c r="L702" s="104">
        <v>117954</v>
      </c>
      <c r="M702" s="104">
        <v>6</v>
      </c>
      <c r="N702" s="104"/>
      <c r="O702" s="104"/>
      <c r="P702" s="104">
        <v>4454501</v>
      </c>
      <c r="Q702" s="106">
        <v>46125</v>
      </c>
      <c r="R702" s="104">
        <v>4562095</v>
      </c>
      <c r="S702" s="160">
        <v>22490.34</v>
      </c>
      <c r="T702" s="199">
        <v>46143</v>
      </c>
      <c r="U702" s="145"/>
      <c r="V702" s="145"/>
      <c r="W702" s="145"/>
      <c r="X702" s="104"/>
      <c r="Y702" s="194"/>
      <c r="Z702" s="145"/>
      <c r="AA702" s="145"/>
      <c r="AB702" s="104" t="s">
        <v>66</v>
      </c>
      <c r="AC702" s="104"/>
      <c r="AD702" s="113">
        <f>S702-Y702</f>
        <v>22490.34</v>
      </c>
    </row>
    <row r="703" spans="2:30" ht="45" hidden="1" customHeight="1">
      <c r="B703" s="174">
        <v>700</v>
      </c>
      <c r="C703" s="104" t="s">
        <v>70</v>
      </c>
      <c r="D703" s="104" t="s">
        <v>1997</v>
      </c>
      <c r="E703" s="104">
        <v>46867</v>
      </c>
      <c r="F703" s="104" t="s">
        <v>44</v>
      </c>
      <c r="G703" s="145" t="s">
        <v>1998</v>
      </c>
      <c r="H703" s="104">
        <v>2461</v>
      </c>
      <c r="I703" s="104">
        <v>242</v>
      </c>
      <c r="J703" s="104" t="s">
        <v>1430</v>
      </c>
      <c r="K703" s="104" t="s">
        <v>1999</v>
      </c>
      <c r="L703" s="104">
        <v>117951</v>
      </c>
      <c r="M703" s="104">
        <v>6</v>
      </c>
      <c r="N703" s="104"/>
      <c r="O703" s="104"/>
      <c r="P703" s="104">
        <v>4454536</v>
      </c>
      <c r="Q703" s="106">
        <v>46125</v>
      </c>
      <c r="R703" s="104">
        <v>4567201</v>
      </c>
      <c r="S703" s="160">
        <v>11583.44</v>
      </c>
      <c r="T703" s="199">
        <v>46143</v>
      </c>
      <c r="U703" s="145"/>
      <c r="V703" s="145"/>
      <c r="W703" s="145"/>
      <c r="X703" s="104"/>
      <c r="Y703" s="194"/>
      <c r="Z703" s="145"/>
      <c r="AA703" s="145"/>
      <c r="AB703" s="104" t="s">
        <v>66</v>
      </c>
      <c r="AC703" s="104"/>
      <c r="AD703" s="113">
        <f>S703-Y703</f>
        <v>11583.44</v>
      </c>
    </row>
    <row r="704" spans="2:30" ht="45" hidden="1" customHeight="1">
      <c r="B704" s="174">
        <v>701</v>
      </c>
      <c r="C704" s="104" t="s">
        <v>70</v>
      </c>
      <c r="D704" s="104" t="s">
        <v>1437</v>
      </c>
      <c r="E704" s="104">
        <v>48470</v>
      </c>
      <c r="F704" s="104" t="s">
        <v>44</v>
      </c>
      <c r="G704" s="145" t="s">
        <v>2000</v>
      </c>
      <c r="H704" s="104">
        <v>2283</v>
      </c>
      <c r="I704" s="104">
        <v>242</v>
      </c>
      <c r="J704" s="104" t="s">
        <v>1430</v>
      </c>
      <c r="K704" s="104">
        <v>80049</v>
      </c>
      <c r="L704" s="104">
        <v>117949</v>
      </c>
      <c r="M704" s="104">
        <v>6</v>
      </c>
      <c r="N704" s="104"/>
      <c r="O704" s="104"/>
      <c r="P704" s="104">
        <v>4454590</v>
      </c>
      <c r="Q704" s="106">
        <v>46125</v>
      </c>
      <c r="R704" s="104">
        <v>4562085</v>
      </c>
      <c r="S704" s="160">
        <v>7785.9</v>
      </c>
      <c r="T704" s="199">
        <v>46143</v>
      </c>
      <c r="U704" s="145"/>
      <c r="V704" s="145"/>
      <c r="W704" s="145"/>
      <c r="X704" s="104"/>
      <c r="Y704" s="194"/>
      <c r="Z704" s="145"/>
      <c r="AA704" s="145"/>
      <c r="AB704" s="104" t="s">
        <v>66</v>
      </c>
      <c r="AC704" s="104"/>
      <c r="AD704" s="113">
        <f>S704-Y704</f>
        <v>7785.9</v>
      </c>
    </row>
    <row r="705" spans="2:30" ht="45" hidden="1" customHeight="1">
      <c r="B705" s="174">
        <v>702</v>
      </c>
      <c r="C705" s="104" t="s">
        <v>70</v>
      </c>
      <c r="D705" s="104" t="s">
        <v>2001</v>
      </c>
      <c r="E705" s="104" t="s">
        <v>2002</v>
      </c>
      <c r="F705" s="104" t="s">
        <v>44</v>
      </c>
      <c r="G705" s="145" t="s">
        <v>2003</v>
      </c>
      <c r="H705" s="104">
        <v>2283</v>
      </c>
      <c r="I705" s="104">
        <v>242</v>
      </c>
      <c r="J705" s="104" t="s">
        <v>1430</v>
      </c>
      <c r="K705" s="104">
        <v>8933</v>
      </c>
      <c r="L705" s="104">
        <v>117928</v>
      </c>
      <c r="M705" s="104">
        <v>6</v>
      </c>
      <c r="N705" s="104"/>
      <c r="O705" s="104"/>
      <c r="P705" s="104">
        <v>4454641</v>
      </c>
      <c r="Q705" s="106">
        <v>46125</v>
      </c>
      <c r="R705" s="104">
        <v>4565303</v>
      </c>
      <c r="S705" s="160">
        <v>36488</v>
      </c>
      <c r="T705" s="199">
        <v>46143</v>
      </c>
      <c r="U705" s="145">
        <v>2125</v>
      </c>
      <c r="V705" s="145"/>
      <c r="W705" s="145" t="s">
        <v>48</v>
      </c>
      <c r="X705" s="104" t="s">
        <v>94</v>
      </c>
      <c r="Y705" s="194">
        <v>36488</v>
      </c>
      <c r="Z705" s="180">
        <v>46146</v>
      </c>
      <c r="AA705" s="180">
        <v>46147</v>
      </c>
      <c r="AB705" s="104" t="s">
        <v>41</v>
      </c>
      <c r="AC705" s="104"/>
      <c r="AD705" s="113">
        <f>S705-Y705</f>
        <v>0</v>
      </c>
    </row>
    <row r="706" spans="2:30" ht="45" hidden="1" customHeight="1">
      <c r="B706" s="174">
        <v>703</v>
      </c>
      <c r="C706" s="104" t="s">
        <v>70</v>
      </c>
      <c r="D706" s="104" t="s">
        <v>2001</v>
      </c>
      <c r="E706" s="104">
        <v>47118</v>
      </c>
      <c r="F706" s="104" t="s">
        <v>44</v>
      </c>
      <c r="G706" s="145" t="s">
        <v>2004</v>
      </c>
      <c r="H706" s="104">
        <v>2313</v>
      </c>
      <c r="I706" s="104">
        <v>242</v>
      </c>
      <c r="J706" s="104" t="s">
        <v>1430</v>
      </c>
      <c r="K706" s="104" t="s">
        <v>2005</v>
      </c>
      <c r="L706" s="104">
        <v>117926</v>
      </c>
      <c r="M706" s="104">
        <v>6</v>
      </c>
      <c r="N706" s="104"/>
      <c r="O706" s="104"/>
      <c r="P706" s="104">
        <v>4458902</v>
      </c>
      <c r="Q706" s="106">
        <v>46128</v>
      </c>
      <c r="R706" s="104">
        <v>4565718</v>
      </c>
      <c r="S706" s="160">
        <v>20250</v>
      </c>
      <c r="T706" s="199">
        <v>46143</v>
      </c>
      <c r="U706" s="145"/>
      <c r="V706" s="145"/>
      <c r="W706" s="145"/>
      <c r="X706" s="104"/>
      <c r="Y706" s="194"/>
      <c r="Z706" s="145"/>
      <c r="AA706" s="145"/>
      <c r="AB706" s="104" t="s">
        <v>66</v>
      </c>
      <c r="AC706" s="104"/>
      <c r="AD706" s="113">
        <f>S706-Y706</f>
        <v>20250</v>
      </c>
    </row>
    <row r="707" spans="2:30" ht="45" hidden="1" customHeight="1">
      <c r="B707" s="174">
        <v>704</v>
      </c>
      <c r="C707" s="104" t="s">
        <v>70</v>
      </c>
      <c r="D707" s="104" t="s">
        <v>2001</v>
      </c>
      <c r="E707" s="104">
        <v>46903</v>
      </c>
      <c r="F707" s="104" t="s">
        <v>44</v>
      </c>
      <c r="G707" s="145" t="s">
        <v>2006</v>
      </c>
      <c r="H707" s="104">
        <v>2313</v>
      </c>
      <c r="I707" s="104">
        <v>242</v>
      </c>
      <c r="J707" s="104" t="s">
        <v>1430</v>
      </c>
      <c r="K707" s="104">
        <v>8934</v>
      </c>
      <c r="L707" s="104">
        <v>117922</v>
      </c>
      <c r="M707" s="104">
        <v>6</v>
      </c>
      <c r="N707" s="104"/>
      <c r="O707" s="104"/>
      <c r="P707" s="104">
        <v>4454691</v>
      </c>
      <c r="Q707" s="106">
        <v>46125</v>
      </c>
      <c r="R707" s="104">
        <v>4562093</v>
      </c>
      <c r="S707" s="160">
        <v>14873.4</v>
      </c>
      <c r="T707" s="199">
        <v>46143</v>
      </c>
      <c r="U707" s="145"/>
      <c r="V707" s="145"/>
      <c r="W707" s="145"/>
      <c r="X707" s="104"/>
      <c r="Y707" s="194"/>
      <c r="Z707" s="145"/>
      <c r="AA707" s="145"/>
      <c r="AB707" s="104" t="s">
        <v>66</v>
      </c>
      <c r="AC707" s="104"/>
      <c r="AD707" s="113">
        <f>S707-Y707</f>
        <v>14873.4</v>
      </c>
    </row>
    <row r="708" spans="2:30" ht="45" hidden="1" customHeight="1">
      <c r="B708" s="174">
        <v>705</v>
      </c>
      <c r="C708" s="104" t="s">
        <v>146</v>
      </c>
      <c r="D708" s="104" t="s">
        <v>1385</v>
      </c>
      <c r="E708" s="104">
        <v>47584</v>
      </c>
      <c r="F708" s="104" t="s">
        <v>35</v>
      </c>
      <c r="G708" s="145" t="s">
        <v>2007</v>
      </c>
      <c r="H708" s="104">
        <v>4057</v>
      </c>
      <c r="I708" s="104">
        <v>242</v>
      </c>
      <c r="J708" s="104" t="s">
        <v>1430</v>
      </c>
      <c r="K708" s="104">
        <v>508</v>
      </c>
      <c r="L708" s="104">
        <v>118186</v>
      </c>
      <c r="M708" s="104">
        <v>6</v>
      </c>
      <c r="N708" s="104"/>
      <c r="O708" s="104"/>
      <c r="P708" s="104">
        <v>4455456</v>
      </c>
      <c r="Q708" s="106">
        <v>46125</v>
      </c>
      <c r="R708" s="104">
        <v>4562092</v>
      </c>
      <c r="S708" s="160">
        <v>2840</v>
      </c>
      <c r="T708" s="106">
        <v>46142</v>
      </c>
      <c r="U708" s="145">
        <v>3385</v>
      </c>
      <c r="V708" s="145"/>
      <c r="W708" s="145" t="s">
        <v>48</v>
      </c>
      <c r="X708" s="104" t="s">
        <v>25</v>
      </c>
      <c r="Y708" s="194">
        <v>2698</v>
      </c>
      <c r="Z708" s="180">
        <v>46143</v>
      </c>
      <c r="AA708" s="145"/>
      <c r="AB708" s="104" t="s">
        <v>1425</v>
      </c>
      <c r="AC708" s="104"/>
      <c r="AD708" s="113">
        <f>S708-Y708</f>
        <v>142</v>
      </c>
    </row>
    <row r="709" spans="2:30" ht="45" hidden="1" customHeight="1">
      <c r="B709" s="174">
        <v>706</v>
      </c>
      <c r="C709" s="104" t="s">
        <v>146</v>
      </c>
      <c r="D709" s="104" t="s">
        <v>1385</v>
      </c>
      <c r="E709" s="104">
        <v>46229</v>
      </c>
      <c r="F709" s="104" t="s">
        <v>35</v>
      </c>
      <c r="G709" s="145" t="s">
        <v>2008</v>
      </c>
      <c r="H709" s="104">
        <v>4057</v>
      </c>
      <c r="I709" s="104">
        <v>242</v>
      </c>
      <c r="J709" s="104" t="s">
        <v>1430</v>
      </c>
      <c r="K709" s="104">
        <v>493</v>
      </c>
      <c r="L709" s="104">
        <v>116582</v>
      </c>
      <c r="M709" s="104">
        <v>6</v>
      </c>
      <c r="N709" s="104"/>
      <c r="O709" s="104"/>
      <c r="P709" s="104">
        <v>4455467</v>
      </c>
      <c r="Q709" s="106">
        <v>46125</v>
      </c>
      <c r="R709" s="104">
        <v>4562088</v>
      </c>
      <c r="S709" s="160">
        <v>1035</v>
      </c>
      <c r="T709" s="106">
        <v>46142</v>
      </c>
      <c r="U709" s="145">
        <v>3384</v>
      </c>
      <c r="V709" s="145"/>
      <c r="W709" s="145" t="s">
        <v>48</v>
      </c>
      <c r="X709" s="104" t="s">
        <v>25</v>
      </c>
      <c r="Y709" s="194">
        <v>983.25</v>
      </c>
      <c r="Z709" s="180">
        <v>46143</v>
      </c>
      <c r="AA709" s="145"/>
      <c r="AB709" s="104" t="s">
        <v>1425</v>
      </c>
      <c r="AC709" s="104"/>
      <c r="AD709" s="113">
        <f>S709-Y709</f>
        <v>51.75</v>
      </c>
    </row>
    <row r="710" spans="2:30" ht="45" hidden="1" customHeight="1">
      <c r="B710" s="174">
        <v>707</v>
      </c>
      <c r="C710" s="104" t="s">
        <v>291</v>
      </c>
      <c r="D710" s="104" t="s">
        <v>1162</v>
      </c>
      <c r="E710" s="104">
        <v>49068</v>
      </c>
      <c r="F710" s="104" t="s">
        <v>44</v>
      </c>
      <c r="G710" s="145" t="s">
        <v>2009</v>
      </c>
      <c r="H710" s="104">
        <v>2488</v>
      </c>
      <c r="I710" s="104">
        <v>242</v>
      </c>
      <c r="J710" s="104" t="s">
        <v>1430</v>
      </c>
      <c r="K710" s="104">
        <v>96640</v>
      </c>
      <c r="L710" s="104">
        <v>118249</v>
      </c>
      <c r="M710" s="104">
        <v>6</v>
      </c>
      <c r="N710" s="104"/>
      <c r="O710" s="104"/>
      <c r="P710" s="104">
        <v>4456797</v>
      </c>
      <c r="Q710" s="106">
        <v>46126</v>
      </c>
      <c r="R710" s="104">
        <v>4563684</v>
      </c>
      <c r="S710" s="160">
        <v>6166</v>
      </c>
      <c r="T710" s="106">
        <v>46143</v>
      </c>
      <c r="U710" s="145"/>
      <c r="V710" s="145"/>
      <c r="W710" s="145"/>
      <c r="X710" s="104"/>
      <c r="Y710" s="194"/>
      <c r="Z710" s="145"/>
      <c r="AA710" s="145"/>
      <c r="AB710" s="104" t="s">
        <v>66</v>
      </c>
      <c r="AC710" s="104"/>
      <c r="AD710" s="113">
        <f>S710-Y710</f>
        <v>6166</v>
      </c>
    </row>
    <row r="711" spans="2:30" ht="45" hidden="1" customHeight="1">
      <c r="B711" s="174">
        <v>708</v>
      </c>
      <c r="C711" s="104" t="s">
        <v>95</v>
      </c>
      <c r="D711" s="104" t="s">
        <v>1605</v>
      </c>
      <c r="E711" s="104">
        <v>48879</v>
      </c>
      <c r="F711" s="104" t="s">
        <v>44</v>
      </c>
      <c r="G711" s="145" t="s">
        <v>2010</v>
      </c>
      <c r="H711" s="104" t="s">
        <v>2011</v>
      </c>
      <c r="I711" s="104">
        <v>5</v>
      </c>
      <c r="J711" s="104" t="s">
        <v>2012</v>
      </c>
      <c r="K711" s="104">
        <v>2392</v>
      </c>
      <c r="L711" s="104">
        <v>118391</v>
      </c>
      <c r="M711" s="104">
        <v>6</v>
      </c>
      <c r="N711" s="104"/>
      <c r="O711" s="104"/>
      <c r="P711" s="104">
        <v>4456553</v>
      </c>
      <c r="Q711" s="106">
        <v>46126</v>
      </c>
      <c r="R711" s="104">
        <v>4565585</v>
      </c>
      <c r="S711" s="160">
        <v>41205</v>
      </c>
      <c r="T711" s="106">
        <v>46142</v>
      </c>
      <c r="U711" s="145"/>
      <c r="V711" s="145"/>
      <c r="W711" s="145"/>
      <c r="X711" s="104"/>
      <c r="Y711" s="194"/>
      <c r="Z711" s="145"/>
      <c r="AA711" s="145"/>
      <c r="AB711" s="104" t="s">
        <v>66</v>
      </c>
      <c r="AC711" s="104"/>
      <c r="AD711" s="113">
        <f>S711-Y711</f>
        <v>41205</v>
      </c>
    </row>
    <row r="712" spans="2:30" ht="45" hidden="1" customHeight="1">
      <c r="B712" s="174">
        <v>709</v>
      </c>
      <c r="C712" s="104" t="s">
        <v>95</v>
      </c>
      <c r="D712" s="104" t="s">
        <v>1605</v>
      </c>
      <c r="E712" s="104">
        <v>48879</v>
      </c>
      <c r="F712" s="104" t="s">
        <v>44</v>
      </c>
      <c r="G712" s="145" t="s">
        <v>2013</v>
      </c>
      <c r="H712" s="104">
        <v>2291</v>
      </c>
      <c r="I712" s="104">
        <v>5</v>
      </c>
      <c r="J712" s="104" t="s">
        <v>2012</v>
      </c>
      <c r="K712" s="104">
        <v>2394</v>
      </c>
      <c r="L712" s="104">
        <v>118394</v>
      </c>
      <c r="M712" s="104">
        <v>6</v>
      </c>
      <c r="N712" s="104"/>
      <c r="O712" s="104"/>
      <c r="P712" s="104">
        <v>4456572</v>
      </c>
      <c r="Q712" s="106">
        <v>46126</v>
      </c>
      <c r="R712" s="104">
        <v>4565592</v>
      </c>
      <c r="S712" s="160">
        <v>44640</v>
      </c>
      <c r="T712" s="106">
        <v>46142</v>
      </c>
      <c r="U712" s="145"/>
      <c r="V712" s="145"/>
      <c r="W712" s="145"/>
      <c r="X712" s="104"/>
      <c r="Y712" s="194"/>
      <c r="Z712" s="145"/>
      <c r="AA712" s="145"/>
      <c r="AB712" s="104" t="s">
        <v>66</v>
      </c>
      <c r="AC712" s="104"/>
      <c r="AD712" s="113">
        <f>S712-Y712</f>
        <v>44640</v>
      </c>
    </row>
    <row r="713" spans="2:30" ht="45" hidden="1" customHeight="1">
      <c r="B713" s="174">
        <v>710</v>
      </c>
      <c r="C713" s="104" t="s">
        <v>95</v>
      </c>
      <c r="D713" s="104" t="s">
        <v>1605</v>
      </c>
      <c r="E713" s="104">
        <v>48879</v>
      </c>
      <c r="F713" s="104" t="s">
        <v>44</v>
      </c>
      <c r="G713" s="145" t="s">
        <v>2014</v>
      </c>
      <c r="H713" s="104">
        <v>2470</v>
      </c>
      <c r="I713" s="104">
        <v>5</v>
      </c>
      <c r="J713" s="104" t="s">
        <v>2012</v>
      </c>
      <c r="K713" s="104">
        <v>2393</v>
      </c>
      <c r="L713" s="104">
        <v>118395</v>
      </c>
      <c r="M713" s="104">
        <v>6</v>
      </c>
      <c r="N713" s="104"/>
      <c r="O713" s="104"/>
      <c r="P713" s="104">
        <v>4456583</v>
      </c>
      <c r="Q713" s="106">
        <v>46126</v>
      </c>
      <c r="R713" s="104">
        <v>4565583</v>
      </c>
      <c r="S713" s="160">
        <v>25130</v>
      </c>
      <c r="T713" s="106">
        <v>46142</v>
      </c>
      <c r="U713" s="145">
        <v>813</v>
      </c>
      <c r="V713" s="145" t="s">
        <v>34</v>
      </c>
      <c r="W713" s="145" t="s">
        <v>40</v>
      </c>
      <c r="X713" s="104" t="s">
        <v>25</v>
      </c>
      <c r="Y713" s="194">
        <v>25130</v>
      </c>
      <c r="Z713" s="195">
        <v>46147</v>
      </c>
      <c r="AA713" s="195">
        <v>46148</v>
      </c>
      <c r="AB713" s="104" t="s">
        <v>41</v>
      </c>
      <c r="AC713" s="104"/>
      <c r="AD713" s="113">
        <f>S713-Y713</f>
        <v>0</v>
      </c>
    </row>
    <row r="714" spans="2:30" ht="45" hidden="1" customHeight="1">
      <c r="B714" s="174">
        <v>711</v>
      </c>
      <c r="C714" s="104" t="s">
        <v>95</v>
      </c>
      <c r="D714" s="104" t="s">
        <v>1605</v>
      </c>
      <c r="E714" s="104">
        <v>48879</v>
      </c>
      <c r="F714" s="104" t="s">
        <v>44</v>
      </c>
      <c r="G714" s="145" t="s">
        <v>2015</v>
      </c>
      <c r="H714" s="104">
        <v>2283</v>
      </c>
      <c r="I714" s="104">
        <v>5</v>
      </c>
      <c r="J714" s="104" t="s">
        <v>2012</v>
      </c>
      <c r="K714" s="104">
        <v>2377</v>
      </c>
      <c r="L714" s="104">
        <v>118396</v>
      </c>
      <c r="M714" s="104">
        <v>6</v>
      </c>
      <c r="N714" s="104"/>
      <c r="O714" s="104"/>
      <c r="P714" s="104">
        <v>4456598</v>
      </c>
      <c r="Q714" s="106">
        <v>46126</v>
      </c>
      <c r="R714" s="104">
        <v>4565584</v>
      </c>
      <c r="S714" s="160">
        <v>15720</v>
      </c>
      <c r="T714" s="106">
        <v>46142</v>
      </c>
      <c r="U714" s="145">
        <v>815</v>
      </c>
      <c r="V714" s="145" t="s">
        <v>34</v>
      </c>
      <c r="W714" s="145" t="s">
        <v>40</v>
      </c>
      <c r="X714" s="104" t="s">
        <v>25</v>
      </c>
      <c r="Y714" s="194">
        <v>15720</v>
      </c>
      <c r="Z714" s="195">
        <v>46147</v>
      </c>
      <c r="AA714" s="195">
        <v>46148</v>
      </c>
      <c r="AB714" s="104" t="s">
        <v>41</v>
      </c>
      <c r="AC714" s="104"/>
      <c r="AD714" s="113">
        <f>S714-Y714</f>
        <v>0</v>
      </c>
    </row>
    <row r="715" spans="2:30" ht="45" hidden="1" customHeight="1">
      <c r="B715" s="174">
        <v>712</v>
      </c>
      <c r="C715" s="104" t="s">
        <v>95</v>
      </c>
      <c r="D715" s="104" t="s">
        <v>1726</v>
      </c>
      <c r="E715" s="104" t="s">
        <v>34</v>
      </c>
      <c r="F715" s="104" t="s">
        <v>44</v>
      </c>
      <c r="G715" s="145" t="s">
        <v>1727</v>
      </c>
      <c r="H715" s="104">
        <v>4502</v>
      </c>
      <c r="I715" s="104">
        <v>327</v>
      </c>
      <c r="J715" s="104" t="s">
        <v>1575</v>
      </c>
      <c r="K715" s="104" t="s">
        <v>1728</v>
      </c>
      <c r="L715" s="104" t="s">
        <v>1725</v>
      </c>
      <c r="M715" s="104">
        <v>1</v>
      </c>
      <c r="N715" s="104" t="s">
        <v>34</v>
      </c>
      <c r="O715" s="104" t="s">
        <v>34</v>
      </c>
      <c r="P715" s="104">
        <v>4369622</v>
      </c>
      <c r="Q715" s="106">
        <v>46045</v>
      </c>
      <c r="R715" s="104">
        <v>4493512</v>
      </c>
      <c r="S715" s="160">
        <f>AD590</f>
        <v>910613.52</v>
      </c>
      <c r="T715" s="130">
        <v>46087</v>
      </c>
      <c r="U715" s="145">
        <v>56</v>
      </c>
      <c r="V715" s="145" t="s">
        <v>34</v>
      </c>
      <c r="W715" s="145" t="s">
        <v>48</v>
      </c>
      <c r="X715" s="104" t="s">
        <v>94</v>
      </c>
      <c r="Y715" s="194">
        <v>650438.23</v>
      </c>
      <c r="Z715" s="195">
        <v>46125</v>
      </c>
      <c r="AA715" s="195">
        <v>46126</v>
      </c>
      <c r="AB715" s="104" t="s">
        <v>41</v>
      </c>
      <c r="AC715" s="104"/>
      <c r="AD715" s="113">
        <f>S715-Y715</f>
        <v>260175.29000000004</v>
      </c>
    </row>
    <row r="716" spans="2:30" ht="45" hidden="1" customHeight="1">
      <c r="B716" s="174">
        <v>713</v>
      </c>
      <c r="C716" s="104" t="s">
        <v>95</v>
      </c>
      <c r="D716" s="104" t="s">
        <v>138</v>
      </c>
      <c r="E716" s="104" t="s">
        <v>34</v>
      </c>
      <c r="F716" s="104" t="s">
        <v>44</v>
      </c>
      <c r="G716" s="145" t="s">
        <v>2016</v>
      </c>
      <c r="H716" s="104">
        <v>4502</v>
      </c>
      <c r="I716" s="104">
        <v>327</v>
      </c>
      <c r="J716" s="104" t="s">
        <v>1575</v>
      </c>
      <c r="K716" s="104" t="s">
        <v>2017</v>
      </c>
      <c r="L716" s="104" t="s">
        <v>1725</v>
      </c>
      <c r="M716" s="104" t="s">
        <v>34</v>
      </c>
      <c r="N716" s="104" t="s">
        <v>34</v>
      </c>
      <c r="O716" s="104" t="s">
        <v>34</v>
      </c>
      <c r="P716" s="104">
        <v>4441897</v>
      </c>
      <c r="Q716" s="130">
        <v>46112</v>
      </c>
      <c r="R716" s="104">
        <v>4554819</v>
      </c>
      <c r="S716" s="160">
        <v>51000</v>
      </c>
      <c r="T716" s="104" t="s">
        <v>34</v>
      </c>
      <c r="U716" s="145">
        <v>20551</v>
      </c>
      <c r="V716" s="145" t="s">
        <v>34</v>
      </c>
      <c r="W716" s="145" t="s">
        <v>48</v>
      </c>
      <c r="X716" s="104" t="s">
        <v>94</v>
      </c>
      <c r="Y716" s="194">
        <v>51000</v>
      </c>
      <c r="Z716" s="195">
        <v>46126</v>
      </c>
      <c r="AA716" s="195">
        <v>46126</v>
      </c>
      <c r="AB716" s="104" t="s">
        <v>60</v>
      </c>
      <c r="AC716" s="104"/>
      <c r="AD716" s="113">
        <f>S716-Y716</f>
        <v>0</v>
      </c>
    </row>
    <row r="717" spans="2:30" ht="45" hidden="1" customHeight="1">
      <c r="B717" s="174">
        <v>714</v>
      </c>
      <c r="C717" s="104" t="s">
        <v>95</v>
      </c>
      <c r="D717" s="104" t="s">
        <v>1605</v>
      </c>
      <c r="E717" s="104">
        <v>48879</v>
      </c>
      <c r="F717" s="104" t="s">
        <v>44</v>
      </c>
      <c r="G717" s="145" t="s">
        <v>2018</v>
      </c>
      <c r="H717" s="104">
        <v>2496</v>
      </c>
      <c r="I717" s="104">
        <v>5</v>
      </c>
      <c r="J717" s="104" t="s">
        <v>2012</v>
      </c>
      <c r="K717" s="104">
        <v>2391</v>
      </c>
      <c r="L717" s="104">
        <v>118397</v>
      </c>
      <c r="M717" s="104">
        <v>6</v>
      </c>
      <c r="N717" s="104"/>
      <c r="O717" s="104"/>
      <c r="P717" s="104">
        <v>4456821</v>
      </c>
      <c r="Q717" s="106">
        <v>46126</v>
      </c>
      <c r="R717" s="104">
        <v>4565582</v>
      </c>
      <c r="S717" s="160">
        <v>9410</v>
      </c>
      <c r="T717" s="130">
        <v>46142</v>
      </c>
      <c r="U717" s="145">
        <v>814</v>
      </c>
      <c r="V717" s="145" t="s">
        <v>34</v>
      </c>
      <c r="W717" s="145" t="s">
        <v>40</v>
      </c>
      <c r="X717" s="104" t="s">
        <v>25</v>
      </c>
      <c r="Y717" s="194">
        <v>9410</v>
      </c>
      <c r="Z717" s="195">
        <v>46147</v>
      </c>
      <c r="AA717" s="195">
        <v>46148</v>
      </c>
      <c r="AB717" s="104" t="s">
        <v>41</v>
      </c>
      <c r="AC717" s="104"/>
      <c r="AD717" s="113">
        <f>S717-Y717</f>
        <v>0</v>
      </c>
    </row>
    <row r="718" spans="2:30" ht="45" customHeight="1">
      <c r="B718" s="174">
        <v>715</v>
      </c>
      <c r="C718" s="104" t="s">
        <v>95</v>
      </c>
      <c r="D718" s="104" t="s">
        <v>2019</v>
      </c>
      <c r="E718" s="104" t="s">
        <v>34</v>
      </c>
      <c r="F718" s="104" t="s">
        <v>44</v>
      </c>
      <c r="G718" s="145" t="s">
        <v>2020</v>
      </c>
      <c r="H718" s="104" t="s">
        <v>2021</v>
      </c>
      <c r="I718" s="104">
        <v>5</v>
      </c>
      <c r="J718" s="104" t="s">
        <v>1118</v>
      </c>
      <c r="K718" s="104" t="s">
        <v>2022</v>
      </c>
      <c r="L718" s="104">
        <v>118726</v>
      </c>
      <c r="M718" s="104">
        <v>8</v>
      </c>
      <c r="N718" s="104" t="s">
        <v>2023</v>
      </c>
      <c r="O718" s="104" t="s">
        <v>34</v>
      </c>
      <c r="P718" s="104">
        <v>4457114</v>
      </c>
      <c r="Q718" s="130">
        <v>46126</v>
      </c>
      <c r="R718" s="104">
        <v>4557984</v>
      </c>
      <c r="S718" s="160">
        <v>8000</v>
      </c>
      <c r="T718" s="104" t="s">
        <v>34</v>
      </c>
      <c r="U718" s="145" t="s">
        <v>2024</v>
      </c>
      <c r="V718" s="145" t="s">
        <v>2025</v>
      </c>
      <c r="W718" s="145" t="s">
        <v>40</v>
      </c>
      <c r="X718" s="104" t="s">
        <v>25</v>
      </c>
      <c r="Y718" s="194">
        <v>8000</v>
      </c>
      <c r="Z718" s="195">
        <v>46119</v>
      </c>
      <c r="AA718" s="195">
        <v>46128</v>
      </c>
      <c r="AB718" s="104" t="s">
        <v>60</v>
      </c>
      <c r="AC718" s="104"/>
      <c r="AD718" s="113">
        <f>S718-Y718</f>
        <v>0</v>
      </c>
    </row>
    <row r="719" spans="2:30" ht="45" hidden="1" customHeight="1">
      <c r="B719" s="174">
        <v>716</v>
      </c>
      <c r="C719" s="104" t="s">
        <v>95</v>
      </c>
      <c r="D719" s="104" t="s">
        <v>198</v>
      </c>
      <c r="E719" s="104" t="s">
        <v>34</v>
      </c>
      <c r="F719" s="104" t="s">
        <v>44</v>
      </c>
      <c r="G719" s="145" t="s">
        <v>199</v>
      </c>
      <c r="H719" s="104">
        <v>4502</v>
      </c>
      <c r="I719" s="104">
        <v>326</v>
      </c>
      <c r="J719" s="104" t="s">
        <v>46</v>
      </c>
      <c r="K719" s="104" t="s">
        <v>196</v>
      </c>
      <c r="L719" s="104" t="s">
        <v>34</v>
      </c>
      <c r="M719" s="104">
        <v>1</v>
      </c>
      <c r="N719" s="104" t="s">
        <v>34</v>
      </c>
      <c r="O719" s="104" t="s">
        <v>34</v>
      </c>
      <c r="P719" s="104">
        <v>4225878</v>
      </c>
      <c r="Q719" s="106">
        <v>45898</v>
      </c>
      <c r="R719" s="104">
        <v>4350173</v>
      </c>
      <c r="S719" s="160">
        <v>80019.83</v>
      </c>
      <c r="T719" s="108" t="s">
        <v>34</v>
      </c>
      <c r="U719" s="104">
        <v>542</v>
      </c>
      <c r="V719" s="104" t="s">
        <v>34</v>
      </c>
      <c r="W719" s="104" t="s">
        <v>40</v>
      </c>
      <c r="X719" s="104" t="s">
        <v>44</v>
      </c>
      <c r="Y719" s="131">
        <v>80000</v>
      </c>
      <c r="Z719" s="106">
        <v>46122</v>
      </c>
      <c r="AA719" s="106">
        <v>46126</v>
      </c>
      <c r="AB719" s="104" t="s">
        <v>41</v>
      </c>
      <c r="AC719" s="104"/>
      <c r="AD719" s="113">
        <f>S719-Y719</f>
        <v>19.830000000001746</v>
      </c>
    </row>
    <row r="720" spans="2:30" ht="45" hidden="1" customHeight="1">
      <c r="B720" s="174">
        <v>717</v>
      </c>
      <c r="C720" s="104" t="s">
        <v>1970</v>
      </c>
      <c r="D720" s="104" t="s">
        <v>2026</v>
      </c>
      <c r="E720" s="104" t="s">
        <v>34</v>
      </c>
      <c r="F720" s="104" t="s">
        <v>44</v>
      </c>
      <c r="G720" s="145" t="s">
        <v>2027</v>
      </c>
      <c r="H720" s="104">
        <v>2101</v>
      </c>
      <c r="I720" s="104">
        <v>242</v>
      </c>
      <c r="J720" s="104" t="s">
        <v>1575</v>
      </c>
      <c r="K720" s="104" t="s">
        <v>2028</v>
      </c>
      <c r="L720" s="104">
        <v>118813</v>
      </c>
      <c r="M720" s="104">
        <v>29</v>
      </c>
      <c r="N720" s="104" t="s">
        <v>2029</v>
      </c>
      <c r="O720" s="104" t="s">
        <v>34</v>
      </c>
      <c r="P720" s="104">
        <v>4457893</v>
      </c>
      <c r="Q720" s="106">
        <v>46127</v>
      </c>
      <c r="R720" s="104">
        <v>4572592</v>
      </c>
      <c r="S720" s="160">
        <v>945</v>
      </c>
      <c r="T720" s="130">
        <v>46129</v>
      </c>
      <c r="U720" s="145">
        <v>1381</v>
      </c>
      <c r="V720" s="145"/>
      <c r="W720" s="145" t="s">
        <v>48</v>
      </c>
      <c r="X720" s="104" t="s">
        <v>25</v>
      </c>
      <c r="Y720" s="194">
        <v>945</v>
      </c>
      <c r="Z720" s="180">
        <v>46147</v>
      </c>
      <c r="AA720" s="145"/>
      <c r="AB720" s="104" t="s">
        <v>1425</v>
      </c>
      <c r="AC720" s="104"/>
      <c r="AD720" s="113">
        <f>S720-Y720</f>
        <v>0</v>
      </c>
    </row>
    <row r="721" spans="1:30" ht="45" hidden="1" customHeight="1">
      <c r="B721" s="174">
        <v>718</v>
      </c>
      <c r="C721" s="104" t="s">
        <v>137</v>
      </c>
      <c r="D721" s="104" t="s">
        <v>2030</v>
      </c>
      <c r="E721" s="104" t="s">
        <v>34</v>
      </c>
      <c r="F721" s="104" t="s">
        <v>44</v>
      </c>
      <c r="G721" s="145" t="s">
        <v>2031</v>
      </c>
      <c r="H721" s="104">
        <v>2071</v>
      </c>
      <c r="I721" s="104">
        <v>5</v>
      </c>
      <c r="J721" s="104" t="s">
        <v>1575</v>
      </c>
      <c r="K721" s="104" t="s">
        <v>2032</v>
      </c>
      <c r="L721" s="104">
        <v>117826</v>
      </c>
      <c r="M721" s="104">
        <v>5</v>
      </c>
      <c r="N721" s="104" t="s">
        <v>2033</v>
      </c>
      <c r="O721" s="104"/>
      <c r="P721" s="104">
        <v>4458259</v>
      </c>
      <c r="Q721" s="106">
        <v>46127</v>
      </c>
      <c r="R721" s="104">
        <v>4563940</v>
      </c>
      <c r="S721" s="160">
        <v>3990</v>
      </c>
      <c r="T721" s="104"/>
      <c r="U721" s="145">
        <v>574</v>
      </c>
      <c r="V721" s="145" t="s">
        <v>34</v>
      </c>
      <c r="W721" s="145" t="s">
        <v>48</v>
      </c>
      <c r="X721" s="104" t="s">
        <v>25</v>
      </c>
      <c r="Y721" s="194">
        <v>3990</v>
      </c>
      <c r="Z721" s="195">
        <v>46146</v>
      </c>
      <c r="AA721" s="195">
        <v>46147</v>
      </c>
      <c r="AB721" s="104" t="s">
        <v>41</v>
      </c>
      <c r="AC721" s="104"/>
      <c r="AD721" s="113">
        <f>S721-Y721</f>
        <v>0</v>
      </c>
    </row>
    <row r="722" spans="1:30" ht="45" hidden="1" customHeight="1">
      <c r="B722" s="174">
        <v>719</v>
      </c>
      <c r="C722" s="104" t="s">
        <v>137</v>
      </c>
      <c r="D722" s="104" t="s">
        <v>2030</v>
      </c>
      <c r="E722" s="104" t="s">
        <v>34</v>
      </c>
      <c r="F722" s="104" t="s">
        <v>44</v>
      </c>
      <c r="G722" s="145" t="s">
        <v>2034</v>
      </c>
      <c r="H722" s="104">
        <v>2071</v>
      </c>
      <c r="I722" s="104">
        <v>5</v>
      </c>
      <c r="J722" s="104" t="s">
        <v>1575</v>
      </c>
      <c r="K722" s="104" t="s">
        <v>2035</v>
      </c>
      <c r="L722" s="104">
        <v>117826</v>
      </c>
      <c r="M722" s="104">
        <v>5</v>
      </c>
      <c r="N722" s="104" t="s">
        <v>1038</v>
      </c>
      <c r="O722" s="104"/>
      <c r="P722" s="104">
        <v>4458282</v>
      </c>
      <c r="Q722" s="106">
        <v>46127</v>
      </c>
      <c r="R722" s="104">
        <v>4563942</v>
      </c>
      <c r="S722" s="160">
        <v>1591.5</v>
      </c>
      <c r="T722" s="104"/>
      <c r="U722" s="145">
        <v>575</v>
      </c>
      <c r="V722" s="145" t="s">
        <v>34</v>
      </c>
      <c r="W722" s="145" t="s">
        <v>48</v>
      </c>
      <c r="X722" s="104" t="s">
        <v>25</v>
      </c>
      <c r="Y722" s="194">
        <v>1540</v>
      </c>
      <c r="Z722" s="195">
        <v>46146</v>
      </c>
      <c r="AA722" s="195">
        <v>46147</v>
      </c>
      <c r="AB722" s="104" t="s">
        <v>41</v>
      </c>
      <c r="AC722" s="104"/>
      <c r="AD722" s="113">
        <f>S722-Y722</f>
        <v>51.5</v>
      </c>
    </row>
    <row r="723" spans="1:30" ht="45" hidden="1" customHeight="1">
      <c r="B723" s="174">
        <v>720</v>
      </c>
      <c r="C723" s="104" t="s">
        <v>80</v>
      </c>
      <c r="D723" s="104" t="s">
        <v>138</v>
      </c>
      <c r="E723" s="104">
        <v>49069</v>
      </c>
      <c r="F723" s="104" t="s">
        <v>35</v>
      </c>
      <c r="G723" s="145" t="s">
        <v>2036</v>
      </c>
      <c r="H723" s="104">
        <v>2224</v>
      </c>
      <c r="I723" s="104">
        <v>242</v>
      </c>
      <c r="J723" s="104" t="s">
        <v>1575</v>
      </c>
      <c r="K723" s="104" t="s">
        <v>2037</v>
      </c>
      <c r="L723" s="104">
        <v>118132</v>
      </c>
      <c r="M723" s="104">
        <v>6</v>
      </c>
      <c r="N723" s="104" t="s">
        <v>34</v>
      </c>
      <c r="O723" s="104" t="s">
        <v>34</v>
      </c>
      <c r="P723" s="104">
        <v>4457993</v>
      </c>
      <c r="Q723" s="106">
        <v>46127</v>
      </c>
      <c r="R723" s="104">
        <v>4564398</v>
      </c>
      <c r="S723" s="160">
        <v>235.9</v>
      </c>
      <c r="T723" s="130">
        <v>46129</v>
      </c>
      <c r="U723" s="145">
        <v>20628</v>
      </c>
      <c r="V723" s="145" t="s">
        <v>34</v>
      </c>
      <c r="W723" s="145" t="s">
        <v>40</v>
      </c>
      <c r="X723" s="104" t="s">
        <v>385</v>
      </c>
      <c r="Y723" s="194">
        <v>235.9</v>
      </c>
      <c r="Z723" s="195">
        <v>46134</v>
      </c>
      <c r="AA723" s="195">
        <v>46134</v>
      </c>
      <c r="AB723" s="104" t="s">
        <v>41</v>
      </c>
      <c r="AC723" s="104"/>
      <c r="AD723" s="113">
        <f>S723-Y723</f>
        <v>0</v>
      </c>
    </row>
    <row r="724" spans="1:30" ht="45" hidden="1" customHeight="1">
      <c r="A724" s="103" t="s">
        <v>2038</v>
      </c>
      <c r="B724" s="174">
        <v>721</v>
      </c>
      <c r="C724" s="104" t="s">
        <v>95</v>
      </c>
      <c r="D724" s="104" t="s">
        <v>1610</v>
      </c>
      <c r="E724" s="104" t="s">
        <v>34</v>
      </c>
      <c r="F724" s="104" t="s">
        <v>44</v>
      </c>
      <c r="G724" s="145" t="s">
        <v>2039</v>
      </c>
      <c r="H724" s="104">
        <v>4502</v>
      </c>
      <c r="I724" s="104">
        <v>326</v>
      </c>
      <c r="J724" s="104" t="s">
        <v>1575</v>
      </c>
      <c r="K724" s="104" t="s">
        <v>2040</v>
      </c>
      <c r="L724" s="104" t="s">
        <v>1739</v>
      </c>
      <c r="M724" s="104">
        <v>1</v>
      </c>
      <c r="N724" s="104" t="s">
        <v>34</v>
      </c>
      <c r="O724" s="104" t="s">
        <v>34</v>
      </c>
      <c r="P724" s="104">
        <v>4550614</v>
      </c>
      <c r="Q724" s="106">
        <v>46127</v>
      </c>
      <c r="R724" s="104">
        <v>4550614</v>
      </c>
      <c r="S724" s="160">
        <v>6750</v>
      </c>
      <c r="T724" s="104"/>
      <c r="U724" s="145">
        <v>435</v>
      </c>
      <c r="V724" s="145" t="s">
        <v>34</v>
      </c>
      <c r="W724" s="145" t="s">
        <v>48</v>
      </c>
      <c r="X724" s="104" t="s">
        <v>25</v>
      </c>
      <c r="Y724" s="194">
        <v>6750</v>
      </c>
      <c r="Z724" s="195">
        <v>46125</v>
      </c>
      <c r="AA724" s="195">
        <v>46127</v>
      </c>
      <c r="AB724" s="104" t="s">
        <v>60</v>
      </c>
      <c r="AC724" s="104"/>
      <c r="AD724" s="113">
        <f>S724-Y724</f>
        <v>0</v>
      </c>
    </row>
    <row r="725" spans="1:30" ht="45" hidden="1" customHeight="1">
      <c r="B725" s="174">
        <v>722</v>
      </c>
      <c r="C725" s="104" t="s">
        <v>282</v>
      </c>
      <c r="D725" s="104" t="s">
        <v>2041</v>
      </c>
      <c r="E725" s="104" t="s">
        <v>34</v>
      </c>
      <c r="F725" s="104" t="s">
        <v>44</v>
      </c>
      <c r="G725" s="145" t="s">
        <v>1936</v>
      </c>
      <c r="H725" s="104">
        <v>1210</v>
      </c>
      <c r="I725" s="104">
        <v>242</v>
      </c>
      <c r="J725" s="104" t="s">
        <v>1575</v>
      </c>
      <c r="K725" s="104" t="s">
        <v>2042</v>
      </c>
      <c r="L725" s="104">
        <v>114401</v>
      </c>
      <c r="M725" s="104">
        <v>29</v>
      </c>
      <c r="N725" s="104" t="s">
        <v>2043</v>
      </c>
      <c r="O725" s="104" t="s">
        <v>34</v>
      </c>
      <c r="P725" s="104">
        <v>4458156</v>
      </c>
      <c r="Q725" s="106">
        <v>46127</v>
      </c>
      <c r="R725" s="104">
        <v>4578758</v>
      </c>
      <c r="S725" s="160" t="s">
        <v>1340</v>
      </c>
      <c r="T725" s="104"/>
      <c r="U725" s="145"/>
      <c r="V725" s="145"/>
      <c r="W725" s="145"/>
      <c r="X725" s="104"/>
      <c r="Y725" s="194"/>
      <c r="Z725" s="145"/>
      <c r="AA725" s="145"/>
      <c r="AB725" s="104" t="s">
        <v>66</v>
      </c>
      <c r="AC725" s="104"/>
      <c r="AD725" s="113" t="e">
        <f>S725-Y725</f>
        <v>#VALUE!</v>
      </c>
    </row>
    <row r="726" spans="1:30" ht="45" customHeight="1">
      <c r="B726" s="174">
        <v>723</v>
      </c>
      <c r="C726" s="104" t="s">
        <v>282</v>
      </c>
      <c r="D726" s="104" t="s">
        <v>2044</v>
      </c>
      <c r="E726" s="104">
        <v>48422</v>
      </c>
      <c r="F726" s="104" t="s">
        <v>44</v>
      </c>
      <c r="G726" s="145" t="s">
        <v>2045</v>
      </c>
      <c r="H726" s="104">
        <v>1295</v>
      </c>
      <c r="I726" s="104">
        <v>242</v>
      </c>
      <c r="J726" s="104" t="s">
        <v>1575</v>
      </c>
      <c r="K726" s="104" t="s">
        <v>2046</v>
      </c>
      <c r="L726" s="104">
        <v>114171</v>
      </c>
      <c r="M726" s="104">
        <v>8</v>
      </c>
      <c r="N726" s="104" t="s">
        <v>2047</v>
      </c>
      <c r="O726" s="104" t="s">
        <v>34</v>
      </c>
      <c r="P726" s="104">
        <v>4458252</v>
      </c>
      <c r="Q726" s="106">
        <v>46127</v>
      </c>
      <c r="R726" s="104"/>
      <c r="S726" s="160">
        <v>382.5</v>
      </c>
      <c r="T726" s="130">
        <v>46122</v>
      </c>
      <c r="U726" s="145"/>
      <c r="V726" s="145"/>
      <c r="W726" s="145"/>
      <c r="X726" s="104"/>
      <c r="Y726" s="194"/>
      <c r="Z726" s="145"/>
      <c r="AA726" s="145"/>
      <c r="AB726" s="104" t="s">
        <v>2048</v>
      </c>
      <c r="AC726" s="104"/>
      <c r="AD726" s="113">
        <f>S726-Y726</f>
        <v>382.5</v>
      </c>
    </row>
    <row r="727" spans="1:30" ht="45" hidden="1" customHeight="1">
      <c r="B727" s="174">
        <v>724</v>
      </c>
      <c r="C727" s="104" t="s">
        <v>1456</v>
      </c>
      <c r="D727" s="104" t="s">
        <v>479</v>
      </c>
      <c r="E727" s="104" t="s">
        <v>34</v>
      </c>
      <c r="F727" s="104" t="s">
        <v>44</v>
      </c>
      <c r="G727" s="145" t="s">
        <v>1457</v>
      </c>
      <c r="H727" s="104" t="s">
        <v>1458</v>
      </c>
      <c r="I727" s="104">
        <v>242</v>
      </c>
      <c r="J727" s="104" t="s">
        <v>1459</v>
      </c>
      <c r="K727" s="104" t="s">
        <v>479</v>
      </c>
      <c r="L727" s="104">
        <v>104393</v>
      </c>
      <c r="M727" s="104">
        <v>1</v>
      </c>
      <c r="N727" s="104"/>
      <c r="O727" s="104"/>
      <c r="P727" s="104">
        <v>4383182</v>
      </c>
      <c r="Q727" s="106">
        <v>46058</v>
      </c>
      <c r="R727" s="104">
        <v>4501421</v>
      </c>
      <c r="S727" s="160">
        <f>AD597</f>
        <v>21893</v>
      </c>
      <c r="T727" s="106">
        <v>46075</v>
      </c>
      <c r="U727" s="104">
        <v>567</v>
      </c>
      <c r="V727" s="145" t="s">
        <v>34</v>
      </c>
      <c r="W727" s="145" t="s">
        <v>48</v>
      </c>
      <c r="X727" s="104" t="s">
        <v>25</v>
      </c>
      <c r="Y727" s="194">
        <v>14416.94</v>
      </c>
      <c r="Z727" s="180">
        <v>46125</v>
      </c>
      <c r="AA727" s="195">
        <v>46134</v>
      </c>
      <c r="AB727" s="104" t="s">
        <v>60</v>
      </c>
      <c r="AC727" s="104"/>
      <c r="AD727" s="113">
        <f>S727-Y727</f>
        <v>7476.0599999999995</v>
      </c>
    </row>
    <row r="728" spans="1:30" ht="61.5" hidden="1" customHeight="1">
      <c r="B728" s="174">
        <v>725</v>
      </c>
      <c r="C728" s="104" t="s">
        <v>282</v>
      </c>
      <c r="D728" s="104" t="s">
        <v>2049</v>
      </c>
      <c r="E728" s="104">
        <v>48664</v>
      </c>
      <c r="F728" s="104" t="s">
        <v>44</v>
      </c>
      <c r="G728" s="145" t="s">
        <v>2050</v>
      </c>
      <c r="H728" s="104">
        <v>4588</v>
      </c>
      <c r="I728" s="104">
        <v>242</v>
      </c>
      <c r="J728" s="104" t="s">
        <v>1575</v>
      </c>
      <c r="K728" s="104" t="s">
        <v>2051</v>
      </c>
      <c r="L728" s="104">
        <v>113752</v>
      </c>
      <c r="M728" s="104">
        <v>6</v>
      </c>
      <c r="N728" s="104" t="s">
        <v>34</v>
      </c>
      <c r="O728" s="104" t="s">
        <v>34</v>
      </c>
      <c r="P728" s="104">
        <v>4458446</v>
      </c>
      <c r="Q728" s="106">
        <v>46127</v>
      </c>
      <c r="R728" s="104">
        <v>4568763</v>
      </c>
      <c r="S728" s="160">
        <v>17100</v>
      </c>
      <c r="T728" s="104"/>
      <c r="U728" s="145"/>
      <c r="V728" s="145"/>
      <c r="W728" s="145"/>
      <c r="X728" s="104"/>
      <c r="Y728" s="194"/>
      <c r="Z728" s="145"/>
      <c r="AA728" s="145"/>
      <c r="AB728" s="104" t="s">
        <v>66</v>
      </c>
      <c r="AC728" s="104"/>
      <c r="AD728" s="113">
        <f>S728-Y728</f>
        <v>17100</v>
      </c>
    </row>
    <row r="729" spans="1:30" ht="45" hidden="1" customHeight="1">
      <c r="B729" s="174">
        <v>726</v>
      </c>
      <c r="C729" s="104" t="s">
        <v>282</v>
      </c>
      <c r="D729" s="104" t="s">
        <v>250</v>
      </c>
      <c r="E729" s="104">
        <v>49245</v>
      </c>
      <c r="F729" s="104" t="s">
        <v>44</v>
      </c>
      <c r="G729" s="145" t="s">
        <v>2052</v>
      </c>
      <c r="H729" s="104">
        <v>1210</v>
      </c>
      <c r="I729" s="104">
        <v>5</v>
      </c>
      <c r="J729" s="104" t="s">
        <v>1575</v>
      </c>
      <c r="K729" s="104" t="s">
        <v>2053</v>
      </c>
      <c r="L729" s="104">
        <v>117853</v>
      </c>
      <c r="M729" s="104">
        <v>6</v>
      </c>
      <c r="N729" s="104" t="s">
        <v>34</v>
      </c>
      <c r="O729" s="104" t="s">
        <v>34</v>
      </c>
      <c r="P729" s="104">
        <v>4458511</v>
      </c>
      <c r="Q729" s="106">
        <v>46127</v>
      </c>
      <c r="R729" s="104">
        <v>4563815</v>
      </c>
      <c r="S729" s="160">
        <v>15836</v>
      </c>
      <c r="T729" s="104" t="s">
        <v>34</v>
      </c>
      <c r="U729" s="145">
        <v>1718</v>
      </c>
      <c r="V729" s="145" t="s">
        <v>34</v>
      </c>
      <c r="W729" s="145" t="s">
        <v>40</v>
      </c>
      <c r="X729" s="104" t="s">
        <v>25</v>
      </c>
      <c r="Y729" s="194">
        <v>15836</v>
      </c>
      <c r="Z729" s="195">
        <v>46132</v>
      </c>
      <c r="AA729" s="195">
        <v>46134</v>
      </c>
      <c r="AB729" s="104" t="s">
        <v>41</v>
      </c>
      <c r="AC729" s="104"/>
      <c r="AD729" s="113">
        <f>S729-Y729</f>
        <v>0</v>
      </c>
    </row>
    <row r="730" spans="1:30" ht="45" hidden="1" customHeight="1">
      <c r="B730" s="174">
        <v>727</v>
      </c>
      <c r="C730" s="104" t="s">
        <v>282</v>
      </c>
      <c r="D730" s="104" t="s">
        <v>250</v>
      </c>
      <c r="E730" s="104">
        <v>46712</v>
      </c>
      <c r="F730" s="104" t="s">
        <v>44</v>
      </c>
      <c r="G730" s="145" t="s">
        <v>2054</v>
      </c>
      <c r="H730" s="104">
        <v>1236</v>
      </c>
      <c r="I730" s="104">
        <v>242</v>
      </c>
      <c r="J730" s="104" t="s">
        <v>1575</v>
      </c>
      <c r="K730" s="104" t="s">
        <v>2055</v>
      </c>
      <c r="L730" s="104">
        <v>118432</v>
      </c>
      <c r="M730" s="104">
        <v>6</v>
      </c>
      <c r="N730" s="104" t="s">
        <v>34</v>
      </c>
      <c r="O730" s="104" t="s">
        <v>34</v>
      </c>
      <c r="P730" s="104">
        <v>4458574</v>
      </c>
      <c r="Q730" s="106">
        <v>46127</v>
      </c>
      <c r="R730" s="104">
        <v>4563817</v>
      </c>
      <c r="S730" s="160">
        <v>2980</v>
      </c>
      <c r="T730" s="130">
        <v>46139</v>
      </c>
      <c r="U730" s="145"/>
      <c r="V730" s="145"/>
      <c r="W730" s="145"/>
      <c r="X730" s="104"/>
      <c r="Y730" s="194"/>
      <c r="Z730" s="145"/>
      <c r="AA730" s="145"/>
      <c r="AB730" s="104" t="s">
        <v>66</v>
      </c>
      <c r="AC730" s="104"/>
      <c r="AD730" s="113">
        <f>S730-Y730</f>
        <v>2980</v>
      </c>
    </row>
    <row r="731" spans="1:30" ht="45" hidden="1" customHeight="1">
      <c r="B731" s="174">
        <v>728</v>
      </c>
      <c r="C731" s="104" t="s">
        <v>282</v>
      </c>
      <c r="D731" s="104" t="s">
        <v>2056</v>
      </c>
      <c r="E731" s="104">
        <v>49449</v>
      </c>
      <c r="F731" s="104" t="s">
        <v>44</v>
      </c>
      <c r="G731" s="145" t="s">
        <v>2057</v>
      </c>
      <c r="H731" s="104">
        <v>1210</v>
      </c>
      <c r="I731" s="104">
        <v>242</v>
      </c>
      <c r="J731" s="104" t="s">
        <v>1575</v>
      </c>
      <c r="K731" s="104" t="s">
        <v>2058</v>
      </c>
      <c r="L731" s="104">
        <v>118409</v>
      </c>
      <c r="M731" s="104">
        <v>5</v>
      </c>
      <c r="N731" s="104" t="s">
        <v>2059</v>
      </c>
      <c r="O731" s="104" t="s">
        <v>34</v>
      </c>
      <c r="P731" s="116" t="s">
        <v>2060</v>
      </c>
      <c r="Q731" s="106">
        <v>46128</v>
      </c>
      <c r="R731" s="104"/>
      <c r="S731" s="160">
        <v>149900</v>
      </c>
      <c r="T731" s="130">
        <v>46127</v>
      </c>
      <c r="U731" s="145">
        <v>1554</v>
      </c>
      <c r="V731" s="145"/>
      <c r="W731" s="145"/>
      <c r="X731" s="104"/>
      <c r="Y731" s="194"/>
      <c r="Z731" s="145"/>
      <c r="AA731" s="145"/>
      <c r="AB731" s="104" t="s">
        <v>2048</v>
      </c>
      <c r="AC731" s="104"/>
      <c r="AD731" s="113">
        <f>S731-Y731</f>
        <v>149900</v>
      </c>
    </row>
    <row r="732" spans="1:30" ht="45" hidden="1" customHeight="1">
      <c r="B732" s="174">
        <v>729</v>
      </c>
      <c r="C732" s="104" t="s">
        <v>95</v>
      </c>
      <c r="D732" s="104" t="s">
        <v>56</v>
      </c>
      <c r="E732" s="104" t="s">
        <v>34</v>
      </c>
      <c r="F732" s="104" t="s">
        <v>44</v>
      </c>
      <c r="G732" s="145" t="s">
        <v>2061</v>
      </c>
      <c r="H732" s="104">
        <v>4502</v>
      </c>
      <c r="I732" s="104">
        <v>327</v>
      </c>
      <c r="J732" s="104" t="s">
        <v>1575</v>
      </c>
      <c r="K732" s="104" t="s">
        <v>2062</v>
      </c>
      <c r="L732" s="104" t="s">
        <v>1739</v>
      </c>
      <c r="M732" s="104">
        <v>27</v>
      </c>
      <c r="N732" s="104" t="s">
        <v>34</v>
      </c>
      <c r="O732" s="104" t="s">
        <v>34</v>
      </c>
      <c r="P732" s="104">
        <v>4450539</v>
      </c>
      <c r="Q732" s="130">
        <v>46105</v>
      </c>
      <c r="R732" s="104">
        <v>4536297</v>
      </c>
      <c r="S732" s="160">
        <v>21500</v>
      </c>
      <c r="T732" s="104" t="s">
        <v>34</v>
      </c>
      <c r="U732" s="145">
        <v>1535</v>
      </c>
      <c r="V732" s="145" t="s">
        <v>34</v>
      </c>
      <c r="W732" s="145" t="s">
        <v>40</v>
      </c>
      <c r="X732" s="104" t="s">
        <v>25</v>
      </c>
      <c r="Y732" s="194">
        <v>1800</v>
      </c>
      <c r="Z732" s="195">
        <v>46129</v>
      </c>
      <c r="AA732" s="195">
        <v>46129</v>
      </c>
      <c r="AB732" s="104" t="s">
        <v>41</v>
      </c>
      <c r="AC732" s="104"/>
      <c r="AD732" s="113">
        <f>S732-Y732</f>
        <v>19700</v>
      </c>
    </row>
    <row r="733" spans="1:30" ht="45" hidden="1" customHeight="1">
      <c r="B733" s="174">
        <v>730</v>
      </c>
      <c r="C733" s="104" t="s">
        <v>70</v>
      </c>
      <c r="D733" s="104" t="s">
        <v>1437</v>
      </c>
      <c r="E733" s="104">
        <v>49042</v>
      </c>
      <c r="F733" s="104" t="s">
        <v>44</v>
      </c>
      <c r="G733" s="145" t="s">
        <v>2063</v>
      </c>
      <c r="H733" s="104">
        <v>2224</v>
      </c>
      <c r="I733" s="104">
        <v>242</v>
      </c>
      <c r="J733" s="104" t="s">
        <v>1430</v>
      </c>
      <c r="K733" s="104">
        <v>80052</v>
      </c>
      <c r="L733" s="104">
        <v>119416</v>
      </c>
      <c r="M733" s="104">
        <v>6</v>
      </c>
      <c r="N733" s="104"/>
      <c r="O733" s="104"/>
      <c r="P733" s="104">
        <v>4462286</v>
      </c>
      <c r="Q733" s="106">
        <v>46132</v>
      </c>
      <c r="R733" s="104">
        <v>4570601</v>
      </c>
      <c r="S733" s="160">
        <v>2610.4</v>
      </c>
      <c r="T733" s="199">
        <v>46143</v>
      </c>
      <c r="U733" s="145"/>
      <c r="V733" s="145"/>
      <c r="W733" s="145"/>
      <c r="X733" s="104"/>
      <c r="Y733" s="194"/>
      <c r="Z733" s="145"/>
      <c r="AA733" s="145"/>
      <c r="AB733" s="104" t="s">
        <v>66</v>
      </c>
      <c r="AC733" s="104"/>
      <c r="AD733" s="113">
        <f>S733-Y733</f>
        <v>2610.4</v>
      </c>
    </row>
    <row r="734" spans="1:30" ht="45" hidden="1" customHeight="1">
      <c r="B734" s="174">
        <v>731</v>
      </c>
      <c r="C734" s="104" t="s">
        <v>70</v>
      </c>
      <c r="D734" s="104" t="s">
        <v>1437</v>
      </c>
      <c r="E734" s="104">
        <v>49183</v>
      </c>
      <c r="F734" s="104" t="s">
        <v>44</v>
      </c>
      <c r="G734" s="145" t="s">
        <v>2064</v>
      </c>
      <c r="H734" s="104">
        <v>2470</v>
      </c>
      <c r="I734" s="104">
        <v>242</v>
      </c>
      <c r="J734" s="104" t="s">
        <v>1430</v>
      </c>
      <c r="K734" s="104">
        <v>80051</v>
      </c>
      <c r="L734" s="104">
        <v>119412</v>
      </c>
      <c r="M734" s="104">
        <v>6</v>
      </c>
      <c r="N734" s="104"/>
      <c r="O734" s="104"/>
      <c r="P734" s="104">
        <v>4462300</v>
      </c>
      <c r="Q734" s="106">
        <v>46132</v>
      </c>
      <c r="R734" s="104">
        <v>4570599</v>
      </c>
      <c r="S734" s="160">
        <v>1985.9</v>
      </c>
      <c r="T734" s="199">
        <v>46143</v>
      </c>
      <c r="U734" s="145"/>
      <c r="V734" s="145"/>
      <c r="W734" s="145"/>
      <c r="X734" s="104"/>
      <c r="Y734" s="194"/>
      <c r="Z734" s="145"/>
      <c r="AA734" s="145"/>
      <c r="AB734" s="104" t="s">
        <v>66</v>
      </c>
      <c r="AC734" s="104"/>
      <c r="AD734" s="113">
        <f>S734-Y734</f>
        <v>1985.9</v>
      </c>
    </row>
    <row r="735" spans="1:30" ht="45" hidden="1" customHeight="1">
      <c r="B735" s="174">
        <v>732</v>
      </c>
      <c r="C735" s="104" t="s">
        <v>70</v>
      </c>
      <c r="D735" s="104" t="s">
        <v>2065</v>
      </c>
      <c r="E735" s="104">
        <v>48000</v>
      </c>
      <c r="F735" s="104" t="s">
        <v>44</v>
      </c>
      <c r="G735" s="145" t="s">
        <v>2066</v>
      </c>
      <c r="H735" s="104">
        <v>1228</v>
      </c>
      <c r="I735" s="104">
        <v>242</v>
      </c>
      <c r="J735" s="104" t="s">
        <v>1430</v>
      </c>
      <c r="K735" s="104">
        <v>8956</v>
      </c>
      <c r="L735" s="104">
        <v>119422</v>
      </c>
      <c r="M735" s="104">
        <v>6</v>
      </c>
      <c r="N735" s="104"/>
      <c r="O735" s="104"/>
      <c r="P735" s="104">
        <v>4462579</v>
      </c>
      <c r="Q735" s="106">
        <v>46132</v>
      </c>
      <c r="R735" s="104">
        <v>4570610</v>
      </c>
      <c r="S735" s="160">
        <v>17294.400000000001</v>
      </c>
      <c r="T735" s="199">
        <v>46143</v>
      </c>
      <c r="U735" s="145">
        <v>2126</v>
      </c>
      <c r="V735" s="145"/>
      <c r="W735" s="145" t="s">
        <v>48</v>
      </c>
      <c r="X735" s="104" t="s">
        <v>94</v>
      </c>
      <c r="Y735" s="194">
        <v>17294.400000000001</v>
      </c>
      <c r="Z735" s="180">
        <v>46146</v>
      </c>
      <c r="AA735" s="180">
        <v>46147</v>
      </c>
      <c r="AB735" s="104" t="s">
        <v>41</v>
      </c>
      <c r="AC735" s="104"/>
      <c r="AD735" s="113">
        <f>S735-Y735</f>
        <v>0</v>
      </c>
    </row>
    <row r="736" spans="1:30" ht="45" hidden="1" customHeight="1">
      <c r="B736" s="174">
        <v>733</v>
      </c>
      <c r="C736" s="104" t="s">
        <v>70</v>
      </c>
      <c r="D736" s="104" t="s">
        <v>1162</v>
      </c>
      <c r="E736" s="104">
        <v>49231</v>
      </c>
      <c r="F736" s="104" t="s">
        <v>44</v>
      </c>
      <c r="G736" s="145" t="s">
        <v>2067</v>
      </c>
      <c r="H736" s="104">
        <v>2283</v>
      </c>
      <c r="I736" s="104">
        <v>242</v>
      </c>
      <c r="J736" s="104" t="s">
        <v>1430</v>
      </c>
      <c r="K736" s="104">
        <v>96729</v>
      </c>
      <c r="L736" s="104">
        <v>118981</v>
      </c>
      <c r="M736" s="104">
        <v>2</v>
      </c>
      <c r="N736" s="104" t="s">
        <v>2068</v>
      </c>
      <c r="O736" s="104"/>
      <c r="P736" s="104">
        <v>4462593</v>
      </c>
      <c r="Q736" s="106">
        <v>46132</v>
      </c>
      <c r="R736" s="104">
        <v>4575554</v>
      </c>
      <c r="S736" s="160">
        <v>27236.54</v>
      </c>
      <c r="T736" s="199">
        <v>46143</v>
      </c>
      <c r="U736" s="145"/>
      <c r="V736" s="145"/>
      <c r="W736" s="145"/>
      <c r="X736" s="104"/>
      <c r="Y736" s="194"/>
      <c r="Z736" s="145"/>
      <c r="AA736" s="145"/>
      <c r="AB736" s="104" t="s">
        <v>66</v>
      </c>
      <c r="AC736" s="104"/>
      <c r="AD736" s="113">
        <f>S736-Y736</f>
        <v>27236.54</v>
      </c>
    </row>
    <row r="737" spans="2:30" ht="45" hidden="1" customHeight="1">
      <c r="B737" s="174">
        <v>734</v>
      </c>
      <c r="C737" s="104" t="s">
        <v>316</v>
      </c>
      <c r="D737" s="104" t="s">
        <v>1532</v>
      </c>
      <c r="E737" s="104">
        <v>47126</v>
      </c>
      <c r="F737" s="104" t="s">
        <v>44</v>
      </c>
      <c r="G737" s="145" t="s">
        <v>2069</v>
      </c>
      <c r="H737" s="104">
        <v>2470</v>
      </c>
      <c r="I737" s="104">
        <v>242</v>
      </c>
      <c r="J737" s="104" t="s">
        <v>1430</v>
      </c>
      <c r="K737" s="104">
        <v>12457</v>
      </c>
      <c r="L737" s="104">
        <v>113224</v>
      </c>
      <c r="M737" s="104">
        <v>6</v>
      </c>
      <c r="N737" s="104"/>
      <c r="O737" s="104"/>
      <c r="P737" s="104">
        <v>4462611</v>
      </c>
      <c r="Q737" s="106">
        <v>46132</v>
      </c>
      <c r="R737" s="104">
        <v>4571906</v>
      </c>
      <c r="S737" s="160">
        <v>7160</v>
      </c>
      <c r="T737" s="104"/>
      <c r="U737" s="145"/>
      <c r="V737" s="145"/>
      <c r="W737" s="145"/>
      <c r="X737" s="104"/>
      <c r="Y737" s="194"/>
      <c r="Z737" s="145"/>
      <c r="AA737" s="145"/>
      <c r="AB737" s="104" t="s">
        <v>66</v>
      </c>
      <c r="AC737" s="104"/>
      <c r="AD737" s="113">
        <f>S737-Y737</f>
        <v>7160</v>
      </c>
    </row>
    <row r="738" spans="2:30" ht="45" hidden="1" customHeight="1">
      <c r="B738" s="174">
        <v>735</v>
      </c>
      <c r="C738" s="104" t="s">
        <v>70</v>
      </c>
      <c r="D738" s="104" t="s">
        <v>2065</v>
      </c>
      <c r="E738" s="104">
        <v>48359</v>
      </c>
      <c r="F738" s="104" t="s">
        <v>44</v>
      </c>
      <c r="G738" s="145" t="s">
        <v>2070</v>
      </c>
      <c r="H738" s="104">
        <v>2488</v>
      </c>
      <c r="I738" s="104">
        <v>3</v>
      </c>
      <c r="J738" s="104" t="s">
        <v>1430</v>
      </c>
      <c r="K738" s="104">
        <v>8920</v>
      </c>
      <c r="L738" s="104">
        <v>117947</v>
      </c>
      <c r="M738" s="104">
        <v>5</v>
      </c>
      <c r="N738" s="104" t="s">
        <v>2071</v>
      </c>
      <c r="O738" s="104"/>
      <c r="P738" s="104">
        <v>4462636</v>
      </c>
      <c r="Q738" s="106">
        <v>46132</v>
      </c>
      <c r="R738" s="104">
        <v>4573478</v>
      </c>
      <c r="S738" s="160">
        <v>1680</v>
      </c>
      <c r="T738" s="106">
        <v>46142</v>
      </c>
      <c r="U738" s="145">
        <v>2120</v>
      </c>
      <c r="V738" s="145"/>
      <c r="W738" s="145" t="s">
        <v>48</v>
      </c>
      <c r="X738" s="104" t="s">
        <v>94</v>
      </c>
      <c r="Y738" s="194">
        <v>1680</v>
      </c>
      <c r="Z738" s="180">
        <v>46141</v>
      </c>
      <c r="AA738" s="145"/>
      <c r="AB738" s="104" t="s">
        <v>1425</v>
      </c>
      <c r="AC738" s="104"/>
      <c r="AD738" s="113">
        <f>S738-Y738</f>
        <v>0</v>
      </c>
    </row>
    <row r="739" spans="2:30" ht="45" hidden="1" customHeight="1">
      <c r="B739" s="174">
        <v>736</v>
      </c>
      <c r="C739" s="104" t="s">
        <v>146</v>
      </c>
      <c r="D739" s="104" t="s">
        <v>582</v>
      </c>
      <c r="E739" s="104">
        <v>47584</v>
      </c>
      <c r="F739" s="104" t="s">
        <v>35</v>
      </c>
      <c r="G739" s="145" t="s">
        <v>2072</v>
      </c>
      <c r="H739" s="104">
        <v>4588</v>
      </c>
      <c r="I739" s="104">
        <v>242</v>
      </c>
      <c r="J739" s="104" t="s">
        <v>1430</v>
      </c>
      <c r="K739" s="104">
        <v>504</v>
      </c>
      <c r="L739" s="104">
        <v>118134</v>
      </c>
      <c r="M739" s="104">
        <v>6</v>
      </c>
      <c r="N739" s="104"/>
      <c r="O739" s="104"/>
      <c r="P739" s="104">
        <v>4462663</v>
      </c>
      <c r="Q739" s="106">
        <v>46132</v>
      </c>
      <c r="R739" s="104">
        <v>4570593</v>
      </c>
      <c r="S739" s="160">
        <v>15300</v>
      </c>
      <c r="T739" s="106">
        <v>46142</v>
      </c>
      <c r="U739" s="145"/>
      <c r="V739" s="145"/>
      <c r="W739" s="145"/>
      <c r="X739" s="104"/>
      <c r="Y739" s="194"/>
      <c r="Z739" s="145"/>
      <c r="AA739" s="145"/>
      <c r="AB739" s="104" t="s">
        <v>66</v>
      </c>
      <c r="AC739" s="104"/>
      <c r="AD739" s="113">
        <f>S739-Y739</f>
        <v>15300</v>
      </c>
    </row>
    <row r="740" spans="2:30" ht="45" hidden="1" customHeight="1">
      <c r="B740" s="174">
        <v>737</v>
      </c>
      <c r="C740" s="104" t="s">
        <v>146</v>
      </c>
      <c r="D740" s="104" t="s">
        <v>1385</v>
      </c>
      <c r="E740" s="104">
        <v>48128</v>
      </c>
      <c r="F740" s="104" t="s">
        <v>35</v>
      </c>
      <c r="G740" s="145" t="s">
        <v>2073</v>
      </c>
      <c r="H740" s="104">
        <v>4057</v>
      </c>
      <c r="I740" s="104">
        <v>242</v>
      </c>
      <c r="J740" s="104" t="s">
        <v>1430</v>
      </c>
      <c r="K740" s="104">
        <v>513</v>
      </c>
      <c r="L740" s="104">
        <v>118137</v>
      </c>
      <c r="M740" s="104">
        <v>6</v>
      </c>
      <c r="N740" s="104"/>
      <c r="O740" s="104"/>
      <c r="P740" s="104">
        <v>4462679</v>
      </c>
      <c r="Q740" s="106">
        <v>46132</v>
      </c>
      <c r="R740" s="104">
        <v>4570595</v>
      </c>
      <c r="S740" s="160">
        <v>14900</v>
      </c>
      <c r="T740" s="106">
        <v>46142</v>
      </c>
      <c r="U740" s="145">
        <v>3379</v>
      </c>
      <c r="V740" s="145"/>
      <c r="W740" s="145" t="s">
        <v>1091</v>
      </c>
      <c r="X740" s="104" t="s">
        <v>25</v>
      </c>
      <c r="Y740" s="194">
        <v>14155</v>
      </c>
      <c r="Z740" s="180">
        <v>46143</v>
      </c>
      <c r="AA740" s="145"/>
      <c r="AB740" s="104" t="s">
        <v>1425</v>
      </c>
      <c r="AC740" s="104"/>
      <c r="AD740" s="113">
        <f>S740-Y740</f>
        <v>745</v>
      </c>
    </row>
    <row r="741" spans="2:30" ht="45" hidden="1" customHeight="1">
      <c r="B741" s="174">
        <v>738</v>
      </c>
      <c r="C741" s="104" t="s">
        <v>70</v>
      </c>
      <c r="D741" s="104" t="s">
        <v>1697</v>
      </c>
      <c r="E741" s="104">
        <v>48178</v>
      </c>
      <c r="F741" s="104" t="s">
        <v>44</v>
      </c>
      <c r="G741" s="145" t="s">
        <v>2074</v>
      </c>
      <c r="H741" s="104">
        <v>4057</v>
      </c>
      <c r="I741" s="104">
        <v>242</v>
      </c>
      <c r="J741" s="104" t="s">
        <v>1430</v>
      </c>
      <c r="K741" s="104">
        <v>1326</v>
      </c>
      <c r="L741" s="104">
        <v>118014</v>
      </c>
      <c r="M741" s="104">
        <v>6</v>
      </c>
      <c r="N741" s="104"/>
      <c r="O741" s="104"/>
      <c r="P741" s="104">
        <v>4462690</v>
      </c>
      <c r="Q741" s="106">
        <v>46132</v>
      </c>
      <c r="R741" s="104">
        <v>4570597</v>
      </c>
      <c r="S741" s="160">
        <v>5150</v>
      </c>
      <c r="T741" s="199">
        <v>46143</v>
      </c>
      <c r="U741" s="145"/>
      <c r="V741" s="145"/>
      <c r="W741" s="145"/>
      <c r="X741" s="104"/>
      <c r="Y741" s="194"/>
      <c r="Z741" s="145"/>
      <c r="AA741" s="145"/>
      <c r="AB741" s="104" t="s">
        <v>66</v>
      </c>
      <c r="AC741" s="104"/>
      <c r="AD741" s="113">
        <f>S741-Y741</f>
        <v>5150</v>
      </c>
    </row>
    <row r="742" spans="2:30" ht="45" hidden="1" customHeight="1">
      <c r="B742" s="174">
        <v>739</v>
      </c>
      <c r="C742" s="104" t="s">
        <v>70</v>
      </c>
      <c r="D742" s="104" t="s">
        <v>1697</v>
      </c>
      <c r="E742" s="104">
        <v>47817</v>
      </c>
      <c r="F742" s="104" t="s">
        <v>44</v>
      </c>
      <c r="G742" s="145" t="s">
        <v>2075</v>
      </c>
      <c r="H742" s="104">
        <v>4057</v>
      </c>
      <c r="I742" s="104">
        <v>242</v>
      </c>
      <c r="J742" s="104" t="s">
        <v>1430</v>
      </c>
      <c r="K742" s="104">
        <v>1303</v>
      </c>
      <c r="L742" s="104">
        <v>118013</v>
      </c>
      <c r="M742" s="104">
        <v>6</v>
      </c>
      <c r="N742" s="104"/>
      <c r="O742" s="104"/>
      <c r="P742" s="104">
        <v>4462862</v>
      </c>
      <c r="Q742" s="106">
        <v>46132</v>
      </c>
      <c r="R742" s="104">
        <v>4570598</v>
      </c>
      <c r="S742" s="160">
        <v>8350</v>
      </c>
      <c r="T742" s="199">
        <v>46143</v>
      </c>
      <c r="U742" s="145"/>
      <c r="V742" s="145"/>
      <c r="W742" s="145"/>
      <c r="X742" s="104"/>
      <c r="Y742" s="194"/>
      <c r="Z742" s="145"/>
      <c r="AA742" s="145"/>
      <c r="AB742" s="104" t="s">
        <v>66</v>
      </c>
      <c r="AC742" s="104"/>
      <c r="AD742" s="113">
        <f>S742-Y742</f>
        <v>8350</v>
      </c>
    </row>
    <row r="743" spans="2:30" ht="45" hidden="1" customHeight="1">
      <c r="B743" s="174">
        <v>740</v>
      </c>
      <c r="C743" s="104" t="s">
        <v>282</v>
      </c>
      <c r="D743" s="104" t="s">
        <v>687</v>
      </c>
      <c r="E743" s="104">
        <v>48661</v>
      </c>
      <c r="F743" s="104" t="s">
        <v>44</v>
      </c>
      <c r="G743" s="145" t="s">
        <v>2076</v>
      </c>
      <c r="H743" s="104">
        <v>1210</v>
      </c>
      <c r="I743" s="104">
        <v>242</v>
      </c>
      <c r="J743" s="104" t="s">
        <v>1575</v>
      </c>
      <c r="K743" s="104" t="s">
        <v>2077</v>
      </c>
      <c r="L743" s="104">
        <v>114169</v>
      </c>
      <c r="M743" s="104">
        <v>6</v>
      </c>
      <c r="N743" s="104" t="s">
        <v>2078</v>
      </c>
      <c r="O743" s="104" t="s">
        <v>34</v>
      </c>
      <c r="P743" s="116" t="s">
        <v>2079</v>
      </c>
      <c r="Q743" s="106">
        <v>46132</v>
      </c>
      <c r="R743" s="104"/>
      <c r="S743" s="160">
        <v>10329.86</v>
      </c>
      <c r="T743" s="106">
        <v>46146</v>
      </c>
      <c r="U743" s="145"/>
      <c r="V743" s="145"/>
      <c r="W743" s="145"/>
      <c r="X743" s="104"/>
      <c r="Y743" s="194"/>
      <c r="Z743" s="145"/>
      <c r="AA743" s="145"/>
      <c r="AB743" s="104" t="s">
        <v>2048</v>
      </c>
      <c r="AC743" s="104"/>
      <c r="AD743" s="113">
        <f>S743-Y743</f>
        <v>10329.86</v>
      </c>
    </row>
    <row r="744" spans="2:30" ht="45" hidden="1" customHeight="1">
      <c r="B744" s="174">
        <v>741</v>
      </c>
      <c r="C744" s="104" t="s">
        <v>282</v>
      </c>
      <c r="D744" s="104" t="s">
        <v>989</v>
      </c>
      <c r="E744" s="104">
        <v>48573</v>
      </c>
      <c r="F744" s="104" t="s">
        <v>44</v>
      </c>
      <c r="G744" s="145" t="s">
        <v>2080</v>
      </c>
      <c r="H744" s="104">
        <v>1210</v>
      </c>
      <c r="I744" s="104">
        <v>242</v>
      </c>
      <c r="J744" s="104" t="s">
        <v>1575</v>
      </c>
      <c r="K744" s="104" t="s">
        <v>2081</v>
      </c>
      <c r="L744" s="104">
        <v>114127</v>
      </c>
      <c r="M744" s="104">
        <v>6</v>
      </c>
      <c r="N744" s="104" t="s">
        <v>2082</v>
      </c>
      <c r="O744" s="104" t="s">
        <v>34</v>
      </c>
      <c r="P744" s="104">
        <v>4470369</v>
      </c>
      <c r="Q744" s="106">
        <v>46132</v>
      </c>
      <c r="R744" s="104"/>
      <c r="S744" s="160">
        <v>19119</v>
      </c>
      <c r="T744" s="106">
        <v>46146</v>
      </c>
      <c r="U744" s="145"/>
      <c r="V744" s="145"/>
      <c r="W744" s="145"/>
      <c r="X744" s="104"/>
      <c r="Y744" s="194"/>
      <c r="Z744" s="145"/>
      <c r="AA744" s="145"/>
      <c r="AB744" s="104" t="s">
        <v>2048</v>
      </c>
      <c r="AC744" s="104"/>
      <c r="AD744" s="113">
        <f>S744-Y744</f>
        <v>19119</v>
      </c>
    </row>
    <row r="745" spans="2:30" ht="45" hidden="1" customHeight="1">
      <c r="B745" s="174">
        <v>742</v>
      </c>
      <c r="C745" s="104" t="s">
        <v>42</v>
      </c>
      <c r="D745" s="104" t="s">
        <v>2083</v>
      </c>
      <c r="E745" s="104" t="s">
        <v>34</v>
      </c>
      <c r="F745" s="104" t="s">
        <v>44</v>
      </c>
      <c r="G745" s="145" t="s">
        <v>2084</v>
      </c>
      <c r="H745" s="104">
        <v>1295</v>
      </c>
      <c r="I745" s="104">
        <v>242</v>
      </c>
      <c r="J745" s="104" t="s">
        <v>1575</v>
      </c>
      <c r="K745" s="104" t="s">
        <v>2085</v>
      </c>
      <c r="L745" s="104">
        <v>117506</v>
      </c>
      <c r="M745" s="104">
        <v>2</v>
      </c>
      <c r="N745" s="104" t="s">
        <v>2086</v>
      </c>
      <c r="O745" s="104" t="s">
        <v>34</v>
      </c>
      <c r="P745" s="104">
        <v>4463100</v>
      </c>
      <c r="Q745" s="106">
        <v>46132</v>
      </c>
      <c r="R745" s="104">
        <v>4573374</v>
      </c>
      <c r="S745" s="160" t="s">
        <v>2087</v>
      </c>
      <c r="T745" s="106">
        <v>46132</v>
      </c>
      <c r="U745" s="145"/>
      <c r="V745" s="145"/>
      <c r="W745" s="145"/>
      <c r="X745" s="104"/>
      <c r="Y745" s="194"/>
      <c r="Z745" s="145"/>
      <c r="AA745" s="145"/>
      <c r="AB745" s="104" t="s">
        <v>66</v>
      </c>
      <c r="AC745" s="104"/>
      <c r="AD745" s="113" t="e">
        <f>S745-Y745</f>
        <v>#VALUE!</v>
      </c>
    </row>
    <row r="746" spans="2:30" ht="45" hidden="1" customHeight="1">
      <c r="B746" s="174">
        <v>743</v>
      </c>
      <c r="C746" s="104" t="s">
        <v>282</v>
      </c>
      <c r="D746" s="104" t="s">
        <v>221</v>
      </c>
      <c r="E746" s="104" t="s">
        <v>34</v>
      </c>
      <c r="F746" s="104" t="s">
        <v>44</v>
      </c>
      <c r="G746" s="145" t="s">
        <v>2088</v>
      </c>
      <c r="H746" s="104">
        <v>1210</v>
      </c>
      <c r="I746" s="104">
        <v>242</v>
      </c>
      <c r="J746" s="104" t="s">
        <v>1575</v>
      </c>
      <c r="K746" s="104" t="s">
        <v>2089</v>
      </c>
      <c r="L746" s="104">
        <v>118991</v>
      </c>
      <c r="M746" s="104">
        <v>5</v>
      </c>
      <c r="N746" s="104" t="s">
        <v>2090</v>
      </c>
      <c r="O746" s="104" t="s">
        <v>34</v>
      </c>
      <c r="P746" s="116" t="s">
        <v>2091</v>
      </c>
      <c r="Q746" s="106">
        <v>46134</v>
      </c>
      <c r="R746" s="104">
        <v>4575757</v>
      </c>
      <c r="S746" s="160">
        <v>31305.64</v>
      </c>
      <c r="T746" s="104"/>
      <c r="U746" s="145">
        <v>2847</v>
      </c>
      <c r="V746" s="145" t="s">
        <v>34</v>
      </c>
      <c r="W746" s="145" t="s">
        <v>48</v>
      </c>
      <c r="X746" s="104" t="s">
        <v>94</v>
      </c>
      <c r="Y746" s="194">
        <v>31305.64</v>
      </c>
      <c r="Z746" s="195">
        <v>46142</v>
      </c>
      <c r="AA746" s="195">
        <v>46142</v>
      </c>
      <c r="AB746" s="104" t="s">
        <v>41</v>
      </c>
      <c r="AC746" s="104"/>
      <c r="AD746" s="113">
        <f>S746-Y746</f>
        <v>0</v>
      </c>
    </row>
    <row r="747" spans="2:30" ht="45" hidden="1" customHeight="1">
      <c r="B747" s="174">
        <v>744</v>
      </c>
      <c r="C747" s="104" t="s">
        <v>282</v>
      </c>
      <c r="D747" s="104" t="s">
        <v>2092</v>
      </c>
      <c r="E747" s="104" t="s">
        <v>34</v>
      </c>
      <c r="F747" s="104" t="s">
        <v>44</v>
      </c>
      <c r="G747" s="145" t="s">
        <v>2093</v>
      </c>
      <c r="H747" s="104">
        <v>1210</v>
      </c>
      <c r="I747" s="104">
        <v>242</v>
      </c>
      <c r="J747" s="104" t="s">
        <v>1575</v>
      </c>
      <c r="K747" s="104" t="s">
        <v>2094</v>
      </c>
      <c r="L747" s="104">
        <v>118355</v>
      </c>
      <c r="M747" s="104">
        <v>5</v>
      </c>
      <c r="N747" s="104" t="s">
        <v>2095</v>
      </c>
      <c r="O747" s="104" t="s">
        <v>34</v>
      </c>
      <c r="P747" s="116" t="s">
        <v>2096</v>
      </c>
      <c r="Q747" s="106">
        <v>46140</v>
      </c>
      <c r="R747" s="104"/>
      <c r="S747" s="160">
        <v>6500</v>
      </c>
      <c r="T747" s="104"/>
      <c r="U747" s="145"/>
      <c r="V747" s="145"/>
      <c r="W747" s="145"/>
      <c r="X747" s="104"/>
      <c r="Y747" s="194"/>
      <c r="Z747" s="145"/>
      <c r="AA747" s="145"/>
      <c r="AB747" s="104" t="s">
        <v>2048</v>
      </c>
      <c r="AC747" s="104"/>
      <c r="AD747" s="113">
        <f>S747-Y747</f>
        <v>6500</v>
      </c>
    </row>
    <row r="748" spans="2:30" ht="45" hidden="1" customHeight="1">
      <c r="B748" s="174">
        <v>745</v>
      </c>
      <c r="C748" s="104" t="s">
        <v>95</v>
      </c>
      <c r="D748" s="104" t="s">
        <v>2097</v>
      </c>
      <c r="E748" s="104" t="s">
        <v>34</v>
      </c>
      <c r="F748" s="104" t="s">
        <v>44</v>
      </c>
      <c r="G748" s="145" t="s">
        <v>2098</v>
      </c>
      <c r="H748" s="104">
        <v>4502</v>
      </c>
      <c r="I748" s="104">
        <v>332</v>
      </c>
      <c r="J748" s="104" t="s">
        <v>1575</v>
      </c>
      <c r="K748" s="104" t="s">
        <v>34</v>
      </c>
      <c r="L748" s="104" t="s">
        <v>1725</v>
      </c>
      <c r="M748" s="104">
        <v>1</v>
      </c>
      <c r="N748" s="104" t="s">
        <v>34</v>
      </c>
      <c r="O748" s="104" t="s">
        <v>34</v>
      </c>
      <c r="P748" s="104">
        <v>4369711</v>
      </c>
      <c r="Q748" s="106">
        <v>46045</v>
      </c>
      <c r="R748" s="104">
        <v>4492897</v>
      </c>
      <c r="S748" s="160">
        <v>127000</v>
      </c>
      <c r="T748" s="104" t="s">
        <v>34</v>
      </c>
      <c r="U748" s="145">
        <v>4874</v>
      </c>
      <c r="V748" s="145" t="s">
        <v>34</v>
      </c>
      <c r="W748" s="145" t="s">
        <v>40</v>
      </c>
      <c r="X748" s="104" t="s">
        <v>44</v>
      </c>
      <c r="Y748" s="194">
        <v>127000</v>
      </c>
      <c r="Z748" s="195">
        <v>46132</v>
      </c>
      <c r="AA748" s="195">
        <v>46136</v>
      </c>
      <c r="AB748" s="104" t="s">
        <v>41</v>
      </c>
      <c r="AC748" s="104"/>
      <c r="AD748" s="113">
        <f>S748-Y748</f>
        <v>0</v>
      </c>
    </row>
    <row r="749" spans="2:30" ht="45" hidden="1" customHeight="1">
      <c r="B749" s="174">
        <v>746</v>
      </c>
      <c r="C749" s="104" t="s">
        <v>70</v>
      </c>
      <c r="D749" s="104" t="s">
        <v>1162</v>
      </c>
      <c r="E749" s="104">
        <v>49231</v>
      </c>
      <c r="F749" s="104" t="s">
        <v>44</v>
      </c>
      <c r="G749" s="145" t="s">
        <v>2099</v>
      </c>
      <c r="H749" s="104">
        <v>2291</v>
      </c>
      <c r="I749" s="104">
        <v>242</v>
      </c>
      <c r="J749" s="104" t="s">
        <v>1430</v>
      </c>
      <c r="K749" s="104">
        <v>96685</v>
      </c>
      <c r="L749" s="104">
        <v>118987</v>
      </c>
      <c r="M749" s="104">
        <v>2</v>
      </c>
      <c r="N749" s="104" t="s">
        <v>2100</v>
      </c>
      <c r="O749" s="104"/>
      <c r="P749" s="104">
        <v>4464824</v>
      </c>
      <c r="Q749" s="106">
        <v>46134</v>
      </c>
      <c r="R749" s="104">
        <v>4570567</v>
      </c>
      <c r="S749" s="160">
        <v>14117.78</v>
      </c>
      <c r="T749" s="106">
        <v>46142</v>
      </c>
      <c r="U749" s="145">
        <v>20663</v>
      </c>
      <c r="V749" s="145"/>
      <c r="W749" s="145" t="s">
        <v>1091</v>
      </c>
      <c r="X749" s="104" t="s">
        <v>508</v>
      </c>
      <c r="Y749" s="194">
        <v>14117.78</v>
      </c>
      <c r="Z749" s="180">
        <v>46146</v>
      </c>
      <c r="AA749" s="180">
        <v>46147</v>
      </c>
      <c r="AB749" s="104" t="s">
        <v>41</v>
      </c>
      <c r="AC749" s="104"/>
      <c r="AD749" s="113">
        <f>S749-Y749</f>
        <v>0</v>
      </c>
    </row>
    <row r="750" spans="2:30" ht="45" hidden="1" customHeight="1">
      <c r="B750" s="174">
        <v>747</v>
      </c>
      <c r="C750" s="104" t="s">
        <v>291</v>
      </c>
      <c r="D750" s="104" t="s">
        <v>2101</v>
      </c>
      <c r="E750" s="104">
        <v>49461</v>
      </c>
      <c r="F750" s="104" t="s">
        <v>44</v>
      </c>
      <c r="G750" s="145" t="s">
        <v>514</v>
      </c>
      <c r="H750" s="104">
        <v>2488</v>
      </c>
      <c r="I750" s="104">
        <v>170</v>
      </c>
      <c r="J750" s="104" t="s">
        <v>1430</v>
      </c>
      <c r="K750" s="104">
        <v>2</v>
      </c>
      <c r="L750" s="104">
        <v>119809</v>
      </c>
      <c r="M750" s="104">
        <v>6</v>
      </c>
      <c r="N750" s="104"/>
      <c r="O750" s="104"/>
      <c r="P750" s="104">
        <v>4464877</v>
      </c>
      <c r="Q750" s="106">
        <v>46134</v>
      </c>
      <c r="R750" s="104">
        <v>4571038</v>
      </c>
      <c r="S750" s="160">
        <v>2700</v>
      </c>
      <c r="T750" s="104"/>
      <c r="U750" s="145"/>
      <c r="V750" s="145"/>
      <c r="W750" s="145"/>
      <c r="X750" s="104"/>
      <c r="Y750" s="194"/>
      <c r="Z750" s="145"/>
      <c r="AA750" s="145"/>
      <c r="AB750" s="104" t="s">
        <v>66</v>
      </c>
      <c r="AC750" s="104"/>
      <c r="AD750" s="113">
        <f>S750-Y750</f>
        <v>2700</v>
      </c>
    </row>
    <row r="751" spans="2:30" ht="45" hidden="1" customHeight="1">
      <c r="B751" s="174">
        <v>748</v>
      </c>
      <c r="C751" s="104" t="s">
        <v>291</v>
      </c>
      <c r="D751" s="104" t="s">
        <v>2101</v>
      </c>
      <c r="E751" s="104">
        <v>49462</v>
      </c>
      <c r="F751" s="104" t="s">
        <v>44</v>
      </c>
      <c r="G751" s="145" t="s">
        <v>2102</v>
      </c>
      <c r="H751" s="104">
        <v>2224</v>
      </c>
      <c r="I751" s="104">
        <v>170</v>
      </c>
      <c r="J751" s="104" t="s">
        <v>1430</v>
      </c>
      <c r="K751" s="104">
        <v>2</v>
      </c>
      <c r="L751" s="104">
        <v>119808</v>
      </c>
      <c r="M751" s="104">
        <v>6</v>
      </c>
      <c r="N751" s="104"/>
      <c r="O751" s="104"/>
      <c r="P751" s="104">
        <v>4466552</v>
      </c>
      <c r="Q751" s="106">
        <v>46135</v>
      </c>
      <c r="R751" s="104">
        <v>4573536</v>
      </c>
      <c r="S751" s="160">
        <v>2300</v>
      </c>
      <c r="T751" s="104"/>
      <c r="U751" s="145"/>
      <c r="V751" s="145"/>
      <c r="W751" s="145"/>
      <c r="X751" s="104"/>
      <c r="Y751" s="194"/>
      <c r="Z751" s="145"/>
      <c r="AA751" s="145"/>
      <c r="AB751" s="104" t="s">
        <v>66</v>
      </c>
      <c r="AC751" s="104"/>
      <c r="AD751" s="113">
        <f>S751-Y751</f>
        <v>2300</v>
      </c>
    </row>
    <row r="752" spans="2:30" ht="45" hidden="1" customHeight="1">
      <c r="B752" s="174">
        <v>749</v>
      </c>
      <c r="C752" s="104" t="s">
        <v>291</v>
      </c>
      <c r="D752" s="104" t="s">
        <v>2101</v>
      </c>
      <c r="E752" s="104">
        <v>49463</v>
      </c>
      <c r="F752" s="104" t="s">
        <v>44</v>
      </c>
      <c r="G752" s="145" t="s">
        <v>831</v>
      </c>
      <c r="H752" s="104">
        <v>2488</v>
      </c>
      <c r="I752" s="104">
        <v>170</v>
      </c>
      <c r="J752" s="104" t="s">
        <v>1430</v>
      </c>
      <c r="K752" s="104">
        <v>2</v>
      </c>
      <c r="L752" s="104">
        <v>119803</v>
      </c>
      <c r="M752" s="104">
        <v>6</v>
      </c>
      <c r="N752" s="104"/>
      <c r="O752" s="104"/>
      <c r="P752" s="104">
        <v>4466348</v>
      </c>
      <c r="Q752" s="106">
        <v>46135</v>
      </c>
      <c r="R752" s="104">
        <v>4573537</v>
      </c>
      <c r="S752" s="160">
        <v>2400</v>
      </c>
      <c r="T752" s="104"/>
      <c r="U752" s="145"/>
      <c r="V752" s="145"/>
      <c r="W752" s="145"/>
      <c r="X752" s="104"/>
      <c r="Y752" s="194"/>
      <c r="Z752" s="145"/>
      <c r="AA752" s="145"/>
      <c r="AB752" s="104" t="s">
        <v>66</v>
      </c>
      <c r="AC752" s="104"/>
      <c r="AD752" s="113">
        <f>S752-Y752</f>
        <v>2400</v>
      </c>
    </row>
    <row r="753" spans="2:30" ht="45" hidden="1" customHeight="1">
      <c r="B753" s="174">
        <v>750</v>
      </c>
      <c r="C753" s="104" t="s">
        <v>95</v>
      </c>
      <c r="D753" s="104" t="s">
        <v>56</v>
      </c>
      <c r="E753" s="104" t="s">
        <v>34</v>
      </c>
      <c r="F753" s="104" t="s">
        <v>44</v>
      </c>
      <c r="G753" s="145" t="s">
        <v>2061</v>
      </c>
      <c r="H753" s="104">
        <v>4502</v>
      </c>
      <c r="I753" s="104">
        <v>327</v>
      </c>
      <c r="J753" s="104" t="s">
        <v>1575</v>
      </c>
      <c r="K753" s="104" t="s">
        <v>2062</v>
      </c>
      <c r="L753" s="104" t="s">
        <v>1739</v>
      </c>
      <c r="M753" s="104">
        <v>27</v>
      </c>
      <c r="N753" s="104" t="s">
        <v>34</v>
      </c>
      <c r="O753" s="104" t="s">
        <v>34</v>
      </c>
      <c r="P753" s="104">
        <v>4450539</v>
      </c>
      <c r="Q753" s="130">
        <v>46105</v>
      </c>
      <c r="R753" s="104">
        <v>4536297</v>
      </c>
      <c r="S753" s="160">
        <f>AD732</f>
        <v>19700</v>
      </c>
      <c r="T753" s="104" t="s">
        <v>34</v>
      </c>
      <c r="U753" s="145">
        <v>1531</v>
      </c>
      <c r="V753" s="145" t="s">
        <v>34</v>
      </c>
      <c r="W753" s="145" t="s">
        <v>40</v>
      </c>
      <c r="X753" s="104" t="s">
        <v>25</v>
      </c>
      <c r="Y753" s="194">
        <v>5700</v>
      </c>
      <c r="Z753" s="195">
        <v>46119</v>
      </c>
      <c r="AA753" s="195">
        <v>46134</v>
      </c>
      <c r="AB753" s="104" t="s">
        <v>41</v>
      </c>
      <c r="AC753" s="104"/>
      <c r="AD753" s="113">
        <f>S753-Y753</f>
        <v>14000</v>
      </c>
    </row>
    <row r="754" spans="2:30" ht="45" hidden="1" customHeight="1">
      <c r="B754" s="174">
        <v>751</v>
      </c>
      <c r="C754" s="104" t="s">
        <v>291</v>
      </c>
      <c r="D754" s="104" t="s">
        <v>642</v>
      </c>
      <c r="E754" s="104">
        <v>48003</v>
      </c>
      <c r="F754" s="104" t="s">
        <v>44</v>
      </c>
      <c r="G754" s="145" t="s">
        <v>2103</v>
      </c>
      <c r="H754" s="104">
        <v>2488</v>
      </c>
      <c r="I754" s="104">
        <v>242</v>
      </c>
      <c r="J754" s="104" t="s">
        <v>1430</v>
      </c>
      <c r="K754" s="104">
        <v>16096</v>
      </c>
      <c r="L754" s="104">
        <v>119801</v>
      </c>
      <c r="M754" s="104">
        <v>6</v>
      </c>
      <c r="N754" s="104"/>
      <c r="O754" s="104"/>
      <c r="P754" s="104">
        <v>4465198</v>
      </c>
      <c r="Q754" s="106">
        <v>46134</v>
      </c>
      <c r="R754" s="104">
        <v>4571033</v>
      </c>
      <c r="S754" s="160">
        <v>3650</v>
      </c>
      <c r="T754" s="104"/>
      <c r="U754" s="145">
        <v>2816</v>
      </c>
      <c r="V754" s="145"/>
      <c r="W754" s="145" t="s">
        <v>48</v>
      </c>
      <c r="X754" s="104" t="s">
        <v>508</v>
      </c>
      <c r="Y754" s="194">
        <v>3650</v>
      </c>
      <c r="Z754" s="180">
        <v>46146</v>
      </c>
      <c r="AA754" s="145"/>
      <c r="AB754" s="104" t="s">
        <v>1425</v>
      </c>
      <c r="AC754" s="104"/>
      <c r="AD754" s="113">
        <f>S754-Y754</f>
        <v>0</v>
      </c>
    </row>
    <row r="755" spans="2:30" ht="45" hidden="1" customHeight="1">
      <c r="B755" s="174">
        <v>752</v>
      </c>
      <c r="C755" s="104" t="s">
        <v>95</v>
      </c>
      <c r="D755" s="104" t="s">
        <v>2104</v>
      </c>
      <c r="E755" s="104" t="s">
        <v>34</v>
      </c>
      <c r="F755" s="104" t="s">
        <v>44</v>
      </c>
      <c r="G755" s="145" t="s">
        <v>2105</v>
      </c>
      <c r="H755" s="104">
        <v>4502</v>
      </c>
      <c r="I755" s="104">
        <v>332</v>
      </c>
      <c r="J755" s="104" t="s">
        <v>1575</v>
      </c>
      <c r="K755" s="104" t="s">
        <v>34</v>
      </c>
      <c r="L755" s="104" t="s">
        <v>1725</v>
      </c>
      <c r="M755" s="104">
        <v>2</v>
      </c>
      <c r="N755" s="104" t="s">
        <v>34</v>
      </c>
      <c r="O755" s="104" t="s">
        <v>34</v>
      </c>
      <c r="P755" s="104">
        <v>4447384</v>
      </c>
      <c r="Q755" s="130">
        <v>46118</v>
      </c>
      <c r="R755" s="104">
        <v>4552459</v>
      </c>
      <c r="S755" s="160">
        <v>9943</v>
      </c>
      <c r="T755" s="104" t="s">
        <v>34</v>
      </c>
      <c r="U755" s="145">
        <v>438</v>
      </c>
      <c r="V755" s="145" t="s">
        <v>34</v>
      </c>
      <c r="W755" s="145" t="s">
        <v>40</v>
      </c>
      <c r="X755" s="104" t="s">
        <v>25</v>
      </c>
      <c r="Y755" s="160">
        <v>9943</v>
      </c>
      <c r="Z755" s="195">
        <v>46134</v>
      </c>
      <c r="AA755" s="195">
        <v>46135</v>
      </c>
      <c r="AB755" s="104" t="s">
        <v>41</v>
      </c>
      <c r="AC755" s="104"/>
      <c r="AD755" s="113">
        <f>S755-Y755</f>
        <v>0</v>
      </c>
    </row>
    <row r="756" spans="2:30" ht="45" hidden="1" customHeight="1">
      <c r="B756" s="174">
        <v>753</v>
      </c>
      <c r="C756" s="104" t="s">
        <v>32</v>
      </c>
      <c r="D756" s="104" t="s">
        <v>1385</v>
      </c>
      <c r="E756" s="104">
        <v>49580</v>
      </c>
      <c r="F756" s="104" t="s">
        <v>35</v>
      </c>
      <c r="G756" s="145" t="s">
        <v>2106</v>
      </c>
      <c r="H756" s="104">
        <v>2721</v>
      </c>
      <c r="I756" s="104">
        <v>242</v>
      </c>
      <c r="J756" s="104" t="s">
        <v>1430</v>
      </c>
      <c r="K756" s="104">
        <v>514</v>
      </c>
      <c r="L756" s="104">
        <v>120079</v>
      </c>
      <c r="M756" s="104">
        <v>6</v>
      </c>
      <c r="N756" s="104" t="s">
        <v>2107</v>
      </c>
      <c r="O756" s="104"/>
      <c r="P756" s="104">
        <v>4467230</v>
      </c>
      <c r="Q756" s="106">
        <v>46135</v>
      </c>
      <c r="R756" s="104">
        <v>4572293</v>
      </c>
      <c r="S756" s="160">
        <v>6600</v>
      </c>
      <c r="T756" s="106">
        <v>46170</v>
      </c>
      <c r="U756" s="145"/>
      <c r="V756" s="145"/>
      <c r="W756" s="145"/>
      <c r="X756" s="104"/>
      <c r="Y756" s="194"/>
      <c r="Z756" s="145"/>
      <c r="AA756" s="145"/>
      <c r="AB756" s="104" t="s">
        <v>66</v>
      </c>
      <c r="AC756" s="104"/>
      <c r="AD756" s="113">
        <f>S756-Y756</f>
        <v>6600</v>
      </c>
    </row>
    <row r="757" spans="2:30" ht="45" hidden="1" customHeight="1">
      <c r="B757" s="174">
        <v>754</v>
      </c>
      <c r="C757" s="104" t="s">
        <v>32</v>
      </c>
      <c r="D757" s="104" t="s">
        <v>1954</v>
      </c>
      <c r="E757" s="104">
        <v>49581</v>
      </c>
      <c r="F757" s="104" t="s">
        <v>35</v>
      </c>
      <c r="G757" s="145" t="s">
        <v>2108</v>
      </c>
      <c r="H757" s="104">
        <v>2224</v>
      </c>
      <c r="I757" s="104">
        <v>242</v>
      </c>
      <c r="J757" s="104" t="s">
        <v>1430</v>
      </c>
      <c r="K757" s="104">
        <v>517</v>
      </c>
      <c r="L757" s="104">
        <v>120598</v>
      </c>
      <c r="M757" s="104">
        <v>6</v>
      </c>
      <c r="N757" s="104"/>
      <c r="O757" s="104"/>
      <c r="P757" s="104">
        <v>4467611</v>
      </c>
      <c r="Q757" s="106">
        <v>46136</v>
      </c>
      <c r="R757" s="104">
        <v>4574209</v>
      </c>
      <c r="S757" s="160">
        <v>4816</v>
      </c>
      <c r="T757" s="106">
        <v>46143</v>
      </c>
      <c r="U757" s="145"/>
      <c r="V757" s="145"/>
      <c r="W757" s="145"/>
      <c r="X757" s="104"/>
      <c r="Y757" s="194"/>
      <c r="Z757" s="145"/>
      <c r="AA757" s="145"/>
      <c r="AB757" s="104" t="s">
        <v>66</v>
      </c>
      <c r="AC757" s="104"/>
      <c r="AD757" s="113">
        <f>S757-Y757</f>
        <v>4816</v>
      </c>
    </row>
    <row r="758" spans="2:30" ht="45" hidden="1" customHeight="1">
      <c r="B758" s="174">
        <v>755</v>
      </c>
      <c r="C758" s="104" t="s">
        <v>291</v>
      </c>
      <c r="D758" s="104" t="s">
        <v>1385</v>
      </c>
      <c r="E758" s="104">
        <v>45311</v>
      </c>
      <c r="F758" s="104" t="s">
        <v>35</v>
      </c>
      <c r="G758" s="145" t="s">
        <v>2109</v>
      </c>
      <c r="H758" s="104">
        <v>2488</v>
      </c>
      <c r="I758" s="104">
        <v>242</v>
      </c>
      <c r="J758" s="104" t="s">
        <v>1430</v>
      </c>
      <c r="K758" s="104">
        <v>516</v>
      </c>
      <c r="L758" s="104">
        <v>120642</v>
      </c>
      <c r="M758" s="104">
        <v>6</v>
      </c>
      <c r="N758" s="104"/>
      <c r="O758" s="104"/>
      <c r="P758" s="104">
        <v>4467695</v>
      </c>
      <c r="Q758" s="106">
        <v>46136</v>
      </c>
      <c r="R758" s="104">
        <v>4574210</v>
      </c>
      <c r="S758" s="160">
        <v>6400</v>
      </c>
      <c r="T758" s="106">
        <v>46143</v>
      </c>
      <c r="U758" s="145">
        <v>3380</v>
      </c>
      <c r="V758" s="145"/>
      <c r="W758" s="145" t="s">
        <v>1091</v>
      </c>
      <c r="X758" s="104" t="s">
        <v>25</v>
      </c>
      <c r="Y758" s="194">
        <v>6080</v>
      </c>
      <c r="Z758" s="180">
        <v>46143</v>
      </c>
      <c r="AA758" s="180">
        <v>46147</v>
      </c>
      <c r="AB758" s="104" t="s">
        <v>41</v>
      </c>
      <c r="AC758" s="104"/>
      <c r="AD758" s="113">
        <f>S758-Y758</f>
        <v>320</v>
      </c>
    </row>
    <row r="759" spans="2:30" ht="45" hidden="1" customHeight="1">
      <c r="B759" s="174">
        <v>756</v>
      </c>
      <c r="C759" s="104" t="s">
        <v>80</v>
      </c>
      <c r="D759" s="104" t="s">
        <v>2110</v>
      </c>
      <c r="E759" s="104" t="s">
        <v>34</v>
      </c>
      <c r="F759" s="104" t="s">
        <v>44</v>
      </c>
      <c r="G759" s="145" t="s">
        <v>2111</v>
      </c>
      <c r="H759" s="104">
        <v>1171</v>
      </c>
      <c r="I759" s="104">
        <v>242</v>
      </c>
      <c r="J759" s="104" t="s">
        <v>1575</v>
      </c>
      <c r="K759" s="104" t="s">
        <v>2112</v>
      </c>
      <c r="L759" s="104">
        <v>120765</v>
      </c>
      <c r="M759" s="104">
        <v>29</v>
      </c>
      <c r="N759" s="104" t="s">
        <v>2113</v>
      </c>
      <c r="O759" s="104" t="s">
        <v>34</v>
      </c>
      <c r="P759" s="104">
        <v>4467840</v>
      </c>
      <c r="Q759" s="130">
        <v>46136</v>
      </c>
      <c r="R759" s="104">
        <v>4575019</v>
      </c>
      <c r="S759" s="160">
        <v>6900</v>
      </c>
      <c r="T759" s="106">
        <v>46143</v>
      </c>
      <c r="U759" s="145"/>
      <c r="V759" s="145"/>
      <c r="W759" s="145"/>
      <c r="X759" s="104"/>
      <c r="Y759" s="194"/>
      <c r="Z759" s="145"/>
      <c r="AA759" s="145"/>
      <c r="AB759" s="104" t="s">
        <v>66</v>
      </c>
      <c r="AC759" s="104"/>
      <c r="AD759" s="113">
        <f>S759-Y759</f>
        <v>6900</v>
      </c>
    </row>
    <row r="760" spans="2:30" ht="45" hidden="1" customHeight="1">
      <c r="B760" s="174">
        <v>757</v>
      </c>
      <c r="C760" s="104" t="s">
        <v>80</v>
      </c>
      <c r="D760" s="104" t="s">
        <v>2114</v>
      </c>
      <c r="E760" s="104">
        <v>49281</v>
      </c>
      <c r="F760" s="104" t="s">
        <v>44</v>
      </c>
      <c r="G760" s="145" t="s">
        <v>2115</v>
      </c>
      <c r="H760" s="104">
        <v>1171</v>
      </c>
      <c r="I760" s="104">
        <v>242</v>
      </c>
      <c r="J760" s="104" t="s">
        <v>1575</v>
      </c>
      <c r="K760" s="104" t="s">
        <v>2116</v>
      </c>
      <c r="L760" s="104" t="s">
        <v>2117</v>
      </c>
      <c r="M760" s="104">
        <v>29</v>
      </c>
      <c r="N760" s="104" t="s">
        <v>2118</v>
      </c>
      <c r="O760" s="104" t="s">
        <v>34</v>
      </c>
      <c r="P760" s="104">
        <v>4469214</v>
      </c>
      <c r="Q760" s="130">
        <v>46136</v>
      </c>
      <c r="R760" s="104">
        <v>4577924</v>
      </c>
      <c r="S760" s="160">
        <v>226</v>
      </c>
      <c r="T760" s="104"/>
      <c r="U760" s="145"/>
      <c r="V760" s="145"/>
      <c r="W760" s="145"/>
      <c r="X760" s="104"/>
      <c r="Y760" s="194"/>
      <c r="Z760" s="145"/>
      <c r="AA760" s="145"/>
      <c r="AB760" s="104" t="s">
        <v>66</v>
      </c>
      <c r="AC760" s="104"/>
      <c r="AD760" s="113">
        <f>S760-Y760</f>
        <v>226</v>
      </c>
    </row>
    <row r="761" spans="2:30" ht="45" customHeight="1">
      <c r="B761" s="174">
        <v>758</v>
      </c>
      <c r="C761" s="104" t="s">
        <v>282</v>
      </c>
      <c r="D761" s="104" t="s">
        <v>2119</v>
      </c>
      <c r="E761" s="104" t="s">
        <v>34</v>
      </c>
      <c r="F761" s="104" t="s">
        <v>44</v>
      </c>
      <c r="G761" s="145" t="s">
        <v>2120</v>
      </c>
      <c r="H761" s="104">
        <v>1210</v>
      </c>
      <c r="I761" s="104">
        <v>242</v>
      </c>
      <c r="J761" s="104" t="s">
        <v>1575</v>
      </c>
      <c r="K761" s="104" t="s">
        <v>2121</v>
      </c>
      <c r="L761" s="104">
        <v>119843</v>
      </c>
      <c r="M761" s="104">
        <v>8</v>
      </c>
      <c r="N761" s="104" t="s">
        <v>2122</v>
      </c>
      <c r="O761" s="104" t="s">
        <v>34</v>
      </c>
      <c r="P761" s="104">
        <v>4468328</v>
      </c>
      <c r="Q761" s="106">
        <v>46136</v>
      </c>
      <c r="R761" s="104">
        <v>4569707</v>
      </c>
      <c r="S761" s="160">
        <v>12000</v>
      </c>
      <c r="T761" s="106">
        <v>46128</v>
      </c>
      <c r="U761" s="145">
        <v>232</v>
      </c>
      <c r="V761" s="145" t="s">
        <v>34</v>
      </c>
      <c r="W761" s="145" t="s">
        <v>48</v>
      </c>
      <c r="X761" s="104" t="s">
        <v>131</v>
      </c>
      <c r="Y761" s="194">
        <v>12000</v>
      </c>
      <c r="Z761" s="195">
        <v>46126</v>
      </c>
      <c r="AA761" s="195">
        <v>46147</v>
      </c>
      <c r="AB761" s="104" t="s">
        <v>41</v>
      </c>
      <c r="AC761" s="104"/>
      <c r="AD761" s="113">
        <f>S761-Y761</f>
        <v>0</v>
      </c>
    </row>
    <row r="762" spans="2:30" ht="45" hidden="1" customHeight="1">
      <c r="B762" s="174">
        <v>759</v>
      </c>
      <c r="C762" s="104" t="s">
        <v>224</v>
      </c>
      <c r="D762" s="104" t="s">
        <v>2123</v>
      </c>
      <c r="E762" s="104" t="s">
        <v>34</v>
      </c>
      <c r="F762" s="104" t="s">
        <v>44</v>
      </c>
      <c r="G762" s="145" t="s">
        <v>2124</v>
      </c>
      <c r="H762" s="104">
        <v>2101</v>
      </c>
      <c r="I762" s="104">
        <v>392</v>
      </c>
      <c r="J762" s="104" t="s">
        <v>1575</v>
      </c>
      <c r="K762" s="104" t="s">
        <v>2125</v>
      </c>
      <c r="L762" s="104">
        <v>120791</v>
      </c>
      <c r="M762" s="104">
        <v>29</v>
      </c>
      <c r="N762" s="104" t="s">
        <v>2126</v>
      </c>
      <c r="O762" s="104" t="s">
        <v>34</v>
      </c>
      <c r="P762" s="104"/>
      <c r="Q762" s="130">
        <v>46137</v>
      </c>
      <c r="R762" s="104"/>
      <c r="S762" s="160">
        <v>52410.39</v>
      </c>
      <c r="T762" s="106">
        <v>46167</v>
      </c>
      <c r="U762" s="145"/>
      <c r="V762" s="145"/>
      <c r="W762" s="145"/>
      <c r="X762" s="104"/>
      <c r="Y762" s="194"/>
      <c r="Z762" s="145"/>
      <c r="AA762" s="145"/>
      <c r="AB762" s="104" t="s">
        <v>49</v>
      </c>
      <c r="AC762" s="104"/>
      <c r="AD762" s="113">
        <f>S762-Y762</f>
        <v>52410.39</v>
      </c>
    </row>
    <row r="763" spans="2:30" ht="45" hidden="1" customHeight="1">
      <c r="B763" s="174">
        <v>760</v>
      </c>
      <c r="C763" s="104" t="s">
        <v>95</v>
      </c>
      <c r="D763" s="104" t="s">
        <v>2127</v>
      </c>
      <c r="E763" s="104" t="s">
        <v>34</v>
      </c>
      <c r="F763" s="104" t="s">
        <v>44</v>
      </c>
      <c r="G763" s="145" t="s">
        <v>2128</v>
      </c>
      <c r="H763" s="104">
        <v>4502</v>
      </c>
      <c r="I763" s="104">
        <v>327</v>
      </c>
      <c r="J763" s="104" t="s">
        <v>1575</v>
      </c>
      <c r="K763" s="104" t="s">
        <v>34</v>
      </c>
      <c r="L763" s="104" t="s">
        <v>2129</v>
      </c>
      <c r="M763" s="104">
        <v>1</v>
      </c>
      <c r="N763" s="104" t="s">
        <v>34</v>
      </c>
      <c r="O763" s="104" t="s">
        <v>34</v>
      </c>
      <c r="P763" s="104">
        <v>4248543</v>
      </c>
      <c r="Q763" s="106">
        <v>45922</v>
      </c>
      <c r="R763" s="104">
        <v>4373970</v>
      </c>
      <c r="S763" s="160">
        <v>86944</v>
      </c>
      <c r="T763" s="104" t="s">
        <v>34</v>
      </c>
      <c r="U763" s="145">
        <v>3195</v>
      </c>
      <c r="V763" s="145" t="s">
        <v>34</v>
      </c>
      <c r="W763" s="145" t="s">
        <v>40</v>
      </c>
      <c r="X763" s="104" t="s">
        <v>44</v>
      </c>
      <c r="Y763" s="194">
        <v>86944</v>
      </c>
      <c r="Z763" s="195">
        <v>46136</v>
      </c>
      <c r="AA763" s="145"/>
      <c r="AB763" s="104" t="s">
        <v>1425</v>
      </c>
      <c r="AC763" s="104" t="s">
        <v>2130</v>
      </c>
      <c r="AD763" s="113">
        <f>S763-Y763</f>
        <v>0</v>
      </c>
    </row>
    <row r="764" spans="2:30" ht="45" hidden="1" customHeight="1">
      <c r="B764" s="174">
        <v>761</v>
      </c>
      <c r="C764" s="104" t="s">
        <v>183</v>
      </c>
      <c r="D764" s="104" t="s">
        <v>1385</v>
      </c>
      <c r="E764" s="104">
        <v>49582</v>
      </c>
      <c r="F764" s="104" t="s">
        <v>35</v>
      </c>
      <c r="G764" s="145" t="s">
        <v>2131</v>
      </c>
      <c r="H764" s="104">
        <v>2291</v>
      </c>
      <c r="I764" s="104">
        <v>242</v>
      </c>
      <c r="J764" s="104" t="s">
        <v>1430</v>
      </c>
      <c r="K764" s="104">
        <v>519</v>
      </c>
      <c r="L764" s="104">
        <v>120966</v>
      </c>
      <c r="M764" s="104">
        <v>6</v>
      </c>
      <c r="N764" s="104"/>
      <c r="O764" s="104"/>
      <c r="P764" s="104">
        <v>4469485</v>
      </c>
      <c r="Q764" s="106">
        <v>46139</v>
      </c>
      <c r="R764" s="104">
        <v>4577376</v>
      </c>
      <c r="S764" s="160">
        <v>2900</v>
      </c>
      <c r="T764" s="104"/>
      <c r="U764" s="145"/>
      <c r="V764" s="145"/>
      <c r="W764" s="145"/>
      <c r="X764" s="104"/>
      <c r="Y764" s="194"/>
      <c r="Z764" s="145"/>
      <c r="AA764" s="145"/>
      <c r="AB764" s="104" t="s">
        <v>66</v>
      </c>
      <c r="AC764" s="104"/>
      <c r="AD764" s="113">
        <f>S764-Y764</f>
        <v>2900</v>
      </c>
    </row>
    <row r="765" spans="2:30" ht="45" hidden="1" customHeight="1">
      <c r="B765" s="174">
        <v>762</v>
      </c>
      <c r="C765" s="104" t="s">
        <v>95</v>
      </c>
      <c r="D765" s="104" t="s">
        <v>192</v>
      </c>
      <c r="E765" s="104">
        <v>48385</v>
      </c>
      <c r="F765" s="104" t="s">
        <v>44</v>
      </c>
      <c r="G765" s="145" t="s">
        <v>1959</v>
      </c>
      <c r="H765" s="104">
        <v>2488</v>
      </c>
      <c r="I765" s="104">
        <v>242</v>
      </c>
      <c r="J765" s="104" t="s">
        <v>224</v>
      </c>
      <c r="K765" s="104" t="s">
        <v>1960</v>
      </c>
      <c r="L765" s="104">
        <v>114384</v>
      </c>
      <c r="M765" s="104">
        <v>6</v>
      </c>
      <c r="N765" s="104"/>
      <c r="O765" s="104"/>
      <c r="P765" s="104">
        <v>4439010</v>
      </c>
      <c r="Q765" s="130">
        <v>46111</v>
      </c>
      <c r="R765" s="104">
        <v>4550096</v>
      </c>
      <c r="S765" s="160">
        <v>1920</v>
      </c>
      <c r="T765" s="104" t="s">
        <v>34</v>
      </c>
      <c r="U765" s="104">
        <v>992</v>
      </c>
      <c r="V765" s="145" t="s">
        <v>34</v>
      </c>
      <c r="W765" s="145" t="s">
        <v>40</v>
      </c>
      <c r="X765" s="104" t="s">
        <v>44</v>
      </c>
      <c r="Y765" s="218">
        <v>1920</v>
      </c>
      <c r="Z765" s="195">
        <v>46139</v>
      </c>
      <c r="AA765" s="195">
        <v>46139</v>
      </c>
      <c r="AB765" s="104" t="s">
        <v>41</v>
      </c>
      <c r="AC765" s="104"/>
      <c r="AD765" s="113">
        <f>S765-Y765</f>
        <v>0</v>
      </c>
    </row>
    <row r="766" spans="2:30" ht="45" hidden="1" customHeight="1">
      <c r="B766" s="174">
        <v>763</v>
      </c>
      <c r="C766" s="104" t="s">
        <v>224</v>
      </c>
      <c r="D766" s="104" t="s">
        <v>2123</v>
      </c>
      <c r="E766" s="104" t="s">
        <v>34</v>
      </c>
      <c r="F766" s="104" t="s">
        <v>44</v>
      </c>
      <c r="G766" s="145" t="s">
        <v>2124</v>
      </c>
      <c r="H766" s="104">
        <v>2101</v>
      </c>
      <c r="I766" s="104">
        <v>287</v>
      </c>
      <c r="J766" s="104" t="s">
        <v>1575</v>
      </c>
      <c r="K766" s="104" t="s">
        <v>2132</v>
      </c>
      <c r="L766" s="104">
        <v>120791</v>
      </c>
      <c r="M766" s="104">
        <v>29</v>
      </c>
      <c r="N766" s="104" t="s">
        <v>34</v>
      </c>
      <c r="O766" s="104" t="s">
        <v>34</v>
      </c>
      <c r="P766" s="116" t="s">
        <v>2133</v>
      </c>
      <c r="Q766" s="106">
        <v>46140</v>
      </c>
      <c r="R766" s="104">
        <v>4578584</v>
      </c>
      <c r="S766" s="160">
        <v>52410.39</v>
      </c>
      <c r="T766" s="104"/>
      <c r="U766" s="145"/>
      <c r="V766" s="145"/>
      <c r="W766" s="145"/>
      <c r="X766" s="104"/>
      <c r="Y766" s="194"/>
      <c r="Z766" s="145"/>
      <c r="AA766" s="145"/>
      <c r="AB766" s="104" t="s">
        <v>66</v>
      </c>
      <c r="AC766" s="104"/>
      <c r="AD766" s="113">
        <f>S766-Y766</f>
        <v>52410.39</v>
      </c>
    </row>
    <row r="767" spans="2:30" ht="45" hidden="1" customHeight="1">
      <c r="B767" s="174">
        <v>764</v>
      </c>
      <c r="C767" s="104" t="s">
        <v>70</v>
      </c>
      <c r="D767" s="104" t="s">
        <v>2134</v>
      </c>
      <c r="E767" s="104">
        <v>50089</v>
      </c>
      <c r="F767" s="104" t="s">
        <v>44</v>
      </c>
      <c r="G767" s="145" t="s">
        <v>2135</v>
      </c>
      <c r="H767" s="104">
        <v>4057</v>
      </c>
      <c r="I767" s="104">
        <v>242</v>
      </c>
      <c r="J767" s="104" t="s">
        <v>1430</v>
      </c>
      <c r="K767" s="104">
        <v>6544</v>
      </c>
      <c r="L767" s="104">
        <v>121413</v>
      </c>
      <c r="M767" s="104">
        <v>2</v>
      </c>
      <c r="N767" s="104" t="s">
        <v>2136</v>
      </c>
      <c r="O767" s="104"/>
      <c r="P767" s="104">
        <v>4473019</v>
      </c>
      <c r="Q767" s="106">
        <v>46141</v>
      </c>
      <c r="R767" s="104"/>
      <c r="S767" s="160">
        <v>3874</v>
      </c>
      <c r="T767" s="106">
        <v>46143</v>
      </c>
      <c r="U767" s="145"/>
      <c r="V767" s="145"/>
      <c r="W767" s="145"/>
      <c r="X767" s="104"/>
      <c r="Y767" s="194"/>
      <c r="Z767" s="194"/>
      <c r="AA767" s="145"/>
      <c r="AB767" s="104" t="s">
        <v>2048</v>
      </c>
      <c r="AC767" s="104"/>
      <c r="AD767" s="113">
        <f>S767-Z767</f>
        <v>3874</v>
      </c>
    </row>
    <row r="768" spans="2:30" ht="45" hidden="1" customHeight="1">
      <c r="B768" s="174">
        <v>765</v>
      </c>
      <c r="C768" s="104" t="s">
        <v>70</v>
      </c>
      <c r="D768" s="104" t="s">
        <v>2137</v>
      </c>
      <c r="E768" s="104"/>
      <c r="F768" s="104" t="s">
        <v>44</v>
      </c>
      <c r="G768" s="145" t="s">
        <v>2138</v>
      </c>
      <c r="H768" s="104">
        <v>2283</v>
      </c>
      <c r="I768" s="104">
        <v>242</v>
      </c>
      <c r="J768" s="104" t="s">
        <v>1430</v>
      </c>
      <c r="K768" s="148">
        <v>262361</v>
      </c>
      <c r="L768" s="104">
        <v>121401</v>
      </c>
      <c r="M768" s="104">
        <v>2</v>
      </c>
      <c r="N768" s="104" t="s">
        <v>2139</v>
      </c>
      <c r="O768" s="104"/>
      <c r="P768" s="104">
        <v>4473047</v>
      </c>
      <c r="Q768" s="106">
        <v>46141</v>
      </c>
      <c r="R768" s="104"/>
      <c r="S768" s="160">
        <v>13800</v>
      </c>
      <c r="T768" s="106">
        <v>46143</v>
      </c>
      <c r="U768" s="145"/>
      <c r="V768" s="145"/>
      <c r="W768" s="145"/>
      <c r="X768" s="104"/>
      <c r="Y768" s="194"/>
      <c r="Z768" s="145"/>
      <c r="AA768" s="145"/>
      <c r="AB768" s="104" t="s">
        <v>2048</v>
      </c>
      <c r="AC768" s="104"/>
      <c r="AD768" s="113">
        <f>S768-Y768</f>
        <v>13800</v>
      </c>
    </row>
    <row r="769" spans="2:30" ht="45" hidden="1" customHeight="1">
      <c r="B769" s="174">
        <v>766</v>
      </c>
      <c r="C769" s="104" t="s">
        <v>70</v>
      </c>
      <c r="D769" s="104" t="s">
        <v>1706</v>
      </c>
      <c r="E769" s="104">
        <v>49906</v>
      </c>
      <c r="F769" s="104" t="s">
        <v>44</v>
      </c>
      <c r="G769" s="145" t="s">
        <v>2140</v>
      </c>
      <c r="H769" s="104">
        <v>2488</v>
      </c>
      <c r="I769" s="104">
        <v>242</v>
      </c>
      <c r="J769" s="104" t="s">
        <v>1430</v>
      </c>
      <c r="K769" s="104">
        <v>10637</v>
      </c>
      <c r="L769" s="104">
        <v>121712</v>
      </c>
      <c r="M769" s="104">
        <v>6</v>
      </c>
      <c r="N769" s="104"/>
      <c r="O769" s="104"/>
      <c r="P769" s="104">
        <v>4474793</v>
      </c>
      <c r="Q769" s="106">
        <v>46142</v>
      </c>
      <c r="R769" s="104"/>
      <c r="S769" s="160">
        <v>2315</v>
      </c>
      <c r="T769" s="106">
        <v>46143</v>
      </c>
      <c r="U769" s="145"/>
      <c r="V769" s="145"/>
      <c r="W769" s="145"/>
      <c r="X769" s="104"/>
      <c r="Y769" s="194"/>
      <c r="Z769" s="145"/>
      <c r="AA769" s="145"/>
      <c r="AB769" s="104"/>
      <c r="AC769" s="104"/>
      <c r="AD769" s="113">
        <f>S769-Y769</f>
        <v>2315</v>
      </c>
    </row>
    <row r="770" spans="2:30" ht="45" hidden="1" customHeight="1">
      <c r="B770" s="174">
        <v>767</v>
      </c>
      <c r="C770" s="104" t="s">
        <v>42</v>
      </c>
      <c r="D770" s="104" t="s">
        <v>2141</v>
      </c>
      <c r="E770" s="104" t="s">
        <v>34</v>
      </c>
      <c r="F770" s="104" t="s">
        <v>44</v>
      </c>
      <c r="G770" s="145" t="s">
        <v>2142</v>
      </c>
      <c r="H770" s="104">
        <v>4502</v>
      </c>
      <c r="I770" s="104">
        <v>332</v>
      </c>
      <c r="J770" s="104" t="s">
        <v>1118</v>
      </c>
      <c r="K770" s="104" t="s">
        <v>34</v>
      </c>
      <c r="L770" s="104" t="s">
        <v>1739</v>
      </c>
      <c r="M770" s="104">
        <v>1</v>
      </c>
      <c r="N770" s="104" t="s">
        <v>34</v>
      </c>
      <c r="O770" s="104" t="s">
        <v>34</v>
      </c>
      <c r="P770" s="104">
        <v>4136821</v>
      </c>
      <c r="Q770" s="106">
        <v>45812</v>
      </c>
      <c r="R770" s="104">
        <v>4266181</v>
      </c>
      <c r="S770" s="160">
        <v>45000</v>
      </c>
      <c r="T770" s="104" t="s">
        <v>34</v>
      </c>
      <c r="U770" s="145">
        <v>1255</v>
      </c>
      <c r="V770" s="145" t="s">
        <v>34</v>
      </c>
      <c r="W770" s="145" t="s">
        <v>40</v>
      </c>
      <c r="X770" s="104" t="s">
        <v>25</v>
      </c>
      <c r="Y770" s="194">
        <v>22500</v>
      </c>
      <c r="Z770" s="195">
        <v>46140</v>
      </c>
      <c r="AA770" s="195">
        <v>46142</v>
      </c>
      <c r="AB770" s="104" t="s">
        <v>41</v>
      </c>
      <c r="AC770" s="104"/>
      <c r="AD770" s="113">
        <f>S770-Y770</f>
        <v>22500</v>
      </c>
    </row>
    <row r="771" spans="2:30" ht="45" hidden="1" customHeight="1">
      <c r="B771" s="174">
        <v>768</v>
      </c>
      <c r="C771" s="104" t="s">
        <v>119</v>
      </c>
      <c r="D771" s="104" t="s">
        <v>2143</v>
      </c>
      <c r="E771" s="104" t="s">
        <v>34</v>
      </c>
      <c r="F771" s="104" t="s">
        <v>44</v>
      </c>
      <c r="G771" s="145" t="s">
        <v>2144</v>
      </c>
      <c r="H771" s="104">
        <v>1244</v>
      </c>
      <c r="I771" s="104">
        <v>242</v>
      </c>
      <c r="J771" s="104" t="s">
        <v>244</v>
      </c>
      <c r="K771" s="104" t="s">
        <v>34</v>
      </c>
      <c r="L771" s="104">
        <v>74036</v>
      </c>
      <c r="M771" s="104">
        <v>1</v>
      </c>
      <c r="N771" s="104" t="s">
        <v>34</v>
      </c>
      <c r="O771" s="104" t="s">
        <v>34</v>
      </c>
      <c r="P771" s="104">
        <v>4232082</v>
      </c>
      <c r="Q771" s="106">
        <v>45904</v>
      </c>
      <c r="R771" s="104">
        <v>4356691</v>
      </c>
      <c r="S771" s="160">
        <v>26820.2</v>
      </c>
      <c r="T771" s="104" t="s">
        <v>34</v>
      </c>
      <c r="U771" s="145">
        <v>83</v>
      </c>
      <c r="V771" s="145" t="s">
        <v>34</v>
      </c>
      <c r="W771" s="145" t="s">
        <v>48</v>
      </c>
      <c r="X771" s="104" t="s">
        <v>94</v>
      </c>
      <c r="Y771" s="194">
        <v>26820.2</v>
      </c>
      <c r="Z771" s="180">
        <v>46143</v>
      </c>
      <c r="AA771" s="195">
        <v>46146</v>
      </c>
      <c r="AB771" s="104" t="s">
        <v>41</v>
      </c>
      <c r="AC771" s="104"/>
      <c r="AD771" s="113">
        <f>S771-Y771</f>
        <v>0</v>
      </c>
    </row>
    <row r="772" spans="2:30" ht="45" hidden="1" customHeight="1">
      <c r="B772" s="174">
        <v>769</v>
      </c>
      <c r="C772" s="104" t="s">
        <v>119</v>
      </c>
      <c r="D772" s="104" t="s">
        <v>2143</v>
      </c>
      <c r="E772" s="104" t="s">
        <v>34</v>
      </c>
      <c r="F772" s="104" t="s">
        <v>44</v>
      </c>
      <c r="G772" s="145" t="s">
        <v>2145</v>
      </c>
      <c r="H772" s="104">
        <v>1244</v>
      </c>
      <c r="I772" s="104">
        <v>5</v>
      </c>
      <c r="J772" s="104" t="s">
        <v>244</v>
      </c>
      <c r="K772" s="104" t="s">
        <v>34</v>
      </c>
      <c r="L772" s="104">
        <v>73680</v>
      </c>
      <c r="M772" s="104">
        <v>1</v>
      </c>
      <c r="N772" s="104" t="s">
        <v>34</v>
      </c>
      <c r="O772" s="104" t="s">
        <v>34</v>
      </c>
      <c r="P772" s="104">
        <v>4245636</v>
      </c>
      <c r="Q772" s="106">
        <v>45918</v>
      </c>
      <c r="R772" s="104">
        <v>4368491</v>
      </c>
      <c r="S772" s="160">
        <v>24832.53</v>
      </c>
      <c r="T772" s="104" t="s">
        <v>34</v>
      </c>
      <c r="U772" s="145">
        <v>82</v>
      </c>
      <c r="V772" s="145" t="s">
        <v>34</v>
      </c>
      <c r="W772" s="145" t="s">
        <v>48</v>
      </c>
      <c r="X772" s="104" t="s">
        <v>94</v>
      </c>
      <c r="Y772" s="194">
        <v>24832.53</v>
      </c>
      <c r="Z772" s="180">
        <v>46143</v>
      </c>
      <c r="AA772" s="195">
        <v>46146</v>
      </c>
      <c r="AB772" s="104" t="s">
        <v>41</v>
      </c>
      <c r="AC772" s="104"/>
      <c r="AD772" s="113">
        <f>S772-Y772</f>
        <v>0</v>
      </c>
    </row>
    <row r="773" spans="2:30" ht="45" hidden="1" customHeight="1">
      <c r="B773" s="174">
        <v>770</v>
      </c>
      <c r="C773" s="104" t="s">
        <v>282</v>
      </c>
      <c r="D773" s="104" t="s">
        <v>2146</v>
      </c>
      <c r="E773" s="104" t="s">
        <v>34</v>
      </c>
      <c r="F773" s="104" t="s">
        <v>44</v>
      </c>
      <c r="G773" s="145" t="s">
        <v>2147</v>
      </c>
      <c r="H773" s="104">
        <v>1236</v>
      </c>
      <c r="I773" s="104">
        <v>242</v>
      </c>
      <c r="J773" s="104" t="s">
        <v>1118</v>
      </c>
      <c r="K773" s="104" t="s">
        <v>2148</v>
      </c>
      <c r="L773" s="104">
        <v>121613</v>
      </c>
      <c r="M773" s="104">
        <v>29</v>
      </c>
      <c r="N773" s="104" t="s">
        <v>2149</v>
      </c>
      <c r="O773" s="104" t="s">
        <v>34</v>
      </c>
      <c r="P773" s="104">
        <v>4476405</v>
      </c>
      <c r="Q773" s="106">
        <v>46144</v>
      </c>
      <c r="R773" s="104"/>
      <c r="S773" s="160">
        <v>6048.46</v>
      </c>
      <c r="T773" s="130">
        <v>46156</v>
      </c>
      <c r="U773" s="145"/>
      <c r="V773" s="145"/>
      <c r="W773" s="145"/>
      <c r="X773" s="104"/>
      <c r="Y773" s="194"/>
      <c r="Z773" s="145"/>
      <c r="AA773" s="145"/>
      <c r="AB773" s="104" t="s">
        <v>2048</v>
      </c>
      <c r="AC773" s="104"/>
      <c r="AD773" s="113">
        <f>S773-Y773</f>
        <v>6048.46</v>
      </c>
    </row>
    <row r="774" spans="2:30" ht="45" hidden="1" customHeight="1">
      <c r="B774" s="174">
        <v>771</v>
      </c>
      <c r="C774" s="104" t="s">
        <v>282</v>
      </c>
      <c r="D774" s="104" t="s">
        <v>948</v>
      </c>
      <c r="E774" s="104">
        <v>47657</v>
      </c>
      <c r="F774" s="104" t="s">
        <v>44</v>
      </c>
      <c r="G774" s="145" t="s">
        <v>2150</v>
      </c>
      <c r="H774" s="104">
        <v>1228</v>
      </c>
      <c r="I774" s="104">
        <v>242</v>
      </c>
      <c r="J774" s="104" t="s">
        <v>1118</v>
      </c>
      <c r="K774" s="104" t="s">
        <v>2151</v>
      </c>
      <c r="L774" s="104">
        <v>109149</v>
      </c>
      <c r="M774" s="104">
        <v>6</v>
      </c>
      <c r="N774" s="104" t="s">
        <v>34</v>
      </c>
      <c r="O774" s="104" t="s">
        <v>34</v>
      </c>
      <c r="P774" s="104">
        <v>4476407</v>
      </c>
      <c r="Q774" s="106">
        <v>46144</v>
      </c>
      <c r="R774" s="104"/>
      <c r="S774" s="160">
        <v>6700</v>
      </c>
      <c r="T774" s="130">
        <v>46153</v>
      </c>
      <c r="U774" s="145"/>
      <c r="V774" s="145"/>
      <c r="W774" s="145"/>
      <c r="X774" s="104"/>
      <c r="Y774" s="194"/>
      <c r="Z774" s="145"/>
      <c r="AA774" s="145"/>
      <c r="AB774" s="104" t="s">
        <v>2048</v>
      </c>
      <c r="AC774" s="104"/>
      <c r="AD774" s="113">
        <f>S774-Y774</f>
        <v>6700</v>
      </c>
    </row>
    <row r="775" spans="2:30" ht="45" hidden="1" customHeight="1">
      <c r="B775" s="174">
        <v>772</v>
      </c>
      <c r="C775" s="104" t="s">
        <v>282</v>
      </c>
      <c r="D775" s="104" t="s">
        <v>2152</v>
      </c>
      <c r="E775" s="104" t="s">
        <v>34</v>
      </c>
      <c r="F775" s="104" t="s">
        <v>44</v>
      </c>
      <c r="G775" s="145" t="s">
        <v>2153</v>
      </c>
      <c r="H775" s="104">
        <v>1210</v>
      </c>
      <c r="I775" s="104">
        <v>392</v>
      </c>
      <c r="J775" s="104" t="s">
        <v>1118</v>
      </c>
      <c r="K775" s="104" t="s">
        <v>2154</v>
      </c>
      <c r="L775" s="104">
        <v>121742</v>
      </c>
      <c r="M775" s="104">
        <v>29</v>
      </c>
      <c r="N775" s="104" t="s">
        <v>2155</v>
      </c>
      <c r="O775" s="104" t="s">
        <v>34</v>
      </c>
      <c r="P775" s="104"/>
      <c r="Q775" s="106"/>
      <c r="R775" s="104"/>
      <c r="S775" s="160">
        <v>54960</v>
      </c>
      <c r="T775" s="130">
        <v>46160</v>
      </c>
      <c r="U775" s="145"/>
      <c r="V775" s="145"/>
      <c r="W775" s="145"/>
      <c r="X775" s="104"/>
      <c r="Y775" s="194"/>
      <c r="Z775" s="145"/>
      <c r="AA775" s="145"/>
      <c r="AB775" s="104" t="s">
        <v>1391</v>
      </c>
      <c r="AC775" s="104" t="s">
        <v>2156</v>
      </c>
      <c r="AD775" s="113">
        <f>S775-Y775</f>
        <v>54960</v>
      </c>
    </row>
    <row r="776" spans="2:30" ht="45" hidden="1" customHeight="1">
      <c r="B776" s="174">
        <v>773</v>
      </c>
      <c r="C776" s="104" t="s">
        <v>42</v>
      </c>
      <c r="D776" s="104" t="s">
        <v>2157</v>
      </c>
      <c r="E776" s="104" t="s">
        <v>2158</v>
      </c>
      <c r="F776" s="104" t="s">
        <v>44</v>
      </c>
      <c r="G776" s="145" t="s">
        <v>2159</v>
      </c>
      <c r="H776" s="104">
        <v>2224</v>
      </c>
      <c r="I776" s="104">
        <v>242</v>
      </c>
      <c r="J776" s="104" t="s">
        <v>1118</v>
      </c>
      <c r="K776" s="104" t="s">
        <v>2160</v>
      </c>
      <c r="L776" s="104">
        <v>120949</v>
      </c>
      <c r="M776" s="104">
        <v>6</v>
      </c>
      <c r="N776" s="104" t="s">
        <v>34</v>
      </c>
      <c r="O776" s="104" t="s">
        <v>34</v>
      </c>
      <c r="P776" s="104">
        <v>4476418</v>
      </c>
      <c r="Q776" s="106">
        <v>46144</v>
      </c>
      <c r="R776" s="104"/>
      <c r="S776" s="160">
        <v>33539.949999999997</v>
      </c>
      <c r="T776" s="104"/>
      <c r="U776" s="145"/>
      <c r="V776" s="145"/>
      <c r="W776" s="145"/>
      <c r="X776" s="104"/>
      <c r="Y776" s="194"/>
      <c r="Z776" s="145"/>
      <c r="AA776" s="145"/>
      <c r="AB776" s="104" t="s">
        <v>2048</v>
      </c>
      <c r="AC776" s="104"/>
      <c r="AD776" s="113">
        <f>S776-Y776</f>
        <v>33539.949999999997</v>
      </c>
    </row>
    <row r="777" spans="2:30" ht="45" hidden="1" customHeight="1">
      <c r="B777" s="174">
        <v>774</v>
      </c>
      <c r="C777" s="104" t="s">
        <v>183</v>
      </c>
      <c r="D777" s="104" t="s">
        <v>192</v>
      </c>
      <c r="E777" s="104" t="s">
        <v>34</v>
      </c>
      <c r="F777" s="104" t="s">
        <v>35</v>
      </c>
      <c r="G777" s="145" t="s">
        <v>2161</v>
      </c>
      <c r="H777" s="104">
        <v>2488</v>
      </c>
      <c r="I777" s="104">
        <v>242</v>
      </c>
      <c r="J777" s="104" t="s">
        <v>1430</v>
      </c>
      <c r="K777" s="104">
        <v>1483</v>
      </c>
      <c r="L777" s="104">
        <v>121886</v>
      </c>
      <c r="M777" s="104">
        <v>5</v>
      </c>
      <c r="N777" s="104" t="s">
        <v>2162</v>
      </c>
      <c r="O777" s="104"/>
      <c r="P777" s="104">
        <v>4476668</v>
      </c>
      <c r="Q777" s="106">
        <v>46146</v>
      </c>
      <c r="R777" s="104"/>
      <c r="S777" s="160">
        <v>5880</v>
      </c>
      <c r="T777" s="104"/>
      <c r="U777" s="145"/>
      <c r="V777" s="145"/>
      <c r="W777" s="145"/>
      <c r="X777" s="104"/>
      <c r="Y777" s="194"/>
      <c r="Z777" s="145"/>
      <c r="AA777" s="145"/>
      <c r="AB777" s="104" t="s">
        <v>2048</v>
      </c>
      <c r="AC777" s="104"/>
      <c r="AD777" s="113">
        <f>S777-Y777</f>
        <v>5880</v>
      </c>
    </row>
    <row r="778" spans="2:30" ht="45" hidden="1" customHeight="1">
      <c r="B778" s="174">
        <v>775</v>
      </c>
      <c r="C778" s="104" t="s">
        <v>70</v>
      </c>
      <c r="D778" s="104" t="s">
        <v>2163</v>
      </c>
      <c r="E778" s="104" t="s">
        <v>34</v>
      </c>
      <c r="F778" s="104" t="s">
        <v>44</v>
      </c>
      <c r="G778" s="145" t="s">
        <v>2164</v>
      </c>
      <c r="H778" s="104">
        <v>2330</v>
      </c>
      <c r="I778" s="104">
        <v>242</v>
      </c>
      <c r="J778" s="104" t="s">
        <v>1430</v>
      </c>
      <c r="K778" s="104">
        <v>96811</v>
      </c>
      <c r="L778" s="104">
        <v>121715</v>
      </c>
      <c r="M778" s="104">
        <v>5</v>
      </c>
      <c r="N778" s="104" t="s">
        <v>2165</v>
      </c>
      <c r="O778" s="104"/>
      <c r="P778" s="104">
        <v>4476685</v>
      </c>
      <c r="Q778" s="106">
        <v>46146</v>
      </c>
      <c r="R778" s="104"/>
      <c r="S778" s="160">
        <v>3081</v>
      </c>
      <c r="T778" s="104"/>
      <c r="U778" s="145"/>
      <c r="V778" s="145"/>
      <c r="W778" s="145"/>
      <c r="X778" s="104"/>
      <c r="Y778" s="194"/>
      <c r="Z778" s="145"/>
      <c r="AA778" s="145"/>
      <c r="AB778" s="104" t="s">
        <v>2048</v>
      </c>
      <c r="AC778" s="104"/>
      <c r="AD778" s="113">
        <f>S778-Y778</f>
        <v>3081</v>
      </c>
    </row>
    <row r="779" spans="2:30" ht="45" hidden="1" customHeight="1">
      <c r="B779" s="174">
        <v>776</v>
      </c>
      <c r="C779" s="104" t="s">
        <v>70</v>
      </c>
      <c r="D779" s="104" t="s">
        <v>1437</v>
      </c>
      <c r="E779" s="104" t="s">
        <v>2166</v>
      </c>
      <c r="F779" s="104" t="s">
        <v>44</v>
      </c>
      <c r="G779" s="145" t="s">
        <v>2167</v>
      </c>
      <c r="H779" s="104">
        <v>2275</v>
      </c>
      <c r="I779" s="104">
        <v>242</v>
      </c>
      <c r="J779" s="104" t="s">
        <v>1430</v>
      </c>
      <c r="K779" s="104" t="s">
        <v>2168</v>
      </c>
      <c r="L779" s="104">
        <v>121566</v>
      </c>
      <c r="M779" s="104">
        <v>6</v>
      </c>
      <c r="N779" s="104"/>
      <c r="O779" s="104"/>
      <c r="P779" s="104">
        <v>4476702</v>
      </c>
      <c r="Q779" s="106">
        <v>46146</v>
      </c>
      <c r="R779" s="104"/>
      <c r="S779" s="160">
        <v>10628.5</v>
      </c>
      <c r="T779" s="130">
        <v>46143</v>
      </c>
      <c r="U779" s="145"/>
      <c r="V779" s="145"/>
      <c r="W779" s="145"/>
      <c r="X779" s="104"/>
      <c r="Y779" s="194"/>
      <c r="Z779" s="145"/>
      <c r="AA779" s="145"/>
      <c r="AB779" s="104" t="s">
        <v>2048</v>
      </c>
      <c r="AC779" s="104"/>
      <c r="AD779" s="113">
        <f>S779-Y779</f>
        <v>10628.5</v>
      </c>
    </row>
    <row r="780" spans="2:30" ht="45" hidden="1" customHeight="1">
      <c r="B780" s="174">
        <v>777</v>
      </c>
      <c r="C780" s="104" t="s">
        <v>32</v>
      </c>
      <c r="D780" s="104" t="s">
        <v>192</v>
      </c>
      <c r="E780" s="104">
        <v>49291</v>
      </c>
      <c r="F780" s="104" t="s">
        <v>35</v>
      </c>
      <c r="G780" s="145" t="s">
        <v>2169</v>
      </c>
      <c r="H780" s="104">
        <v>2488</v>
      </c>
      <c r="I780" s="104">
        <v>242</v>
      </c>
      <c r="J780" s="104" t="s">
        <v>1430</v>
      </c>
      <c r="K780" s="104">
        <v>1484</v>
      </c>
      <c r="L780" s="104">
        <v>122060</v>
      </c>
      <c r="M780" s="104">
        <v>5</v>
      </c>
      <c r="N780" s="104" t="s">
        <v>2170</v>
      </c>
      <c r="O780" s="104"/>
      <c r="P780" s="104">
        <v>4476750</v>
      </c>
      <c r="Q780" s="106">
        <v>46146</v>
      </c>
      <c r="R780" s="104"/>
      <c r="S780" s="160">
        <v>1760</v>
      </c>
      <c r="T780" s="104"/>
      <c r="U780" s="145"/>
      <c r="V780" s="145"/>
      <c r="W780" s="145"/>
      <c r="X780" s="104"/>
      <c r="Y780" s="194"/>
      <c r="Z780" s="145"/>
      <c r="AA780" s="145"/>
      <c r="AB780" s="104" t="s">
        <v>2048</v>
      </c>
      <c r="AC780" s="104"/>
      <c r="AD780" s="113">
        <f>S780-Y780</f>
        <v>1760</v>
      </c>
    </row>
    <row r="781" spans="2:30" ht="45" hidden="1" customHeight="1">
      <c r="B781" s="174">
        <v>778</v>
      </c>
      <c r="C781" s="104" t="s">
        <v>224</v>
      </c>
      <c r="D781" s="104" t="s">
        <v>2171</v>
      </c>
      <c r="E781" s="104">
        <v>47786</v>
      </c>
      <c r="F781" s="104" t="s">
        <v>44</v>
      </c>
      <c r="G781" s="145" t="s">
        <v>2172</v>
      </c>
      <c r="H781" s="104">
        <v>2101</v>
      </c>
      <c r="I781" s="104">
        <v>242</v>
      </c>
      <c r="J781" s="104" t="s">
        <v>854</v>
      </c>
      <c r="K781" s="104">
        <v>912610</v>
      </c>
      <c r="L781" s="104">
        <v>122388</v>
      </c>
      <c r="M781" s="104">
        <v>6</v>
      </c>
      <c r="N781" s="104"/>
      <c r="O781" s="104"/>
      <c r="P781" s="104">
        <v>4477848</v>
      </c>
      <c r="Q781" s="106">
        <v>46146</v>
      </c>
      <c r="R781" s="104"/>
      <c r="S781" s="160">
        <v>2880.38</v>
      </c>
      <c r="T781" s="130">
        <v>46157</v>
      </c>
      <c r="U781" s="145"/>
      <c r="V781" s="145"/>
      <c r="W781" s="145"/>
      <c r="X781" s="104"/>
      <c r="Y781" s="194" t="s">
        <v>1017</v>
      </c>
      <c r="Z781" s="145"/>
      <c r="AA781" s="145"/>
      <c r="AB781" s="104" t="s">
        <v>2048</v>
      </c>
      <c r="AC781" s="104"/>
      <c r="AD781" s="113" t="e">
        <f>S781-Y781</f>
        <v>#VALUE!</v>
      </c>
    </row>
    <row r="782" spans="2:30" ht="45" hidden="1" customHeight="1">
      <c r="B782" s="174">
        <v>779</v>
      </c>
      <c r="C782" s="104" t="s">
        <v>183</v>
      </c>
      <c r="D782" s="104" t="s">
        <v>192</v>
      </c>
      <c r="E782" s="104">
        <v>50405</v>
      </c>
      <c r="F782" s="104" t="s">
        <v>35</v>
      </c>
      <c r="G782" s="145" t="s">
        <v>2173</v>
      </c>
      <c r="H782" s="104">
        <v>2224</v>
      </c>
      <c r="I782" s="104">
        <v>242</v>
      </c>
      <c r="J782" s="104" t="s">
        <v>1430</v>
      </c>
      <c r="K782" s="104">
        <v>1480</v>
      </c>
      <c r="L782" s="104">
        <v>122473</v>
      </c>
      <c r="M782" s="104">
        <v>6</v>
      </c>
      <c r="N782" s="104"/>
      <c r="O782" s="104"/>
      <c r="P782" s="104">
        <v>4478637</v>
      </c>
      <c r="Q782" s="106">
        <v>46147</v>
      </c>
      <c r="R782" s="104"/>
      <c r="S782" s="160">
        <v>695</v>
      </c>
      <c r="T782" s="106">
        <v>46172</v>
      </c>
      <c r="U782" s="145"/>
      <c r="V782" s="145"/>
      <c r="W782" s="145"/>
      <c r="X782" s="104"/>
      <c r="Y782" s="194"/>
      <c r="Z782" s="145"/>
      <c r="AA782" s="145"/>
      <c r="AB782" s="104" t="s">
        <v>2048</v>
      </c>
      <c r="AC782" s="104"/>
      <c r="AD782" s="113">
        <f>S782-Y782</f>
        <v>695</v>
      </c>
    </row>
    <row r="783" spans="2:30" ht="45" hidden="1" customHeight="1">
      <c r="B783" s="174">
        <v>780</v>
      </c>
      <c r="C783" s="104" t="s">
        <v>95</v>
      </c>
      <c r="D783" s="104" t="s">
        <v>479</v>
      </c>
      <c r="E783" s="104" t="s">
        <v>34</v>
      </c>
      <c r="F783" s="104" t="s">
        <v>44</v>
      </c>
      <c r="G783" s="145" t="s">
        <v>2174</v>
      </c>
      <c r="H783" s="104" t="s">
        <v>1530</v>
      </c>
      <c r="I783" s="104">
        <v>5</v>
      </c>
      <c r="J783" s="104" t="s">
        <v>1459</v>
      </c>
      <c r="K783" s="104" t="s">
        <v>1531</v>
      </c>
      <c r="L783" s="104">
        <v>106071</v>
      </c>
      <c r="M783" s="104">
        <v>1</v>
      </c>
      <c r="N783" s="104"/>
      <c r="O783" s="104"/>
      <c r="P783" s="104">
        <v>4392783</v>
      </c>
      <c r="Q783" s="106">
        <v>46068</v>
      </c>
      <c r="R783" s="104">
        <v>4509801</v>
      </c>
      <c r="S783" s="160">
        <f>AD509</f>
        <v>34597.75</v>
      </c>
      <c r="T783" s="130">
        <v>46078</v>
      </c>
      <c r="U783" s="145">
        <v>84</v>
      </c>
      <c r="V783" s="145" t="s">
        <v>34</v>
      </c>
      <c r="W783" s="145" t="s">
        <v>48</v>
      </c>
      <c r="X783" s="104" t="s">
        <v>25</v>
      </c>
      <c r="Y783" s="194">
        <v>34597.75</v>
      </c>
      <c r="Z783" s="195">
        <v>46146</v>
      </c>
      <c r="AA783" s="180">
        <v>46147</v>
      </c>
      <c r="AB783" s="104" t="s">
        <v>41</v>
      </c>
      <c r="AC783" s="104"/>
      <c r="AD783" s="113">
        <f>S783-Y783</f>
        <v>0</v>
      </c>
    </row>
    <row r="784" spans="2:30" ht="45" hidden="1" customHeight="1">
      <c r="B784" s="174">
        <v>781</v>
      </c>
      <c r="C784" s="104" t="s">
        <v>291</v>
      </c>
      <c r="D784" s="104" t="s">
        <v>2175</v>
      </c>
      <c r="E784" s="104"/>
      <c r="F784" s="104" t="s">
        <v>44</v>
      </c>
      <c r="G784" s="145" t="s">
        <v>2176</v>
      </c>
      <c r="H784" s="104">
        <v>2488</v>
      </c>
      <c r="I784" s="104">
        <v>242</v>
      </c>
      <c r="J784" s="104" t="s">
        <v>1430</v>
      </c>
      <c r="K784" s="104" t="s">
        <v>2177</v>
      </c>
      <c r="L784" s="104">
        <v>122508</v>
      </c>
      <c r="M784" s="104">
        <v>2</v>
      </c>
      <c r="N784" s="104" t="s">
        <v>2178</v>
      </c>
      <c r="O784" s="104"/>
      <c r="P784" s="104">
        <v>4478863</v>
      </c>
      <c r="Q784" s="106">
        <v>46147</v>
      </c>
      <c r="R784" s="104"/>
      <c r="S784" s="160" t="s">
        <v>1340</v>
      </c>
      <c r="T784" s="104"/>
      <c r="U784" s="145"/>
      <c r="V784" s="145"/>
      <c r="W784" s="145"/>
      <c r="X784" s="104"/>
      <c r="Y784" s="194"/>
      <c r="Z784" s="145"/>
      <c r="AA784" s="145"/>
      <c r="AB784" s="104" t="s">
        <v>2048</v>
      </c>
      <c r="AC784" s="104"/>
      <c r="AD784" s="113" t="e">
        <f>S784-Y784</f>
        <v>#VALUE!</v>
      </c>
    </row>
    <row r="785" spans="2:30" ht="45" hidden="1" customHeight="1">
      <c r="B785" s="174">
        <v>782</v>
      </c>
      <c r="C785" s="104" t="s">
        <v>1456</v>
      </c>
      <c r="D785" s="104" t="s">
        <v>479</v>
      </c>
      <c r="E785" s="104" t="s">
        <v>34</v>
      </c>
      <c r="F785" s="104" t="s">
        <v>44</v>
      </c>
      <c r="G785" s="145" t="s">
        <v>1457</v>
      </c>
      <c r="H785" s="104" t="s">
        <v>1458</v>
      </c>
      <c r="I785" s="104">
        <v>242</v>
      </c>
      <c r="J785" s="104" t="s">
        <v>1459</v>
      </c>
      <c r="K785" s="104" t="s">
        <v>479</v>
      </c>
      <c r="L785" s="104">
        <v>104393</v>
      </c>
      <c r="M785" s="104">
        <v>1</v>
      </c>
      <c r="N785" s="104"/>
      <c r="O785" s="104"/>
      <c r="P785" s="104">
        <v>4383182</v>
      </c>
      <c r="Q785" s="106">
        <v>46058</v>
      </c>
      <c r="R785" s="104">
        <v>4501421</v>
      </c>
      <c r="S785" s="160">
        <f>AD727</f>
        <v>7476.0599999999995</v>
      </c>
      <c r="T785" s="106">
        <v>46075</v>
      </c>
      <c r="U785" s="104">
        <v>579</v>
      </c>
      <c r="V785" s="145" t="s">
        <v>34</v>
      </c>
      <c r="W785" s="145" t="s">
        <v>48</v>
      </c>
      <c r="X785" s="104" t="s">
        <v>25</v>
      </c>
      <c r="Y785" s="194">
        <v>7476.06</v>
      </c>
      <c r="Z785" s="180">
        <v>46146</v>
      </c>
      <c r="AA785" s="195"/>
      <c r="AB785" s="104" t="s">
        <v>1425</v>
      </c>
      <c r="AC785" s="104" t="s">
        <v>132</v>
      </c>
      <c r="AD785" s="113">
        <f>S785-Y785</f>
        <v>0</v>
      </c>
    </row>
    <row r="786" spans="2:30" ht="45" hidden="1" customHeight="1">
      <c r="B786" s="174">
        <v>783</v>
      </c>
      <c r="C786" s="104" t="s">
        <v>95</v>
      </c>
      <c r="D786" s="104" t="s">
        <v>1342</v>
      </c>
      <c r="E786" s="104"/>
      <c r="F786" s="104" t="s">
        <v>44</v>
      </c>
      <c r="G786" s="145" t="s">
        <v>270</v>
      </c>
      <c r="H786" s="104" t="s">
        <v>1343</v>
      </c>
      <c r="I786" s="104">
        <v>5</v>
      </c>
      <c r="J786" s="104" t="s">
        <v>1118</v>
      </c>
      <c r="K786" s="104" t="s">
        <v>709</v>
      </c>
      <c r="L786" s="104">
        <v>100939</v>
      </c>
      <c r="M786" s="104">
        <v>2</v>
      </c>
      <c r="N786" s="104" t="s">
        <v>1344</v>
      </c>
      <c r="O786" s="104"/>
      <c r="P786" s="119" t="s">
        <v>1345</v>
      </c>
      <c r="Q786" s="106">
        <v>46041</v>
      </c>
      <c r="R786" s="104">
        <v>4496761</v>
      </c>
      <c r="S786" s="160">
        <f>AD431</f>
        <v>12007.5</v>
      </c>
      <c r="T786" s="108">
        <v>46041</v>
      </c>
      <c r="U786" s="104">
        <v>578</v>
      </c>
      <c r="V786" s="104" t="s">
        <v>34</v>
      </c>
      <c r="W786" s="104" t="s">
        <v>48</v>
      </c>
      <c r="X786" s="104" t="s">
        <v>25</v>
      </c>
      <c r="Y786" s="216">
        <v>7488.9</v>
      </c>
      <c r="Z786" s="106">
        <v>46146</v>
      </c>
      <c r="AA786" s="106">
        <v>46148</v>
      </c>
      <c r="AB786" s="104" t="s">
        <v>41</v>
      </c>
      <c r="AC786" s="104"/>
      <c r="AD786" s="113">
        <f>S786-Y786</f>
        <v>4518.6000000000004</v>
      </c>
    </row>
    <row r="787" spans="2:30" ht="45" hidden="1" customHeight="1">
      <c r="B787" s="174">
        <v>784</v>
      </c>
      <c r="C787" s="104" t="s">
        <v>70</v>
      </c>
      <c r="D787" s="104" t="s">
        <v>1016</v>
      </c>
      <c r="E787" s="104" t="s">
        <v>1759</v>
      </c>
      <c r="F787" s="104" t="s">
        <v>44</v>
      </c>
      <c r="G787" s="145" t="s">
        <v>1760</v>
      </c>
      <c r="H787" s="104" t="s">
        <v>1761</v>
      </c>
      <c r="I787" s="104">
        <v>242</v>
      </c>
      <c r="J787" s="104" t="s">
        <v>1430</v>
      </c>
      <c r="K787" s="104" t="s">
        <v>1762</v>
      </c>
      <c r="L787" s="104">
        <v>110032</v>
      </c>
      <c r="M787" s="104">
        <v>2</v>
      </c>
      <c r="N787" s="104" t="s">
        <v>1763</v>
      </c>
      <c r="O787" s="104"/>
      <c r="P787" s="104">
        <v>4419972</v>
      </c>
      <c r="Q787" s="106">
        <v>46092</v>
      </c>
      <c r="R787" s="104">
        <v>4529864</v>
      </c>
      <c r="S787" s="160">
        <v>11960</v>
      </c>
      <c r="T787" s="130">
        <v>46082</v>
      </c>
      <c r="U787" s="145">
        <v>462</v>
      </c>
      <c r="V787" s="145"/>
      <c r="W787" s="145" t="s">
        <v>1091</v>
      </c>
      <c r="X787" s="104" t="s">
        <v>508</v>
      </c>
      <c r="Y787" s="194">
        <v>5980</v>
      </c>
      <c r="Z787" s="180">
        <v>46147</v>
      </c>
      <c r="AA787" s="180">
        <v>46147</v>
      </c>
      <c r="AB787" s="104" t="s">
        <v>41</v>
      </c>
      <c r="AC787" s="104"/>
      <c r="AD787" s="113">
        <f>S787-Y787</f>
        <v>5980</v>
      </c>
    </row>
    <row r="788" spans="2:30" ht="63" hidden="1" customHeight="1">
      <c r="B788" s="174">
        <v>785</v>
      </c>
      <c r="C788" s="104" t="s">
        <v>137</v>
      </c>
      <c r="D788" s="104" t="s">
        <v>984</v>
      </c>
      <c r="E788" s="104" t="s">
        <v>34</v>
      </c>
      <c r="F788" s="104" t="s">
        <v>44</v>
      </c>
      <c r="G788" s="145" t="s">
        <v>246</v>
      </c>
      <c r="H788" s="104" t="s">
        <v>985</v>
      </c>
      <c r="I788" s="104">
        <v>5</v>
      </c>
      <c r="J788" s="104" t="s">
        <v>58</v>
      </c>
      <c r="K788" s="104" t="s">
        <v>986</v>
      </c>
      <c r="L788" s="104">
        <v>97217</v>
      </c>
      <c r="M788" s="104">
        <v>1</v>
      </c>
      <c r="N788" s="104" t="s">
        <v>34</v>
      </c>
      <c r="O788" s="104" t="s">
        <v>34</v>
      </c>
      <c r="P788" s="104">
        <v>4338697</v>
      </c>
      <c r="Q788" s="106">
        <v>46014</v>
      </c>
      <c r="R788" s="104">
        <v>4465538</v>
      </c>
      <c r="S788" s="109">
        <v>26368</v>
      </c>
      <c r="T788" s="108"/>
      <c r="U788" s="104">
        <v>446</v>
      </c>
      <c r="V788" s="104" t="s">
        <v>34</v>
      </c>
      <c r="W788" s="104" t="s">
        <v>40</v>
      </c>
      <c r="X788" s="104" t="s">
        <v>25</v>
      </c>
      <c r="Y788" s="131">
        <v>10131</v>
      </c>
      <c r="Z788" s="106">
        <v>46147</v>
      </c>
      <c r="AA788" s="106">
        <v>46148</v>
      </c>
      <c r="AB788" s="104" t="s">
        <v>41</v>
      </c>
      <c r="AC788" s="104"/>
      <c r="AD788" s="113">
        <f>S788-Y788</f>
        <v>16237</v>
      </c>
    </row>
    <row r="789" spans="2:30" ht="45" hidden="1" customHeight="1">
      <c r="B789" s="174">
        <v>786</v>
      </c>
      <c r="C789" s="104" t="s">
        <v>137</v>
      </c>
      <c r="D789" s="104" t="s">
        <v>709</v>
      </c>
      <c r="E789" s="104" t="s">
        <v>34</v>
      </c>
      <c r="F789" s="104" t="s">
        <v>44</v>
      </c>
      <c r="G789" s="145" t="s">
        <v>2179</v>
      </c>
      <c r="H789" s="104">
        <v>2071</v>
      </c>
      <c r="I789" s="104">
        <v>5</v>
      </c>
      <c r="J789" s="104" t="s">
        <v>1118</v>
      </c>
      <c r="K789" s="104" t="s">
        <v>2180</v>
      </c>
      <c r="L789" s="104">
        <v>122365</v>
      </c>
      <c r="M789" s="104">
        <v>1</v>
      </c>
      <c r="N789" s="104" t="s">
        <v>34</v>
      </c>
      <c r="O789" s="104" t="s">
        <v>34</v>
      </c>
      <c r="P789" s="104">
        <v>4479306</v>
      </c>
      <c r="Q789" s="106">
        <v>46147</v>
      </c>
      <c r="R789" s="104"/>
      <c r="S789" s="160" t="s">
        <v>709</v>
      </c>
      <c r="T789" s="199">
        <v>46143</v>
      </c>
      <c r="U789" s="145"/>
      <c r="V789" s="145"/>
      <c r="W789" s="145"/>
      <c r="X789" s="104"/>
      <c r="Y789" s="194"/>
      <c r="Z789" s="145"/>
      <c r="AA789" s="145"/>
      <c r="AB789" s="104" t="s">
        <v>2048</v>
      </c>
      <c r="AC789" s="104"/>
      <c r="AD789" s="113" t="e">
        <f>S789-Y789</f>
        <v>#VALUE!</v>
      </c>
    </row>
    <row r="790" spans="2:30" ht="45" customHeight="1">
      <c r="B790" s="174">
        <v>787</v>
      </c>
      <c r="C790" s="104" t="s">
        <v>282</v>
      </c>
      <c r="D790" s="104" t="s">
        <v>2181</v>
      </c>
      <c r="E790" s="104" t="s">
        <v>34</v>
      </c>
      <c r="F790" s="104" t="s">
        <v>44</v>
      </c>
      <c r="G790" s="145" t="s">
        <v>2057</v>
      </c>
      <c r="H790" s="104">
        <v>1210</v>
      </c>
      <c r="I790" s="104">
        <v>242</v>
      </c>
      <c r="J790" s="104" t="s">
        <v>1575</v>
      </c>
      <c r="K790" s="104" t="s">
        <v>2182</v>
      </c>
      <c r="L790" s="104">
        <v>118409</v>
      </c>
      <c r="M790" s="104">
        <v>8</v>
      </c>
      <c r="N790" s="104" t="s">
        <v>2059</v>
      </c>
      <c r="O790" s="104" t="s">
        <v>34</v>
      </c>
      <c r="P790" s="104">
        <v>4479978</v>
      </c>
      <c r="Q790" s="106">
        <v>46148</v>
      </c>
      <c r="R790" s="104">
        <v>4580568</v>
      </c>
      <c r="S790" s="160">
        <v>127400</v>
      </c>
      <c r="T790" s="106">
        <v>46127</v>
      </c>
      <c r="U790" s="145">
        <v>1554</v>
      </c>
      <c r="V790" s="145" t="s">
        <v>34</v>
      </c>
      <c r="W790" s="145" t="s">
        <v>40</v>
      </c>
      <c r="X790" s="104" t="s">
        <v>44</v>
      </c>
      <c r="Y790" s="194">
        <v>127400</v>
      </c>
      <c r="Z790" s="195">
        <v>46129</v>
      </c>
      <c r="AA790" s="195">
        <v>46148</v>
      </c>
      <c r="AB790" s="104" t="s">
        <v>41</v>
      </c>
      <c r="AC790" s="104"/>
      <c r="AD790" s="113">
        <f>S790-Y790</f>
        <v>0</v>
      </c>
    </row>
    <row r="791" spans="2:30" ht="45" hidden="1" customHeight="1">
      <c r="B791" s="174">
        <v>788</v>
      </c>
      <c r="C791" s="104" t="s">
        <v>80</v>
      </c>
      <c r="D791" s="104" t="s">
        <v>2183</v>
      </c>
      <c r="E791" s="104" t="s">
        <v>34</v>
      </c>
      <c r="F791" s="104" t="s">
        <v>44</v>
      </c>
      <c r="G791" s="145" t="s">
        <v>2184</v>
      </c>
      <c r="H791" s="104">
        <v>4600</v>
      </c>
      <c r="I791" s="104">
        <v>242</v>
      </c>
      <c r="J791" s="104" t="s">
        <v>1575</v>
      </c>
      <c r="K791" s="104" t="s">
        <v>2185</v>
      </c>
      <c r="L791" s="104">
        <v>122662</v>
      </c>
      <c r="M791" s="104">
        <v>5</v>
      </c>
      <c r="N791" s="104" t="s">
        <v>2186</v>
      </c>
      <c r="O791" s="104" t="s">
        <v>34</v>
      </c>
      <c r="P791" s="104">
        <v>4480696</v>
      </c>
      <c r="Q791" s="106">
        <v>46148</v>
      </c>
      <c r="R791" s="104"/>
      <c r="S791" s="160">
        <v>562.1</v>
      </c>
      <c r="T791" s="199">
        <v>46174</v>
      </c>
      <c r="U791" s="145"/>
      <c r="V791" s="145"/>
      <c r="W791" s="145"/>
      <c r="X791" s="104"/>
      <c r="Y791" s="194"/>
      <c r="Z791" s="145"/>
      <c r="AA791" s="145"/>
      <c r="AB791" s="104" t="s">
        <v>2048</v>
      </c>
      <c r="AC791" s="104"/>
      <c r="AD791" s="113">
        <f>S791-Y791</f>
        <v>562.1</v>
      </c>
    </row>
    <row r="792" spans="2:30" ht="45" hidden="1" customHeight="1">
      <c r="B792" s="174">
        <v>789</v>
      </c>
      <c r="C792" s="104"/>
      <c r="D792" s="104"/>
      <c r="E792" s="104"/>
      <c r="F792" s="104"/>
      <c r="G792" s="145"/>
      <c r="H792" s="104"/>
      <c r="I792" s="104"/>
      <c r="J792" s="104"/>
      <c r="K792" s="104"/>
      <c r="L792" s="104"/>
      <c r="M792" s="104"/>
      <c r="N792" s="104"/>
      <c r="O792" s="104"/>
      <c r="P792" s="104"/>
      <c r="Q792" s="104"/>
      <c r="R792" s="104"/>
      <c r="S792" s="160"/>
      <c r="T792" s="104"/>
      <c r="U792" s="145"/>
      <c r="V792" s="145"/>
      <c r="W792" s="145"/>
      <c r="X792" s="104"/>
      <c r="Y792" s="194"/>
      <c r="Z792" s="145"/>
      <c r="AA792" s="145"/>
      <c r="AB792" s="104"/>
      <c r="AC792" s="104"/>
      <c r="AD792" s="113">
        <f>S792-Y792</f>
        <v>0</v>
      </c>
    </row>
    <row r="793" spans="2:30" ht="45" hidden="1" customHeight="1">
      <c r="B793" s="174">
        <v>790</v>
      </c>
      <c r="C793" s="104"/>
      <c r="D793" s="104"/>
      <c r="E793" s="104"/>
      <c r="F793" s="104"/>
      <c r="G793" s="145"/>
      <c r="H793" s="104"/>
      <c r="I793" s="104"/>
      <c r="J793" s="104"/>
      <c r="K793" s="104"/>
      <c r="L793" s="104"/>
      <c r="M793" s="104"/>
      <c r="N793" s="104"/>
      <c r="O793" s="104"/>
      <c r="P793" s="104"/>
      <c r="Q793" s="104"/>
      <c r="R793" s="104"/>
      <c r="S793" s="160"/>
      <c r="T793" s="104"/>
      <c r="U793" s="145"/>
      <c r="V793" s="145"/>
      <c r="W793" s="145"/>
      <c r="X793" s="104"/>
      <c r="Y793" s="194"/>
      <c r="Z793" s="145"/>
      <c r="AA793" s="145"/>
      <c r="AB793" s="104"/>
      <c r="AC793" s="104"/>
      <c r="AD793" s="113">
        <f>S793-Y793</f>
        <v>0</v>
      </c>
    </row>
    <row r="794" spans="2:30" ht="45" hidden="1" customHeight="1">
      <c r="B794" s="174">
        <v>791</v>
      </c>
      <c r="C794" s="104"/>
      <c r="D794" s="104"/>
      <c r="E794" s="104"/>
      <c r="F794" s="104"/>
      <c r="G794" s="145"/>
      <c r="H794" s="104"/>
      <c r="I794" s="104"/>
      <c r="J794" s="104"/>
      <c r="K794" s="104"/>
      <c r="L794" s="104"/>
      <c r="M794" s="104"/>
      <c r="N794" s="104"/>
      <c r="O794" s="104"/>
      <c r="P794" s="104"/>
      <c r="Q794" s="104"/>
      <c r="R794" s="104"/>
      <c r="S794" s="160"/>
      <c r="T794" s="104"/>
      <c r="U794" s="145"/>
      <c r="V794" s="145"/>
      <c r="W794" s="145"/>
      <c r="X794" s="104"/>
      <c r="Y794" s="194"/>
      <c r="Z794" s="145"/>
      <c r="AA794" s="145"/>
      <c r="AB794" s="104"/>
      <c r="AC794" s="104"/>
      <c r="AD794" s="113">
        <f>S794-Y794</f>
        <v>0</v>
      </c>
    </row>
    <row r="795" spans="2:30" ht="45" hidden="1" customHeight="1">
      <c r="B795" s="174">
        <v>792</v>
      </c>
      <c r="C795" s="104"/>
      <c r="D795" s="104"/>
      <c r="E795" s="104"/>
      <c r="F795" s="104"/>
      <c r="G795" s="145"/>
      <c r="H795" s="104"/>
      <c r="I795" s="104"/>
      <c r="J795" s="104"/>
      <c r="K795" s="104"/>
      <c r="L795" s="104"/>
      <c r="M795" s="104"/>
      <c r="N795" s="104"/>
      <c r="O795" s="104"/>
      <c r="P795" s="104"/>
      <c r="Q795" s="104"/>
      <c r="R795" s="104"/>
      <c r="S795" s="160"/>
      <c r="T795" s="104"/>
      <c r="U795" s="145"/>
      <c r="V795" s="145"/>
      <c r="W795" s="145"/>
      <c r="X795" s="104"/>
      <c r="Y795" s="194"/>
      <c r="Z795" s="145"/>
      <c r="AA795" s="145"/>
      <c r="AB795" s="104"/>
      <c r="AC795" s="104"/>
      <c r="AD795" s="113">
        <f>S795-Y795</f>
        <v>0</v>
      </c>
    </row>
    <row r="796" spans="2:30" ht="45" hidden="1" customHeight="1">
      <c r="B796" s="174">
        <v>793</v>
      </c>
      <c r="C796" s="104"/>
      <c r="D796" s="104"/>
      <c r="E796" s="104"/>
      <c r="F796" s="104"/>
      <c r="G796" s="145"/>
      <c r="H796" s="104"/>
      <c r="I796" s="104"/>
      <c r="J796" s="104"/>
      <c r="K796" s="104"/>
      <c r="L796" s="104"/>
      <c r="M796" s="104"/>
      <c r="N796" s="104"/>
      <c r="O796" s="104"/>
      <c r="P796" s="104"/>
      <c r="Q796" s="104"/>
      <c r="R796" s="104"/>
      <c r="S796" s="160"/>
      <c r="T796" s="104"/>
      <c r="U796" s="145"/>
      <c r="V796" s="145"/>
      <c r="W796" s="145"/>
      <c r="X796" s="104"/>
      <c r="Y796" s="194"/>
      <c r="Z796" s="145"/>
      <c r="AA796" s="145"/>
      <c r="AB796" s="104"/>
      <c r="AC796" s="104"/>
      <c r="AD796" s="113">
        <f>S796-Y796</f>
        <v>0</v>
      </c>
    </row>
    <row r="797" spans="2:30" ht="45" hidden="1" customHeight="1">
      <c r="B797" s="174">
        <v>794</v>
      </c>
      <c r="C797" s="104"/>
      <c r="D797" s="104"/>
      <c r="E797" s="104"/>
      <c r="F797" s="104"/>
      <c r="G797" s="145"/>
      <c r="H797" s="104"/>
      <c r="I797" s="104"/>
      <c r="J797" s="104"/>
      <c r="K797" s="104"/>
      <c r="L797" s="104"/>
      <c r="M797" s="104"/>
      <c r="N797" s="104"/>
      <c r="O797" s="104"/>
      <c r="P797" s="104"/>
      <c r="Q797" s="104"/>
      <c r="R797" s="104"/>
      <c r="S797" s="160"/>
      <c r="T797" s="104"/>
      <c r="U797" s="145"/>
      <c r="V797" s="145"/>
      <c r="W797" s="145"/>
      <c r="X797" s="104"/>
      <c r="Y797" s="194"/>
      <c r="Z797" s="145"/>
      <c r="AA797" s="145"/>
      <c r="AB797" s="104"/>
      <c r="AC797" s="104"/>
      <c r="AD797" s="113">
        <f>S797-Y797</f>
        <v>0</v>
      </c>
    </row>
    <row r="798" spans="2:30" ht="45" hidden="1" customHeight="1">
      <c r="B798" s="174">
        <v>795</v>
      </c>
      <c r="C798" s="104"/>
      <c r="D798" s="104"/>
      <c r="E798" s="104"/>
      <c r="F798" s="104"/>
      <c r="G798" s="145"/>
      <c r="H798" s="104"/>
      <c r="I798" s="104"/>
      <c r="J798" s="104"/>
      <c r="K798" s="104"/>
      <c r="L798" s="104"/>
      <c r="M798" s="104"/>
      <c r="N798" s="104"/>
      <c r="O798" s="104"/>
      <c r="P798" s="104"/>
      <c r="Q798" s="104"/>
      <c r="R798" s="104"/>
      <c r="S798" s="160"/>
      <c r="T798" s="104"/>
      <c r="U798" s="145"/>
      <c r="V798" s="145"/>
      <c r="W798" s="145"/>
      <c r="X798" s="104"/>
      <c r="Y798" s="194"/>
      <c r="Z798" s="145"/>
      <c r="AA798" s="145"/>
      <c r="AB798" s="104"/>
      <c r="AC798" s="104"/>
      <c r="AD798" s="113">
        <f>S798-Y798</f>
        <v>0</v>
      </c>
    </row>
    <row r="799" spans="2:30" ht="45" hidden="1" customHeight="1">
      <c r="B799" s="174">
        <v>796</v>
      </c>
      <c r="C799" s="104"/>
      <c r="D799" s="104"/>
      <c r="E799" s="104"/>
      <c r="F799" s="104"/>
      <c r="G799" s="145"/>
      <c r="H799" s="104"/>
      <c r="I799" s="104"/>
      <c r="J799" s="104"/>
      <c r="K799" s="104"/>
      <c r="L799" s="104"/>
      <c r="M799" s="104"/>
      <c r="N799" s="104"/>
      <c r="O799" s="104"/>
      <c r="P799" s="104"/>
      <c r="Q799" s="104"/>
      <c r="R799" s="104"/>
      <c r="S799" s="160"/>
      <c r="T799" s="104"/>
      <c r="U799" s="145"/>
      <c r="V799" s="145"/>
      <c r="W799" s="145"/>
      <c r="X799" s="104"/>
      <c r="Y799" s="194"/>
      <c r="Z799" s="145"/>
      <c r="AA799" s="145"/>
      <c r="AB799" s="104"/>
      <c r="AC799" s="104"/>
      <c r="AD799" s="113">
        <f>S799-Y799</f>
        <v>0</v>
      </c>
    </row>
    <row r="800" spans="2:30" ht="45" hidden="1" customHeight="1">
      <c r="B800" s="174">
        <v>797</v>
      </c>
      <c r="C800" s="104"/>
      <c r="D800" s="104"/>
      <c r="E800" s="104"/>
      <c r="F800" s="104"/>
      <c r="G800" s="145"/>
      <c r="H800" s="104"/>
      <c r="I800" s="104"/>
      <c r="J800" s="104"/>
      <c r="K800" s="104"/>
      <c r="L800" s="104"/>
      <c r="M800" s="104"/>
      <c r="N800" s="104"/>
      <c r="O800" s="104"/>
      <c r="P800" s="104"/>
      <c r="Q800" s="104"/>
      <c r="R800" s="104"/>
      <c r="S800" s="160"/>
      <c r="T800" s="104"/>
      <c r="U800" s="145"/>
      <c r="V800" s="145"/>
      <c r="W800" s="145"/>
      <c r="X800" s="104"/>
      <c r="Y800" s="194"/>
      <c r="Z800" s="145"/>
      <c r="AA800" s="145"/>
      <c r="AB800" s="104"/>
      <c r="AC800" s="104"/>
      <c r="AD800" s="113">
        <f>S800-Y800</f>
        <v>0</v>
      </c>
    </row>
    <row r="801" spans="2:30" ht="45" hidden="1" customHeight="1">
      <c r="B801" s="174">
        <v>798</v>
      </c>
      <c r="C801" s="104"/>
      <c r="D801" s="104"/>
      <c r="E801" s="104"/>
      <c r="F801" s="104"/>
      <c r="G801" s="145"/>
      <c r="H801" s="104"/>
      <c r="I801" s="104"/>
      <c r="J801" s="104"/>
      <c r="K801" s="104"/>
      <c r="L801" s="104"/>
      <c r="M801" s="104"/>
      <c r="N801" s="104"/>
      <c r="O801" s="104"/>
      <c r="P801" s="104"/>
      <c r="Q801" s="104"/>
      <c r="R801" s="104"/>
      <c r="S801" s="160"/>
      <c r="T801" s="104"/>
      <c r="U801" s="145"/>
      <c r="V801" s="145"/>
      <c r="W801" s="145"/>
      <c r="X801" s="104"/>
      <c r="Y801" s="194"/>
      <c r="Z801" s="145"/>
      <c r="AA801" s="145"/>
      <c r="AB801" s="104"/>
      <c r="AC801" s="104"/>
      <c r="AD801" s="113">
        <f>S801-Y801</f>
        <v>0</v>
      </c>
    </row>
    <row r="802" spans="2:30" ht="45" hidden="1" customHeight="1">
      <c r="B802" s="174">
        <v>799</v>
      </c>
      <c r="C802" s="104"/>
      <c r="D802" s="104"/>
      <c r="E802" s="104"/>
      <c r="F802" s="104"/>
      <c r="G802" s="145"/>
      <c r="H802" s="104"/>
      <c r="I802" s="104"/>
      <c r="J802" s="104"/>
      <c r="K802" s="104"/>
      <c r="L802" s="104"/>
      <c r="M802" s="104"/>
      <c r="N802" s="104"/>
      <c r="O802" s="104"/>
      <c r="P802" s="104"/>
      <c r="Q802" s="104"/>
      <c r="R802" s="104"/>
      <c r="S802" s="160"/>
      <c r="T802" s="104"/>
      <c r="U802" s="145"/>
      <c r="V802" s="145"/>
      <c r="W802" s="145"/>
      <c r="X802" s="104"/>
      <c r="Y802" s="194"/>
      <c r="Z802" s="145"/>
      <c r="AA802" s="145"/>
      <c r="AB802" s="104"/>
      <c r="AC802" s="104"/>
      <c r="AD802" s="113">
        <f>S802-Y802</f>
        <v>0</v>
      </c>
    </row>
    <row r="803" spans="2:30" ht="45" hidden="1" customHeight="1">
      <c r="B803" s="174">
        <v>800</v>
      </c>
      <c r="C803" s="104"/>
      <c r="D803" s="104"/>
      <c r="E803" s="104"/>
      <c r="F803" s="104"/>
      <c r="G803" s="145"/>
      <c r="H803" s="104"/>
      <c r="I803" s="104"/>
      <c r="J803" s="104"/>
      <c r="K803" s="104"/>
      <c r="L803" s="104"/>
      <c r="M803" s="104"/>
      <c r="N803" s="104"/>
      <c r="O803" s="104"/>
      <c r="P803" s="104"/>
      <c r="Q803" s="104"/>
      <c r="R803" s="104"/>
      <c r="S803" s="160"/>
      <c r="T803" s="104"/>
      <c r="U803" s="145"/>
      <c r="V803" s="145"/>
      <c r="W803" s="145"/>
      <c r="X803" s="104"/>
      <c r="Y803" s="194"/>
      <c r="Z803" s="145"/>
      <c r="AA803" s="145"/>
      <c r="AB803" s="104"/>
      <c r="AC803" s="104"/>
      <c r="AD803" s="113">
        <f>S803-Y803</f>
        <v>0</v>
      </c>
    </row>
    <row r="804" spans="2:30" ht="45" hidden="1" customHeight="1">
      <c r="B804" s="174">
        <v>801</v>
      </c>
      <c r="C804" s="104"/>
      <c r="D804" s="104"/>
      <c r="E804" s="104"/>
      <c r="F804" s="104"/>
      <c r="G804" s="145"/>
      <c r="H804" s="104"/>
      <c r="I804" s="104"/>
      <c r="J804" s="104"/>
      <c r="K804" s="104"/>
      <c r="L804" s="104"/>
      <c r="M804" s="104"/>
      <c r="N804" s="104"/>
      <c r="O804" s="104"/>
      <c r="P804" s="104"/>
      <c r="Q804" s="104"/>
      <c r="R804" s="104"/>
      <c r="S804" s="160"/>
      <c r="T804" s="104"/>
      <c r="U804" s="145"/>
      <c r="V804" s="145"/>
      <c r="W804" s="145"/>
      <c r="X804" s="104"/>
      <c r="Y804" s="194"/>
      <c r="Z804" s="145"/>
      <c r="AA804" s="145"/>
      <c r="AB804" s="104"/>
      <c r="AC804" s="104"/>
      <c r="AD804" s="113">
        <f>S804-Y804</f>
        <v>0</v>
      </c>
    </row>
    <row r="805" spans="2:30" ht="45" hidden="1" customHeight="1">
      <c r="B805" s="174">
        <v>802</v>
      </c>
      <c r="C805" s="104"/>
      <c r="D805" s="104"/>
      <c r="E805" s="104"/>
      <c r="F805" s="104"/>
      <c r="G805" s="145"/>
      <c r="H805" s="104"/>
      <c r="I805" s="104"/>
      <c r="J805" s="104"/>
      <c r="K805" s="104"/>
      <c r="L805" s="104"/>
      <c r="M805" s="104"/>
      <c r="N805" s="104"/>
      <c r="O805" s="104"/>
      <c r="P805" s="104"/>
      <c r="Q805" s="104"/>
      <c r="R805" s="104"/>
      <c r="S805" s="160"/>
      <c r="T805" s="104"/>
      <c r="U805" s="145"/>
      <c r="V805" s="145"/>
      <c r="W805" s="145"/>
      <c r="X805" s="104"/>
      <c r="Y805" s="194"/>
      <c r="Z805" s="145"/>
      <c r="AA805" s="145"/>
      <c r="AB805" s="104"/>
      <c r="AC805" s="104"/>
      <c r="AD805" s="113">
        <f>S805-Y805</f>
        <v>0</v>
      </c>
    </row>
    <row r="806" spans="2:30" ht="45" hidden="1" customHeight="1">
      <c r="B806" s="174">
        <v>803</v>
      </c>
      <c r="C806" s="104"/>
      <c r="D806" s="104"/>
      <c r="E806" s="104"/>
      <c r="F806" s="104"/>
      <c r="G806" s="145"/>
      <c r="H806" s="104"/>
      <c r="I806" s="104"/>
      <c r="J806" s="104"/>
      <c r="K806" s="104"/>
      <c r="L806" s="104"/>
      <c r="M806" s="104"/>
      <c r="N806" s="104"/>
      <c r="O806" s="104"/>
      <c r="P806" s="104"/>
      <c r="Q806" s="104"/>
      <c r="R806" s="104"/>
      <c r="S806" s="160"/>
      <c r="T806" s="104"/>
      <c r="U806" s="145"/>
      <c r="V806" s="145"/>
      <c r="W806" s="145"/>
      <c r="X806" s="104"/>
      <c r="Y806" s="194"/>
      <c r="Z806" s="145"/>
      <c r="AA806" s="145"/>
      <c r="AB806" s="104"/>
      <c r="AC806" s="104"/>
      <c r="AD806" s="113">
        <f>S806-Y806</f>
        <v>0</v>
      </c>
    </row>
    <row r="807" spans="2:30" ht="45" hidden="1" customHeight="1">
      <c r="B807" s="174">
        <v>804</v>
      </c>
      <c r="C807" s="104"/>
      <c r="D807" s="104"/>
      <c r="E807" s="104"/>
      <c r="F807" s="104"/>
      <c r="G807" s="145"/>
      <c r="H807" s="104"/>
      <c r="I807" s="104"/>
      <c r="J807" s="104"/>
      <c r="K807" s="104"/>
      <c r="L807" s="104"/>
      <c r="M807" s="104"/>
      <c r="N807" s="104"/>
      <c r="O807" s="104"/>
      <c r="P807" s="104"/>
      <c r="Q807" s="104"/>
      <c r="R807" s="104"/>
      <c r="S807" s="160"/>
      <c r="T807" s="104"/>
      <c r="U807" s="145"/>
      <c r="V807" s="145"/>
      <c r="W807" s="145"/>
      <c r="X807" s="104"/>
      <c r="Y807" s="194"/>
      <c r="Z807" s="145"/>
      <c r="AA807" s="145"/>
      <c r="AB807" s="104"/>
      <c r="AC807" s="104"/>
      <c r="AD807" s="113">
        <f>S807-Y807</f>
        <v>0</v>
      </c>
    </row>
    <row r="808" spans="2:30" ht="45" hidden="1" customHeight="1">
      <c r="B808" s="174">
        <v>805</v>
      </c>
      <c r="C808" s="104"/>
      <c r="D808" s="104"/>
      <c r="E808" s="104"/>
      <c r="F808" s="104"/>
      <c r="G808" s="145"/>
      <c r="H808" s="104"/>
      <c r="I808" s="104"/>
      <c r="J808" s="104"/>
      <c r="K808" s="104"/>
      <c r="L808" s="104"/>
      <c r="M808" s="104"/>
      <c r="N808" s="104"/>
      <c r="O808" s="104"/>
      <c r="P808" s="104"/>
      <c r="Q808" s="104"/>
      <c r="R808" s="104"/>
      <c r="S808" s="160"/>
      <c r="T808" s="104"/>
      <c r="U808" s="145"/>
      <c r="V808" s="145"/>
      <c r="W808" s="145"/>
      <c r="X808" s="104"/>
      <c r="Y808" s="194"/>
      <c r="Z808" s="145"/>
      <c r="AA808" s="145"/>
      <c r="AB808" s="104"/>
      <c r="AC808" s="104"/>
      <c r="AD808" s="113">
        <f>S808-Y808</f>
        <v>0</v>
      </c>
    </row>
    <row r="809" spans="2:30" ht="45" hidden="1" customHeight="1">
      <c r="B809" s="174">
        <v>806</v>
      </c>
      <c r="C809" s="104"/>
      <c r="D809" s="104"/>
      <c r="E809" s="104"/>
      <c r="F809" s="104"/>
      <c r="G809" s="145"/>
      <c r="H809" s="104"/>
      <c r="I809" s="104"/>
      <c r="J809" s="104"/>
      <c r="K809" s="104"/>
      <c r="L809" s="104"/>
      <c r="M809" s="104"/>
      <c r="N809" s="104"/>
      <c r="O809" s="104"/>
      <c r="P809" s="104"/>
      <c r="Q809" s="104"/>
      <c r="R809" s="104"/>
      <c r="S809" s="160"/>
      <c r="T809" s="104"/>
      <c r="U809" s="145"/>
      <c r="V809" s="145"/>
      <c r="W809" s="145"/>
      <c r="X809" s="104"/>
      <c r="Y809" s="194"/>
      <c r="Z809" s="145"/>
      <c r="AA809" s="145"/>
      <c r="AB809" s="104"/>
      <c r="AC809" s="104"/>
      <c r="AD809" s="113">
        <f>S809-Y809</f>
        <v>0</v>
      </c>
    </row>
    <row r="810" spans="2:30" ht="45" hidden="1" customHeight="1">
      <c r="B810" s="174">
        <v>807</v>
      </c>
      <c r="C810" s="104"/>
      <c r="D810" s="104"/>
      <c r="E810" s="104"/>
      <c r="F810" s="104"/>
      <c r="G810" s="145"/>
      <c r="H810" s="104"/>
      <c r="I810" s="104"/>
      <c r="J810" s="104"/>
      <c r="K810" s="104"/>
      <c r="L810" s="104"/>
      <c r="M810" s="104"/>
      <c r="N810" s="104"/>
      <c r="O810" s="104"/>
      <c r="P810" s="104"/>
      <c r="Q810" s="104"/>
      <c r="R810" s="104"/>
      <c r="S810" s="160"/>
      <c r="T810" s="104"/>
      <c r="U810" s="145"/>
      <c r="V810" s="145"/>
      <c r="W810" s="145"/>
      <c r="X810" s="104"/>
      <c r="Y810" s="194"/>
      <c r="Z810" s="145"/>
      <c r="AA810" s="145"/>
      <c r="AB810" s="104"/>
      <c r="AC810" s="104"/>
      <c r="AD810" s="113">
        <f>S810-Y810</f>
        <v>0</v>
      </c>
    </row>
    <row r="811" spans="2:30" ht="45" hidden="1" customHeight="1">
      <c r="B811" s="174">
        <v>808</v>
      </c>
      <c r="C811" s="104"/>
      <c r="D811" s="104"/>
      <c r="E811" s="104"/>
      <c r="F811" s="104"/>
      <c r="G811" s="145"/>
      <c r="H811" s="104"/>
      <c r="I811" s="104"/>
      <c r="J811" s="104"/>
      <c r="K811" s="104"/>
      <c r="L811" s="104"/>
      <c r="M811" s="104"/>
      <c r="N811" s="104"/>
      <c r="O811" s="104"/>
      <c r="P811" s="104"/>
      <c r="Q811" s="104"/>
      <c r="R811" s="104"/>
      <c r="S811" s="160"/>
      <c r="T811" s="104"/>
      <c r="U811" s="145"/>
      <c r="V811" s="145"/>
      <c r="W811" s="145"/>
      <c r="X811" s="104"/>
      <c r="Y811" s="194"/>
      <c r="Z811" s="145"/>
      <c r="AA811" s="145"/>
      <c r="AB811" s="104"/>
      <c r="AC811" s="104"/>
      <c r="AD811" s="113">
        <f>S811-Y811</f>
        <v>0</v>
      </c>
    </row>
    <row r="812" spans="2:30" ht="45" hidden="1" customHeight="1">
      <c r="B812" s="174">
        <v>809</v>
      </c>
      <c r="C812" s="104"/>
      <c r="D812" s="104"/>
      <c r="E812" s="104"/>
      <c r="F812" s="104"/>
      <c r="G812" s="145"/>
      <c r="H812" s="104"/>
      <c r="I812" s="104"/>
      <c r="J812" s="104"/>
      <c r="K812" s="104"/>
      <c r="L812" s="104"/>
      <c r="M812" s="104"/>
      <c r="N812" s="104"/>
      <c r="O812" s="104"/>
      <c r="P812" s="104"/>
      <c r="Q812" s="104"/>
      <c r="R812" s="104"/>
      <c r="S812" s="160"/>
      <c r="T812" s="104"/>
      <c r="U812" s="145"/>
      <c r="V812" s="145"/>
      <c r="W812" s="145"/>
      <c r="X812" s="104"/>
      <c r="Y812" s="194"/>
      <c r="Z812" s="145"/>
      <c r="AA812" s="145"/>
      <c r="AB812" s="104"/>
      <c r="AC812" s="104"/>
      <c r="AD812" s="113">
        <f>S812-Y812</f>
        <v>0</v>
      </c>
    </row>
    <row r="813" spans="2:30" ht="45" hidden="1" customHeight="1">
      <c r="B813" s="174">
        <v>810</v>
      </c>
      <c r="C813" s="104"/>
      <c r="D813" s="104"/>
      <c r="E813" s="104"/>
      <c r="F813" s="104"/>
      <c r="G813" s="145"/>
      <c r="H813" s="104"/>
      <c r="I813" s="104"/>
      <c r="J813" s="104"/>
      <c r="K813" s="104"/>
      <c r="L813" s="104"/>
      <c r="M813" s="104"/>
      <c r="N813" s="104"/>
      <c r="O813" s="104"/>
      <c r="P813" s="104"/>
      <c r="Q813" s="104"/>
      <c r="R813" s="104"/>
      <c r="S813" s="160"/>
      <c r="T813" s="104"/>
      <c r="U813" s="145"/>
      <c r="V813" s="145"/>
      <c r="W813" s="145"/>
      <c r="X813" s="104"/>
      <c r="Y813" s="194"/>
      <c r="Z813" s="145"/>
      <c r="AA813" s="145"/>
      <c r="AB813" s="104"/>
      <c r="AC813" s="104"/>
      <c r="AD813" s="113">
        <f>S813-Y813</f>
        <v>0</v>
      </c>
    </row>
    <row r="814" spans="2:30" ht="45" hidden="1" customHeight="1">
      <c r="B814" s="174">
        <v>811</v>
      </c>
      <c r="C814" s="104"/>
      <c r="D814" s="104"/>
      <c r="E814" s="104"/>
      <c r="F814" s="104"/>
      <c r="G814" s="145"/>
      <c r="H814" s="104"/>
      <c r="I814" s="104"/>
      <c r="J814" s="104"/>
      <c r="K814" s="104"/>
      <c r="L814" s="104"/>
      <c r="M814" s="104"/>
      <c r="N814" s="104"/>
      <c r="O814" s="104"/>
      <c r="P814" s="104"/>
      <c r="Q814" s="104"/>
      <c r="R814" s="104"/>
      <c r="S814" s="160"/>
      <c r="T814" s="104"/>
      <c r="U814" s="145"/>
      <c r="V814" s="145"/>
      <c r="W814" s="145"/>
      <c r="X814" s="104"/>
      <c r="Y814" s="194"/>
      <c r="Z814" s="145"/>
      <c r="AA814" s="145"/>
      <c r="AB814" s="104"/>
      <c r="AC814" s="104"/>
      <c r="AD814" s="113">
        <f>S814-Y814</f>
        <v>0</v>
      </c>
    </row>
    <row r="815" spans="2:30" ht="45" hidden="1" customHeight="1">
      <c r="B815" s="174">
        <v>812</v>
      </c>
      <c r="C815" s="104"/>
      <c r="D815" s="104"/>
      <c r="E815" s="104"/>
      <c r="F815" s="104"/>
      <c r="G815" s="145"/>
      <c r="H815" s="104"/>
      <c r="I815" s="104"/>
      <c r="J815" s="104"/>
      <c r="K815" s="104"/>
      <c r="L815" s="104"/>
      <c r="M815" s="104"/>
      <c r="N815" s="104"/>
      <c r="O815" s="104"/>
      <c r="P815" s="104"/>
      <c r="Q815" s="104"/>
      <c r="R815" s="104"/>
      <c r="S815" s="160"/>
      <c r="T815" s="104"/>
      <c r="U815" s="145"/>
      <c r="V815" s="145"/>
      <c r="W815" s="145"/>
      <c r="X815" s="104"/>
      <c r="Y815" s="194"/>
      <c r="Z815" s="145"/>
      <c r="AA815" s="145"/>
      <c r="AB815" s="104"/>
      <c r="AC815" s="104"/>
      <c r="AD815" s="113">
        <f>S815-Y815</f>
        <v>0</v>
      </c>
    </row>
    <row r="816" spans="2:30" ht="45" hidden="1" customHeight="1">
      <c r="B816" s="174">
        <v>813</v>
      </c>
      <c r="C816" s="104"/>
      <c r="D816" s="104"/>
      <c r="E816" s="104"/>
      <c r="F816" s="104"/>
      <c r="G816" s="145"/>
      <c r="H816" s="104"/>
      <c r="I816" s="104"/>
      <c r="J816" s="104"/>
      <c r="K816" s="104"/>
      <c r="L816" s="104"/>
      <c r="M816" s="104"/>
      <c r="N816" s="104"/>
      <c r="O816" s="104"/>
      <c r="P816" s="104"/>
      <c r="Q816" s="104"/>
      <c r="R816" s="104"/>
      <c r="S816" s="160"/>
      <c r="T816" s="104"/>
      <c r="U816" s="145"/>
      <c r="V816" s="145"/>
      <c r="W816" s="145"/>
      <c r="X816" s="104"/>
      <c r="Y816" s="194"/>
      <c r="Z816" s="145"/>
      <c r="AA816" s="145"/>
      <c r="AB816" s="104"/>
      <c r="AC816" s="104"/>
      <c r="AD816" s="113">
        <f>S816-Y816</f>
        <v>0</v>
      </c>
    </row>
    <row r="817" spans="2:30" ht="45" hidden="1" customHeight="1">
      <c r="B817" s="174">
        <v>814</v>
      </c>
      <c r="C817" s="104"/>
      <c r="D817" s="104"/>
      <c r="E817" s="104"/>
      <c r="F817" s="104"/>
      <c r="G817" s="145"/>
      <c r="H817" s="104"/>
      <c r="I817" s="104"/>
      <c r="J817" s="104"/>
      <c r="K817" s="104"/>
      <c r="L817" s="104"/>
      <c r="M817" s="104"/>
      <c r="N817" s="104"/>
      <c r="O817" s="104"/>
      <c r="P817" s="104"/>
      <c r="Q817" s="104"/>
      <c r="R817" s="104"/>
      <c r="S817" s="160"/>
      <c r="T817" s="104"/>
      <c r="U817" s="145"/>
      <c r="V817" s="145"/>
      <c r="W817" s="145"/>
      <c r="X817" s="104"/>
      <c r="Y817" s="194"/>
      <c r="Z817" s="145"/>
      <c r="AA817" s="145"/>
      <c r="AB817" s="104"/>
      <c r="AC817" s="104"/>
      <c r="AD817" s="113">
        <f>S817-Y817</f>
        <v>0</v>
      </c>
    </row>
    <row r="818" spans="2:30" ht="45" hidden="1" customHeight="1">
      <c r="B818" s="174">
        <v>815</v>
      </c>
      <c r="C818" s="104"/>
      <c r="D818" s="104"/>
      <c r="E818" s="104"/>
      <c r="F818" s="104"/>
      <c r="G818" s="145"/>
      <c r="H818" s="104"/>
      <c r="I818" s="104"/>
      <c r="J818" s="104"/>
      <c r="K818" s="104"/>
      <c r="L818" s="104"/>
      <c r="M818" s="104"/>
      <c r="N818" s="104"/>
      <c r="O818" s="104"/>
      <c r="P818" s="104"/>
      <c r="Q818" s="104"/>
      <c r="R818" s="104"/>
      <c r="S818" s="160"/>
      <c r="T818" s="104"/>
      <c r="U818" s="145"/>
      <c r="V818" s="145"/>
      <c r="W818" s="145"/>
      <c r="X818" s="104"/>
      <c r="Y818" s="194"/>
      <c r="Z818" s="145"/>
      <c r="AA818" s="145"/>
      <c r="AB818" s="104"/>
      <c r="AC818" s="104"/>
      <c r="AD818" s="113">
        <f>S818-Y818</f>
        <v>0</v>
      </c>
    </row>
    <row r="819" spans="2:30" ht="45" hidden="1" customHeight="1">
      <c r="B819" s="174">
        <v>816</v>
      </c>
      <c r="C819" s="104"/>
      <c r="D819" s="104"/>
      <c r="E819" s="104"/>
      <c r="F819" s="104"/>
      <c r="G819" s="145"/>
      <c r="H819" s="104"/>
      <c r="I819" s="104"/>
      <c r="J819" s="104"/>
      <c r="K819" s="104"/>
      <c r="L819" s="104"/>
      <c r="M819" s="104"/>
      <c r="N819" s="104"/>
      <c r="O819" s="104"/>
      <c r="P819" s="104"/>
      <c r="Q819" s="104"/>
      <c r="R819" s="104"/>
      <c r="S819" s="160"/>
      <c r="T819" s="104"/>
      <c r="U819" s="145"/>
      <c r="V819" s="145"/>
      <c r="W819" s="145"/>
      <c r="X819" s="104"/>
      <c r="Y819" s="194"/>
      <c r="Z819" s="145"/>
      <c r="AA819" s="145"/>
      <c r="AB819" s="104"/>
      <c r="AC819" s="104"/>
      <c r="AD819" s="113">
        <f>S819-Y819</f>
        <v>0</v>
      </c>
    </row>
    <row r="820" spans="2:30" ht="45" hidden="1" customHeight="1">
      <c r="B820" s="174">
        <v>817</v>
      </c>
      <c r="C820" s="104"/>
      <c r="D820" s="104"/>
      <c r="E820" s="104"/>
      <c r="F820" s="104"/>
      <c r="G820" s="145"/>
      <c r="H820" s="104"/>
      <c r="I820" s="104"/>
      <c r="J820" s="104"/>
      <c r="K820" s="104"/>
      <c r="L820" s="104"/>
      <c r="M820" s="104"/>
      <c r="N820" s="104"/>
      <c r="O820" s="104"/>
      <c r="P820" s="104"/>
      <c r="Q820" s="104"/>
      <c r="R820" s="104"/>
      <c r="S820" s="160"/>
      <c r="T820" s="104"/>
      <c r="U820" s="145"/>
      <c r="V820" s="145"/>
      <c r="W820" s="145"/>
      <c r="X820" s="104"/>
      <c r="Y820" s="194"/>
      <c r="Z820" s="145"/>
      <c r="AA820" s="145"/>
      <c r="AB820" s="104"/>
      <c r="AC820" s="104"/>
      <c r="AD820" s="113">
        <f>S820-Y820</f>
        <v>0</v>
      </c>
    </row>
    <row r="821" spans="2:30" ht="45" hidden="1" customHeight="1">
      <c r="B821" s="174">
        <v>818</v>
      </c>
      <c r="C821" s="104"/>
      <c r="D821" s="104"/>
      <c r="E821" s="104"/>
      <c r="F821" s="104"/>
      <c r="G821" s="145"/>
      <c r="H821" s="104"/>
      <c r="I821" s="104"/>
      <c r="J821" s="104"/>
      <c r="K821" s="104"/>
      <c r="L821" s="104"/>
      <c r="M821" s="104"/>
      <c r="N821" s="104"/>
      <c r="O821" s="104"/>
      <c r="P821" s="104"/>
      <c r="Q821" s="104"/>
      <c r="R821" s="104"/>
      <c r="S821" s="160"/>
      <c r="T821" s="104"/>
      <c r="U821" s="145"/>
      <c r="V821" s="145"/>
      <c r="W821" s="145"/>
      <c r="X821" s="104"/>
      <c r="Y821" s="194"/>
      <c r="Z821" s="145"/>
      <c r="AA821" s="145"/>
      <c r="AB821" s="104"/>
      <c r="AC821" s="104"/>
      <c r="AD821" s="113">
        <f>S821-Y821</f>
        <v>0</v>
      </c>
    </row>
    <row r="822" spans="2:30" ht="45" hidden="1" customHeight="1">
      <c r="B822" s="174">
        <v>819</v>
      </c>
      <c r="C822" s="104"/>
      <c r="D822" s="104"/>
      <c r="E822" s="104"/>
      <c r="F822" s="104"/>
      <c r="G822" s="145"/>
      <c r="H822" s="104"/>
      <c r="I822" s="104"/>
      <c r="J822" s="104"/>
      <c r="K822" s="104"/>
      <c r="L822" s="104"/>
      <c r="M822" s="104"/>
      <c r="N822" s="104"/>
      <c r="O822" s="104"/>
      <c r="P822" s="104"/>
      <c r="Q822" s="104"/>
      <c r="R822" s="104"/>
      <c r="S822" s="160"/>
      <c r="T822" s="104"/>
      <c r="U822" s="145"/>
      <c r="V822" s="145"/>
      <c r="W822" s="145"/>
      <c r="X822" s="104"/>
      <c r="Y822" s="194"/>
      <c r="Z822" s="145"/>
      <c r="AA822" s="145"/>
      <c r="AB822" s="104"/>
      <c r="AC822" s="104"/>
      <c r="AD822" s="113">
        <f>S822-Y822</f>
        <v>0</v>
      </c>
    </row>
    <row r="823" spans="2:30" ht="45" hidden="1" customHeight="1">
      <c r="B823" s="174">
        <v>820</v>
      </c>
      <c r="C823" s="104"/>
      <c r="D823" s="104"/>
      <c r="E823" s="104"/>
      <c r="F823" s="104"/>
      <c r="G823" s="145"/>
      <c r="H823" s="104"/>
      <c r="I823" s="104"/>
      <c r="J823" s="104"/>
      <c r="K823" s="104"/>
      <c r="L823" s="104"/>
      <c r="M823" s="104"/>
      <c r="N823" s="104"/>
      <c r="O823" s="104"/>
      <c r="P823" s="104"/>
      <c r="Q823" s="104"/>
      <c r="R823" s="104"/>
      <c r="S823" s="160"/>
      <c r="T823" s="104"/>
      <c r="U823" s="145"/>
      <c r="V823" s="145"/>
      <c r="W823" s="145"/>
      <c r="X823" s="104"/>
      <c r="Y823" s="194"/>
      <c r="Z823" s="145"/>
      <c r="AA823" s="145"/>
      <c r="AB823" s="104"/>
      <c r="AC823" s="104"/>
      <c r="AD823" s="113">
        <f>S823-Y823</f>
        <v>0</v>
      </c>
    </row>
    <row r="824" spans="2:30" ht="45" hidden="1" customHeight="1">
      <c r="B824" s="174">
        <v>821</v>
      </c>
      <c r="C824" s="104"/>
      <c r="D824" s="104"/>
      <c r="E824" s="104"/>
      <c r="F824" s="104"/>
      <c r="G824" s="145"/>
      <c r="H824" s="104"/>
      <c r="I824" s="104"/>
      <c r="J824" s="104"/>
      <c r="K824" s="104"/>
      <c r="L824" s="104"/>
      <c r="M824" s="104"/>
      <c r="N824" s="104"/>
      <c r="O824" s="104"/>
      <c r="P824" s="104"/>
      <c r="Q824" s="104"/>
      <c r="R824" s="104"/>
      <c r="S824" s="160"/>
      <c r="T824" s="104"/>
      <c r="U824" s="145"/>
      <c r="V824" s="145"/>
      <c r="W824" s="145"/>
      <c r="X824" s="104"/>
      <c r="Y824" s="194"/>
      <c r="Z824" s="145"/>
      <c r="AA824" s="145"/>
      <c r="AB824" s="104"/>
      <c r="AC824" s="104"/>
      <c r="AD824" s="113">
        <f>S824-Y824</f>
        <v>0</v>
      </c>
    </row>
    <row r="825" spans="2:30" ht="45" hidden="1" customHeight="1">
      <c r="B825" s="174">
        <v>822</v>
      </c>
      <c r="C825" s="104"/>
      <c r="D825" s="104"/>
      <c r="E825" s="104"/>
      <c r="F825" s="104"/>
      <c r="G825" s="145"/>
      <c r="H825" s="104"/>
      <c r="I825" s="104"/>
      <c r="J825" s="104"/>
      <c r="K825" s="104"/>
      <c r="L825" s="104"/>
      <c r="M825" s="104"/>
      <c r="N825" s="104"/>
      <c r="O825" s="104"/>
      <c r="P825" s="104"/>
      <c r="Q825" s="104"/>
      <c r="R825" s="104"/>
      <c r="S825" s="160"/>
      <c r="T825" s="104"/>
      <c r="U825" s="145"/>
      <c r="V825" s="145"/>
      <c r="W825" s="145"/>
      <c r="X825" s="104"/>
      <c r="Y825" s="194"/>
      <c r="Z825" s="145"/>
      <c r="AA825" s="145"/>
      <c r="AB825" s="104"/>
      <c r="AC825" s="104"/>
      <c r="AD825" s="113">
        <f>S825-Y825</f>
        <v>0</v>
      </c>
    </row>
    <row r="826" spans="2:30" ht="45" hidden="1" customHeight="1">
      <c r="B826" s="174">
        <v>823</v>
      </c>
      <c r="C826" s="104"/>
      <c r="D826" s="104"/>
      <c r="E826" s="104"/>
      <c r="F826" s="104"/>
      <c r="G826" s="145"/>
      <c r="H826" s="104"/>
      <c r="I826" s="104"/>
      <c r="J826" s="104"/>
      <c r="K826" s="104"/>
      <c r="L826" s="104"/>
      <c r="M826" s="104"/>
      <c r="N826" s="104"/>
      <c r="O826" s="104"/>
      <c r="P826" s="104"/>
      <c r="Q826" s="104"/>
      <c r="R826" s="104"/>
      <c r="S826" s="160"/>
      <c r="T826" s="104"/>
      <c r="U826" s="145"/>
      <c r="V826" s="145"/>
      <c r="W826" s="145"/>
      <c r="X826" s="104"/>
      <c r="Y826" s="194"/>
      <c r="Z826" s="145"/>
      <c r="AA826" s="145"/>
      <c r="AB826" s="104"/>
      <c r="AC826" s="104"/>
      <c r="AD826" s="113">
        <f>S826-Y826</f>
        <v>0</v>
      </c>
    </row>
    <row r="827" spans="2:30" ht="45" hidden="1" customHeight="1">
      <c r="B827" s="174">
        <v>824</v>
      </c>
      <c r="C827" s="104"/>
      <c r="D827" s="104"/>
      <c r="E827" s="104"/>
      <c r="F827" s="104"/>
      <c r="G827" s="145"/>
      <c r="H827" s="104"/>
      <c r="I827" s="104"/>
      <c r="J827" s="104"/>
      <c r="K827" s="104"/>
      <c r="L827" s="104"/>
      <c r="M827" s="104"/>
      <c r="N827" s="104"/>
      <c r="O827" s="104"/>
      <c r="P827" s="104"/>
      <c r="Q827" s="104"/>
      <c r="R827" s="104"/>
      <c r="S827" s="160"/>
      <c r="T827" s="104"/>
      <c r="U827" s="145"/>
      <c r="V827" s="145"/>
      <c r="W827" s="145"/>
      <c r="X827" s="104"/>
      <c r="Y827" s="194"/>
      <c r="Z827" s="145"/>
      <c r="AA827" s="145"/>
      <c r="AB827" s="104"/>
      <c r="AC827" s="104"/>
      <c r="AD827" s="113">
        <f>S827-Y827</f>
        <v>0</v>
      </c>
    </row>
    <row r="828" spans="2:30" ht="45" hidden="1" customHeight="1">
      <c r="B828" s="174">
        <v>825</v>
      </c>
      <c r="C828" s="104"/>
      <c r="D828" s="104"/>
      <c r="E828" s="104"/>
      <c r="F828" s="104"/>
      <c r="G828" s="145"/>
      <c r="H828" s="104"/>
      <c r="I828" s="104"/>
      <c r="J828" s="104"/>
      <c r="K828" s="104"/>
      <c r="L828" s="104"/>
      <c r="M828" s="104"/>
      <c r="N828" s="104"/>
      <c r="O828" s="104"/>
      <c r="P828" s="104"/>
      <c r="Q828" s="104"/>
      <c r="R828" s="104"/>
      <c r="S828" s="160"/>
      <c r="T828" s="104"/>
      <c r="U828" s="145"/>
      <c r="V828" s="145"/>
      <c r="W828" s="145"/>
      <c r="X828" s="104"/>
      <c r="Y828" s="194"/>
      <c r="Z828" s="145"/>
      <c r="AA828" s="145"/>
      <c r="AB828" s="104"/>
      <c r="AC828" s="104"/>
      <c r="AD828" s="113">
        <f>S828-Y828</f>
        <v>0</v>
      </c>
    </row>
    <row r="829" spans="2:30" ht="45" hidden="1" customHeight="1">
      <c r="B829" s="174">
        <v>826</v>
      </c>
      <c r="C829" s="104"/>
      <c r="D829" s="104"/>
      <c r="E829" s="104"/>
      <c r="F829" s="104"/>
      <c r="G829" s="145"/>
      <c r="H829" s="104"/>
      <c r="I829" s="104"/>
      <c r="J829" s="104"/>
      <c r="K829" s="104"/>
      <c r="L829" s="104"/>
      <c r="M829" s="104"/>
      <c r="N829" s="104"/>
      <c r="O829" s="104"/>
      <c r="P829" s="104"/>
      <c r="Q829" s="104"/>
      <c r="R829" s="104"/>
      <c r="S829" s="160"/>
      <c r="T829" s="104"/>
      <c r="U829" s="145"/>
      <c r="V829" s="145"/>
      <c r="W829" s="145"/>
      <c r="X829" s="104"/>
      <c r="Y829" s="194"/>
      <c r="Z829" s="145"/>
      <c r="AA829" s="145"/>
      <c r="AB829" s="104"/>
      <c r="AC829" s="104"/>
      <c r="AD829" s="113">
        <f>S829-Y829</f>
        <v>0</v>
      </c>
    </row>
    <row r="830" spans="2:30" ht="45" hidden="1" customHeight="1">
      <c r="B830" s="174">
        <v>827</v>
      </c>
      <c r="C830" s="104"/>
      <c r="D830" s="104"/>
      <c r="E830" s="104"/>
      <c r="F830" s="104"/>
      <c r="G830" s="145"/>
      <c r="H830" s="104"/>
      <c r="I830" s="104"/>
      <c r="J830" s="104"/>
      <c r="K830" s="104"/>
      <c r="L830" s="104"/>
      <c r="M830" s="104"/>
      <c r="N830" s="104"/>
      <c r="O830" s="104"/>
      <c r="P830" s="104"/>
      <c r="Q830" s="104"/>
      <c r="R830" s="104"/>
      <c r="S830" s="160"/>
      <c r="T830" s="104"/>
      <c r="U830" s="145"/>
      <c r="V830" s="145"/>
      <c r="W830" s="145"/>
      <c r="X830" s="104"/>
      <c r="Y830" s="194"/>
      <c r="Z830" s="145"/>
      <c r="AA830" s="145"/>
      <c r="AB830" s="104"/>
      <c r="AC830" s="104"/>
      <c r="AD830" s="113">
        <f>S830-Y830</f>
        <v>0</v>
      </c>
    </row>
    <row r="831" spans="2:30" ht="45" hidden="1" customHeight="1">
      <c r="B831" s="174">
        <v>828</v>
      </c>
      <c r="C831" s="104"/>
      <c r="D831" s="104"/>
      <c r="E831" s="104"/>
      <c r="F831" s="104"/>
      <c r="G831" s="145"/>
      <c r="H831" s="104"/>
      <c r="I831" s="104"/>
      <c r="J831" s="104"/>
      <c r="K831" s="104"/>
      <c r="L831" s="104"/>
      <c r="M831" s="104"/>
      <c r="N831" s="104"/>
      <c r="O831" s="104"/>
      <c r="P831" s="104"/>
      <c r="Q831" s="104"/>
      <c r="R831" s="104"/>
      <c r="S831" s="160"/>
      <c r="T831" s="104"/>
      <c r="U831" s="145"/>
      <c r="V831" s="145"/>
      <c r="W831" s="145"/>
      <c r="X831" s="104"/>
      <c r="Y831" s="194"/>
      <c r="Z831" s="145"/>
      <c r="AA831" s="145"/>
      <c r="AB831" s="104"/>
      <c r="AC831" s="104"/>
      <c r="AD831" s="113">
        <f>S831-Y831</f>
        <v>0</v>
      </c>
    </row>
    <row r="832" spans="2:30" ht="45" hidden="1" customHeight="1">
      <c r="B832" s="174">
        <v>829</v>
      </c>
      <c r="C832" s="104"/>
      <c r="D832" s="104"/>
      <c r="E832" s="104"/>
      <c r="F832" s="104"/>
      <c r="G832" s="145"/>
      <c r="H832" s="104"/>
      <c r="I832" s="104"/>
      <c r="J832" s="104"/>
      <c r="K832" s="104"/>
      <c r="L832" s="104"/>
      <c r="M832" s="104"/>
      <c r="N832" s="104"/>
      <c r="O832" s="104"/>
      <c r="P832" s="104"/>
      <c r="Q832" s="104"/>
      <c r="R832" s="104"/>
      <c r="S832" s="160"/>
      <c r="T832" s="104"/>
      <c r="U832" s="145"/>
      <c r="V832" s="145"/>
      <c r="W832" s="145"/>
      <c r="X832" s="104"/>
      <c r="Y832" s="194"/>
      <c r="Z832" s="145"/>
      <c r="AA832" s="145"/>
      <c r="AB832" s="104"/>
      <c r="AC832" s="104"/>
      <c r="AD832" s="113">
        <f>S832-Y832</f>
        <v>0</v>
      </c>
    </row>
    <row r="833" spans="2:30" ht="45" hidden="1" customHeight="1">
      <c r="B833" s="174">
        <v>830</v>
      </c>
      <c r="C833" s="104"/>
      <c r="D833" s="104"/>
      <c r="E833" s="104"/>
      <c r="F833" s="104"/>
      <c r="G833" s="145"/>
      <c r="H833" s="104"/>
      <c r="I833" s="104"/>
      <c r="J833" s="104"/>
      <c r="K833" s="104"/>
      <c r="L833" s="104"/>
      <c r="M833" s="104"/>
      <c r="N833" s="104"/>
      <c r="O833" s="104"/>
      <c r="P833" s="104"/>
      <c r="Q833" s="104"/>
      <c r="R833" s="104"/>
      <c r="S833" s="160"/>
      <c r="T833" s="104"/>
      <c r="U833" s="145"/>
      <c r="V833" s="145"/>
      <c r="W833" s="145"/>
      <c r="X833" s="104"/>
      <c r="Y833" s="194"/>
      <c r="Z833" s="145"/>
      <c r="AA833" s="145"/>
      <c r="AB833" s="104"/>
      <c r="AC833" s="104"/>
      <c r="AD833" s="113">
        <f>S833-Y833</f>
        <v>0</v>
      </c>
    </row>
    <row r="834" spans="2:30" ht="45" hidden="1" customHeight="1">
      <c r="B834" s="174">
        <v>831</v>
      </c>
      <c r="C834" s="104"/>
      <c r="D834" s="104"/>
      <c r="E834" s="104"/>
      <c r="F834" s="104"/>
      <c r="G834" s="145"/>
      <c r="H834" s="104"/>
      <c r="I834" s="104"/>
      <c r="J834" s="104"/>
      <c r="K834" s="104"/>
      <c r="L834" s="104"/>
      <c r="M834" s="104"/>
      <c r="N834" s="104"/>
      <c r="O834" s="104"/>
      <c r="P834" s="104"/>
      <c r="Q834" s="104"/>
      <c r="R834" s="104"/>
      <c r="S834" s="160"/>
      <c r="T834" s="104"/>
      <c r="U834" s="145"/>
      <c r="V834" s="145"/>
      <c r="W834" s="145"/>
      <c r="X834" s="104"/>
      <c r="Y834" s="194"/>
      <c r="Z834" s="145"/>
      <c r="AA834" s="145"/>
      <c r="AB834" s="104"/>
      <c r="AC834" s="104"/>
      <c r="AD834" s="113">
        <f>S834-Y834</f>
        <v>0</v>
      </c>
    </row>
    <row r="835" spans="2:30" ht="45" hidden="1" customHeight="1">
      <c r="B835" s="174">
        <v>832</v>
      </c>
      <c r="C835" s="104"/>
      <c r="D835" s="104"/>
      <c r="E835" s="104"/>
      <c r="F835" s="104"/>
      <c r="G835" s="145"/>
      <c r="H835" s="104"/>
      <c r="I835" s="104"/>
      <c r="J835" s="104"/>
      <c r="K835" s="104"/>
      <c r="L835" s="104"/>
      <c r="M835" s="104"/>
      <c r="N835" s="104"/>
      <c r="O835" s="104"/>
      <c r="P835" s="104"/>
      <c r="Q835" s="104"/>
      <c r="R835" s="104"/>
      <c r="S835" s="160"/>
      <c r="T835" s="104"/>
      <c r="U835" s="145"/>
      <c r="V835" s="145"/>
      <c r="W835" s="145"/>
      <c r="X835" s="104"/>
      <c r="Y835" s="194"/>
      <c r="Z835" s="145"/>
      <c r="AA835" s="145"/>
      <c r="AB835" s="104"/>
      <c r="AC835" s="104"/>
      <c r="AD835" s="113">
        <f>S835-Y835</f>
        <v>0</v>
      </c>
    </row>
    <row r="836" spans="2:30" ht="45" hidden="1" customHeight="1">
      <c r="B836" s="174">
        <v>833</v>
      </c>
      <c r="C836" s="104"/>
      <c r="D836" s="104"/>
      <c r="E836" s="104"/>
      <c r="F836" s="104"/>
      <c r="G836" s="145"/>
      <c r="H836" s="104"/>
      <c r="I836" s="104"/>
      <c r="J836" s="104"/>
      <c r="K836" s="104"/>
      <c r="L836" s="104"/>
      <c r="M836" s="104"/>
      <c r="N836" s="104"/>
      <c r="O836" s="104"/>
      <c r="P836" s="104"/>
      <c r="Q836" s="104"/>
      <c r="R836" s="104"/>
      <c r="S836" s="160"/>
      <c r="T836" s="104"/>
      <c r="U836" s="145"/>
      <c r="V836" s="145"/>
      <c r="W836" s="145"/>
      <c r="X836" s="104"/>
      <c r="Y836" s="194"/>
      <c r="Z836" s="145"/>
      <c r="AA836" s="145"/>
      <c r="AB836" s="104"/>
      <c r="AC836" s="104"/>
      <c r="AD836" s="113">
        <f>S836-Y836</f>
        <v>0</v>
      </c>
    </row>
    <row r="837" spans="2:30" ht="45" hidden="1" customHeight="1">
      <c r="B837" s="174">
        <v>834</v>
      </c>
      <c r="C837" s="104"/>
      <c r="D837" s="104"/>
      <c r="E837" s="104"/>
      <c r="F837" s="104"/>
      <c r="G837" s="145"/>
      <c r="H837" s="104"/>
      <c r="I837" s="104"/>
      <c r="J837" s="104"/>
      <c r="K837" s="104"/>
      <c r="L837" s="104"/>
      <c r="M837" s="104"/>
      <c r="N837" s="104"/>
      <c r="O837" s="104"/>
      <c r="P837" s="104"/>
      <c r="Q837" s="104"/>
      <c r="R837" s="104"/>
      <c r="S837" s="160"/>
      <c r="T837" s="104"/>
      <c r="U837" s="145"/>
      <c r="V837" s="145"/>
      <c r="W837" s="145"/>
      <c r="X837" s="104"/>
      <c r="Y837" s="194"/>
      <c r="Z837" s="145"/>
      <c r="AA837" s="145"/>
      <c r="AB837" s="104"/>
      <c r="AC837" s="104"/>
      <c r="AD837" s="113">
        <f>S837-Y837</f>
        <v>0</v>
      </c>
    </row>
    <row r="838" spans="2:30" ht="45" hidden="1" customHeight="1">
      <c r="B838" s="174">
        <v>835</v>
      </c>
      <c r="C838" s="104"/>
      <c r="D838" s="104"/>
      <c r="E838" s="104"/>
      <c r="F838" s="104"/>
      <c r="G838" s="145"/>
      <c r="H838" s="104"/>
      <c r="I838" s="104"/>
      <c r="J838" s="104"/>
      <c r="K838" s="104"/>
      <c r="L838" s="104"/>
      <c r="M838" s="104"/>
      <c r="N838" s="104"/>
      <c r="O838" s="104"/>
      <c r="P838" s="104"/>
      <c r="Q838" s="104"/>
      <c r="R838" s="104"/>
      <c r="S838" s="160"/>
      <c r="T838" s="104"/>
      <c r="U838" s="145"/>
      <c r="V838" s="145"/>
      <c r="W838" s="145"/>
      <c r="X838" s="104"/>
      <c r="Y838" s="194"/>
      <c r="Z838" s="145"/>
      <c r="AA838" s="145"/>
      <c r="AB838" s="104"/>
      <c r="AC838" s="104"/>
      <c r="AD838" s="113">
        <f>S838-Y838</f>
        <v>0</v>
      </c>
    </row>
    <row r="839" spans="2:30" ht="45" hidden="1" customHeight="1">
      <c r="B839" s="174">
        <v>836</v>
      </c>
      <c r="C839" s="104"/>
      <c r="D839" s="104"/>
      <c r="E839" s="104"/>
      <c r="F839" s="104"/>
      <c r="G839" s="145"/>
      <c r="H839" s="104"/>
      <c r="I839" s="104"/>
      <c r="J839" s="104"/>
      <c r="K839" s="104"/>
      <c r="L839" s="104"/>
      <c r="M839" s="104"/>
      <c r="N839" s="104"/>
      <c r="O839" s="104"/>
      <c r="P839" s="104"/>
      <c r="Q839" s="104"/>
      <c r="R839" s="104"/>
      <c r="S839" s="160"/>
      <c r="T839" s="104"/>
      <c r="U839" s="145"/>
      <c r="V839" s="145"/>
      <c r="W839" s="145"/>
      <c r="X839" s="104"/>
      <c r="Y839" s="194"/>
      <c r="Z839" s="145"/>
      <c r="AA839" s="145"/>
      <c r="AB839" s="104"/>
      <c r="AC839" s="104"/>
      <c r="AD839" s="113">
        <f>S839-Y839</f>
        <v>0</v>
      </c>
    </row>
    <row r="840" spans="2:30" ht="45" hidden="1" customHeight="1">
      <c r="B840" s="174">
        <v>837</v>
      </c>
      <c r="C840" s="104"/>
      <c r="D840" s="104"/>
      <c r="E840" s="104"/>
      <c r="F840" s="104"/>
      <c r="G840" s="145"/>
      <c r="H840" s="104"/>
      <c r="I840" s="104"/>
      <c r="J840" s="104"/>
      <c r="K840" s="104"/>
      <c r="L840" s="104"/>
      <c r="M840" s="104"/>
      <c r="N840" s="104"/>
      <c r="O840" s="104"/>
      <c r="P840" s="104"/>
      <c r="Q840" s="104"/>
      <c r="R840" s="104"/>
      <c r="S840" s="160"/>
      <c r="T840" s="104"/>
      <c r="U840" s="145"/>
      <c r="V840" s="145"/>
      <c r="W840" s="145"/>
      <c r="X840" s="104"/>
      <c r="Y840" s="194"/>
      <c r="Z840" s="145"/>
      <c r="AA840" s="145"/>
      <c r="AB840" s="104"/>
      <c r="AC840" s="104"/>
      <c r="AD840" s="113">
        <f>S840-Y840</f>
        <v>0</v>
      </c>
    </row>
    <row r="841" spans="2:30" ht="45" hidden="1" customHeight="1">
      <c r="B841" s="174">
        <v>838</v>
      </c>
      <c r="C841" s="104"/>
      <c r="D841" s="104"/>
      <c r="E841" s="104"/>
      <c r="F841" s="104"/>
      <c r="G841" s="145"/>
      <c r="H841" s="104"/>
      <c r="I841" s="104"/>
      <c r="J841" s="104"/>
      <c r="K841" s="104"/>
      <c r="L841" s="104"/>
      <c r="M841" s="104"/>
      <c r="N841" s="104"/>
      <c r="O841" s="104"/>
      <c r="P841" s="104"/>
      <c r="Q841" s="104"/>
      <c r="R841" s="104"/>
      <c r="S841" s="160"/>
      <c r="T841" s="104"/>
      <c r="U841" s="145"/>
      <c r="V841" s="145"/>
      <c r="W841" s="145"/>
      <c r="X841" s="104"/>
      <c r="Y841" s="194"/>
      <c r="Z841" s="145"/>
      <c r="AA841" s="145"/>
      <c r="AB841" s="104"/>
      <c r="AC841" s="104"/>
      <c r="AD841" s="113">
        <f>S841-Y841</f>
        <v>0</v>
      </c>
    </row>
    <row r="842" spans="2:30" ht="45" hidden="1" customHeight="1">
      <c r="B842" s="174">
        <v>839</v>
      </c>
      <c r="C842" s="104"/>
      <c r="D842" s="104"/>
      <c r="E842" s="104"/>
      <c r="F842" s="104"/>
      <c r="G842" s="145"/>
      <c r="H842" s="104"/>
      <c r="I842" s="104"/>
      <c r="J842" s="104"/>
      <c r="K842" s="104"/>
      <c r="L842" s="104"/>
      <c r="M842" s="104"/>
      <c r="N842" s="104"/>
      <c r="O842" s="104"/>
      <c r="P842" s="104"/>
      <c r="Q842" s="104"/>
      <c r="R842" s="104"/>
      <c r="S842" s="160"/>
      <c r="T842" s="104"/>
      <c r="U842" s="145"/>
      <c r="V842" s="145"/>
      <c r="W842" s="145"/>
      <c r="X842" s="104"/>
      <c r="Y842" s="194"/>
      <c r="Z842" s="145"/>
      <c r="AA842" s="145"/>
      <c r="AB842" s="104"/>
      <c r="AC842" s="104"/>
      <c r="AD842" s="113">
        <f>S842-Y842</f>
        <v>0</v>
      </c>
    </row>
    <row r="843" spans="2:30" ht="45" hidden="1" customHeight="1">
      <c r="B843" s="174">
        <v>840</v>
      </c>
      <c r="C843" s="104"/>
      <c r="D843" s="104"/>
      <c r="E843" s="104"/>
      <c r="F843" s="104"/>
      <c r="G843" s="145"/>
      <c r="H843" s="104"/>
      <c r="I843" s="104"/>
      <c r="J843" s="104"/>
      <c r="K843" s="104"/>
      <c r="L843" s="104"/>
      <c r="M843" s="104"/>
      <c r="N843" s="104"/>
      <c r="O843" s="104"/>
      <c r="P843" s="104"/>
      <c r="Q843" s="104"/>
      <c r="R843" s="104"/>
      <c r="S843" s="160"/>
      <c r="T843" s="104"/>
      <c r="U843" s="145"/>
      <c r="V843" s="145"/>
      <c r="W843" s="145"/>
      <c r="X843" s="104"/>
      <c r="Y843" s="194"/>
      <c r="Z843" s="145"/>
      <c r="AA843" s="145"/>
      <c r="AB843" s="104"/>
      <c r="AC843" s="104"/>
      <c r="AD843" s="113">
        <f>S843-Y843</f>
        <v>0</v>
      </c>
    </row>
    <row r="844" spans="2:30" ht="45" hidden="1" customHeight="1">
      <c r="B844" s="174">
        <v>841</v>
      </c>
      <c r="C844" s="104"/>
      <c r="D844" s="104"/>
      <c r="E844" s="104"/>
      <c r="F844" s="104"/>
      <c r="G844" s="145"/>
      <c r="H844" s="104"/>
      <c r="I844" s="104"/>
      <c r="J844" s="104"/>
      <c r="K844" s="104"/>
      <c r="L844" s="104"/>
      <c r="M844" s="104"/>
      <c r="N844" s="104"/>
      <c r="O844" s="104"/>
      <c r="P844" s="104"/>
      <c r="Q844" s="104"/>
      <c r="R844" s="104"/>
      <c r="S844" s="160"/>
      <c r="T844" s="104"/>
      <c r="U844" s="145"/>
      <c r="V844" s="145"/>
      <c r="W844" s="145"/>
      <c r="X844" s="104"/>
      <c r="Y844" s="194"/>
      <c r="Z844" s="145"/>
      <c r="AA844" s="145"/>
      <c r="AB844" s="104"/>
      <c r="AC844" s="104"/>
      <c r="AD844" s="113">
        <f>S844-Y844</f>
        <v>0</v>
      </c>
    </row>
    <row r="845" spans="2:30" ht="45" hidden="1" customHeight="1">
      <c r="B845" s="174">
        <v>842</v>
      </c>
      <c r="C845" s="104"/>
      <c r="D845" s="104"/>
      <c r="E845" s="104"/>
      <c r="F845" s="104"/>
      <c r="G845" s="145"/>
      <c r="H845" s="104"/>
      <c r="I845" s="104"/>
      <c r="J845" s="104"/>
      <c r="K845" s="104"/>
      <c r="L845" s="104"/>
      <c r="M845" s="104"/>
      <c r="N845" s="104"/>
      <c r="O845" s="104"/>
      <c r="P845" s="104"/>
      <c r="Q845" s="104"/>
      <c r="R845" s="104"/>
      <c r="S845" s="160"/>
      <c r="T845" s="104"/>
      <c r="U845" s="145"/>
      <c r="V845" s="145"/>
      <c r="W845" s="145"/>
      <c r="X845" s="104"/>
      <c r="Y845" s="194"/>
      <c r="Z845" s="145"/>
      <c r="AA845" s="145"/>
      <c r="AB845" s="104"/>
      <c r="AC845" s="104"/>
      <c r="AD845" s="113">
        <f>S845-Y845</f>
        <v>0</v>
      </c>
    </row>
    <row r="846" spans="2:30" ht="45" hidden="1" customHeight="1">
      <c r="B846" s="174">
        <v>843</v>
      </c>
      <c r="C846" s="104"/>
      <c r="D846" s="104"/>
      <c r="E846" s="104"/>
      <c r="F846" s="104"/>
      <c r="G846" s="145"/>
      <c r="H846" s="104"/>
      <c r="I846" s="104"/>
      <c r="J846" s="104"/>
      <c r="K846" s="104"/>
      <c r="L846" s="104"/>
      <c r="M846" s="104"/>
      <c r="N846" s="104"/>
      <c r="O846" s="104"/>
      <c r="P846" s="104"/>
      <c r="Q846" s="104"/>
      <c r="R846" s="104"/>
      <c r="S846" s="160"/>
      <c r="T846" s="104"/>
      <c r="U846" s="145"/>
      <c r="V846" s="145"/>
      <c r="W846" s="145"/>
      <c r="X846" s="104"/>
      <c r="Y846" s="194"/>
      <c r="Z846" s="145"/>
      <c r="AA846" s="145"/>
      <c r="AB846" s="104"/>
      <c r="AC846" s="104"/>
      <c r="AD846" s="113">
        <f>S846-Y846</f>
        <v>0</v>
      </c>
    </row>
    <row r="847" spans="2:30" ht="45" hidden="1" customHeight="1">
      <c r="B847" s="174">
        <v>844</v>
      </c>
      <c r="C847" s="104"/>
      <c r="D847" s="104"/>
      <c r="E847" s="104"/>
      <c r="F847" s="104"/>
      <c r="G847" s="145"/>
      <c r="H847" s="104"/>
      <c r="I847" s="104"/>
      <c r="J847" s="104"/>
      <c r="K847" s="104"/>
      <c r="L847" s="104"/>
      <c r="M847" s="104"/>
      <c r="N847" s="104"/>
      <c r="O847" s="104"/>
      <c r="P847" s="104"/>
      <c r="Q847" s="104"/>
      <c r="R847" s="104"/>
      <c r="S847" s="160"/>
      <c r="T847" s="104"/>
      <c r="U847" s="145"/>
      <c r="V847" s="145"/>
      <c r="W847" s="145"/>
      <c r="X847" s="104"/>
      <c r="Y847" s="194"/>
      <c r="Z847" s="145"/>
      <c r="AA847" s="145"/>
      <c r="AB847" s="104"/>
      <c r="AC847" s="104"/>
      <c r="AD847" s="113">
        <f>S847-Y847</f>
        <v>0</v>
      </c>
    </row>
    <row r="848" spans="2:30" ht="45" hidden="1" customHeight="1">
      <c r="B848" s="174">
        <v>845</v>
      </c>
      <c r="C848" s="104"/>
      <c r="D848" s="104"/>
      <c r="E848" s="104"/>
      <c r="F848" s="104"/>
      <c r="G848" s="145"/>
      <c r="H848" s="104"/>
      <c r="I848" s="104"/>
      <c r="J848" s="104"/>
      <c r="K848" s="104"/>
      <c r="L848" s="104"/>
      <c r="M848" s="104"/>
      <c r="N848" s="104"/>
      <c r="O848" s="104"/>
      <c r="P848" s="104"/>
      <c r="Q848" s="104"/>
      <c r="R848" s="104"/>
      <c r="S848" s="160"/>
      <c r="T848" s="104"/>
      <c r="U848" s="145"/>
      <c r="V848" s="145"/>
      <c r="W848" s="145"/>
      <c r="X848" s="104"/>
      <c r="Y848" s="194"/>
      <c r="Z848" s="145"/>
      <c r="AA848" s="145"/>
      <c r="AB848" s="104"/>
      <c r="AC848" s="104"/>
      <c r="AD848" s="113">
        <f>S848-Y848</f>
        <v>0</v>
      </c>
    </row>
    <row r="849" spans="2:30" ht="45" hidden="1" customHeight="1">
      <c r="B849" s="174">
        <v>846</v>
      </c>
      <c r="C849" s="104"/>
      <c r="D849" s="104"/>
      <c r="E849" s="104"/>
      <c r="F849" s="104"/>
      <c r="G849" s="145"/>
      <c r="H849" s="104"/>
      <c r="I849" s="104"/>
      <c r="J849" s="104"/>
      <c r="K849" s="104"/>
      <c r="L849" s="104"/>
      <c r="M849" s="104"/>
      <c r="N849" s="104"/>
      <c r="O849" s="104"/>
      <c r="P849" s="104"/>
      <c r="Q849" s="104"/>
      <c r="R849" s="104"/>
      <c r="S849" s="160"/>
      <c r="T849" s="104"/>
      <c r="U849" s="145"/>
      <c r="V849" s="145"/>
      <c r="W849" s="145"/>
      <c r="X849" s="104"/>
      <c r="Y849" s="194"/>
      <c r="Z849" s="145"/>
      <c r="AA849" s="145"/>
      <c r="AB849" s="104"/>
      <c r="AC849" s="104"/>
      <c r="AD849" s="113">
        <f>S849-Y849</f>
        <v>0</v>
      </c>
    </row>
    <row r="850" spans="2:30" ht="45" hidden="1" customHeight="1">
      <c r="B850" s="174">
        <v>847</v>
      </c>
      <c r="S850" s="188"/>
      <c r="W850" s="101"/>
    </row>
    <row r="851" spans="2:30" ht="45" hidden="1" customHeight="1">
      <c r="B851" s="174">
        <v>848</v>
      </c>
      <c r="C851" s="104"/>
      <c r="D851" s="104"/>
      <c r="E851" s="104"/>
      <c r="F851" s="104"/>
      <c r="G851" s="145"/>
      <c r="H851" s="104"/>
      <c r="I851" s="104"/>
      <c r="J851" s="104"/>
      <c r="K851" s="104"/>
      <c r="L851" s="104"/>
      <c r="M851" s="104"/>
      <c r="N851" s="104"/>
      <c r="O851" s="104"/>
      <c r="P851" s="104"/>
      <c r="Q851" s="104"/>
      <c r="R851" s="104"/>
      <c r="S851" s="160"/>
      <c r="T851" s="104"/>
      <c r="U851" s="145"/>
      <c r="V851" s="145"/>
      <c r="W851" s="145"/>
      <c r="X851" s="104"/>
      <c r="Y851" s="194"/>
      <c r="Z851" s="145"/>
      <c r="AA851" s="145"/>
      <c r="AB851" s="104"/>
      <c r="AC851" s="104"/>
      <c r="AD851" s="113">
        <f>S851-Y851</f>
        <v>0</v>
      </c>
    </row>
    <row r="852" spans="2:30" ht="45" hidden="1" customHeight="1">
      <c r="B852" s="174">
        <v>849</v>
      </c>
      <c r="C852" s="104"/>
      <c r="D852" s="104"/>
      <c r="E852" s="104"/>
      <c r="F852" s="104"/>
      <c r="G852" s="145"/>
      <c r="H852" s="104"/>
      <c r="I852" s="104"/>
      <c r="J852" s="104"/>
      <c r="K852" s="104"/>
      <c r="L852" s="104"/>
      <c r="M852" s="104"/>
      <c r="N852" s="104"/>
      <c r="O852" s="104"/>
      <c r="P852" s="104"/>
      <c r="Q852" s="104"/>
      <c r="R852" s="104"/>
      <c r="S852" s="160"/>
      <c r="T852" s="104"/>
      <c r="U852" s="145"/>
      <c r="V852" s="145"/>
      <c r="W852" s="145"/>
      <c r="X852" s="104"/>
      <c r="Y852" s="194"/>
      <c r="Z852" s="145"/>
      <c r="AA852" s="145"/>
      <c r="AB852" s="104"/>
      <c r="AC852" s="104"/>
      <c r="AD852" s="113">
        <f>S852-Y852</f>
        <v>0</v>
      </c>
    </row>
    <row r="853" spans="2:30" ht="45" hidden="1" customHeight="1">
      <c r="B853" s="174">
        <v>850</v>
      </c>
      <c r="C853" s="104"/>
      <c r="D853" s="104"/>
      <c r="E853" s="104"/>
      <c r="F853" s="104"/>
      <c r="G853" s="145"/>
      <c r="H853" s="104"/>
      <c r="I853" s="104"/>
      <c r="J853" s="104"/>
      <c r="K853" s="104"/>
      <c r="L853" s="104"/>
      <c r="M853" s="104"/>
      <c r="N853" s="104"/>
      <c r="O853" s="104"/>
      <c r="P853" s="104"/>
      <c r="Q853" s="104"/>
      <c r="R853" s="104"/>
      <c r="S853" s="160"/>
      <c r="T853" s="104"/>
      <c r="U853" s="145"/>
      <c r="V853" s="145"/>
      <c r="W853" s="145"/>
      <c r="X853" s="104"/>
      <c r="Y853" s="194"/>
      <c r="Z853" s="145"/>
      <c r="AA853" s="145"/>
      <c r="AB853" s="104"/>
      <c r="AC853" s="104"/>
      <c r="AD853" s="113">
        <f>S853-Y853</f>
        <v>0</v>
      </c>
    </row>
    <row r="854" spans="2:30" ht="45" hidden="1" customHeight="1">
      <c r="B854" s="174">
        <v>851</v>
      </c>
      <c r="C854" s="104"/>
      <c r="D854" s="104"/>
      <c r="E854" s="104"/>
      <c r="F854" s="104"/>
      <c r="G854" s="145"/>
      <c r="H854" s="104"/>
      <c r="I854" s="104"/>
      <c r="J854" s="104"/>
      <c r="K854" s="104"/>
      <c r="L854" s="104"/>
      <c r="M854" s="104"/>
      <c r="N854" s="104"/>
      <c r="O854" s="104"/>
      <c r="P854" s="104"/>
      <c r="Q854" s="104"/>
      <c r="R854" s="104"/>
      <c r="S854" s="160"/>
      <c r="T854" s="104"/>
      <c r="U854" s="145"/>
      <c r="V854" s="145"/>
      <c r="W854" s="145"/>
      <c r="X854" s="104"/>
      <c r="Y854" s="194"/>
      <c r="Z854" s="145"/>
      <c r="AA854" s="145"/>
      <c r="AB854" s="104"/>
      <c r="AC854" s="104"/>
      <c r="AD854" s="113">
        <f>S854-Y854</f>
        <v>0</v>
      </c>
    </row>
    <row r="855" spans="2:30" ht="45" hidden="1" customHeight="1">
      <c r="B855" s="174">
        <v>852</v>
      </c>
      <c r="C855" s="104"/>
      <c r="D855" s="104"/>
      <c r="E855" s="104"/>
      <c r="F855" s="104"/>
      <c r="G855" s="145"/>
      <c r="H855" s="104"/>
      <c r="I855" s="104"/>
      <c r="J855" s="104"/>
      <c r="K855" s="104"/>
      <c r="L855" s="104"/>
      <c r="M855" s="104"/>
      <c r="N855" s="104"/>
      <c r="O855" s="104"/>
      <c r="P855" s="104"/>
      <c r="Q855" s="104"/>
      <c r="R855" s="104"/>
      <c r="S855" s="160"/>
      <c r="T855" s="104"/>
      <c r="U855" s="145"/>
      <c r="V855" s="145"/>
      <c r="W855" s="145"/>
      <c r="X855" s="104"/>
      <c r="Y855" s="194"/>
      <c r="Z855" s="145"/>
      <c r="AA855" s="145"/>
      <c r="AB855" s="104"/>
      <c r="AC855" s="104"/>
      <c r="AD855" s="113">
        <f>S855-Y855</f>
        <v>0</v>
      </c>
    </row>
    <row r="856" spans="2:30" ht="45" hidden="1" customHeight="1">
      <c r="B856" s="174">
        <v>853</v>
      </c>
      <c r="C856" s="104"/>
      <c r="D856" s="104"/>
      <c r="E856" s="104"/>
      <c r="F856" s="104"/>
      <c r="G856" s="145"/>
      <c r="H856" s="104"/>
      <c r="I856" s="104"/>
      <c r="J856" s="104"/>
      <c r="K856" s="104"/>
      <c r="L856" s="104"/>
      <c r="M856" s="104"/>
      <c r="N856" s="104"/>
      <c r="O856" s="104"/>
      <c r="P856" s="104"/>
      <c r="Q856" s="104"/>
      <c r="R856" s="104"/>
      <c r="S856" s="160"/>
      <c r="T856" s="104"/>
      <c r="U856" s="145"/>
      <c r="V856" s="145"/>
      <c r="W856" s="145"/>
      <c r="X856" s="104"/>
      <c r="Y856" s="194"/>
      <c r="Z856" s="145"/>
      <c r="AA856" s="145"/>
      <c r="AB856" s="104"/>
      <c r="AC856" s="104"/>
      <c r="AD856" s="113">
        <f>S856-Y856</f>
        <v>0</v>
      </c>
    </row>
    <row r="857" spans="2:30" ht="45" hidden="1" customHeight="1">
      <c r="B857" s="174">
        <v>854</v>
      </c>
      <c r="C857" s="104"/>
      <c r="D857" s="104"/>
      <c r="E857" s="104"/>
      <c r="F857" s="104"/>
      <c r="G857" s="145"/>
      <c r="H857" s="104"/>
      <c r="I857" s="104"/>
      <c r="J857" s="104"/>
      <c r="K857" s="104"/>
      <c r="L857" s="104"/>
      <c r="M857" s="104"/>
      <c r="N857" s="104"/>
      <c r="O857" s="104"/>
      <c r="P857" s="104"/>
      <c r="Q857" s="104"/>
      <c r="R857" s="104"/>
      <c r="S857" s="160"/>
      <c r="T857" s="104"/>
      <c r="U857" s="145"/>
      <c r="V857" s="145"/>
      <c r="W857" s="145"/>
      <c r="X857" s="104"/>
      <c r="Y857" s="194"/>
      <c r="Z857" s="145"/>
      <c r="AA857" s="145"/>
      <c r="AB857" s="104"/>
      <c r="AC857" s="104"/>
      <c r="AD857" s="113">
        <f>S857-Y857</f>
        <v>0</v>
      </c>
    </row>
    <row r="858" spans="2:30" ht="45" hidden="1" customHeight="1">
      <c r="B858" s="174">
        <v>855</v>
      </c>
      <c r="C858" s="104"/>
      <c r="D858" s="104"/>
      <c r="E858" s="104"/>
      <c r="F858" s="104"/>
      <c r="G858" s="145"/>
      <c r="H858" s="104"/>
      <c r="I858" s="104"/>
      <c r="J858" s="104"/>
      <c r="K858" s="104"/>
      <c r="L858" s="104"/>
      <c r="M858" s="104"/>
      <c r="N858" s="104"/>
      <c r="O858" s="104"/>
      <c r="P858" s="104"/>
      <c r="Q858" s="104"/>
      <c r="R858" s="104"/>
      <c r="S858" s="160"/>
      <c r="T858" s="104"/>
      <c r="U858" s="145"/>
      <c r="V858" s="145"/>
      <c r="W858" s="145"/>
      <c r="X858" s="104"/>
      <c r="Y858" s="194"/>
      <c r="Z858" s="145"/>
      <c r="AA858" s="145"/>
      <c r="AB858" s="104"/>
      <c r="AC858" s="104"/>
      <c r="AD858" s="113">
        <f>S858-Y858</f>
        <v>0</v>
      </c>
    </row>
    <row r="859" spans="2:30" ht="45" hidden="1" customHeight="1">
      <c r="B859" s="174">
        <v>856</v>
      </c>
      <c r="C859" s="104"/>
      <c r="D859" s="104"/>
      <c r="E859" s="104"/>
      <c r="F859" s="104"/>
      <c r="G859" s="145"/>
      <c r="H859" s="104"/>
      <c r="I859" s="104"/>
      <c r="J859" s="104"/>
      <c r="K859" s="104"/>
      <c r="L859" s="104"/>
      <c r="M859" s="104"/>
      <c r="N859" s="104"/>
      <c r="O859" s="104"/>
      <c r="P859" s="104"/>
      <c r="Q859" s="104"/>
      <c r="R859" s="104"/>
      <c r="S859" s="160"/>
      <c r="T859" s="104"/>
      <c r="U859" s="145"/>
      <c r="V859" s="145"/>
      <c r="W859" s="145"/>
      <c r="X859" s="104"/>
      <c r="Y859" s="194"/>
      <c r="Z859" s="145"/>
      <c r="AA859" s="145"/>
      <c r="AB859" s="104"/>
      <c r="AC859" s="104"/>
      <c r="AD859" s="113">
        <f>S859-Y859</f>
        <v>0</v>
      </c>
    </row>
    <row r="860" spans="2:30" ht="45" hidden="1" customHeight="1">
      <c r="B860" s="174">
        <v>857</v>
      </c>
      <c r="C860" s="104"/>
      <c r="D860" s="104"/>
      <c r="E860" s="104"/>
      <c r="F860" s="104"/>
      <c r="G860" s="145"/>
      <c r="H860" s="104"/>
      <c r="I860" s="104"/>
      <c r="J860" s="104"/>
      <c r="K860" s="104"/>
      <c r="L860" s="104"/>
      <c r="M860" s="104"/>
      <c r="N860" s="104"/>
      <c r="O860" s="104"/>
      <c r="P860" s="104"/>
      <c r="Q860" s="104"/>
      <c r="R860" s="104"/>
      <c r="S860" s="160"/>
      <c r="T860" s="104"/>
      <c r="U860" s="145"/>
      <c r="V860" s="145"/>
      <c r="W860" s="145"/>
      <c r="X860" s="104"/>
      <c r="Y860" s="194"/>
      <c r="Z860" s="145"/>
      <c r="AA860" s="145"/>
      <c r="AB860" s="104"/>
      <c r="AC860" s="104"/>
      <c r="AD860" s="113">
        <f>S860-Y860</f>
        <v>0</v>
      </c>
    </row>
    <row r="861" spans="2:30" ht="45" hidden="1" customHeight="1">
      <c r="B861" s="174">
        <v>858</v>
      </c>
      <c r="C861" s="104"/>
      <c r="D861" s="104"/>
      <c r="E861" s="104"/>
      <c r="F861" s="104"/>
      <c r="G861" s="145"/>
      <c r="H861" s="104"/>
      <c r="I861" s="104"/>
      <c r="J861" s="104"/>
      <c r="K861" s="104"/>
      <c r="L861" s="104"/>
      <c r="M861" s="104"/>
      <c r="N861" s="104"/>
      <c r="O861" s="104"/>
      <c r="P861" s="104"/>
      <c r="Q861" s="104"/>
      <c r="R861" s="104"/>
      <c r="S861" s="160"/>
      <c r="T861" s="104"/>
      <c r="U861" s="145"/>
      <c r="V861" s="145"/>
      <c r="W861" s="145"/>
      <c r="X861" s="104"/>
      <c r="Y861" s="194"/>
      <c r="Z861" s="145"/>
      <c r="AA861" s="145"/>
      <c r="AB861" s="104"/>
      <c r="AC861" s="104"/>
      <c r="AD861" s="113">
        <f>S861-Y861</f>
        <v>0</v>
      </c>
    </row>
    <row r="862" spans="2:30" ht="45" hidden="1" customHeight="1">
      <c r="B862" s="174">
        <v>859</v>
      </c>
      <c r="C862" s="104"/>
      <c r="D862" s="104"/>
      <c r="E862" s="104"/>
      <c r="F862" s="104"/>
      <c r="G862" s="145"/>
      <c r="H862" s="104"/>
      <c r="I862" s="104"/>
      <c r="J862" s="104"/>
      <c r="K862" s="104"/>
      <c r="L862" s="104"/>
      <c r="M862" s="104"/>
      <c r="N862" s="104"/>
      <c r="O862" s="104"/>
      <c r="P862" s="104"/>
      <c r="Q862" s="104"/>
      <c r="R862" s="104"/>
      <c r="S862" s="160"/>
      <c r="T862" s="104"/>
      <c r="U862" s="145"/>
      <c r="V862" s="145"/>
      <c r="W862" s="145"/>
      <c r="X862" s="104"/>
      <c r="Y862" s="194"/>
      <c r="Z862" s="145"/>
      <c r="AA862" s="145"/>
      <c r="AB862" s="104"/>
      <c r="AC862" s="104"/>
      <c r="AD862" s="113">
        <f>S862-Y862</f>
        <v>0</v>
      </c>
    </row>
    <row r="863" spans="2:30" ht="45" hidden="1" customHeight="1">
      <c r="B863" s="174">
        <v>860</v>
      </c>
      <c r="C863" s="104"/>
      <c r="D863" s="104"/>
      <c r="E863" s="104"/>
      <c r="F863" s="104"/>
      <c r="G863" s="145"/>
      <c r="H863" s="104"/>
      <c r="I863" s="104"/>
      <c r="J863" s="104"/>
      <c r="K863" s="104"/>
      <c r="L863" s="104"/>
      <c r="M863" s="104"/>
      <c r="N863" s="104"/>
      <c r="O863" s="104"/>
      <c r="P863" s="104"/>
      <c r="Q863" s="104"/>
      <c r="R863" s="104"/>
      <c r="S863" s="160"/>
      <c r="T863" s="104"/>
      <c r="U863" s="145"/>
      <c r="V863" s="145"/>
      <c r="W863" s="145"/>
      <c r="X863" s="104"/>
      <c r="Y863" s="194"/>
      <c r="Z863" s="145"/>
      <c r="AA863" s="145"/>
      <c r="AB863" s="104"/>
      <c r="AC863" s="104"/>
      <c r="AD863" s="113">
        <f>S863-Y863</f>
        <v>0</v>
      </c>
    </row>
    <row r="864" spans="2:30" ht="45" hidden="1" customHeight="1">
      <c r="B864" s="174">
        <v>861</v>
      </c>
      <c r="C864" s="104"/>
      <c r="D864" s="104"/>
      <c r="E864" s="104"/>
      <c r="F864" s="104"/>
      <c r="G864" s="145"/>
      <c r="H864" s="104"/>
      <c r="I864" s="104"/>
      <c r="J864" s="104"/>
      <c r="K864" s="104"/>
      <c r="L864" s="104"/>
      <c r="M864" s="104"/>
      <c r="N864" s="104"/>
      <c r="O864" s="104"/>
      <c r="P864" s="104"/>
      <c r="Q864" s="104"/>
      <c r="R864" s="104"/>
      <c r="S864" s="160"/>
      <c r="T864" s="104"/>
      <c r="U864" s="145"/>
      <c r="V864" s="145"/>
      <c r="W864" s="145"/>
      <c r="X864" s="104"/>
      <c r="Y864" s="194"/>
      <c r="Z864" s="145"/>
      <c r="AA864" s="145"/>
      <c r="AB864" s="104"/>
      <c r="AC864" s="104"/>
      <c r="AD864" s="113">
        <f>S864-Y864</f>
        <v>0</v>
      </c>
    </row>
    <row r="865" spans="2:30" ht="45" hidden="1" customHeight="1">
      <c r="B865" s="174">
        <v>862</v>
      </c>
      <c r="C865" s="104"/>
      <c r="D865" s="104"/>
      <c r="E865" s="104"/>
      <c r="F865" s="104"/>
      <c r="G865" s="145"/>
      <c r="H865" s="104"/>
      <c r="I865" s="104"/>
      <c r="J865" s="104"/>
      <c r="K865" s="104"/>
      <c r="L865" s="104"/>
      <c r="M865" s="104"/>
      <c r="N865" s="104"/>
      <c r="O865" s="104"/>
      <c r="P865" s="104"/>
      <c r="Q865" s="104"/>
      <c r="R865" s="104"/>
      <c r="S865" s="160"/>
      <c r="T865" s="104"/>
      <c r="U865" s="145"/>
      <c r="V865" s="145"/>
      <c r="W865" s="145"/>
      <c r="X865" s="104"/>
      <c r="Y865" s="194"/>
      <c r="Z865" s="145"/>
      <c r="AA865" s="145"/>
      <c r="AB865" s="104"/>
      <c r="AC865" s="104"/>
      <c r="AD865" s="113">
        <f>S865-Y865</f>
        <v>0</v>
      </c>
    </row>
    <row r="866" spans="2:30" ht="45" hidden="1" customHeight="1">
      <c r="B866" s="174">
        <v>863</v>
      </c>
      <c r="C866" s="104"/>
      <c r="D866" s="104"/>
      <c r="E866" s="104"/>
      <c r="F866" s="104"/>
      <c r="G866" s="145"/>
      <c r="H866" s="104"/>
      <c r="I866" s="104"/>
      <c r="J866" s="104"/>
      <c r="K866" s="104"/>
      <c r="L866" s="104"/>
      <c r="M866" s="104"/>
      <c r="N866" s="104"/>
      <c r="O866" s="104"/>
      <c r="P866" s="104"/>
      <c r="Q866" s="104"/>
      <c r="R866" s="104"/>
      <c r="S866" s="160"/>
      <c r="T866" s="104"/>
      <c r="U866" s="145"/>
      <c r="V866" s="145"/>
      <c r="W866" s="145"/>
      <c r="X866" s="104"/>
      <c r="Y866" s="194"/>
      <c r="Z866" s="145"/>
      <c r="AA866" s="145"/>
      <c r="AB866" s="104"/>
      <c r="AC866" s="104"/>
      <c r="AD866" s="113">
        <f>S866-Y866</f>
        <v>0</v>
      </c>
    </row>
    <row r="867" spans="2:30" ht="45" hidden="1" customHeight="1">
      <c r="B867" s="174">
        <v>864</v>
      </c>
      <c r="C867" s="104"/>
      <c r="D867" s="104"/>
      <c r="E867" s="104"/>
      <c r="F867" s="104"/>
      <c r="G867" s="145"/>
      <c r="H867" s="104"/>
      <c r="I867" s="104"/>
      <c r="J867" s="104"/>
      <c r="K867" s="104"/>
      <c r="L867" s="104"/>
      <c r="M867" s="104"/>
      <c r="N867" s="104"/>
      <c r="O867" s="104"/>
      <c r="P867" s="104"/>
      <c r="Q867" s="104"/>
      <c r="R867" s="104"/>
      <c r="S867" s="160"/>
      <c r="T867" s="104"/>
      <c r="U867" s="145"/>
      <c r="V867" s="145"/>
      <c r="W867" s="145"/>
      <c r="X867" s="104"/>
      <c r="Y867" s="194"/>
      <c r="Z867" s="145"/>
      <c r="AA867" s="145"/>
      <c r="AB867" s="104"/>
      <c r="AC867" s="104"/>
      <c r="AD867" s="113">
        <f>S867-Y867</f>
        <v>0</v>
      </c>
    </row>
    <row r="868" spans="2:30" ht="45" hidden="1" customHeight="1">
      <c r="B868" s="174">
        <v>865</v>
      </c>
      <c r="C868" s="104"/>
      <c r="D868" s="104"/>
      <c r="E868" s="104"/>
      <c r="F868" s="104"/>
      <c r="G868" s="145"/>
      <c r="H868" s="104"/>
      <c r="I868" s="104"/>
      <c r="J868" s="104"/>
      <c r="K868" s="104"/>
      <c r="L868" s="104"/>
      <c r="M868" s="104"/>
      <c r="N868" s="104"/>
      <c r="O868" s="104"/>
      <c r="P868" s="104"/>
      <c r="Q868" s="104"/>
      <c r="R868" s="104"/>
      <c r="S868" s="160"/>
      <c r="T868" s="104"/>
      <c r="U868" s="145"/>
      <c r="V868" s="145"/>
      <c r="W868" s="145"/>
      <c r="X868" s="104"/>
      <c r="Y868" s="194"/>
      <c r="Z868" s="145"/>
      <c r="AA868" s="145"/>
      <c r="AB868" s="104"/>
      <c r="AC868" s="104"/>
      <c r="AD868" s="113">
        <f>S868-Y868</f>
        <v>0</v>
      </c>
    </row>
    <row r="869" spans="2:30" ht="45" hidden="1" customHeight="1">
      <c r="B869" s="174">
        <v>866</v>
      </c>
      <c r="C869" s="104"/>
      <c r="D869" s="104"/>
      <c r="E869" s="104"/>
      <c r="F869" s="104"/>
      <c r="G869" s="145"/>
      <c r="H869" s="104"/>
      <c r="I869" s="104"/>
      <c r="J869" s="104"/>
      <c r="K869" s="104"/>
      <c r="L869" s="104"/>
      <c r="M869" s="104"/>
      <c r="N869" s="104"/>
      <c r="O869" s="104"/>
      <c r="P869" s="104"/>
      <c r="Q869" s="104"/>
      <c r="R869" s="104"/>
      <c r="S869" s="160"/>
      <c r="T869" s="104"/>
      <c r="U869" s="145"/>
      <c r="V869" s="145"/>
      <c r="W869" s="145"/>
      <c r="X869" s="104"/>
      <c r="Y869" s="194"/>
      <c r="Z869" s="145"/>
      <c r="AA869" s="145"/>
      <c r="AB869" s="104"/>
      <c r="AC869" s="104"/>
      <c r="AD869" s="113">
        <f>S869-Y869</f>
        <v>0</v>
      </c>
    </row>
    <row r="870" spans="2:30" ht="45" hidden="1" customHeight="1">
      <c r="B870" s="174">
        <v>867</v>
      </c>
      <c r="C870" s="104"/>
      <c r="D870" s="104"/>
      <c r="E870" s="104"/>
      <c r="F870" s="104"/>
      <c r="G870" s="145"/>
      <c r="H870" s="104"/>
      <c r="I870" s="104"/>
      <c r="J870" s="104"/>
      <c r="K870" s="104"/>
      <c r="L870" s="104"/>
      <c r="M870" s="104"/>
      <c r="N870" s="104"/>
      <c r="O870" s="104"/>
      <c r="P870" s="104"/>
      <c r="Q870" s="104"/>
      <c r="R870" s="104"/>
      <c r="S870" s="160"/>
      <c r="T870" s="104"/>
      <c r="U870" s="145"/>
      <c r="V870" s="145"/>
      <c r="W870" s="145"/>
      <c r="X870" s="104"/>
      <c r="Y870" s="194"/>
      <c r="Z870" s="145"/>
      <c r="AA870" s="145"/>
      <c r="AB870" s="104"/>
      <c r="AC870" s="104"/>
      <c r="AD870" s="113">
        <f>S870-Y870</f>
        <v>0</v>
      </c>
    </row>
    <row r="871" spans="2:30" ht="45" hidden="1" customHeight="1">
      <c r="B871" s="174">
        <v>868</v>
      </c>
      <c r="C871" s="104"/>
      <c r="D871" s="104"/>
      <c r="E871" s="104"/>
      <c r="F871" s="104"/>
      <c r="G871" s="145"/>
      <c r="H871" s="104"/>
      <c r="I871" s="104"/>
      <c r="J871" s="104"/>
      <c r="K871" s="104"/>
      <c r="L871" s="104"/>
      <c r="M871" s="104"/>
      <c r="N871" s="104"/>
      <c r="O871" s="104"/>
      <c r="P871" s="104"/>
      <c r="Q871" s="104"/>
      <c r="R871" s="104"/>
      <c r="S871" s="160"/>
      <c r="T871" s="104"/>
      <c r="U871" s="145"/>
      <c r="V871" s="145"/>
      <c r="W871" s="145"/>
      <c r="X871" s="104"/>
      <c r="Y871" s="194"/>
      <c r="Z871" s="145"/>
      <c r="AA871" s="145"/>
      <c r="AB871" s="104"/>
      <c r="AC871" s="104"/>
      <c r="AD871" s="113">
        <f>S871-Y871</f>
        <v>0</v>
      </c>
    </row>
    <row r="872" spans="2:30" ht="45" hidden="1" customHeight="1">
      <c r="B872" s="174">
        <v>869</v>
      </c>
      <c r="C872" s="104"/>
      <c r="D872" s="104"/>
      <c r="E872" s="104"/>
      <c r="F872" s="104"/>
      <c r="G872" s="145"/>
      <c r="H872" s="104"/>
      <c r="I872" s="104"/>
      <c r="J872" s="104"/>
      <c r="K872" s="104"/>
      <c r="L872" s="104"/>
      <c r="M872" s="104"/>
      <c r="N872" s="104"/>
      <c r="O872" s="104"/>
      <c r="P872" s="104"/>
      <c r="Q872" s="104"/>
      <c r="R872" s="104"/>
      <c r="S872" s="160"/>
      <c r="T872" s="104"/>
      <c r="U872" s="145"/>
      <c r="V872" s="145"/>
      <c r="W872" s="145"/>
      <c r="X872" s="104"/>
      <c r="Y872" s="194"/>
      <c r="Z872" s="145"/>
      <c r="AA872" s="145"/>
      <c r="AB872" s="104"/>
      <c r="AC872" s="104"/>
      <c r="AD872" s="113">
        <f>S872-Y872</f>
        <v>0</v>
      </c>
    </row>
    <row r="873" spans="2:30" ht="45" hidden="1" customHeight="1">
      <c r="B873" s="174">
        <v>870</v>
      </c>
      <c r="C873" s="104"/>
      <c r="D873" s="104"/>
      <c r="E873" s="104"/>
      <c r="F873" s="104"/>
      <c r="G873" s="145"/>
      <c r="H873" s="104"/>
      <c r="I873" s="104"/>
      <c r="J873" s="104"/>
      <c r="K873" s="104"/>
      <c r="L873" s="104"/>
      <c r="M873" s="104"/>
      <c r="N873" s="104"/>
      <c r="O873" s="104"/>
      <c r="P873" s="104"/>
      <c r="Q873" s="104"/>
      <c r="R873" s="104"/>
      <c r="S873" s="160"/>
      <c r="T873" s="104"/>
      <c r="U873" s="145"/>
      <c r="V873" s="145"/>
      <c r="W873" s="145"/>
      <c r="X873" s="104"/>
      <c r="Y873" s="194"/>
      <c r="Z873" s="145"/>
      <c r="AA873" s="145"/>
      <c r="AB873" s="104"/>
      <c r="AC873" s="104"/>
      <c r="AD873" s="113">
        <f>S873-Y873</f>
        <v>0</v>
      </c>
    </row>
    <row r="874" spans="2:30" ht="45" hidden="1" customHeight="1">
      <c r="B874" s="174">
        <v>871</v>
      </c>
      <c r="C874" s="104"/>
      <c r="D874" s="104"/>
      <c r="E874" s="104"/>
      <c r="F874" s="104"/>
      <c r="G874" s="145"/>
      <c r="H874" s="104"/>
      <c r="I874" s="104"/>
      <c r="J874" s="104"/>
      <c r="K874" s="104"/>
      <c r="L874" s="104"/>
      <c r="M874" s="104"/>
      <c r="N874" s="104"/>
      <c r="O874" s="104"/>
      <c r="P874" s="104"/>
      <c r="Q874" s="104"/>
      <c r="R874" s="104"/>
      <c r="S874" s="160"/>
      <c r="T874" s="104"/>
      <c r="U874" s="145"/>
      <c r="V874" s="145"/>
      <c r="W874" s="145"/>
      <c r="X874" s="104"/>
      <c r="Y874" s="194"/>
      <c r="Z874" s="145"/>
      <c r="AA874" s="145"/>
      <c r="AB874" s="104"/>
      <c r="AC874" s="104"/>
      <c r="AD874" s="113">
        <f>S874-Y874</f>
        <v>0</v>
      </c>
    </row>
    <row r="875" spans="2:30" ht="45" hidden="1" customHeight="1">
      <c r="B875" s="174">
        <v>872</v>
      </c>
      <c r="C875" s="104"/>
      <c r="D875" s="104"/>
      <c r="E875" s="104"/>
      <c r="F875" s="104"/>
      <c r="G875" s="145"/>
      <c r="H875" s="104"/>
      <c r="I875" s="104"/>
      <c r="J875" s="104"/>
      <c r="K875" s="104"/>
      <c r="L875" s="104"/>
      <c r="M875" s="104"/>
      <c r="N875" s="104"/>
      <c r="O875" s="104"/>
      <c r="P875" s="104"/>
      <c r="Q875" s="104"/>
      <c r="R875" s="104"/>
      <c r="S875" s="160"/>
      <c r="T875" s="104"/>
      <c r="U875" s="145"/>
      <c r="V875" s="145"/>
      <c r="W875" s="145"/>
      <c r="X875" s="104"/>
      <c r="Y875" s="194"/>
      <c r="Z875" s="145"/>
      <c r="AA875" s="145"/>
      <c r="AB875" s="104"/>
      <c r="AC875" s="104"/>
      <c r="AD875" s="113">
        <f>S875-Y875</f>
        <v>0</v>
      </c>
    </row>
    <row r="876" spans="2:30" ht="45" hidden="1" customHeight="1">
      <c r="B876" s="174">
        <v>873</v>
      </c>
      <c r="C876" s="104"/>
      <c r="D876" s="104"/>
      <c r="E876" s="104"/>
      <c r="F876" s="104"/>
      <c r="G876" s="145"/>
      <c r="H876" s="104"/>
      <c r="I876" s="104"/>
      <c r="J876" s="104"/>
      <c r="K876" s="104"/>
      <c r="L876" s="104"/>
      <c r="M876" s="104"/>
      <c r="N876" s="104"/>
      <c r="O876" s="104"/>
      <c r="P876" s="104"/>
      <c r="Q876" s="104"/>
      <c r="R876" s="104"/>
      <c r="S876" s="160"/>
      <c r="T876" s="104"/>
      <c r="U876" s="145"/>
      <c r="V876" s="145"/>
      <c r="W876" s="145"/>
      <c r="X876" s="104"/>
      <c r="Y876" s="194"/>
      <c r="Z876" s="145"/>
      <c r="AA876" s="145"/>
      <c r="AB876" s="104"/>
      <c r="AC876" s="104"/>
      <c r="AD876" s="113">
        <f>S876-Y876</f>
        <v>0</v>
      </c>
    </row>
    <row r="877" spans="2:30" ht="45" hidden="1" customHeight="1">
      <c r="B877" s="174">
        <v>874</v>
      </c>
      <c r="C877" s="104"/>
      <c r="D877" s="104"/>
      <c r="E877" s="104"/>
      <c r="F877" s="104"/>
      <c r="G877" s="145"/>
      <c r="H877" s="104"/>
      <c r="I877" s="104"/>
      <c r="J877" s="104"/>
      <c r="K877" s="104"/>
      <c r="L877" s="104"/>
      <c r="M877" s="104"/>
      <c r="N877" s="104"/>
      <c r="O877" s="104"/>
      <c r="P877" s="104"/>
      <c r="Q877" s="104"/>
      <c r="R877" s="104"/>
      <c r="S877" s="160"/>
      <c r="T877" s="104"/>
      <c r="U877" s="145"/>
      <c r="V877" s="145"/>
      <c r="W877" s="145"/>
      <c r="X877" s="104"/>
      <c r="Y877" s="194"/>
      <c r="Z877" s="145"/>
      <c r="AA877" s="145"/>
      <c r="AB877" s="104"/>
      <c r="AC877" s="104"/>
      <c r="AD877" s="113">
        <f>S877-Y877</f>
        <v>0</v>
      </c>
    </row>
    <row r="878" spans="2:30" ht="45" hidden="1" customHeight="1">
      <c r="B878" s="174">
        <v>875</v>
      </c>
      <c r="C878" s="104"/>
      <c r="D878" s="104"/>
      <c r="E878" s="104"/>
      <c r="F878" s="104"/>
      <c r="G878" s="145"/>
      <c r="H878" s="104"/>
      <c r="I878" s="104"/>
      <c r="J878" s="104"/>
      <c r="K878" s="104"/>
      <c r="L878" s="104"/>
      <c r="M878" s="104"/>
      <c r="N878" s="104"/>
      <c r="O878" s="104"/>
      <c r="P878" s="104"/>
      <c r="Q878" s="104"/>
      <c r="R878" s="104"/>
      <c r="S878" s="160"/>
      <c r="T878" s="104"/>
      <c r="U878" s="145"/>
      <c r="V878" s="145"/>
      <c r="W878" s="145"/>
      <c r="X878" s="104"/>
      <c r="Y878" s="194"/>
      <c r="Z878" s="145"/>
      <c r="AA878" s="145"/>
      <c r="AB878" s="104"/>
      <c r="AC878" s="104"/>
      <c r="AD878" s="113">
        <f>S878-Y878</f>
        <v>0</v>
      </c>
    </row>
    <row r="879" spans="2:30" ht="45" hidden="1" customHeight="1">
      <c r="B879" s="174">
        <v>876</v>
      </c>
      <c r="C879" s="104"/>
      <c r="D879" s="104"/>
      <c r="E879" s="104"/>
      <c r="F879" s="104"/>
      <c r="G879" s="145"/>
      <c r="H879" s="104"/>
      <c r="I879" s="104"/>
      <c r="J879" s="104"/>
      <c r="K879" s="104"/>
      <c r="L879" s="104"/>
      <c r="M879" s="104"/>
      <c r="N879" s="104"/>
      <c r="O879" s="104"/>
      <c r="P879" s="104"/>
      <c r="Q879" s="104"/>
      <c r="R879" s="104"/>
      <c r="S879" s="160"/>
      <c r="T879" s="104"/>
      <c r="U879" s="145"/>
      <c r="V879" s="145"/>
      <c r="W879" s="145"/>
      <c r="X879" s="104"/>
      <c r="Y879" s="194"/>
      <c r="Z879" s="145"/>
      <c r="AA879" s="145"/>
      <c r="AB879" s="104"/>
      <c r="AC879" s="104"/>
      <c r="AD879" s="113">
        <f>S879-Y879</f>
        <v>0</v>
      </c>
    </row>
    <row r="880" spans="2:30" ht="45" hidden="1" customHeight="1">
      <c r="B880" s="174">
        <v>877</v>
      </c>
      <c r="C880" s="104"/>
      <c r="D880" s="104"/>
      <c r="E880" s="104"/>
      <c r="F880" s="104"/>
      <c r="G880" s="145"/>
      <c r="H880" s="104"/>
      <c r="I880" s="104"/>
      <c r="J880" s="104"/>
      <c r="K880" s="104"/>
      <c r="L880" s="104"/>
      <c r="M880" s="104"/>
      <c r="N880" s="104"/>
      <c r="O880" s="104"/>
      <c r="P880" s="104"/>
      <c r="Q880" s="104"/>
      <c r="R880" s="104"/>
      <c r="S880" s="160"/>
      <c r="T880" s="104"/>
      <c r="U880" s="145"/>
      <c r="V880" s="145"/>
      <c r="W880" s="145"/>
      <c r="X880" s="104"/>
      <c r="Y880" s="194"/>
      <c r="Z880" s="145"/>
      <c r="AA880" s="145"/>
      <c r="AB880" s="104"/>
      <c r="AC880" s="104"/>
      <c r="AD880" s="113">
        <f>S880-Y880</f>
        <v>0</v>
      </c>
    </row>
    <row r="881" spans="2:30" ht="45" hidden="1" customHeight="1">
      <c r="B881" s="174">
        <v>878</v>
      </c>
      <c r="C881" s="104"/>
      <c r="D881" s="104"/>
      <c r="E881" s="104"/>
      <c r="F881" s="104"/>
      <c r="G881" s="145"/>
      <c r="H881" s="104"/>
      <c r="I881" s="104"/>
      <c r="J881" s="104"/>
      <c r="K881" s="104"/>
      <c r="L881" s="104"/>
      <c r="M881" s="104"/>
      <c r="N881" s="104"/>
      <c r="O881" s="104"/>
      <c r="P881" s="104"/>
      <c r="Q881" s="104"/>
      <c r="R881" s="104"/>
      <c r="S881" s="160"/>
      <c r="T881" s="104"/>
      <c r="U881" s="145"/>
      <c r="V881" s="145"/>
      <c r="W881" s="145"/>
      <c r="X881" s="104"/>
      <c r="Y881" s="194"/>
      <c r="Z881" s="145"/>
      <c r="AA881" s="145"/>
      <c r="AB881" s="104"/>
      <c r="AC881" s="104"/>
      <c r="AD881" s="113">
        <f>S881-Y881</f>
        <v>0</v>
      </c>
    </row>
    <row r="882" spans="2:30" ht="45" hidden="1" customHeight="1">
      <c r="B882" s="174">
        <v>879</v>
      </c>
      <c r="C882" s="104"/>
      <c r="D882" s="104"/>
      <c r="E882" s="104"/>
      <c r="F882" s="104"/>
      <c r="G882" s="145"/>
      <c r="H882" s="104"/>
      <c r="I882" s="104"/>
      <c r="J882" s="104"/>
      <c r="K882" s="104"/>
      <c r="L882" s="104"/>
      <c r="M882" s="104"/>
      <c r="N882" s="104"/>
      <c r="O882" s="104"/>
      <c r="P882" s="104"/>
      <c r="Q882" s="104"/>
      <c r="R882" s="104"/>
      <c r="S882" s="160"/>
      <c r="T882" s="104"/>
      <c r="U882" s="145"/>
      <c r="V882" s="145"/>
      <c r="W882" s="145"/>
      <c r="X882" s="104"/>
      <c r="Y882" s="194"/>
      <c r="Z882" s="145"/>
      <c r="AA882" s="145"/>
      <c r="AB882" s="104"/>
      <c r="AC882" s="104"/>
      <c r="AD882" s="113">
        <f>S882-Y882</f>
        <v>0</v>
      </c>
    </row>
    <row r="883" spans="2:30" ht="45" hidden="1" customHeight="1">
      <c r="B883" s="174">
        <v>880</v>
      </c>
      <c r="C883" s="104"/>
      <c r="D883" s="104"/>
      <c r="E883" s="104"/>
      <c r="F883" s="104"/>
      <c r="G883" s="145"/>
      <c r="H883" s="104"/>
      <c r="I883" s="104"/>
      <c r="J883" s="104"/>
      <c r="K883" s="104"/>
      <c r="L883" s="104"/>
      <c r="M883" s="104"/>
      <c r="N883" s="104"/>
      <c r="O883" s="104"/>
      <c r="P883" s="104"/>
      <c r="Q883" s="104"/>
      <c r="R883" s="104"/>
      <c r="S883" s="160"/>
      <c r="T883" s="104"/>
      <c r="U883" s="145"/>
      <c r="V883" s="145"/>
      <c r="W883" s="145"/>
      <c r="X883" s="104"/>
      <c r="Y883" s="194"/>
      <c r="Z883" s="145"/>
      <c r="AA883" s="145"/>
      <c r="AB883" s="104"/>
      <c r="AC883" s="104"/>
      <c r="AD883" s="113">
        <f>S883-Y883</f>
        <v>0</v>
      </c>
    </row>
    <row r="884" spans="2:30" ht="45" hidden="1" customHeight="1">
      <c r="B884" s="174">
        <v>881</v>
      </c>
      <c r="C884" s="104"/>
      <c r="D884" s="104"/>
      <c r="E884" s="104"/>
      <c r="F884" s="104"/>
      <c r="G884" s="145"/>
      <c r="H884" s="104"/>
      <c r="I884" s="104"/>
      <c r="J884" s="104"/>
      <c r="K884" s="104"/>
      <c r="L884" s="104"/>
      <c r="M884" s="104"/>
      <c r="N884" s="104"/>
      <c r="O884" s="104"/>
      <c r="P884" s="104"/>
      <c r="Q884" s="104"/>
      <c r="R884" s="104"/>
      <c r="S884" s="160"/>
      <c r="T884" s="104"/>
      <c r="U884" s="145"/>
      <c r="V884" s="145"/>
      <c r="W884" s="145"/>
      <c r="X884" s="104"/>
      <c r="Y884" s="194"/>
      <c r="Z884" s="145"/>
      <c r="AA884" s="145"/>
      <c r="AB884" s="104"/>
      <c r="AC884" s="104"/>
      <c r="AD884" s="113">
        <f>S884-Y884</f>
        <v>0</v>
      </c>
    </row>
    <row r="885" spans="2:30" ht="45" hidden="1" customHeight="1">
      <c r="B885" s="174">
        <v>882</v>
      </c>
      <c r="C885" s="104"/>
      <c r="D885" s="104"/>
      <c r="E885" s="104"/>
      <c r="F885" s="104"/>
      <c r="G885" s="145"/>
      <c r="H885" s="104"/>
      <c r="I885" s="104"/>
      <c r="J885" s="104"/>
      <c r="K885" s="104"/>
      <c r="L885" s="104"/>
      <c r="M885" s="104"/>
      <c r="N885" s="104"/>
      <c r="O885" s="104"/>
      <c r="P885" s="104"/>
      <c r="Q885" s="104"/>
      <c r="R885" s="104"/>
      <c r="S885" s="160"/>
      <c r="T885" s="104"/>
      <c r="U885" s="145"/>
      <c r="V885" s="145"/>
      <c r="W885" s="145"/>
      <c r="X885" s="104"/>
      <c r="Y885" s="194"/>
      <c r="Z885" s="145"/>
      <c r="AA885" s="145"/>
      <c r="AB885" s="104"/>
      <c r="AC885" s="104"/>
      <c r="AD885" s="113">
        <f>S885-Y885</f>
        <v>0</v>
      </c>
    </row>
    <row r="886" spans="2:30" ht="45" hidden="1" customHeight="1">
      <c r="B886" s="174">
        <v>883</v>
      </c>
      <c r="C886" s="104"/>
      <c r="D886" s="104"/>
      <c r="E886" s="104"/>
      <c r="F886" s="104"/>
      <c r="G886" s="145"/>
      <c r="H886" s="104"/>
      <c r="I886" s="104"/>
      <c r="J886" s="104"/>
      <c r="K886" s="104"/>
      <c r="L886" s="104"/>
      <c r="M886" s="104"/>
      <c r="N886" s="104"/>
      <c r="O886" s="104"/>
      <c r="P886" s="104"/>
      <c r="Q886" s="104"/>
      <c r="R886" s="104"/>
      <c r="S886" s="160"/>
      <c r="T886" s="104"/>
      <c r="U886" s="145"/>
      <c r="V886" s="145"/>
      <c r="W886" s="145"/>
      <c r="X886" s="104"/>
      <c r="Y886" s="194"/>
      <c r="Z886" s="145"/>
      <c r="AA886" s="145"/>
      <c r="AB886" s="104"/>
      <c r="AC886" s="104"/>
      <c r="AD886" s="113">
        <f>S886-Y886</f>
        <v>0</v>
      </c>
    </row>
    <row r="887" spans="2:30" ht="45" hidden="1" customHeight="1">
      <c r="B887" s="174">
        <v>884</v>
      </c>
      <c r="C887" s="104"/>
      <c r="D887" s="104"/>
      <c r="E887" s="104"/>
      <c r="F887" s="104"/>
      <c r="G887" s="145"/>
      <c r="H887" s="104"/>
      <c r="I887" s="104"/>
      <c r="J887" s="104"/>
      <c r="K887" s="104"/>
      <c r="L887" s="104"/>
      <c r="M887" s="104"/>
      <c r="N887" s="104"/>
      <c r="O887" s="104"/>
      <c r="P887" s="104"/>
      <c r="Q887" s="104"/>
      <c r="R887" s="104"/>
      <c r="S887" s="160"/>
      <c r="T887" s="104"/>
      <c r="U887" s="145"/>
      <c r="V887" s="145"/>
      <c r="W887" s="145"/>
      <c r="X887" s="104"/>
      <c r="Y887" s="194"/>
      <c r="Z887" s="145"/>
      <c r="AA887" s="145"/>
      <c r="AB887" s="104"/>
      <c r="AC887" s="104"/>
      <c r="AD887" s="113">
        <f>S887-Y887</f>
        <v>0</v>
      </c>
    </row>
    <row r="888" spans="2:30" ht="45" hidden="1" customHeight="1">
      <c r="B888" s="174">
        <v>885</v>
      </c>
      <c r="C888" s="104"/>
      <c r="D888" s="104"/>
      <c r="E888" s="104"/>
      <c r="F888" s="104"/>
      <c r="G888" s="145"/>
      <c r="H888" s="104"/>
      <c r="I888" s="104"/>
      <c r="J888" s="104"/>
      <c r="K888" s="104"/>
      <c r="L888" s="104"/>
      <c r="M888" s="104"/>
      <c r="N888" s="104"/>
      <c r="O888" s="104"/>
      <c r="P888" s="104"/>
      <c r="Q888" s="104"/>
      <c r="R888" s="104"/>
      <c r="S888" s="160"/>
      <c r="T888" s="104"/>
      <c r="U888" s="145"/>
      <c r="V888" s="145"/>
      <c r="W888" s="145"/>
      <c r="X888" s="104"/>
      <c r="Y888" s="194"/>
      <c r="Z888" s="145"/>
      <c r="AA888" s="145"/>
      <c r="AB888" s="104"/>
      <c r="AC888" s="104"/>
      <c r="AD888" s="113">
        <f>S888-Y888</f>
        <v>0</v>
      </c>
    </row>
    <row r="889" spans="2:30" ht="45" hidden="1" customHeight="1">
      <c r="B889" s="174">
        <v>886</v>
      </c>
      <c r="C889" s="104"/>
      <c r="D889" s="104"/>
      <c r="E889" s="104"/>
      <c r="F889" s="104"/>
      <c r="G889" s="145"/>
      <c r="H889" s="104"/>
      <c r="I889" s="104"/>
      <c r="J889" s="104"/>
      <c r="K889" s="104"/>
      <c r="L889" s="104"/>
      <c r="M889" s="104"/>
      <c r="N889" s="104"/>
      <c r="O889" s="104"/>
      <c r="P889" s="104"/>
      <c r="Q889" s="104"/>
      <c r="R889" s="104"/>
      <c r="S889" s="160"/>
      <c r="T889" s="104"/>
      <c r="U889" s="145"/>
      <c r="V889" s="145"/>
      <c r="W889" s="145"/>
      <c r="X889" s="104"/>
      <c r="Y889" s="194"/>
      <c r="Z889" s="145"/>
      <c r="AA889" s="145"/>
      <c r="AB889" s="104"/>
      <c r="AC889" s="104"/>
      <c r="AD889" s="113">
        <f>S889-Y889</f>
        <v>0</v>
      </c>
    </row>
    <row r="890" spans="2:30" ht="45" hidden="1" customHeight="1">
      <c r="B890" s="174">
        <v>887</v>
      </c>
      <c r="C890" s="104"/>
      <c r="D890" s="104"/>
      <c r="E890" s="104"/>
      <c r="F890" s="104"/>
      <c r="G890" s="145"/>
      <c r="H890" s="104"/>
      <c r="I890" s="104"/>
      <c r="J890" s="104"/>
      <c r="K890" s="104"/>
      <c r="L890" s="104"/>
      <c r="M890" s="104"/>
      <c r="N890" s="104"/>
      <c r="O890" s="104"/>
      <c r="P890" s="104"/>
      <c r="Q890" s="104"/>
      <c r="R890" s="104"/>
      <c r="S890" s="160"/>
      <c r="T890" s="104"/>
      <c r="U890" s="145"/>
      <c r="V890" s="145"/>
      <c r="W890" s="145"/>
      <c r="X890" s="104"/>
      <c r="Y890" s="194"/>
      <c r="Z890" s="145"/>
      <c r="AA890" s="145"/>
      <c r="AB890" s="104"/>
      <c r="AC890" s="104"/>
      <c r="AD890" s="113">
        <f>S890-Y890</f>
        <v>0</v>
      </c>
    </row>
    <row r="891" spans="2:30" ht="45" hidden="1" customHeight="1">
      <c r="B891" s="174">
        <v>888</v>
      </c>
      <c r="C891" s="104"/>
      <c r="D891" s="104"/>
      <c r="E891" s="104"/>
      <c r="F891" s="104"/>
      <c r="G891" s="145"/>
      <c r="H891" s="104"/>
      <c r="I891" s="104"/>
      <c r="J891" s="104"/>
      <c r="K891" s="104"/>
      <c r="L891" s="104"/>
      <c r="M891" s="104"/>
      <c r="N891" s="104"/>
      <c r="O891" s="104"/>
      <c r="P891" s="104"/>
      <c r="Q891" s="104"/>
      <c r="R891" s="104"/>
      <c r="S891" s="160"/>
      <c r="T891" s="104"/>
      <c r="U891" s="145"/>
      <c r="V891" s="145"/>
      <c r="W891" s="145"/>
      <c r="X891" s="104"/>
      <c r="Y891" s="194"/>
      <c r="Z891" s="145"/>
      <c r="AA891" s="145"/>
      <c r="AB891" s="104"/>
      <c r="AC891" s="104"/>
      <c r="AD891" s="113">
        <f>S891-Y891</f>
        <v>0</v>
      </c>
    </row>
    <row r="892" spans="2:30" ht="45" hidden="1" customHeight="1">
      <c r="B892" s="174">
        <v>889</v>
      </c>
      <c r="C892" s="104"/>
      <c r="D892" s="104"/>
      <c r="E892" s="104"/>
      <c r="F892" s="104"/>
      <c r="G892" s="145"/>
      <c r="H892" s="104"/>
      <c r="I892" s="104"/>
      <c r="J892" s="104"/>
      <c r="K892" s="104"/>
      <c r="L892" s="104"/>
      <c r="M892" s="104"/>
      <c r="N892" s="104"/>
      <c r="O892" s="104"/>
      <c r="P892" s="104"/>
      <c r="Q892" s="104"/>
      <c r="R892" s="104"/>
      <c r="S892" s="160"/>
      <c r="T892" s="104"/>
      <c r="U892" s="145"/>
      <c r="V892" s="145"/>
      <c r="W892" s="145"/>
      <c r="X892" s="104"/>
      <c r="Y892" s="194"/>
      <c r="Z892" s="145"/>
      <c r="AA892" s="145"/>
      <c r="AB892" s="104"/>
      <c r="AC892" s="104"/>
      <c r="AD892" s="113">
        <f>S892-Y892</f>
        <v>0</v>
      </c>
    </row>
    <row r="893" spans="2:30" ht="45" hidden="1" customHeight="1">
      <c r="B893" s="174">
        <v>890</v>
      </c>
      <c r="C893" s="104"/>
      <c r="D893" s="104"/>
      <c r="E893" s="104"/>
      <c r="F893" s="104"/>
      <c r="G893" s="145"/>
      <c r="H893" s="104"/>
      <c r="I893" s="104"/>
      <c r="J893" s="104"/>
      <c r="K893" s="104"/>
      <c r="L893" s="104"/>
      <c r="M893" s="104"/>
      <c r="N893" s="104"/>
      <c r="O893" s="104"/>
      <c r="P893" s="104"/>
      <c r="Q893" s="104"/>
      <c r="R893" s="104"/>
      <c r="S893" s="160"/>
      <c r="T893" s="104"/>
      <c r="U893" s="145"/>
      <c r="V893" s="145"/>
      <c r="W893" s="145"/>
      <c r="X893" s="104"/>
      <c r="Y893" s="194"/>
      <c r="Z893" s="145"/>
      <c r="AA893" s="145"/>
      <c r="AB893" s="104"/>
      <c r="AC893" s="104"/>
      <c r="AD893" s="113">
        <f>S893-Y893</f>
        <v>0</v>
      </c>
    </row>
    <row r="894" spans="2:30" ht="45" hidden="1" customHeight="1">
      <c r="B894" s="174">
        <v>891</v>
      </c>
      <c r="C894" s="104"/>
      <c r="D894" s="104"/>
      <c r="E894" s="104"/>
      <c r="F894" s="104"/>
      <c r="G894" s="145"/>
      <c r="H894" s="104"/>
      <c r="I894" s="104"/>
      <c r="J894" s="104"/>
      <c r="K894" s="104"/>
      <c r="L894" s="104"/>
      <c r="M894" s="104"/>
      <c r="N894" s="104"/>
      <c r="O894" s="104"/>
      <c r="P894" s="104"/>
      <c r="Q894" s="104"/>
      <c r="R894" s="104"/>
      <c r="S894" s="160"/>
      <c r="T894" s="104"/>
      <c r="U894" s="145"/>
      <c r="V894" s="145"/>
      <c r="W894" s="145"/>
      <c r="X894" s="104"/>
      <c r="Y894" s="194"/>
      <c r="Z894" s="145"/>
      <c r="AA894" s="145"/>
      <c r="AB894" s="104"/>
      <c r="AC894" s="104"/>
      <c r="AD894" s="113">
        <f>S894-Y894</f>
        <v>0</v>
      </c>
    </row>
    <row r="895" spans="2:30" ht="45" hidden="1" customHeight="1">
      <c r="B895" s="174">
        <v>892</v>
      </c>
      <c r="C895" s="104"/>
      <c r="D895" s="104"/>
      <c r="E895" s="104"/>
      <c r="F895" s="104"/>
      <c r="G895" s="145"/>
      <c r="H895" s="104"/>
      <c r="I895" s="104"/>
      <c r="J895" s="104"/>
      <c r="K895" s="104"/>
      <c r="L895" s="104"/>
      <c r="M895" s="104"/>
      <c r="N895" s="104"/>
      <c r="O895" s="104"/>
      <c r="P895" s="104"/>
      <c r="Q895" s="104"/>
      <c r="R895" s="104"/>
      <c r="S895" s="160"/>
      <c r="T895" s="104"/>
      <c r="U895" s="145"/>
      <c r="V895" s="145"/>
      <c r="W895" s="145"/>
      <c r="X895" s="104"/>
      <c r="Y895" s="194"/>
      <c r="Z895" s="145"/>
      <c r="AA895" s="145"/>
      <c r="AB895" s="104"/>
      <c r="AC895" s="104"/>
      <c r="AD895" s="113">
        <f>S895-Y895</f>
        <v>0</v>
      </c>
    </row>
    <row r="896" spans="2:30" ht="45" hidden="1" customHeight="1">
      <c r="B896" s="174">
        <v>893</v>
      </c>
      <c r="C896" s="104"/>
      <c r="D896" s="104"/>
      <c r="E896" s="104"/>
      <c r="F896" s="104"/>
      <c r="G896" s="145"/>
      <c r="H896" s="104"/>
      <c r="I896" s="104"/>
      <c r="J896" s="104"/>
      <c r="K896" s="104"/>
      <c r="L896" s="104"/>
      <c r="M896" s="104"/>
      <c r="N896" s="104"/>
      <c r="O896" s="104"/>
      <c r="P896" s="104"/>
      <c r="Q896" s="104"/>
      <c r="R896" s="104"/>
      <c r="S896" s="160"/>
      <c r="T896" s="104"/>
      <c r="U896" s="145"/>
      <c r="V896" s="145"/>
      <c r="W896" s="145"/>
      <c r="X896" s="104"/>
      <c r="Y896" s="194"/>
      <c r="Z896" s="145"/>
      <c r="AA896" s="145"/>
      <c r="AB896" s="104"/>
      <c r="AC896" s="104"/>
      <c r="AD896" s="113">
        <f>S896-Y896</f>
        <v>0</v>
      </c>
    </row>
    <row r="897" spans="2:30" ht="45" hidden="1" customHeight="1">
      <c r="B897" s="174">
        <v>894</v>
      </c>
      <c r="C897" s="104"/>
      <c r="D897" s="104"/>
      <c r="E897" s="104"/>
      <c r="F897" s="104"/>
      <c r="G897" s="145"/>
      <c r="H897" s="104"/>
      <c r="I897" s="104"/>
      <c r="J897" s="104"/>
      <c r="K897" s="104"/>
      <c r="L897" s="104"/>
      <c r="M897" s="104"/>
      <c r="N897" s="104"/>
      <c r="O897" s="104"/>
      <c r="P897" s="104"/>
      <c r="Q897" s="104"/>
      <c r="R897" s="104"/>
      <c r="S897" s="160"/>
      <c r="T897" s="104"/>
      <c r="U897" s="145"/>
      <c r="V897" s="145"/>
      <c r="W897" s="145"/>
      <c r="X897" s="104"/>
      <c r="Y897" s="194"/>
      <c r="Z897" s="145"/>
      <c r="AA897" s="145"/>
      <c r="AB897" s="104"/>
      <c r="AC897" s="104"/>
      <c r="AD897" s="113">
        <f>S897-Y897</f>
        <v>0</v>
      </c>
    </row>
    <row r="898" spans="2:30" ht="45" hidden="1" customHeight="1">
      <c r="B898" s="174">
        <v>895</v>
      </c>
      <c r="C898" s="104"/>
      <c r="D898" s="104"/>
      <c r="E898" s="104"/>
      <c r="F898" s="104"/>
      <c r="G898" s="145"/>
      <c r="H898" s="104"/>
      <c r="I898" s="104"/>
      <c r="J898" s="104"/>
      <c r="K898" s="104"/>
      <c r="L898" s="104"/>
      <c r="M898" s="104"/>
      <c r="N898" s="104"/>
      <c r="O898" s="104"/>
      <c r="P898" s="104"/>
      <c r="Q898" s="104"/>
      <c r="R898" s="104"/>
      <c r="S898" s="160"/>
      <c r="T898" s="104"/>
      <c r="U898" s="145"/>
      <c r="V898" s="145"/>
      <c r="W898" s="145"/>
      <c r="X898" s="104"/>
      <c r="Y898" s="194"/>
      <c r="Z898" s="145"/>
      <c r="AA898" s="145"/>
      <c r="AB898" s="104"/>
      <c r="AC898" s="104"/>
      <c r="AD898" s="113">
        <f>S898-Y898</f>
        <v>0</v>
      </c>
    </row>
    <row r="899" spans="2:30" ht="45" hidden="1" customHeight="1">
      <c r="B899" s="174">
        <v>896</v>
      </c>
      <c r="C899" s="104"/>
      <c r="D899" s="104"/>
      <c r="E899" s="104"/>
      <c r="F899" s="104"/>
      <c r="G899" s="145"/>
      <c r="H899" s="104"/>
      <c r="I899" s="104"/>
      <c r="J899" s="104"/>
      <c r="K899" s="104"/>
      <c r="L899" s="104"/>
      <c r="M899" s="104"/>
      <c r="N899" s="104"/>
      <c r="O899" s="104"/>
      <c r="P899" s="104"/>
      <c r="Q899" s="104"/>
      <c r="R899" s="104"/>
      <c r="S899" s="160"/>
      <c r="T899" s="104"/>
      <c r="U899" s="145"/>
      <c r="V899" s="145"/>
      <c r="W899" s="145"/>
      <c r="X899" s="104"/>
      <c r="Y899" s="194"/>
      <c r="Z899" s="145"/>
      <c r="AA899" s="145"/>
      <c r="AB899" s="104"/>
      <c r="AC899" s="104"/>
      <c r="AD899" s="113">
        <f>S899-Y899</f>
        <v>0</v>
      </c>
    </row>
    <row r="900" spans="2:30" ht="45" hidden="1" customHeight="1">
      <c r="B900" s="174">
        <v>897</v>
      </c>
      <c r="C900" s="104"/>
      <c r="D900" s="104"/>
      <c r="E900" s="104"/>
      <c r="F900" s="104"/>
      <c r="G900" s="145"/>
      <c r="H900" s="104"/>
      <c r="I900" s="104"/>
      <c r="J900" s="104"/>
      <c r="K900" s="104"/>
      <c r="L900" s="104"/>
      <c r="M900" s="104"/>
      <c r="N900" s="104"/>
      <c r="O900" s="104"/>
      <c r="P900" s="104"/>
      <c r="Q900" s="104"/>
      <c r="R900" s="104"/>
      <c r="S900" s="160"/>
      <c r="T900" s="104"/>
      <c r="U900" s="145"/>
      <c r="V900" s="145"/>
      <c r="W900" s="145"/>
      <c r="X900" s="104"/>
      <c r="Y900" s="194"/>
      <c r="Z900" s="145"/>
      <c r="AA900" s="145"/>
      <c r="AB900" s="104"/>
      <c r="AC900" s="104"/>
      <c r="AD900" s="113">
        <f>S900-Y900</f>
        <v>0</v>
      </c>
    </row>
    <row r="901" spans="2:30" ht="45" hidden="1" customHeight="1">
      <c r="B901" s="174">
        <v>898</v>
      </c>
      <c r="C901" s="104"/>
      <c r="D901" s="104"/>
      <c r="E901" s="104"/>
      <c r="F901" s="104"/>
      <c r="G901" s="145"/>
      <c r="H901" s="104"/>
      <c r="I901" s="104"/>
      <c r="J901" s="104"/>
      <c r="K901" s="104"/>
      <c r="L901" s="104"/>
      <c r="M901" s="104"/>
      <c r="N901" s="104"/>
      <c r="O901" s="104"/>
      <c r="P901" s="104"/>
      <c r="Q901" s="104"/>
      <c r="R901" s="104"/>
      <c r="S901" s="160"/>
      <c r="T901" s="104"/>
      <c r="U901" s="145"/>
      <c r="V901" s="145"/>
      <c r="W901" s="145"/>
      <c r="X901" s="104"/>
      <c r="Y901" s="194"/>
      <c r="Z901" s="145"/>
      <c r="AA901" s="145"/>
      <c r="AB901" s="104"/>
      <c r="AC901" s="104"/>
      <c r="AD901" s="113">
        <f>S901-Y901</f>
        <v>0</v>
      </c>
    </row>
    <row r="902" spans="2:30" ht="45" hidden="1" customHeight="1">
      <c r="B902" s="174">
        <v>899</v>
      </c>
      <c r="C902" s="104"/>
      <c r="D902" s="104"/>
      <c r="E902" s="104"/>
      <c r="F902" s="104"/>
      <c r="G902" s="145"/>
      <c r="H902" s="104"/>
      <c r="I902" s="104"/>
      <c r="J902" s="104"/>
      <c r="K902" s="104"/>
      <c r="L902" s="104"/>
      <c r="M902" s="104"/>
      <c r="N902" s="104"/>
      <c r="O902" s="104"/>
      <c r="P902" s="104"/>
      <c r="Q902" s="104"/>
      <c r="R902" s="104"/>
      <c r="S902" s="160"/>
      <c r="T902" s="104"/>
      <c r="U902" s="145"/>
      <c r="V902" s="145"/>
      <c r="W902" s="145"/>
      <c r="X902" s="104"/>
      <c r="Y902" s="194"/>
      <c r="Z902" s="145"/>
      <c r="AA902" s="145"/>
      <c r="AB902" s="104"/>
      <c r="AC902" s="104"/>
      <c r="AD902" s="113">
        <f>S902-Y902</f>
        <v>0</v>
      </c>
    </row>
    <row r="903" spans="2:30" ht="45" hidden="1" customHeight="1">
      <c r="B903" s="174">
        <v>900</v>
      </c>
      <c r="C903" s="104"/>
      <c r="D903" s="104"/>
      <c r="E903" s="104"/>
      <c r="F903" s="104"/>
      <c r="G903" s="145"/>
      <c r="H903" s="104"/>
      <c r="I903" s="104"/>
      <c r="J903" s="104"/>
      <c r="K903" s="104"/>
      <c r="L903" s="104"/>
      <c r="M903" s="104"/>
      <c r="N903" s="104"/>
      <c r="O903" s="104"/>
      <c r="P903" s="104"/>
      <c r="Q903" s="104"/>
      <c r="R903" s="104"/>
      <c r="S903" s="160"/>
      <c r="T903" s="104"/>
      <c r="U903" s="145"/>
      <c r="V903" s="145"/>
      <c r="W903" s="145"/>
      <c r="X903" s="104"/>
      <c r="Y903" s="194"/>
      <c r="Z903" s="145"/>
      <c r="AA903" s="145"/>
      <c r="AB903" s="104"/>
      <c r="AC903" s="104"/>
      <c r="AD903" s="113">
        <f>S903-Y903</f>
        <v>0</v>
      </c>
    </row>
    <row r="904" spans="2:30" ht="45" hidden="1" customHeight="1">
      <c r="B904" s="174">
        <v>901</v>
      </c>
      <c r="C904" s="104"/>
      <c r="D904" s="104"/>
      <c r="E904" s="104"/>
      <c r="F904" s="104"/>
      <c r="G904" s="145"/>
      <c r="H904" s="104"/>
      <c r="I904" s="104"/>
      <c r="J904" s="104"/>
      <c r="K904" s="104"/>
      <c r="L904" s="104"/>
      <c r="M904" s="104"/>
      <c r="N904" s="104"/>
      <c r="O904" s="104"/>
      <c r="P904" s="104"/>
      <c r="Q904" s="104"/>
      <c r="R904" s="104"/>
      <c r="S904" s="160"/>
      <c r="T904" s="104"/>
      <c r="U904" s="145"/>
      <c r="V904" s="145"/>
      <c r="W904" s="145"/>
      <c r="X904" s="104"/>
      <c r="Y904" s="194"/>
      <c r="Z904" s="145"/>
      <c r="AA904" s="145"/>
      <c r="AB904" s="104"/>
      <c r="AC904" s="104"/>
      <c r="AD904" s="113">
        <f>S904-Y904</f>
        <v>0</v>
      </c>
    </row>
    <row r="905" spans="2:30" ht="45" hidden="1" customHeight="1">
      <c r="B905" s="174">
        <v>902</v>
      </c>
      <c r="C905" s="104"/>
      <c r="D905" s="104"/>
      <c r="E905" s="104"/>
      <c r="F905" s="104"/>
      <c r="G905" s="145"/>
      <c r="H905" s="104"/>
      <c r="I905" s="104"/>
      <c r="J905" s="104"/>
      <c r="K905" s="104"/>
      <c r="L905" s="104"/>
      <c r="M905" s="104"/>
      <c r="N905" s="104"/>
      <c r="O905" s="104"/>
      <c r="P905" s="104"/>
      <c r="Q905" s="104"/>
      <c r="R905" s="104"/>
      <c r="S905" s="160"/>
      <c r="T905" s="104"/>
      <c r="U905" s="145"/>
      <c r="V905" s="145"/>
      <c r="W905" s="145"/>
      <c r="X905" s="104"/>
      <c r="Y905" s="194"/>
      <c r="Z905" s="145"/>
      <c r="AA905" s="145"/>
      <c r="AB905" s="104"/>
      <c r="AC905" s="104"/>
      <c r="AD905" s="113">
        <f>S905-Y905</f>
        <v>0</v>
      </c>
    </row>
    <row r="906" spans="2:30" ht="45" hidden="1" customHeight="1">
      <c r="B906" s="174">
        <v>903</v>
      </c>
      <c r="C906" s="104"/>
      <c r="D906" s="104"/>
      <c r="E906" s="104"/>
      <c r="F906" s="104"/>
      <c r="G906" s="145"/>
      <c r="H906" s="104"/>
      <c r="I906" s="104"/>
      <c r="J906" s="104"/>
      <c r="K906" s="104"/>
      <c r="L906" s="104"/>
      <c r="M906" s="104"/>
      <c r="N906" s="104"/>
      <c r="O906" s="104"/>
      <c r="P906" s="104"/>
      <c r="Q906" s="104"/>
      <c r="R906" s="104"/>
      <c r="S906" s="160"/>
      <c r="T906" s="104"/>
      <c r="U906" s="145"/>
      <c r="V906" s="145"/>
      <c r="W906" s="145"/>
      <c r="X906" s="104"/>
      <c r="Y906" s="194"/>
      <c r="Z906" s="145"/>
      <c r="AA906" s="145"/>
      <c r="AB906" s="104"/>
      <c r="AC906" s="104"/>
      <c r="AD906" s="113">
        <f>S906-Y906</f>
        <v>0</v>
      </c>
    </row>
    <row r="907" spans="2:30" ht="45" hidden="1" customHeight="1">
      <c r="B907" s="174">
        <v>904</v>
      </c>
      <c r="C907" s="104"/>
      <c r="D907" s="104"/>
      <c r="E907" s="104"/>
      <c r="F907" s="104"/>
      <c r="G907" s="145"/>
      <c r="H907" s="104"/>
      <c r="I907" s="104"/>
      <c r="J907" s="104"/>
      <c r="K907" s="104"/>
      <c r="L907" s="104"/>
      <c r="M907" s="104"/>
      <c r="N907" s="104"/>
      <c r="O907" s="104"/>
      <c r="P907" s="104"/>
      <c r="Q907" s="104"/>
      <c r="R907" s="104"/>
      <c r="S907" s="160"/>
      <c r="T907" s="104"/>
      <c r="U907" s="145"/>
      <c r="V907" s="145"/>
      <c r="W907" s="145"/>
      <c r="X907" s="104"/>
      <c r="Y907" s="194"/>
      <c r="Z907" s="145"/>
      <c r="AA907" s="145"/>
      <c r="AB907" s="104"/>
      <c r="AC907" s="104"/>
      <c r="AD907" s="113">
        <f>S907-Y907</f>
        <v>0</v>
      </c>
    </row>
    <row r="908" spans="2:30" ht="45" hidden="1" customHeight="1">
      <c r="B908" s="174">
        <v>905</v>
      </c>
      <c r="C908" s="104"/>
      <c r="D908" s="104"/>
      <c r="E908" s="104"/>
      <c r="F908" s="104"/>
      <c r="G908" s="145"/>
      <c r="H908" s="104"/>
      <c r="I908" s="104"/>
      <c r="J908" s="104"/>
      <c r="K908" s="104"/>
      <c r="L908" s="104"/>
      <c r="M908" s="104"/>
      <c r="N908" s="104"/>
      <c r="O908" s="104"/>
      <c r="P908" s="104"/>
      <c r="Q908" s="104"/>
      <c r="R908" s="104"/>
      <c r="S908" s="160"/>
      <c r="T908" s="104"/>
      <c r="U908" s="145"/>
      <c r="V908" s="145"/>
      <c r="W908" s="145"/>
      <c r="X908" s="104"/>
      <c r="Y908" s="194"/>
      <c r="Z908" s="145"/>
      <c r="AA908" s="145"/>
      <c r="AB908" s="104"/>
      <c r="AC908" s="104"/>
      <c r="AD908" s="113">
        <f>S908-Y908</f>
        <v>0</v>
      </c>
    </row>
    <row r="909" spans="2:30" ht="45" hidden="1" customHeight="1">
      <c r="B909" s="174">
        <v>906</v>
      </c>
      <c r="C909" s="104"/>
      <c r="D909" s="104"/>
      <c r="E909" s="104"/>
      <c r="F909" s="104"/>
      <c r="G909" s="145"/>
      <c r="H909" s="104"/>
      <c r="I909" s="104"/>
      <c r="J909" s="104"/>
      <c r="K909" s="104"/>
      <c r="L909" s="104"/>
      <c r="M909" s="104"/>
      <c r="N909" s="104"/>
      <c r="O909" s="104"/>
      <c r="P909" s="104"/>
      <c r="Q909" s="104"/>
      <c r="R909" s="104"/>
      <c r="S909" s="160"/>
      <c r="T909" s="104"/>
      <c r="U909" s="145"/>
      <c r="V909" s="145"/>
      <c r="W909" s="145"/>
      <c r="X909" s="104"/>
      <c r="Y909" s="194"/>
      <c r="Z909" s="145"/>
      <c r="AA909" s="145"/>
      <c r="AB909" s="104"/>
      <c r="AC909" s="104"/>
      <c r="AD909" s="113">
        <f>S909-Y909</f>
        <v>0</v>
      </c>
    </row>
    <row r="910" spans="2:30" ht="45" hidden="1" customHeight="1">
      <c r="B910" s="174">
        <v>907</v>
      </c>
      <c r="C910" s="104"/>
      <c r="D910" s="104"/>
      <c r="E910" s="104"/>
      <c r="F910" s="104"/>
      <c r="G910" s="145"/>
      <c r="H910" s="104"/>
      <c r="I910" s="104"/>
      <c r="J910" s="104"/>
      <c r="K910" s="104"/>
      <c r="L910" s="104"/>
      <c r="M910" s="104"/>
      <c r="N910" s="104"/>
      <c r="O910" s="104"/>
      <c r="P910" s="104"/>
      <c r="Q910" s="104"/>
      <c r="R910" s="104"/>
      <c r="S910" s="160"/>
      <c r="T910" s="104"/>
      <c r="U910" s="145"/>
      <c r="V910" s="145"/>
      <c r="W910" s="145"/>
      <c r="X910" s="104"/>
      <c r="Y910" s="194"/>
      <c r="Z910" s="145"/>
      <c r="AA910" s="145"/>
      <c r="AB910" s="104"/>
      <c r="AC910" s="104"/>
      <c r="AD910" s="113">
        <f>S910-Y910</f>
        <v>0</v>
      </c>
    </row>
    <row r="911" spans="2:30" ht="45" hidden="1" customHeight="1">
      <c r="B911" s="174">
        <v>908</v>
      </c>
      <c r="C911" s="104"/>
      <c r="D911" s="104"/>
      <c r="E911" s="104"/>
      <c r="F911" s="104"/>
      <c r="G911" s="145"/>
      <c r="H911" s="104"/>
      <c r="I911" s="104"/>
      <c r="J911" s="104"/>
      <c r="K911" s="104"/>
      <c r="L911" s="104"/>
      <c r="M911" s="104"/>
      <c r="N911" s="104"/>
      <c r="O911" s="104"/>
      <c r="P911" s="104"/>
      <c r="Q911" s="104"/>
      <c r="R911" s="104"/>
      <c r="S911" s="160"/>
      <c r="T911" s="104"/>
      <c r="U911" s="145"/>
      <c r="V911" s="145"/>
      <c r="W911" s="145"/>
      <c r="X911" s="104"/>
      <c r="Y911" s="194"/>
      <c r="Z911" s="145"/>
      <c r="AA911" s="145"/>
      <c r="AB911" s="104"/>
      <c r="AC911" s="104"/>
      <c r="AD911" s="113">
        <f>S911-Y911</f>
        <v>0</v>
      </c>
    </row>
    <row r="912" spans="2:30" ht="45" hidden="1" customHeight="1">
      <c r="B912" s="174">
        <v>909</v>
      </c>
      <c r="C912" s="104"/>
      <c r="D912" s="104"/>
      <c r="E912" s="104"/>
      <c r="F912" s="104"/>
      <c r="G912" s="145"/>
      <c r="H912" s="104"/>
      <c r="I912" s="104"/>
      <c r="J912" s="104"/>
      <c r="K912" s="104"/>
      <c r="L912" s="104"/>
      <c r="M912" s="104"/>
      <c r="N912" s="104"/>
      <c r="O912" s="104"/>
      <c r="P912" s="104"/>
      <c r="Q912" s="104"/>
      <c r="R912" s="104"/>
      <c r="S912" s="160"/>
      <c r="T912" s="104"/>
      <c r="U912" s="145"/>
      <c r="V912" s="145"/>
      <c r="W912" s="145"/>
      <c r="X912" s="104"/>
      <c r="Y912" s="194"/>
      <c r="Z912" s="145"/>
      <c r="AA912" s="145"/>
      <c r="AB912" s="104"/>
      <c r="AC912" s="104"/>
      <c r="AD912" s="113">
        <f>S912-Y912</f>
        <v>0</v>
      </c>
    </row>
    <row r="913" spans="2:30" ht="45" hidden="1" customHeight="1">
      <c r="B913" s="174">
        <v>910</v>
      </c>
      <c r="C913" s="104"/>
      <c r="D913" s="104"/>
      <c r="E913" s="104"/>
      <c r="F913" s="104"/>
      <c r="G913" s="145"/>
      <c r="H913" s="104"/>
      <c r="I913" s="104"/>
      <c r="J913" s="104"/>
      <c r="K913" s="104"/>
      <c r="L913" s="104"/>
      <c r="M913" s="104"/>
      <c r="N913" s="104"/>
      <c r="O913" s="104"/>
      <c r="P913" s="104"/>
      <c r="Q913" s="104"/>
      <c r="R913" s="104"/>
      <c r="S913" s="160"/>
      <c r="T913" s="104"/>
      <c r="U913" s="145"/>
      <c r="V913" s="145"/>
      <c r="W913" s="145"/>
      <c r="X913" s="104"/>
      <c r="Y913" s="194"/>
      <c r="Z913" s="145"/>
      <c r="AA913" s="145"/>
      <c r="AB913" s="104"/>
      <c r="AC913" s="104"/>
      <c r="AD913" s="113">
        <f>S913-Y913</f>
        <v>0</v>
      </c>
    </row>
    <row r="914" spans="2:30" ht="45" hidden="1" customHeight="1">
      <c r="B914" s="174">
        <v>911</v>
      </c>
      <c r="C914" s="104"/>
      <c r="D914" s="104"/>
      <c r="E914" s="104"/>
      <c r="F914" s="104"/>
      <c r="G914" s="145"/>
      <c r="H914" s="104"/>
      <c r="I914" s="104"/>
      <c r="J914" s="104"/>
      <c r="K914" s="104"/>
      <c r="L914" s="104"/>
      <c r="M914" s="104"/>
      <c r="N914" s="104"/>
      <c r="O914" s="104"/>
      <c r="P914" s="104"/>
      <c r="Q914" s="104"/>
      <c r="R914" s="104"/>
      <c r="S914" s="160"/>
      <c r="T914" s="104"/>
      <c r="U914" s="145"/>
      <c r="V914" s="145"/>
      <c r="W914" s="145"/>
      <c r="X914" s="104"/>
      <c r="Y914" s="194"/>
      <c r="Z914" s="145"/>
      <c r="AA914" s="145"/>
      <c r="AB914" s="104"/>
      <c r="AC914" s="104"/>
      <c r="AD914" s="113">
        <f>S914-Y914</f>
        <v>0</v>
      </c>
    </row>
    <row r="915" spans="2:30" ht="45" hidden="1" customHeight="1">
      <c r="B915" s="174">
        <v>912</v>
      </c>
      <c r="C915" s="104"/>
      <c r="D915" s="104"/>
      <c r="E915" s="104"/>
      <c r="F915" s="104"/>
      <c r="G915" s="145"/>
      <c r="H915" s="104"/>
      <c r="I915" s="104"/>
      <c r="J915" s="104"/>
      <c r="K915" s="104"/>
      <c r="L915" s="104"/>
      <c r="M915" s="104"/>
      <c r="N915" s="104"/>
      <c r="O915" s="104"/>
      <c r="P915" s="104"/>
      <c r="Q915" s="104"/>
      <c r="R915" s="104"/>
      <c r="S915" s="160"/>
      <c r="T915" s="104"/>
      <c r="U915" s="145"/>
      <c r="V915" s="145"/>
      <c r="W915" s="145"/>
      <c r="X915" s="104"/>
      <c r="Y915" s="194"/>
      <c r="Z915" s="145"/>
      <c r="AA915" s="145"/>
      <c r="AB915" s="104"/>
      <c r="AC915" s="104"/>
      <c r="AD915" s="113">
        <f>S915-Y915</f>
        <v>0</v>
      </c>
    </row>
    <row r="916" spans="2:30" ht="45" hidden="1" customHeight="1">
      <c r="B916" s="174">
        <v>913</v>
      </c>
      <c r="C916" s="104"/>
      <c r="D916" s="104"/>
      <c r="E916" s="104"/>
      <c r="F916" s="104"/>
      <c r="G916" s="145"/>
      <c r="H916" s="104"/>
      <c r="I916" s="104"/>
      <c r="J916" s="104"/>
      <c r="K916" s="104"/>
      <c r="L916" s="104"/>
      <c r="M916" s="104"/>
      <c r="N916" s="104"/>
      <c r="O916" s="104"/>
      <c r="P916" s="104"/>
      <c r="Q916" s="104"/>
      <c r="R916" s="104"/>
      <c r="S916" s="160"/>
      <c r="T916" s="104"/>
      <c r="U916" s="145"/>
      <c r="V916" s="145"/>
      <c r="W916" s="145"/>
      <c r="X916" s="104"/>
      <c r="Y916" s="194"/>
      <c r="Z916" s="145"/>
      <c r="AA916" s="145"/>
      <c r="AB916" s="104"/>
      <c r="AC916" s="104"/>
      <c r="AD916" s="113">
        <f>S916-Y916</f>
        <v>0</v>
      </c>
    </row>
    <row r="917" spans="2:30" ht="45" hidden="1" customHeight="1">
      <c r="B917" s="174">
        <v>914</v>
      </c>
      <c r="C917" s="104"/>
      <c r="D917" s="104"/>
      <c r="E917" s="104"/>
      <c r="F917" s="104"/>
      <c r="G917" s="145"/>
      <c r="H917" s="104"/>
      <c r="I917" s="104"/>
      <c r="J917" s="104"/>
      <c r="K917" s="104"/>
      <c r="L917" s="104"/>
      <c r="M917" s="104"/>
      <c r="N917" s="104"/>
      <c r="O917" s="104"/>
      <c r="P917" s="104"/>
      <c r="Q917" s="104"/>
      <c r="R917" s="104"/>
      <c r="S917" s="160"/>
      <c r="T917" s="104"/>
      <c r="U917" s="145"/>
      <c r="V917" s="145"/>
      <c r="W917" s="145"/>
      <c r="X917" s="104"/>
      <c r="Y917" s="194"/>
      <c r="Z917" s="145"/>
      <c r="AA917" s="145"/>
      <c r="AB917" s="104"/>
      <c r="AC917" s="104"/>
      <c r="AD917" s="113">
        <f>S917-Y917</f>
        <v>0</v>
      </c>
    </row>
    <row r="918" spans="2:30" ht="45" hidden="1" customHeight="1">
      <c r="B918" s="174">
        <v>915</v>
      </c>
      <c r="C918" s="104"/>
      <c r="D918" s="104"/>
      <c r="E918" s="104"/>
      <c r="F918" s="104"/>
      <c r="G918" s="145"/>
      <c r="H918" s="104"/>
      <c r="I918" s="104"/>
      <c r="J918" s="104"/>
      <c r="K918" s="104"/>
      <c r="L918" s="104"/>
      <c r="M918" s="104"/>
      <c r="N918" s="104"/>
      <c r="O918" s="104"/>
      <c r="P918" s="104"/>
      <c r="Q918" s="104"/>
      <c r="R918" s="104"/>
      <c r="S918" s="160"/>
      <c r="T918" s="104"/>
      <c r="U918" s="145"/>
      <c r="V918" s="145"/>
      <c r="W918" s="145"/>
      <c r="X918" s="104"/>
      <c r="Y918" s="194"/>
      <c r="Z918" s="145"/>
      <c r="AA918" s="145"/>
      <c r="AB918" s="104"/>
      <c r="AC918" s="104"/>
      <c r="AD918" s="113">
        <f>S918-Y918</f>
        <v>0</v>
      </c>
    </row>
    <row r="919" spans="2:30" ht="45" hidden="1" customHeight="1">
      <c r="B919" s="174">
        <v>916</v>
      </c>
      <c r="C919" s="104"/>
      <c r="D919" s="104"/>
      <c r="E919" s="104"/>
      <c r="F919" s="104"/>
      <c r="G919" s="145"/>
      <c r="H919" s="104"/>
      <c r="I919" s="104"/>
      <c r="J919" s="104"/>
      <c r="K919" s="104"/>
      <c r="L919" s="104"/>
      <c r="M919" s="104"/>
      <c r="N919" s="104"/>
      <c r="O919" s="104"/>
      <c r="P919" s="104"/>
      <c r="Q919" s="104"/>
      <c r="R919" s="104"/>
      <c r="S919" s="160"/>
      <c r="T919" s="104"/>
      <c r="U919" s="145"/>
      <c r="V919" s="145"/>
      <c r="W919" s="145"/>
      <c r="X919" s="104"/>
      <c r="Y919" s="194"/>
      <c r="Z919" s="145"/>
      <c r="AA919" s="145"/>
      <c r="AB919" s="104"/>
      <c r="AC919" s="104"/>
      <c r="AD919" s="113">
        <f>S919-Y919</f>
        <v>0</v>
      </c>
    </row>
    <row r="920" spans="2:30" ht="45" hidden="1" customHeight="1">
      <c r="B920" s="174">
        <v>917</v>
      </c>
      <c r="C920" s="104"/>
      <c r="D920" s="104"/>
      <c r="E920" s="104"/>
      <c r="F920" s="104"/>
      <c r="G920" s="145"/>
      <c r="H920" s="104"/>
      <c r="I920" s="104"/>
      <c r="J920" s="104"/>
      <c r="K920" s="104"/>
      <c r="L920" s="104"/>
      <c r="M920" s="104"/>
      <c r="N920" s="104"/>
      <c r="O920" s="104"/>
      <c r="P920" s="104"/>
      <c r="Q920" s="104"/>
      <c r="R920" s="104"/>
      <c r="S920" s="160"/>
      <c r="T920" s="104"/>
      <c r="U920" s="145"/>
      <c r="V920" s="145"/>
      <c r="W920" s="145"/>
      <c r="X920" s="104"/>
      <c r="Y920" s="194"/>
      <c r="Z920" s="145"/>
      <c r="AA920" s="145"/>
      <c r="AB920" s="104"/>
      <c r="AC920" s="104"/>
      <c r="AD920" s="113">
        <f>S920-Y920</f>
        <v>0</v>
      </c>
    </row>
    <row r="921" spans="2:30" ht="45" hidden="1" customHeight="1">
      <c r="B921" s="174">
        <v>918</v>
      </c>
      <c r="C921" s="104"/>
      <c r="D921" s="104"/>
      <c r="E921" s="104"/>
      <c r="F921" s="104"/>
      <c r="G921" s="145"/>
      <c r="H921" s="104"/>
      <c r="I921" s="104"/>
      <c r="J921" s="104"/>
      <c r="K921" s="104"/>
      <c r="L921" s="104"/>
      <c r="M921" s="104"/>
      <c r="N921" s="104"/>
      <c r="O921" s="104"/>
      <c r="P921" s="104"/>
      <c r="Q921" s="104"/>
      <c r="R921" s="104"/>
      <c r="S921" s="160"/>
      <c r="T921" s="104"/>
      <c r="U921" s="145"/>
      <c r="V921" s="145"/>
      <c r="W921" s="145"/>
      <c r="X921" s="104"/>
      <c r="Y921" s="194"/>
      <c r="Z921" s="145"/>
      <c r="AA921" s="145"/>
      <c r="AB921" s="104"/>
      <c r="AC921" s="104"/>
      <c r="AD921" s="113">
        <f>S921-Y921</f>
        <v>0</v>
      </c>
    </row>
    <row r="922" spans="2:30" ht="45" hidden="1" customHeight="1">
      <c r="B922" s="174">
        <v>919</v>
      </c>
      <c r="C922" s="104"/>
      <c r="D922" s="104"/>
      <c r="E922" s="104"/>
      <c r="F922" s="104"/>
      <c r="G922" s="145"/>
      <c r="H922" s="104"/>
      <c r="I922" s="104"/>
      <c r="J922" s="104"/>
      <c r="K922" s="104"/>
      <c r="L922" s="104"/>
      <c r="M922" s="104"/>
      <c r="N922" s="104"/>
      <c r="O922" s="104"/>
      <c r="P922" s="104"/>
      <c r="Q922" s="104"/>
      <c r="R922" s="104"/>
      <c r="S922" s="160"/>
      <c r="T922" s="104"/>
      <c r="U922" s="145"/>
      <c r="V922" s="145"/>
      <c r="W922" s="145"/>
      <c r="X922" s="104"/>
      <c r="Y922" s="194"/>
      <c r="Z922" s="145"/>
      <c r="AA922" s="145"/>
      <c r="AB922" s="104"/>
      <c r="AC922" s="104"/>
      <c r="AD922" s="113">
        <f>S922-Y922</f>
        <v>0</v>
      </c>
    </row>
    <row r="923" spans="2:30" ht="45" hidden="1" customHeight="1">
      <c r="B923" s="174">
        <v>920</v>
      </c>
      <c r="C923" s="104"/>
      <c r="D923" s="104"/>
      <c r="E923" s="104"/>
      <c r="F923" s="104"/>
      <c r="G923" s="145"/>
      <c r="H923" s="104"/>
      <c r="I923" s="104"/>
      <c r="J923" s="104"/>
      <c r="K923" s="104"/>
      <c r="L923" s="104"/>
      <c r="M923" s="104"/>
      <c r="N923" s="104"/>
      <c r="O923" s="104"/>
      <c r="P923" s="104"/>
      <c r="Q923" s="104"/>
      <c r="R923" s="104"/>
      <c r="S923" s="160"/>
      <c r="T923" s="104"/>
      <c r="U923" s="145"/>
      <c r="V923" s="145"/>
      <c r="W923" s="145"/>
      <c r="X923" s="104"/>
      <c r="Y923" s="194"/>
      <c r="Z923" s="145"/>
      <c r="AA923" s="145"/>
      <c r="AB923" s="104"/>
      <c r="AC923" s="104"/>
      <c r="AD923" s="113">
        <f>S923-Y923</f>
        <v>0</v>
      </c>
    </row>
    <row r="924" spans="2:30" ht="45" hidden="1" customHeight="1">
      <c r="B924" s="174">
        <v>921</v>
      </c>
      <c r="C924" s="104"/>
      <c r="D924" s="104"/>
      <c r="E924" s="104"/>
      <c r="F924" s="104"/>
      <c r="G924" s="145"/>
      <c r="H924" s="104"/>
      <c r="I924" s="104"/>
      <c r="J924" s="104"/>
      <c r="K924" s="104"/>
      <c r="L924" s="104"/>
      <c r="M924" s="104"/>
      <c r="N924" s="104"/>
      <c r="O924" s="104"/>
      <c r="P924" s="104"/>
      <c r="Q924" s="104"/>
      <c r="R924" s="104"/>
      <c r="S924" s="160"/>
      <c r="T924" s="104"/>
      <c r="U924" s="145"/>
      <c r="V924" s="145"/>
      <c r="W924" s="145"/>
      <c r="X924" s="104"/>
      <c r="Y924" s="194"/>
      <c r="Z924" s="145"/>
      <c r="AA924" s="145"/>
      <c r="AB924" s="104"/>
      <c r="AC924" s="104"/>
      <c r="AD924" s="113">
        <f>S924-Y924</f>
        <v>0</v>
      </c>
    </row>
    <row r="925" spans="2:30" ht="45" hidden="1" customHeight="1">
      <c r="B925" s="174">
        <v>922</v>
      </c>
      <c r="C925" s="104"/>
      <c r="D925" s="104"/>
      <c r="E925" s="104"/>
      <c r="F925" s="104"/>
      <c r="G925" s="145"/>
      <c r="H925" s="104"/>
      <c r="I925" s="104"/>
      <c r="J925" s="104"/>
      <c r="K925" s="104"/>
      <c r="L925" s="104"/>
      <c r="M925" s="104"/>
      <c r="N925" s="104"/>
      <c r="O925" s="104"/>
      <c r="P925" s="104"/>
      <c r="Q925" s="104"/>
      <c r="R925" s="104"/>
      <c r="S925" s="160"/>
      <c r="T925" s="104"/>
      <c r="U925" s="145"/>
      <c r="V925" s="145"/>
      <c r="W925" s="145"/>
      <c r="X925" s="104"/>
      <c r="Y925" s="194"/>
      <c r="Z925" s="145"/>
      <c r="AA925" s="145"/>
      <c r="AB925" s="104"/>
      <c r="AC925" s="104"/>
      <c r="AD925" s="113">
        <f>S925-Y925</f>
        <v>0</v>
      </c>
    </row>
    <row r="926" spans="2:30" ht="45" hidden="1" customHeight="1">
      <c r="B926" s="174">
        <v>923</v>
      </c>
      <c r="C926" s="104"/>
      <c r="D926" s="104"/>
      <c r="E926" s="104"/>
      <c r="F926" s="104"/>
      <c r="G926" s="145"/>
      <c r="H926" s="104"/>
      <c r="I926" s="104"/>
      <c r="J926" s="104"/>
      <c r="K926" s="104"/>
      <c r="L926" s="104"/>
      <c r="M926" s="104"/>
      <c r="N926" s="104"/>
      <c r="O926" s="104"/>
      <c r="P926" s="104"/>
      <c r="Q926" s="104"/>
      <c r="R926" s="104"/>
      <c r="S926" s="160"/>
      <c r="T926" s="104"/>
      <c r="U926" s="145"/>
      <c r="V926" s="145"/>
      <c r="W926" s="145"/>
      <c r="X926" s="104"/>
      <c r="Y926" s="194"/>
      <c r="Z926" s="145"/>
      <c r="AA926" s="145"/>
      <c r="AB926" s="104"/>
      <c r="AC926" s="104"/>
      <c r="AD926" s="113">
        <f>S926-Y926</f>
        <v>0</v>
      </c>
    </row>
    <row r="927" spans="2:30" ht="45" hidden="1" customHeight="1">
      <c r="B927" s="174">
        <v>924</v>
      </c>
      <c r="C927" s="104"/>
      <c r="D927" s="104"/>
      <c r="E927" s="104"/>
      <c r="F927" s="104"/>
      <c r="G927" s="145"/>
      <c r="H927" s="104"/>
      <c r="I927" s="104"/>
      <c r="J927" s="104"/>
      <c r="K927" s="104"/>
      <c r="L927" s="104"/>
      <c r="M927" s="104"/>
      <c r="N927" s="104"/>
      <c r="O927" s="104"/>
      <c r="P927" s="104"/>
      <c r="Q927" s="104"/>
      <c r="R927" s="104"/>
      <c r="S927" s="160"/>
      <c r="T927" s="104"/>
      <c r="U927" s="145"/>
      <c r="V927" s="145"/>
      <c r="W927" s="145"/>
      <c r="X927" s="104"/>
      <c r="Y927" s="194"/>
      <c r="Z927" s="145"/>
      <c r="AA927" s="145"/>
      <c r="AB927" s="104"/>
      <c r="AC927" s="104"/>
      <c r="AD927" s="113">
        <f>S927-Y927</f>
        <v>0</v>
      </c>
    </row>
    <row r="928" spans="2:30" ht="45" hidden="1" customHeight="1">
      <c r="B928" s="174">
        <v>925</v>
      </c>
      <c r="C928" s="104"/>
      <c r="D928" s="104"/>
      <c r="E928" s="104"/>
      <c r="F928" s="104"/>
      <c r="G928" s="145"/>
      <c r="H928" s="104"/>
      <c r="I928" s="104"/>
      <c r="J928" s="104"/>
      <c r="K928" s="104"/>
      <c r="L928" s="104"/>
      <c r="M928" s="104"/>
      <c r="N928" s="104"/>
      <c r="O928" s="104"/>
      <c r="P928" s="104"/>
      <c r="Q928" s="104"/>
      <c r="R928" s="104"/>
      <c r="S928" s="160"/>
      <c r="T928" s="104"/>
      <c r="U928" s="145"/>
      <c r="V928" s="145"/>
      <c r="W928" s="145"/>
      <c r="X928" s="104"/>
      <c r="Y928" s="194"/>
      <c r="Z928" s="145"/>
      <c r="AA928" s="145"/>
      <c r="AB928" s="104"/>
      <c r="AC928" s="104"/>
      <c r="AD928" s="113">
        <f>S928-Y928</f>
        <v>0</v>
      </c>
    </row>
    <row r="929" spans="2:30" ht="45" hidden="1" customHeight="1">
      <c r="B929" s="174">
        <v>926</v>
      </c>
      <c r="C929" s="104"/>
      <c r="D929" s="104"/>
      <c r="E929" s="104"/>
      <c r="F929" s="104"/>
      <c r="G929" s="145"/>
      <c r="H929" s="104"/>
      <c r="I929" s="104"/>
      <c r="J929" s="104"/>
      <c r="K929" s="104"/>
      <c r="L929" s="104"/>
      <c r="M929" s="104"/>
      <c r="N929" s="104"/>
      <c r="O929" s="104"/>
      <c r="P929" s="104"/>
      <c r="Q929" s="104"/>
      <c r="R929" s="104"/>
      <c r="S929" s="160"/>
      <c r="T929" s="104"/>
      <c r="U929" s="145"/>
      <c r="V929" s="145"/>
      <c r="W929" s="145"/>
      <c r="X929" s="104"/>
      <c r="Y929" s="194"/>
      <c r="Z929" s="145"/>
      <c r="AA929" s="145"/>
      <c r="AB929" s="104"/>
      <c r="AC929" s="104"/>
      <c r="AD929" s="113">
        <f>S929-Y929</f>
        <v>0</v>
      </c>
    </row>
    <row r="930" spans="2:30" ht="45" hidden="1" customHeight="1">
      <c r="B930" s="174">
        <v>927</v>
      </c>
      <c r="C930" s="104"/>
      <c r="D930" s="104"/>
      <c r="E930" s="104"/>
      <c r="F930" s="104"/>
      <c r="G930" s="145"/>
      <c r="H930" s="104"/>
      <c r="I930" s="104"/>
      <c r="J930" s="104"/>
      <c r="K930" s="104"/>
      <c r="L930" s="104"/>
      <c r="M930" s="104"/>
      <c r="N930" s="104"/>
      <c r="O930" s="104"/>
      <c r="P930" s="104"/>
      <c r="Q930" s="104"/>
      <c r="R930" s="104"/>
      <c r="S930" s="160"/>
      <c r="T930" s="104"/>
      <c r="U930" s="145"/>
      <c r="V930" s="145"/>
      <c r="W930" s="145"/>
      <c r="X930" s="104"/>
      <c r="Y930" s="194"/>
      <c r="Z930" s="145"/>
      <c r="AA930" s="145"/>
      <c r="AB930" s="104"/>
      <c r="AC930" s="104"/>
      <c r="AD930" s="113">
        <f>S930-Y930</f>
        <v>0</v>
      </c>
    </row>
    <row r="931" spans="2:30" ht="45" hidden="1" customHeight="1">
      <c r="B931" s="174">
        <v>928</v>
      </c>
      <c r="C931" s="104"/>
      <c r="D931" s="104"/>
      <c r="E931" s="104"/>
      <c r="F931" s="104"/>
      <c r="G931" s="145"/>
      <c r="H931" s="104"/>
      <c r="I931" s="104"/>
      <c r="J931" s="104"/>
      <c r="K931" s="104"/>
      <c r="L931" s="104"/>
      <c r="M931" s="104"/>
      <c r="N931" s="104"/>
      <c r="O931" s="104"/>
      <c r="P931" s="104"/>
      <c r="Q931" s="104"/>
      <c r="R931" s="104"/>
      <c r="S931" s="160"/>
      <c r="T931" s="104"/>
      <c r="U931" s="145"/>
      <c r="V931" s="145"/>
      <c r="W931" s="145"/>
      <c r="X931" s="104"/>
      <c r="Y931" s="194"/>
      <c r="Z931" s="145"/>
      <c r="AA931" s="145"/>
      <c r="AB931" s="104"/>
      <c r="AC931" s="104"/>
      <c r="AD931" s="113">
        <f>S931-Y931</f>
        <v>0</v>
      </c>
    </row>
    <row r="932" spans="2:30" ht="45" hidden="1" customHeight="1">
      <c r="B932" s="174">
        <v>929</v>
      </c>
      <c r="C932" s="104"/>
      <c r="D932" s="104"/>
      <c r="E932" s="104"/>
      <c r="F932" s="104"/>
      <c r="G932" s="145"/>
      <c r="H932" s="104"/>
      <c r="I932" s="104"/>
      <c r="J932" s="104"/>
      <c r="K932" s="104"/>
      <c r="L932" s="104"/>
      <c r="M932" s="104"/>
      <c r="N932" s="104"/>
      <c r="O932" s="104"/>
      <c r="P932" s="104"/>
      <c r="Q932" s="104"/>
      <c r="R932" s="104"/>
      <c r="S932" s="160"/>
      <c r="T932" s="104"/>
      <c r="U932" s="145"/>
      <c r="V932" s="145"/>
      <c r="W932" s="145"/>
      <c r="X932" s="104"/>
      <c r="Y932" s="194"/>
      <c r="Z932" s="145"/>
      <c r="AA932" s="145"/>
      <c r="AB932" s="104"/>
      <c r="AC932" s="104"/>
      <c r="AD932" s="113">
        <f>S932-Y932</f>
        <v>0</v>
      </c>
    </row>
    <row r="933" spans="2:30" ht="45" hidden="1" customHeight="1">
      <c r="B933" s="174">
        <v>930</v>
      </c>
      <c r="C933" s="104"/>
      <c r="D933" s="104"/>
      <c r="E933" s="104"/>
      <c r="F933" s="104"/>
      <c r="G933" s="145"/>
      <c r="H933" s="104"/>
      <c r="I933" s="104"/>
      <c r="J933" s="104"/>
      <c r="K933" s="104"/>
      <c r="L933" s="104"/>
      <c r="M933" s="104"/>
      <c r="N933" s="104"/>
      <c r="O933" s="104"/>
      <c r="P933" s="104"/>
      <c r="Q933" s="104"/>
      <c r="R933" s="104"/>
      <c r="S933" s="160"/>
      <c r="T933" s="104"/>
      <c r="U933" s="145"/>
      <c r="V933" s="145"/>
      <c r="W933" s="145"/>
      <c r="X933" s="104"/>
      <c r="Y933" s="194"/>
      <c r="Z933" s="145"/>
      <c r="AA933" s="145"/>
      <c r="AB933" s="104"/>
      <c r="AC933" s="104"/>
      <c r="AD933" s="113">
        <f>S933-Y933</f>
        <v>0</v>
      </c>
    </row>
    <row r="934" spans="2:30" ht="45" hidden="1" customHeight="1">
      <c r="B934" s="174">
        <v>931</v>
      </c>
      <c r="C934" s="104"/>
      <c r="D934" s="104"/>
      <c r="E934" s="104"/>
      <c r="F934" s="104"/>
      <c r="G934" s="145"/>
      <c r="H934" s="104"/>
      <c r="I934" s="104"/>
      <c r="J934" s="104"/>
      <c r="K934" s="104"/>
      <c r="L934" s="104"/>
      <c r="M934" s="104"/>
      <c r="N934" s="104"/>
      <c r="O934" s="104"/>
      <c r="P934" s="104"/>
      <c r="Q934" s="104"/>
      <c r="R934" s="104"/>
      <c r="S934" s="160"/>
      <c r="T934" s="104"/>
      <c r="U934" s="145"/>
      <c r="V934" s="145"/>
      <c r="W934" s="145"/>
      <c r="X934" s="104"/>
      <c r="Y934" s="194"/>
      <c r="Z934" s="145"/>
      <c r="AA934" s="145"/>
      <c r="AB934" s="104"/>
      <c r="AC934" s="104"/>
      <c r="AD934" s="113">
        <f>S934-Y934</f>
        <v>0</v>
      </c>
    </row>
    <row r="935" spans="2:30" ht="45" hidden="1" customHeight="1">
      <c r="B935" s="174">
        <v>932</v>
      </c>
      <c r="C935" s="104"/>
      <c r="D935" s="104"/>
      <c r="E935" s="104"/>
      <c r="F935" s="104"/>
      <c r="G935" s="145"/>
      <c r="H935" s="104"/>
      <c r="I935" s="104"/>
      <c r="J935" s="104"/>
      <c r="K935" s="104"/>
      <c r="L935" s="104"/>
      <c r="M935" s="104"/>
      <c r="N935" s="104"/>
      <c r="O935" s="104"/>
      <c r="P935" s="104"/>
      <c r="Q935" s="104"/>
      <c r="R935" s="104"/>
      <c r="S935" s="160"/>
      <c r="T935" s="104"/>
      <c r="U935" s="145"/>
      <c r="V935" s="145"/>
      <c r="W935" s="145"/>
      <c r="X935" s="104"/>
      <c r="Y935" s="194"/>
      <c r="Z935" s="145"/>
      <c r="AA935" s="145"/>
      <c r="AB935" s="104"/>
      <c r="AC935" s="104"/>
      <c r="AD935" s="113">
        <f>S935-Y935</f>
        <v>0</v>
      </c>
    </row>
    <row r="936" spans="2:30" ht="45" hidden="1" customHeight="1">
      <c r="B936" s="174">
        <v>933</v>
      </c>
      <c r="C936" s="104"/>
      <c r="D936" s="104"/>
      <c r="E936" s="104"/>
      <c r="F936" s="104"/>
      <c r="G936" s="145"/>
      <c r="H936" s="104"/>
      <c r="I936" s="104"/>
      <c r="J936" s="104"/>
      <c r="K936" s="104"/>
      <c r="L936" s="104"/>
      <c r="M936" s="104"/>
      <c r="N936" s="104"/>
      <c r="O936" s="104"/>
      <c r="P936" s="104"/>
      <c r="Q936" s="104"/>
      <c r="R936" s="104"/>
      <c r="S936" s="160"/>
      <c r="T936" s="104"/>
      <c r="U936" s="145"/>
      <c r="V936" s="145"/>
      <c r="W936" s="145"/>
      <c r="X936" s="104"/>
      <c r="Y936" s="194"/>
      <c r="Z936" s="145"/>
      <c r="AA936" s="145"/>
      <c r="AB936" s="104"/>
      <c r="AC936" s="104"/>
      <c r="AD936" s="113">
        <f>S936-Y936</f>
        <v>0</v>
      </c>
    </row>
    <row r="937" spans="2:30" ht="45" hidden="1" customHeight="1">
      <c r="B937" s="174">
        <v>934</v>
      </c>
      <c r="C937" s="104"/>
      <c r="D937" s="104"/>
      <c r="E937" s="104"/>
      <c r="F937" s="104"/>
      <c r="G937" s="145"/>
      <c r="H937" s="104"/>
      <c r="I937" s="104"/>
      <c r="J937" s="104"/>
      <c r="K937" s="104"/>
      <c r="L937" s="104"/>
      <c r="M937" s="104"/>
      <c r="N937" s="104"/>
      <c r="O937" s="104"/>
      <c r="P937" s="104"/>
      <c r="Q937" s="104"/>
      <c r="R937" s="104"/>
      <c r="S937" s="160"/>
      <c r="T937" s="104"/>
      <c r="U937" s="145"/>
      <c r="V937" s="145"/>
      <c r="W937" s="145"/>
      <c r="X937" s="104"/>
      <c r="Y937" s="194"/>
      <c r="Z937" s="145"/>
      <c r="AA937" s="145"/>
      <c r="AB937" s="104"/>
      <c r="AC937" s="104"/>
      <c r="AD937" s="113">
        <f>S937-Y937</f>
        <v>0</v>
      </c>
    </row>
    <row r="938" spans="2:30" ht="45" hidden="1" customHeight="1">
      <c r="B938" s="174">
        <v>935</v>
      </c>
      <c r="C938" s="104"/>
      <c r="D938" s="104"/>
      <c r="E938" s="104"/>
      <c r="F938" s="104"/>
      <c r="G938" s="145"/>
      <c r="H938" s="104"/>
      <c r="I938" s="104"/>
      <c r="J938" s="104"/>
      <c r="K938" s="104"/>
      <c r="L938" s="104"/>
      <c r="M938" s="104"/>
      <c r="N938" s="104"/>
      <c r="O938" s="104"/>
      <c r="P938" s="104"/>
      <c r="Q938" s="104"/>
      <c r="R938" s="104"/>
      <c r="S938" s="160"/>
      <c r="T938" s="104"/>
      <c r="U938" s="145"/>
      <c r="V938" s="145"/>
      <c r="W938" s="145"/>
      <c r="X938" s="104"/>
      <c r="Y938" s="194"/>
      <c r="Z938" s="145"/>
      <c r="AA938" s="145"/>
      <c r="AB938" s="104"/>
      <c r="AC938" s="104"/>
      <c r="AD938" s="113">
        <f>S938-Y938</f>
        <v>0</v>
      </c>
    </row>
    <row r="939" spans="2:30" ht="45" hidden="1" customHeight="1">
      <c r="B939" s="174">
        <v>936</v>
      </c>
      <c r="C939" s="104"/>
      <c r="D939" s="104"/>
      <c r="E939" s="104"/>
      <c r="F939" s="104"/>
      <c r="G939" s="145"/>
      <c r="H939" s="104"/>
      <c r="I939" s="104"/>
      <c r="J939" s="104"/>
      <c r="K939" s="104"/>
      <c r="L939" s="104"/>
      <c r="M939" s="104"/>
      <c r="N939" s="104"/>
      <c r="O939" s="104"/>
      <c r="P939" s="104"/>
      <c r="Q939" s="104"/>
      <c r="R939" s="104"/>
      <c r="S939" s="160"/>
      <c r="T939" s="104"/>
      <c r="U939" s="145"/>
      <c r="V939" s="145"/>
      <c r="W939" s="145"/>
      <c r="X939" s="104"/>
      <c r="Y939" s="194"/>
      <c r="Z939" s="145"/>
      <c r="AA939" s="145"/>
      <c r="AB939" s="104"/>
      <c r="AC939" s="104"/>
      <c r="AD939" s="113">
        <f>S939-Y939</f>
        <v>0</v>
      </c>
    </row>
    <row r="940" spans="2:30" ht="45" hidden="1" customHeight="1">
      <c r="B940" s="174">
        <v>937</v>
      </c>
      <c r="C940" s="104"/>
      <c r="D940" s="104"/>
      <c r="E940" s="104"/>
      <c r="F940" s="104"/>
      <c r="G940" s="145"/>
      <c r="H940" s="104"/>
      <c r="I940" s="104"/>
      <c r="J940" s="104"/>
      <c r="K940" s="104"/>
      <c r="L940" s="104"/>
      <c r="M940" s="104"/>
      <c r="N940" s="104"/>
      <c r="O940" s="104"/>
      <c r="P940" s="104"/>
      <c r="Q940" s="104"/>
      <c r="R940" s="104"/>
      <c r="S940" s="160"/>
      <c r="T940" s="104"/>
      <c r="U940" s="145"/>
      <c r="V940" s="145"/>
      <c r="W940" s="145"/>
      <c r="X940" s="104"/>
      <c r="Y940" s="194"/>
      <c r="Z940" s="145"/>
      <c r="AA940" s="145"/>
      <c r="AB940" s="104"/>
      <c r="AC940" s="104"/>
      <c r="AD940" s="113">
        <f>S940-Y940</f>
        <v>0</v>
      </c>
    </row>
    <row r="941" spans="2:30" ht="45" hidden="1" customHeight="1">
      <c r="B941" s="174">
        <v>938</v>
      </c>
      <c r="C941" s="104"/>
      <c r="D941" s="104"/>
      <c r="E941" s="104"/>
      <c r="F941" s="104"/>
      <c r="G941" s="145"/>
      <c r="H941" s="104"/>
      <c r="I941" s="104"/>
      <c r="J941" s="104"/>
      <c r="K941" s="104"/>
      <c r="L941" s="104"/>
      <c r="M941" s="104"/>
      <c r="N941" s="104"/>
      <c r="O941" s="104"/>
      <c r="P941" s="104"/>
      <c r="Q941" s="104"/>
      <c r="R941" s="104"/>
      <c r="S941" s="160"/>
      <c r="T941" s="104"/>
      <c r="U941" s="145"/>
      <c r="V941" s="145"/>
      <c r="W941" s="145"/>
      <c r="X941" s="104"/>
      <c r="Y941" s="194"/>
      <c r="Z941" s="145"/>
      <c r="AA941" s="145"/>
      <c r="AB941" s="104"/>
      <c r="AC941" s="104"/>
      <c r="AD941" s="113">
        <f>S941-Y941</f>
        <v>0</v>
      </c>
    </row>
    <row r="942" spans="2:30" ht="45" hidden="1" customHeight="1">
      <c r="B942" s="174">
        <v>939</v>
      </c>
      <c r="C942" s="104"/>
      <c r="D942" s="104"/>
      <c r="E942" s="104"/>
      <c r="F942" s="104"/>
      <c r="G942" s="145"/>
      <c r="H942" s="104"/>
      <c r="I942" s="104"/>
      <c r="J942" s="104"/>
      <c r="K942" s="104"/>
      <c r="L942" s="104"/>
      <c r="M942" s="104"/>
      <c r="N942" s="104"/>
      <c r="O942" s="104"/>
      <c r="P942" s="104"/>
      <c r="Q942" s="104"/>
      <c r="R942" s="104"/>
      <c r="S942" s="160"/>
      <c r="T942" s="104"/>
      <c r="U942" s="145"/>
      <c r="V942" s="145"/>
      <c r="W942" s="145"/>
      <c r="X942" s="104"/>
      <c r="Y942" s="194"/>
      <c r="Z942" s="145"/>
      <c r="AA942" s="145"/>
      <c r="AB942" s="104"/>
      <c r="AC942" s="104"/>
      <c r="AD942" s="113">
        <f>S942-Y942</f>
        <v>0</v>
      </c>
    </row>
    <row r="943" spans="2:30" ht="45" hidden="1" customHeight="1">
      <c r="B943" s="174">
        <v>940</v>
      </c>
      <c r="C943" s="104"/>
      <c r="D943" s="104"/>
      <c r="E943" s="104"/>
      <c r="F943" s="104"/>
      <c r="G943" s="145"/>
      <c r="H943" s="104"/>
      <c r="I943" s="104"/>
      <c r="J943" s="104"/>
      <c r="K943" s="104"/>
      <c r="L943" s="104"/>
      <c r="M943" s="104"/>
      <c r="N943" s="104"/>
      <c r="O943" s="104"/>
      <c r="P943" s="104"/>
      <c r="Q943" s="104"/>
      <c r="R943" s="104"/>
      <c r="S943" s="160"/>
      <c r="T943" s="104"/>
      <c r="U943" s="145"/>
      <c r="V943" s="145"/>
      <c r="W943" s="145"/>
      <c r="X943" s="104"/>
      <c r="Y943" s="194"/>
      <c r="Z943" s="145"/>
      <c r="AA943" s="145"/>
      <c r="AB943" s="104"/>
      <c r="AC943" s="104"/>
      <c r="AD943" s="113">
        <f>S943-Y943</f>
        <v>0</v>
      </c>
    </row>
    <row r="944" spans="2:30" ht="45" hidden="1" customHeight="1">
      <c r="B944" s="174">
        <v>941</v>
      </c>
      <c r="C944" s="104"/>
      <c r="D944" s="104"/>
      <c r="E944" s="104"/>
      <c r="F944" s="104"/>
      <c r="G944" s="145"/>
      <c r="H944" s="104"/>
      <c r="I944" s="104"/>
      <c r="J944" s="104"/>
      <c r="K944" s="104"/>
      <c r="L944" s="104"/>
      <c r="M944" s="104"/>
      <c r="N944" s="104"/>
      <c r="O944" s="104"/>
      <c r="P944" s="104"/>
      <c r="Q944" s="104"/>
      <c r="R944" s="104"/>
      <c r="S944" s="160"/>
      <c r="T944" s="104"/>
      <c r="U944" s="145"/>
      <c r="V944" s="145"/>
      <c r="W944" s="145"/>
      <c r="X944" s="104"/>
      <c r="Y944" s="194"/>
      <c r="Z944" s="145"/>
      <c r="AA944" s="145"/>
      <c r="AB944" s="104"/>
      <c r="AC944" s="104"/>
      <c r="AD944" s="113">
        <f>S944-Y944</f>
        <v>0</v>
      </c>
    </row>
    <row r="945" spans="2:30" ht="45" hidden="1" customHeight="1">
      <c r="B945" s="174">
        <v>942</v>
      </c>
      <c r="C945" s="104"/>
      <c r="D945" s="104"/>
      <c r="E945" s="104"/>
      <c r="F945" s="104"/>
      <c r="G945" s="145"/>
      <c r="H945" s="104"/>
      <c r="I945" s="104"/>
      <c r="J945" s="104"/>
      <c r="K945" s="104"/>
      <c r="L945" s="104"/>
      <c r="M945" s="104"/>
      <c r="N945" s="104"/>
      <c r="O945" s="104"/>
      <c r="P945" s="104"/>
      <c r="Q945" s="104"/>
      <c r="R945" s="104"/>
      <c r="S945" s="160"/>
      <c r="T945" s="104"/>
      <c r="U945" s="145"/>
      <c r="V945" s="145"/>
      <c r="W945" s="145"/>
      <c r="X945" s="104"/>
      <c r="Y945" s="194"/>
      <c r="Z945" s="145"/>
      <c r="AA945" s="145"/>
      <c r="AB945" s="104"/>
      <c r="AC945" s="104"/>
      <c r="AD945" s="113">
        <f>S945-Y945</f>
        <v>0</v>
      </c>
    </row>
    <row r="946" spans="2:30" ht="45" hidden="1" customHeight="1">
      <c r="B946" s="174">
        <v>943</v>
      </c>
      <c r="C946" s="104"/>
      <c r="D946" s="104"/>
      <c r="E946" s="104"/>
      <c r="F946" s="104"/>
      <c r="G946" s="145"/>
      <c r="H946" s="104"/>
      <c r="I946" s="104"/>
      <c r="J946" s="104"/>
      <c r="K946" s="104"/>
      <c r="L946" s="104"/>
      <c r="M946" s="104"/>
      <c r="N946" s="104"/>
      <c r="O946" s="104"/>
      <c r="P946" s="104"/>
      <c r="Q946" s="104"/>
      <c r="R946" s="104"/>
      <c r="S946" s="160"/>
      <c r="T946" s="104"/>
      <c r="U946" s="145"/>
      <c r="V946" s="145"/>
      <c r="W946" s="145"/>
      <c r="X946" s="104"/>
      <c r="Y946" s="194"/>
      <c r="Z946" s="145"/>
      <c r="AA946" s="145"/>
      <c r="AB946" s="104"/>
      <c r="AC946" s="104"/>
      <c r="AD946" s="113">
        <f>S946-Y946</f>
        <v>0</v>
      </c>
    </row>
    <row r="947" spans="2:30" ht="45" hidden="1" customHeight="1">
      <c r="B947" s="174">
        <v>944</v>
      </c>
      <c r="C947" s="104"/>
      <c r="D947" s="104"/>
      <c r="E947" s="104"/>
      <c r="F947" s="104"/>
      <c r="G947" s="145"/>
      <c r="H947" s="104"/>
      <c r="I947" s="104"/>
      <c r="J947" s="104"/>
      <c r="K947" s="104"/>
      <c r="L947" s="104"/>
      <c r="M947" s="104"/>
      <c r="N947" s="104"/>
      <c r="O947" s="104"/>
      <c r="P947" s="104"/>
      <c r="Q947" s="104"/>
      <c r="R947" s="104"/>
      <c r="S947" s="160"/>
      <c r="T947" s="104"/>
      <c r="U947" s="145"/>
      <c r="V947" s="145"/>
      <c r="W947" s="145"/>
      <c r="X947" s="104"/>
      <c r="Y947" s="194"/>
      <c r="Z947" s="145"/>
      <c r="AA947" s="145"/>
      <c r="AB947" s="104"/>
      <c r="AC947" s="104"/>
      <c r="AD947" s="113">
        <f>S947-Y947</f>
        <v>0</v>
      </c>
    </row>
    <row r="948" spans="2:30" ht="45" hidden="1" customHeight="1">
      <c r="B948" s="174">
        <v>945</v>
      </c>
      <c r="C948" s="104"/>
      <c r="D948" s="104"/>
      <c r="E948" s="104"/>
      <c r="F948" s="104"/>
      <c r="G948" s="145"/>
      <c r="H948" s="104"/>
      <c r="I948" s="104"/>
      <c r="J948" s="104"/>
      <c r="K948" s="104"/>
      <c r="L948" s="104"/>
      <c r="M948" s="104"/>
      <c r="N948" s="104"/>
      <c r="O948" s="104"/>
      <c r="P948" s="104"/>
      <c r="Q948" s="104"/>
      <c r="R948" s="104"/>
      <c r="S948" s="160"/>
      <c r="T948" s="104"/>
      <c r="U948" s="145"/>
      <c r="V948" s="145"/>
      <c r="W948" s="145"/>
      <c r="X948" s="104"/>
      <c r="Y948" s="194"/>
      <c r="Z948" s="145"/>
      <c r="AA948" s="145"/>
      <c r="AB948" s="104"/>
      <c r="AC948" s="104"/>
      <c r="AD948" s="113">
        <f>S948-Y948</f>
        <v>0</v>
      </c>
    </row>
    <row r="949" spans="2:30" ht="45" hidden="1" customHeight="1">
      <c r="B949" s="174">
        <v>946</v>
      </c>
      <c r="C949" s="104"/>
      <c r="D949" s="104"/>
      <c r="E949" s="104"/>
      <c r="F949" s="104"/>
      <c r="G949" s="145"/>
      <c r="H949" s="104"/>
      <c r="I949" s="104"/>
      <c r="J949" s="104"/>
      <c r="K949" s="104"/>
      <c r="L949" s="104"/>
      <c r="M949" s="104"/>
      <c r="N949" s="104"/>
      <c r="O949" s="104"/>
      <c r="P949" s="104"/>
      <c r="Q949" s="104"/>
      <c r="R949" s="104"/>
      <c r="S949" s="160"/>
      <c r="T949" s="104"/>
      <c r="U949" s="145"/>
      <c r="V949" s="145"/>
      <c r="W949" s="145"/>
      <c r="X949" s="104"/>
      <c r="Y949" s="194"/>
      <c r="Z949" s="145"/>
      <c r="AA949" s="145"/>
      <c r="AB949" s="104"/>
      <c r="AC949" s="104"/>
      <c r="AD949" s="113">
        <f>S949-Y949</f>
        <v>0</v>
      </c>
    </row>
    <row r="950" spans="2:30" ht="45" hidden="1" customHeight="1">
      <c r="B950" s="174">
        <v>947</v>
      </c>
      <c r="C950" s="104"/>
      <c r="D950" s="104"/>
      <c r="E950" s="104"/>
      <c r="F950" s="104"/>
      <c r="G950" s="145"/>
      <c r="H950" s="104"/>
      <c r="I950" s="104"/>
      <c r="J950" s="104"/>
      <c r="K950" s="104"/>
      <c r="L950" s="104"/>
      <c r="M950" s="104"/>
      <c r="N950" s="104"/>
      <c r="O950" s="104"/>
      <c r="P950" s="104"/>
      <c r="Q950" s="104"/>
      <c r="R950" s="104"/>
      <c r="S950" s="160"/>
      <c r="T950" s="104"/>
      <c r="U950" s="145"/>
      <c r="V950" s="145"/>
      <c r="W950" s="145"/>
      <c r="X950" s="104"/>
      <c r="Y950" s="194"/>
      <c r="Z950" s="145"/>
      <c r="AA950" s="145"/>
      <c r="AB950" s="104"/>
      <c r="AC950" s="104"/>
      <c r="AD950" s="113">
        <f>S950-Y950</f>
        <v>0</v>
      </c>
    </row>
    <row r="951" spans="2:30" ht="45" hidden="1" customHeight="1">
      <c r="B951" s="174">
        <v>948</v>
      </c>
      <c r="C951" s="104"/>
      <c r="D951" s="104"/>
      <c r="E951" s="104"/>
      <c r="F951" s="104"/>
      <c r="G951" s="145"/>
      <c r="H951" s="104"/>
      <c r="I951" s="104"/>
      <c r="J951" s="104"/>
      <c r="K951" s="104"/>
      <c r="L951" s="104"/>
      <c r="M951" s="104"/>
      <c r="N951" s="104"/>
      <c r="O951" s="104"/>
      <c r="P951" s="104"/>
      <c r="Q951" s="104"/>
      <c r="R951" s="104"/>
      <c r="S951" s="160"/>
      <c r="T951" s="104"/>
      <c r="U951" s="145"/>
      <c r="V951" s="145"/>
      <c r="W951" s="145"/>
      <c r="X951" s="104"/>
      <c r="Y951" s="194"/>
      <c r="Z951" s="145"/>
      <c r="AA951" s="145"/>
      <c r="AB951" s="104"/>
      <c r="AC951" s="104"/>
      <c r="AD951" s="113">
        <f>S951-Y951</f>
        <v>0</v>
      </c>
    </row>
    <row r="952" spans="2:30" ht="45" hidden="1" customHeight="1">
      <c r="B952" s="174">
        <v>949</v>
      </c>
      <c r="C952" s="104"/>
      <c r="D952" s="104"/>
      <c r="E952" s="104"/>
      <c r="F952" s="104"/>
      <c r="G952" s="145"/>
      <c r="H952" s="104"/>
      <c r="I952" s="104"/>
      <c r="J952" s="104"/>
      <c r="K952" s="104"/>
      <c r="L952" s="104"/>
      <c r="M952" s="104"/>
      <c r="N952" s="104"/>
      <c r="O952" s="104"/>
      <c r="P952" s="104"/>
      <c r="Q952" s="104"/>
      <c r="R952" s="104"/>
      <c r="S952" s="160"/>
      <c r="T952" s="104"/>
      <c r="U952" s="145"/>
      <c r="V952" s="145"/>
      <c r="W952" s="145"/>
      <c r="X952" s="104"/>
      <c r="Y952" s="194"/>
      <c r="Z952" s="145"/>
      <c r="AA952" s="145"/>
      <c r="AB952" s="104"/>
      <c r="AC952" s="104"/>
      <c r="AD952" s="113">
        <f>S952-Y952</f>
        <v>0</v>
      </c>
    </row>
    <row r="953" spans="2:30" ht="45" hidden="1" customHeight="1">
      <c r="B953" s="174">
        <v>950</v>
      </c>
      <c r="C953" s="104"/>
      <c r="D953" s="104"/>
      <c r="E953" s="104"/>
      <c r="F953" s="104"/>
      <c r="G953" s="145"/>
      <c r="H953" s="104"/>
      <c r="I953" s="104"/>
      <c r="J953" s="104"/>
      <c r="K953" s="104"/>
      <c r="L953" s="104"/>
      <c r="M953" s="104"/>
      <c r="N953" s="104"/>
      <c r="O953" s="104"/>
      <c r="P953" s="104"/>
      <c r="Q953" s="104"/>
      <c r="R953" s="104"/>
      <c r="S953" s="160"/>
      <c r="T953" s="104"/>
      <c r="U953" s="145"/>
      <c r="V953" s="145"/>
      <c r="W953" s="145"/>
      <c r="X953" s="104"/>
      <c r="Y953" s="194"/>
      <c r="Z953" s="145"/>
      <c r="AA953" s="145"/>
      <c r="AB953" s="104"/>
      <c r="AC953" s="104"/>
      <c r="AD953" s="113">
        <f>S953-Y953</f>
        <v>0</v>
      </c>
    </row>
    <row r="954" spans="2:30" ht="45" hidden="1" customHeight="1">
      <c r="B954" s="174">
        <v>951</v>
      </c>
      <c r="C954" s="104"/>
      <c r="D954" s="104"/>
      <c r="E954" s="104"/>
      <c r="F954" s="104"/>
      <c r="G954" s="145"/>
      <c r="H954" s="104"/>
      <c r="I954" s="104"/>
      <c r="J954" s="104"/>
      <c r="K954" s="104"/>
      <c r="L954" s="104"/>
      <c r="M954" s="104"/>
      <c r="N954" s="104"/>
      <c r="O954" s="104"/>
      <c r="P954" s="104"/>
      <c r="Q954" s="104"/>
      <c r="R954" s="104"/>
      <c r="S954" s="160"/>
      <c r="T954" s="104"/>
      <c r="U954" s="145"/>
      <c r="V954" s="145"/>
      <c r="W954" s="145"/>
      <c r="X954" s="104"/>
      <c r="Y954" s="194"/>
      <c r="Z954" s="145"/>
      <c r="AA954" s="145"/>
      <c r="AB954" s="104"/>
      <c r="AC954" s="104"/>
      <c r="AD954" s="113">
        <f>S954-Y954</f>
        <v>0</v>
      </c>
    </row>
    <row r="955" spans="2:30" ht="45" hidden="1" customHeight="1">
      <c r="B955" s="174">
        <v>952</v>
      </c>
      <c r="C955" s="104"/>
      <c r="D955" s="104"/>
      <c r="E955" s="104"/>
      <c r="F955" s="104"/>
      <c r="G955" s="145"/>
      <c r="H955" s="104"/>
      <c r="I955" s="104"/>
      <c r="J955" s="104"/>
      <c r="K955" s="104"/>
      <c r="L955" s="104"/>
      <c r="M955" s="104"/>
      <c r="N955" s="104"/>
      <c r="O955" s="104"/>
      <c r="P955" s="104"/>
      <c r="Q955" s="104"/>
      <c r="R955" s="104"/>
      <c r="S955" s="160"/>
      <c r="T955" s="104"/>
      <c r="U955" s="145"/>
      <c r="V955" s="145"/>
      <c r="W955" s="145"/>
      <c r="X955" s="104"/>
      <c r="Y955" s="194"/>
      <c r="Z955" s="145"/>
      <c r="AA955" s="145"/>
      <c r="AB955" s="104"/>
      <c r="AC955" s="104"/>
      <c r="AD955" s="113">
        <f>S955-Y955</f>
        <v>0</v>
      </c>
    </row>
    <row r="956" spans="2:30" ht="45" hidden="1" customHeight="1">
      <c r="B956" s="174">
        <v>953</v>
      </c>
      <c r="C956" s="104"/>
      <c r="D956" s="104"/>
      <c r="E956" s="104"/>
      <c r="F956" s="104"/>
      <c r="G956" s="145"/>
      <c r="H956" s="104"/>
      <c r="I956" s="104"/>
      <c r="J956" s="104"/>
      <c r="K956" s="104"/>
      <c r="L956" s="104"/>
      <c r="M956" s="104"/>
      <c r="N956" s="104"/>
      <c r="O956" s="104"/>
      <c r="P956" s="104"/>
      <c r="Q956" s="104"/>
      <c r="R956" s="104"/>
      <c r="S956" s="160"/>
      <c r="T956" s="104"/>
      <c r="U956" s="145"/>
      <c r="V956" s="145"/>
      <c r="W956" s="145"/>
      <c r="X956" s="104"/>
      <c r="Y956" s="194"/>
      <c r="Z956" s="145"/>
      <c r="AA956" s="145"/>
      <c r="AB956" s="104"/>
      <c r="AC956" s="104"/>
      <c r="AD956" s="113">
        <f>S956-Y956</f>
        <v>0</v>
      </c>
    </row>
    <row r="957" spans="2:30" ht="45" hidden="1" customHeight="1">
      <c r="B957" s="174">
        <v>954</v>
      </c>
      <c r="C957" s="104"/>
      <c r="D957" s="104"/>
      <c r="E957" s="104"/>
      <c r="F957" s="104"/>
      <c r="G957" s="145"/>
      <c r="H957" s="104"/>
      <c r="I957" s="104"/>
      <c r="J957" s="104"/>
      <c r="K957" s="104"/>
      <c r="L957" s="104"/>
      <c r="M957" s="104"/>
      <c r="N957" s="104"/>
      <c r="O957" s="104"/>
      <c r="P957" s="104"/>
      <c r="Q957" s="104"/>
      <c r="R957" s="104"/>
      <c r="S957" s="160"/>
      <c r="T957" s="104"/>
      <c r="U957" s="145"/>
      <c r="V957" s="145"/>
      <c r="W957" s="145"/>
      <c r="X957" s="104"/>
      <c r="Y957" s="194"/>
      <c r="Z957" s="145"/>
      <c r="AA957" s="145"/>
      <c r="AB957" s="104"/>
      <c r="AC957" s="104"/>
      <c r="AD957" s="113">
        <f>S957-Y957</f>
        <v>0</v>
      </c>
    </row>
    <row r="958" spans="2:30" ht="45" hidden="1" customHeight="1">
      <c r="B958" s="174">
        <v>955</v>
      </c>
      <c r="C958" s="104"/>
      <c r="D958" s="104"/>
      <c r="E958" s="104"/>
      <c r="F958" s="104"/>
      <c r="G958" s="145"/>
      <c r="H958" s="104"/>
      <c r="I958" s="104"/>
      <c r="J958" s="104"/>
      <c r="K958" s="104"/>
      <c r="L958" s="104"/>
      <c r="M958" s="104"/>
      <c r="N958" s="104"/>
      <c r="O958" s="104"/>
      <c r="P958" s="104"/>
      <c r="Q958" s="104"/>
      <c r="R958" s="104"/>
      <c r="S958" s="160"/>
      <c r="T958" s="104"/>
      <c r="U958" s="145"/>
      <c r="V958" s="145"/>
      <c r="W958" s="145"/>
      <c r="X958" s="104"/>
      <c r="Y958" s="194"/>
      <c r="Z958" s="145"/>
      <c r="AA958" s="145"/>
      <c r="AB958" s="104"/>
      <c r="AC958" s="104"/>
      <c r="AD958" s="113">
        <f>S958-Y958</f>
        <v>0</v>
      </c>
    </row>
    <row r="959" spans="2:30" ht="45" hidden="1" customHeight="1">
      <c r="B959" s="174">
        <v>956</v>
      </c>
      <c r="C959" s="104"/>
      <c r="D959" s="104"/>
      <c r="E959" s="104"/>
      <c r="F959" s="104"/>
      <c r="G959" s="145"/>
      <c r="H959" s="104"/>
      <c r="I959" s="104"/>
      <c r="J959" s="104"/>
      <c r="K959" s="104"/>
      <c r="L959" s="104"/>
      <c r="M959" s="104"/>
      <c r="N959" s="104"/>
      <c r="O959" s="104"/>
      <c r="P959" s="104"/>
      <c r="Q959" s="104"/>
      <c r="R959" s="104"/>
      <c r="S959" s="160"/>
      <c r="T959" s="104"/>
      <c r="U959" s="145"/>
      <c r="V959" s="145"/>
      <c r="W959" s="145"/>
      <c r="X959" s="104"/>
      <c r="Y959" s="194"/>
      <c r="Z959" s="145"/>
      <c r="AA959" s="145"/>
      <c r="AB959" s="104"/>
      <c r="AC959" s="104"/>
      <c r="AD959" s="113">
        <f>S959-Y959</f>
        <v>0</v>
      </c>
    </row>
    <row r="960" spans="2:30" ht="45" hidden="1" customHeight="1">
      <c r="B960" s="174">
        <v>957</v>
      </c>
      <c r="C960" s="104"/>
      <c r="D960" s="104"/>
      <c r="E960" s="104"/>
      <c r="F960" s="104"/>
      <c r="G960" s="145"/>
      <c r="H960" s="104"/>
      <c r="I960" s="104"/>
      <c r="J960" s="104"/>
      <c r="K960" s="104"/>
      <c r="L960" s="104"/>
      <c r="M960" s="104"/>
      <c r="N960" s="104"/>
      <c r="O960" s="104"/>
      <c r="P960" s="104"/>
      <c r="Q960" s="104"/>
      <c r="R960" s="104"/>
      <c r="S960" s="160"/>
      <c r="T960" s="104"/>
      <c r="U960" s="145"/>
      <c r="V960" s="145"/>
      <c r="W960" s="145"/>
      <c r="X960" s="104"/>
      <c r="Y960" s="194"/>
      <c r="Z960" s="145"/>
      <c r="AA960" s="145"/>
      <c r="AB960" s="104"/>
      <c r="AC960" s="104"/>
      <c r="AD960" s="113">
        <f>S960-Y960</f>
        <v>0</v>
      </c>
    </row>
    <row r="961" spans="2:30" ht="45" hidden="1" customHeight="1">
      <c r="B961" s="174">
        <v>958</v>
      </c>
      <c r="C961" s="104"/>
      <c r="D961" s="104"/>
      <c r="E961" s="104"/>
      <c r="F961" s="104"/>
      <c r="G961" s="145"/>
      <c r="H961" s="104"/>
      <c r="I961" s="104"/>
      <c r="J961" s="104"/>
      <c r="K961" s="104"/>
      <c r="L961" s="104"/>
      <c r="M961" s="104"/>
      <c r="N961" s="104"/>
      <c r="O961" s="104"/>
      <c r="P961" s="104"/>
      <c r="Q961" s="104"/>
      <c r="R961" s="104"/>
      <c r="S961" s="160"/>
      <c r="T961" s="104"/>
      <c r="U961" s="145"/>
      <c r="V961" s="145"/>
      <c r="W961" s="145"/>
      <c r="X961" s="104"/>
      <c r="Y961" s="194"/>
      <c r="Z961" s="145"/>
      <c r="AA961" s="145"/>
      <c r="AB961" s="104"/>
      <c r="AC961" s="104"/>
      <c r="AD961" s="113">
        <f>S961-Y961</f>
        <v>0</v>
      </c>
    </row>
    <row r="962" spans="2:30" ht="45" hidden="1" customHeight="1">
      <c r="B962" s="174">
        <v>959</v>
      </c>
      <c r="C962" s="104"/>
      <c r="D962" s="104"/>
      <c r="E962" s="104"/>
      <c r="F962" s="104"/>
      <c r="G962" s="145"/>
      <c r="H962" s="104"/>
      <c r="I962" s="104"/>
      <c r="J962" s="104"/>
      <c r="K962" s="104"/>
      <c r="L962" s="104"/>
      <c r="M962" s="104"/>
      <c r="N962" s="104"/>
      <c r="O962" s="104"/>
      <c r="P962" s="104"/>
      <c r="Q962" s="104"/>
      <c r="R962" s="104"/>
      <c r="S962" s="160"/>
      <c r="T962" s="104"/>
      <c r="U962" s="145"/>
      <c r="V962" s="145"/>
      <c r="W962" s="145"/>
      <c r="X962" s="104"/>
      <c r="Y962" s="194"/>
      <c r="Z962" s="145"/>
      <c r="AA962" s="145"/>
      <c r="AB962" s="104"/>
      <c r="AC962" s="104"/>
      <c r="AD962" s="113">
        <f>S962-Y962</f>
        <v>0</v>
      </c>
    </row>
    <row r="963" spans="2:30" ht="45" hidden="1" customHeight="1">
      <c r="B963" s="174">
        <v>960</v>
      </c>
      <c r="C963" s="104"/>
      <c r="D963" s="104"/>
      <c r="E963" s="104"/>
      <c r="F963" s="104"/>
      <c r="G963" s="145"/>
      <c r="H963" s="104"/>
      <c r="I963" s="104"/>
      <c r="J963" s="104"/>
      <c r="K963" s="104"/>
      <c r="L963" s="104"/>
      <c r="M963" s="104"/>
      <c r="N963" s="104"/>
      <c r="O963" s="104"/>
      <c r="P963" s="104"/>
      <c r="Q963" s="104"/>
      <c r="R963" s="104"/>
      <c r="S963" s="160"/>
      <c r="T963" s="104"/>
      <c r="U963" s="145"/>
      <c r="V963" s="145"/>
      <c r="W963" s="145"/>
      <c r="X963" s="104"/>
      <c r="Y963" s="194"/>
      <c r="Z963" s="145"/>
      <c r="AA963" s="145"/>
      <c r="AB963" s="104"/>
      <c r="AC963" s="104"/>
      <c r="AD963" s="113">
        <f>S963-Y963</f>
        <v>0</v>
      </c>
    </row>
    <row r="964" spans="2:30" ht="45" hidden="1" customHeight="1">
      <c r="B964" s="174">
        <v>961</v>
      </c>
      <c r="C964" s="104"/>
      <c r="D964" s="104"/>
      <c r="E964" s="104"/>
      <c r="F964" s="104"/>
      <c r="G964" s="145"/>
      <c r="H964" s="104"/>
      <c r="I964" s="104"/>
      <c r="J964" s="104"/>
      <c r="K964" s="104"/>
      <c r="L964" s="104"/>
      <c r="M964" s="104"/>
      <c r="N964" s="104"/>
      <c r="O964" s="104"/>
      <c r="P964" s="104"/>
      <c r="Q964" s="104"/>
      <c r="R964" s="104"/>
      <c r="S964" s="160"/>
      <c r="T964" s="104"/>
      <c r="U964" s="145"/>
      <c r="V964" s="145"/>
      <c r="W964" s="145"/>
      <c r="X964" s="104"/>
      <c r="Y964" s="194"/>
      <c r="Z964" s="145"/>
      <c r="AA964" s="145"/>
      <c r="AB964" s="104"/>
      <c r="AC964" s="104"/>
      <c r="AD964" s="113">
        <f>S964-Y964</f>
        <v>0</v>
      </c>
    </row>
    <row r="965" spans="2:30" ht="45" hidden="1" customHeight="1">
      <c r="B965" s="174">
        <v>962</v>
      </c>
      <c r="C965" s="104"/>
      <c r="D965" s="104"/>
      <c r="E965" s="104"/>
      <c r="F965" s="104"/>
      <c r="G965" s="145"/>
      <c r="H965" s="104"/>
      <c r="I965" s="104"/>
      <c r="J965" s="104"/>
      <c r="K965" s="104"/>
      <c r="L965" s="104"/>
      <c r="M965" s="104"/>
      <c r="N965" s="104"/>
      <c r="O965" s="104"/>
      <c r="P965" s="104"/>
      <c r="Q965" s="104"/>
      <c r="R965" s="104"/>
      <c r="S965" s="160"/>
      <c r="T965" s="104"/>
      <c r="U965" s="145"/>
      <c r="V965" s="145"/>
      <c r="W965" s="145"/>
      <c r="X965" s="104"/>
      <c r="Y965" s="194"/>
      <c r="Z965" s="145"/>
      <c r="AA965" s="145"/>
      <c r="AB965" s="104"/>
      <c r="AC965" s="104"/>
      <c r="AD965" s="113">
        <f>S965-Y965</f>
        <v>0</v>
      </c>
    </row>
    <row r="966" spans="2:30" ht="45" hidden="1" customHeight="1">
      <c r="B966" s="174">
        <v>963</v>
      </c>
      <c r="C966" s="104"/>
      <c r="D966" s="104"/>
      <c r="E966" s="104"/>
      <c r="F966" s="104"/>
      <c r="G966" s="145"/>
      <c r="H966" s="104"/>
      <c r="I966" s="104"/>
      <c r="J966" s="104"/>
      <c r="K966" s="104"/>
      <c r="L966" s="104"/>
      <c r="M966" s="104"/>
      <c r="N966" s="104"/>
      <c r="O966" s="104"/>
      <c r="P966" s="104"/>
      <c r="Q966" s="104"/>
      <c r="R966" s="104"/>
      <c r="S966" s="160"/>
      <c r="T966" s="104"/>
      <c r="U966" s="145"/>
      <c r="V966" s="145"/>
      <c r="W966" s="145"/>
      <c r="X966" s="104"/>
      <c r="Y966" s="194"/>
      <c r="Z966" s="145"/>
      <c r="AA966" s="145"/>
      <c r="AB966" s="104"/>
      <c r="AC966" s="104"/>
      <c r="AD966" s="113">
        <f>S966-Y966</f>
        <v>0</v>
      </c>
    </row>
    <row r="967" spans="2:30" ht="45" hidden="1" customHeight="1">
      <c r="B967" s="174">
        <v>964</v>
      </c>
      <c r="C967" s="104"/>
      <c r="D967" s="104"/>
      <c r="E967" s="104"/>
      <c r="F967" s="104"/>
      <c r="G967" s="145"/>
      <c r="H967" s="104"/>
      <c r="I967" s="104"/>
      <c r="J967" s="104"/>
      <c r="K967" s="104"/>
      <c r="L967" s="104"/>
      <c r="M967" s="104"/>
      <c r="N967" s="104"/>
      <c r="O967" s="104"/>
      <c r="P967" s="104"/>
      <c r="Q967" s="104"/>
      <c r="R967" s="104"/>
      <c r="S967" s="160"/>
      <c r="T967" s="104"/>
      <c r="U967" s="145"/>
      <c r="V967" s="145"/>
      <c r="W967" s="145"/>
      <c r="X967" s="104"/>
      <c r="Y967" s="194"/>
      <c r="Z967" s="145"/>
      <c r="AA967" s="145"/>
      <c r="AB967" s="104"/>
      <c r="AC967" s="104"/>
      <c r="AD967" s="113">
        <f>S967-Y967</f>
        <v>0</v>
      </c>
    </row>
    <row r="968" spans="2:30" ht="45" hidden="1" customHeight="1">
      <c r="B968" s="174">
        <v>965</v>
      </c>
      <c r="C968" s="104"/>
      <c r="D968" s="104"/>
      <c r="E968" s="104"/>
      <c r="F968" s="104"/>
      <c r="G968" s="145"/>
      <c r="H968" s="104"/>
      <c r="I968" s="104"/>
      <c r="J968" s="104"/>
      <c r="K968" s="104"/>
      <c r="L968" s="104"/>
      <c r="M968" s="104"/>
      <c r="N968" s="104"/>
      <c r="O968" s="104"/>
      <c r="P968" s="104"/>
      <c r="Q968" s="104"/>
      <c r="R968" s="104"/>
      <c r="S968" s="160"/>
      <c r="T968" s="104"/>
      <c r="U968" s="145"/>
      <c r="V968" s="145"/>
      <c r="W968" s="145"/>
      <c r="X968" s="104"/>
      <c r="Y968" s="194"/>
      <c r="Z968" s="145"/>
      <c r="AA968" s="145"/>
      <c r="AB968" s="104"/>
      <c r="AC968" s="104"/>
      <c r="AD968" s="113">
        <f>S968-Y968</f>
        <v>0</v>
      </c>
    </row>
    <row r="969" spans="2:30" ht="45" hidden="1" customHeight="1">
      <c r="B969" s="174">
        <v>966</v>
      </c>
      <c r="C969" s="104"/>
      <c r="D969" s="104"/>
      <c r="E969" s="104"/>
      <c r="F969" s="104"/>
      <c r="G969" s="145"/>
      <c r="H969" s="104"/>
      <c r="I969" s="104"/>
      <c r="J969" s="104"/>
      <c r="K969" s="104"/>
      <c r="L969" s="104"/>
      <c r="M969" s="104"/>
      <c r="N969" s="104"/>
      <c r="O969" s="104"/>
      <c r="P969" s="104"/>
      <c r="Q969" s="104"/>
      <c r="R969" s="104"/>
      <c r="S969" s="160"/>
      <c r="T969" s="104"/>
      <c r="U969" s="145"/>
      <c r="V969" s="145"/>
      <c r="W969" s="145"/>
      <c r="X969" s="104"/>
      <c r="Y969" s="194"/>
      <c r="Z969" s="145"/>
      <c r="AA969" s="145"/>
      <c r="AB969" s="104"/>
      <c r="AC969" s="104"/>
      <c r="AD969" s="113">
        <f>S969-Y969</f>
        <v>0</v>
      </c>
    </row>
    <row r="970" spans="2:30" ht="45" hidden="1" customHeight="1">
      <c r="B970" s="174">
        <v>967</v>
      </c>
      <c r="C970" s="104"/>
      <c r="D970" s="104"/>
      <c r="E970" s="104"/>
      <c r="F970" s="104"/>
      <c r="G970" s="145"/>
      <c r="H970" s="104"/>
      <c r="I970" s="104"/>
      <c r="J970" s="104"/>
      <c r="K970" s="104"/>
      <c r="L970" s="104"/>
      <c r="M970" s="104"/>
      <c r="N970" s="104"/>
      <c r="O970" s="104"/>
      <c r="P970" s="104"/>
      <c r="Q970" s="104"/>
      <c r="R970" s="104"/>
      <c r="S970" s="160"/>
      <c r="T970" s="104"/>
      <c r="U970" s="145"/>
      <c r="V970" s="145"/>
      <c r="W970" s="145"/>
      <c r="X970" s="104"/>
      <c r="Y970" s="194"/>
      <c r="Z970" s="145"/>
      <c r="AA970" s="145"/>
      <c r="AB970" s="104"/>
      <c r="AC970" s="104"/>
      <c r="AD970" s="113">
        <f>S970-Y970</f>
        <v>0</v>
      </c>
    </row>
    <row r="971" spans="2:30" ht="45" hidden="1" customHeight="1">
      <c r="B971" s="174">
        <v>968</v>
      </c>
      <c r="C971" s="104"/>
      <c r="D971" s="104"/>
      <c r="E971" s="104"/>
      <c r="F971" s="104"/>
      <c r="G971" s="145"/>
      <c r="H971" s="104"/>
      <c r="I971" s="104"/>
      <c r="J971" s="104"/>
      <c r="K971" s="104"/>
      <c r="L971" s="104"/>
      <c r="M971" s="104"/>
      <c r="N971" s="104"/>
      <c r="O971" s="104"/>
      <c r="P971" s="104"/>
      <c r="Q971" s="104"/>
      <c r="R971" s="104"/>
      <c r="S971" s="160"/>
      <c r="T971" s="104"/>
      <c r="U971" s="145"/>
      <c r="V971" s="145"/>
      <c r="W971" s="145"/>
      <c r="X971" s="104"/>
      <c r="Y971" s="194"/>
      <c r="Z971" s="145"/>
      <c r="AA971" s="145"/>
      <c r="AB971" s="104"/>
      <c r="AC971" s="104"/>
      <c r="AD971" s="113">
        <f>S971-Y971</f>
        <v>0</v>
      </c>
    </row>
    <row r="972" spans="2:30" ht="45" hidden="1" customHeight="1">
      <c r="B972" s="174">
        <v>969</v>
      </c>
      <c r="C972" s="104"/>
      <c r="D972" s="104"/>
      <c r="E972" s="104"/>
      <c r="F972" s="104"/>
      <c r="G972" s="145"/>
      <c r="H972" s="104"/>
      <c r="I972" s="104"/>
      <c r="J972" s="104"/>
      <c r="K972" s="104"/>
      <c r="L972" s="104"/>
      <c r="M972" s="104"/>
      <c r="N972" s="104"/>
      <c r="O972" s="104"/>
      <c r="P972" s="104"/>
      <c r="Q972" s="104"/>
      <c r="R972" s="104"/>
      <c r="S972" s="160"/>
      <c r="T972" s="104"/>
      <c r="U972" s="145"/>
      <c r="V972" s="145"/>
      <c r="W972" s="145"/>
      <c r="X972" s="104"/>
      <c r="Y972" s="194"/>
      <c r="Z972" s="145"/>
      <c r="AA972" s="145"/>
      <c r="AB972" s="104"/>
      <c r="AC972" s="104"/>
      <c r="AD972" s="113">
        <f>S972-Y972</f>
        <v>0</v>
      </c>
    </row>
    <row r="973" spans="2:30" ht="45" hidden="1" customHeight="1">
      <c r="B973" s="174">
        <v>970</v>
      </c>
      <c r="C973" s="104"/>
      <c r="D973" s="104"/>
      <c r="E973" s="104"/>
      <c r="F973" s="104"/>
      <c r="G973" s="145"/>
      <c r="H973" s="104"/>
      <c r="I973" s="104"/>
      <c r="J973" s="104"/>
      <c r="K973" s="104"/>
      <c r="L973" s="104"/>
      <c r="M973" s="104"/>
      <c r="N973" s="104"/>
      <c r="O973" s="104"/>
      <c r="P973" s="104"/>
      <c r="Q973" s="104"/>
      <c r="R973" s="104"/>
      <c r="S973" s="160"/>
      <c r="T973" s="104"/>
      <c r="U973" s="145"/>
      <c r="V973" s="145"/>
      <c r="W973" s="145"/>
      <c r="X973" s="104"/>
      <c r="Y973" s="194"/>
      <c r="Z973" s="145"/>
      <c r="AA973" s="145"/>
      <c r="AB973" s="104"/>
      <c r="AC973" s="104"/>
      <c r="AD973" s="113">
        <f>S973-Y973</f>
        <v>0</v>
      </c>
    </row>
    <row r="974" spans="2:30" ht="45" hidden="1" customHeight="1">
      <c r="B974" s="174">
        <v>971</v>
      </c>
      <c r="C974" s="104"/>
      <c r="D974" s="104"/>
      <c r="E974" s="104"/>
      <c r="F974" s="104"/>
      <c r="G974" s="145"/>
      <c r="H974" s="104"/>
      <c r="I974" s="104"/>
      <c r="J974" s="104"/>
      <c r="K974" s="104"/>
      <c r="L974" s="104"/>
      <c r="M974" s="104"/>
      <c r="N974" s="104"/>
      <c r="O974" s="104"/>
      <c r="P974" s="104"/>
      <c r="Q974" s="104"/>
      <c r="R974" s="104"/>
      <c r="S974" s="160"/>
      <c r="T974" s="104"/>
      <c r="U974" s="145"/>
      <c r="V974" s="145"/>
      <c r="W974" s="145"/>
      <c r="X974" s="104"/>
      <c r="Y974" s="194"/>
      <c r="Z974" s="145"/>
      <c r="AA974" s="145"/>
      <c r="AB974" s="104"/>
      <c r="AC974" s="104"/>
      <c r="AD974" s="113">
        <f>S974-Y974</f>
        <v>0</v>
      </c>
    </row>
    <row r="975" spans="2:30" ht="45" hidden="1" customHeight="1">
      <c r="B975" s="174">
        <v>972</v>
      </c>
      <c r="C975" s="104"/>
      <c r="D975" s="104"/>
      <c r="E975" s="104"/>
      <c r="F975" s="104"/>
      <c r="G975" s="145"/>
      <c r="H975" s="104"/>
      <c r="I975" s="104"/>
      <c r="J975" s="104"/>
      <c r="K975" s="104"/>
      <c r="L975" s="104"/>
      <c r="M975" s="104"/>
      <c r="N975" s="104"/>
      <c r="O975" s="104"/>
      <c r="P975" s="104"/>
      <c r="Q975" s="104"/>
      <c r="R975" s="104"/>
      <c r="S975" s="160"/>
      <c r="T975" s="104"/>
      <c r="U975" s="145"/>
      <c r="V975" s="145"/>
      <c r="W975" s="145"/>
      <c r="X975" s="104"/>
      <c r="Y975" s="194"/>
      <c r="Z975" s="145"/>
      <c r="AA975" s="145"/>
      <c r="AB975" s="104"/>
      <c r="AC975" s="104"/>
      <c r="AD975" s="113">
        <f>S975-Y975</f>
        <v>0</v>
      </c>
    </row>
    <row r="976" spans="2:30" ht="45" hidden="1" customHeight="1">
      <c r="B976" s="174">
        <v>973</v>
      </c>
      <c r="C976" s="104"/>
      <c r="D976" s="104"/>
      <c r="E976" s="104"/>
      <c r="F976" s="104"/>
      <c r="G976" s="145"/>
      <c r="H976" s="104"/>
      <c r="I976" s="104"/>
      <c r="J976" s="104"/>
      <c r="K976" s="104"/>
      <c r="L976" s="104"/>
      <c r="M976" s="104"/>
      <c r="N976" s="104"/>
      <c r="O976" s="104"/>
      <c r="P976" s="104"/>
      <c r="Q976" s="104"/>
      <c r="R976" s="104"/>
      <c r="S976" s="160"/>
      <c r="T976" s="104"/>
      <c r="U976" s="145"/>
      <c r="V976" s="145"/>
      <c r="W976" s="145"/>
      <c r="X976" s="104"/>
      <c r="Y976" s="194"/>
      <c r="Z976" s="145"/>
      <c r="AA976" s="145"/>
      <c r="AB976" s="104"/>
      <c r="AC976" s="104"/>
      <c r="AD976" s="113">
        <f>S976-Y976</f>
        <v>0</v>
      </c>
    </row>
    <row r="977" spans="2:30" ht="45" hidden="1" customHeight="1">
      <c r="B977" s="174">
        <v>974</v>
      </c>
      <c r="C977" s="104"/>
      <c r="D977" s="104"/>
      <c r="E977" s="104"/>
      <c r="F977" s="104"/>
      <c r="G977" s="145"/>
      <c r="H977" s="104"/>
      <c r="I977" s="104"/>
      <c r="J977" s="104"/>
      <c r="K977" s="104"/>
      <c r="L977" s="104"/>
      <c r="M977" s="104"/>
      <c r="N977" s="104"/>
      <c r="O977" s="104"/>
      <c r="P977" s="104"/>
      <c r="Q977" s="104"/>
      <c r="R977" s="104"/>
      <c r="S977" s="160"/>
      <c r="T977" s="104"/>
      <c r="U977" s="145"/>
      <c r="V977" s="145"/>
      <c r="W977" s="145"/>
      <c r="X977" s="104"/>
      <c r="Y977" s="194"/>
      <c r="Z977" s="145"/>
      <c r="AA977" s="145"/>
      <c r="AB977" s="104"/>
      <c r="AC977" s="104"/>
      <c r="AD977" s="113">
        <f>S977-Y977</f>
        <v>0</v>
      </c>
    </row>
    <row r="978" spans="2:30" ht="45" hidden="1" customHeight="1">
      <c r="B978" s="174">
        <v>975</v>
      </c>
      <c r="C978" s="104"/>
      <c r="D978" s="104"/>
      <c r="E978" s="104"/>
      <c r="F978" s="104"/>
      <c r="G978" s="145"/>
      <c r="H978" s="104"/>
      <c r="I978" s="104"/>
      <c r="J978" s="104"/>
      <c r="K978" s="104"/>
      <c r="L978" s="104"/>
      <c r="M978" s="104"/>
      <c r="N978" s="104"/>
      <c r="O978" s="104"/>
      <c r="P978" s="104"/>
      <c r="Q978" s="104"/>
      <c r="R978" s="104"/>
      <c r="S978" s="160"/>
      <c r="T978" s="104"/>
      <c r="U978" s="145"/>
      <c r="V978" s="145"/>
      <c r="W978" s="145"/>
      <c r="X978" s="104"/>
      <c r="Y978" s="194"/>
      <c r="Z978" s="145"/>
      <c r="AA978" s="145"/>
      <c r="AB978" s="104"/>
      <c r="AC978" s="104"/>
      <c r="AD978" s="113">
        <f>S978-Y978</f>
        <v>0</v>
      </c>
    </row>
    <row r="979" spans="2:30" ht="45" hidden="1" customHeight="1">
      <c r="B979" s="174">
        <v>976</v>
      </c>
      <c r="C979" s="104"/>
      <c r="D979" s="104"/>
      <c r="E979" s="104"/>
      <c r="F979" s="104"/>
      <c r="G979" s="145"/>
      <c r="H979" s="104"/>
      <c r="I979" s="104"/>
      <c r="J979" s="104"/>
      <c r="K979" s="104"/>
      <c r="L979" s="104"/>
      <c r="M979" s="104"/>
      <c r="N979" s="104"/>
      <c r="O979" s="104"/>
      <c r="P979" s="104"/>
      <c r="Q979" s="104"/>
      <c r="R979" s="104"/>
      <c r="S979" s="160"/>
      <c r="T979" s="104"/>
      <c r="U979" s="145"/>
      <c r="V979" s="145"/>
      <c r="W979" s="145"/>
      <c r="X979" s="104"/>
      <c r="Y979" s="194"/>
      <c r="Z979" s="145"/>
      <c r="AA979" s="145"/>
      <c r="AB979" s="104"/>
      <c r="AC979" s="104"/>
      <c r="AD979" s="113">
        <f>S979-Y979</f>
        <v>0</v>
      </c>
    </row>
    <row r="980" spans="2:30" ht="45" hidden="1" customHeight="1">
      <c r="B980" s="174">
        <v>977</v>
      </c>
      <c r="C980" s="104"/>
      <c r="D980" s="104"/>
      <c r="E980" s="104"/>
      <c r="F980" s="104"/>
      <c r="G980" s="145"/>
      <c r="H980" s="104"/>
      <c r="I980" s="104"/>
      <c r="J980" s="104"/>
      <c r="K980" s="104"/>
      <c r="L980" s="104"/>
      <c r="M980" s="104"/>
      <c r="N980" s="104"/>
      <c r="O980" s="104"/>
      <c r="P980" s="104"/>
      <c r="Q980" s="104"/>
      <c r="R980" s="104"/>
      <c r="S980" s="160"/>
      <c r="T980" s="104"/>
      <c r="U980" s="145"/>
      <c r="V980" s="145"/>
      <c r="W980" s="145"/>
      <c r="X980" s="104"/>
      <c r="Y980" s="194"/>
      <c r="Z980" s="145"/>
      <c r="AA980" s="145"/>
      <c r="AB980" s="104"/>
      <c r="AC980" s="104"/>
      <c r="AD980" s="113">
        <f>S980-Y980</f>
        <v>0</v>
      </c>
    </row>
    <row r="981" spans="2:30" ht="45" hidden="1" customHeight="1">
      <c r="B981" s="174">
        <v>978</v>
      </c>
      <c r="C981" s="104"/>
      <c r="D981" s="104"/>
      <c r="E981" s="104"/>
      <c r="F981" s="104"/>
      <c r="G981" s="145"/>
      <c r="H981" s="104"/>
      <c r="I981" s="104"/>
      <c r="J981" s="104"/>
      <c r="K981" s="104"/>
      <c r="L981" s="104"/>
      <c r="M981" s="104"/>
      <c r="N981" s="104"/>
      <c r="O981" s="104"/>
      <c r="P981" s="104"/>
      <c r="Q981" s="104"/>
      <c r="R981" s="104"/>
      <c r="S981" s="160"/>
      <c r="T981" s="104"/>
      <c r="U981" s="145"/>
      <c r="V981" s="145"/>
      <c r="W981" s="145"/>
      <c r="X981" s="104"/>
      <c r="Y981" s="194"/>
      <c r="Z981" s="145"/>
      <c r="AA981" s="145"/>
      <c r="AB981" s="104"/>
      <c r="AC981" s="104"/>
      <c r="AD981" s="113">
        <f>S981-Y981</f>
        <v>0</v>
      </c>
    </row>
    <row r="982" spans="2:30" ht="45" hidden="1" customHeight="1">
      <c r="B982" s="174">
        <v>979</v>
      </c>
      <c r="C982" s="104"/>
      <c r="D982" s="104"/>
      <c r="E982" s="104"/>
      <c r="F982" s="104"/>
      <c r="G982" s="145"/>
      <c r="H982" s="104"/>
      <c r="I982" s="104"/>
      <c r="J982" s="104"/>
      <c r="K982" s="104"/>
      <c r="L982" s="104"/>
      <c r="M982" s="104"/>
      <c r="N982" s="104"/>
      <c r="O982" s="104"/>
      <c r="P982" s="104"/>
      <c r="Q982" s="104"/>
      <c r="R982" s="104"/>
      <c r="S982" s="160"/>
      <c r="T982" s="104"/>
      <c r="U982" s="145"/>
      <c r="V982" s="145"/>
      <c r="W982" s="145"/>
      <c r="X982" s="104"/>
      <c r="Y982" s="194"/>
      <c r="Z982" s="145"/>
      <c r="AA982" s="145"/>
      <c r="AB982" s="104"/>
      <c r="AC982" s="104"/>
      <c r="AD982" s="113">
        <f>S982-Y982</f>
        <v>0</v>
      </c>
    </row>
    <row r="983" spans="2:30" ht="45" hidden="1" customHeight="1">
      <c r="B983" s="174">
        <v>980</v>
      </c>
      <c r="C983" s="104"/>
      <c r="D983" s="104"/>
      <c r="E983" s="104"/>
      <c r="F983" s="104"/>
      <c r="G983" s="145"/>
      <c r="H983" s="104"/>
      <c r="I983" s="104"/>
      <c r="J983" s="104"/>
      <c r="K983" s="104"/>
      <c r="L983" s="104"/>
      <c r="M983" s="104"/>
      <c r="N983" s="104"/>
      <c r="O983" s="104"/>
      <c r="P983" s="104"/>
      <c r="Q983" s="104"/>
      <c r="R983" s="104"/>
      <c r="S983" s="160"/>
      <c r="T983" s="104"/>
      <c r="U983" s="145"/>
      <c r="V983" s="145"/>
      <c r="W983" s="145"/>
      <c r="X983" s="104"/>
      <c r="Y983" s="194"/>
      <c r="Z983" s="145"/>
      <c r="AA983" s="145"/>
      <c r="AB983" s="104"/>
      <c r="AC983" s="104"/>
      <c r="AD983" s="113">
        <f>S983-Y983</f>
        <v>0</v>
      </c>
    </row>
    <row r="984" spans="2:30" ht="45" hidden="1" customHeight="1">
      <c r="B984" s="174">
        <v>981</v>
      </c>
      <c r="C984" s="104"/>
      <c r="D984" s="104"/>
      <c r="E984" s="104"/>
      <c r="F984" s="104"/>
      <c r="G984" s="145"/>
      <c r="H984" s="104"/>
      <c r="I984" s="104"/>
      <c r="J984" s="104"/>
      <c r="K984" s="104"/>
      <c r="L984" s="104"/>
      <c r="M984" s="104"/>
      <c r="N984" s="104"/>
      <c r="O984" s="104"/>
      <c r="P984" s="104"/>
      <c r="Q984" s="104"/>
      <c r="R984" s="104"/>
      <c r="S984" s="160"/>
      <c r="T984" s="104"/>
      <c r="U984" s="145"/>
      <c r="V984" s="145"/>
      <c r="W984" s="145"/>
      <c r="X984" s="104"/>
      <c r="Y984" s="194"/>
      <c r="Z984" s="145"/>
      <c r="AA984" s="145"/>
      <c r="AB984" s="104"/>
      <c r="AC984" s="104"/>
      <c r="AD984" s="113">
        <f>S984-Y984</f>
        <v>0</v>
      </c>
    </row>
    <row r="985" spans="2:30" ht="45" hidden="1" customHeight="1">
      <c r="B985" s="174">
        <v>982</v>
      </c>
      <c r="C985" s="104"/>
      <c r="D985" s="104"/>
      <c r="E985" s="104"/>
      <c r="F985" s="104"/>
      <c r="G985" s="145"/>
      <c r="H985" s="104"/>
      <c r="I985" s="104"/>
      <c r="J985" s="104"/>
      <c r="K985" s="104"/>
      <c r="L985" s="104"/>
      <c r="M985" s="104"/>
      <c r="N985" s="104"/>
      <c r="O985" s="104"/>
      <c r="P985" s="104"/>
      <c r="Q985" s="104"/>
      <c r="R985" s="104"/>
      <c r="S985" s="160"/>
      <c r="T985" s="104"/>
      <c r="U985" s="145"/>
      <c r="V985" s="145"/>
      <c r="W985" s="145"/>
      <c r="X985" s="104"/>
      <c r="Y985" s="194"/>
      <c r="Z985" s="145"/>
      <c r="AA985" s="145"/>
      <c r="AB985" s="104"/>
      <c r="AC985" s="104"/>
      <c r="AD985" s="113">
        <f>S985-Y985</f>
        <v>0</v>
      </c>
    </row>
    <row r="986" spans="2:30" ht="45" hidden="1" customHeight="1">
      <c r="B986" s="174">
        <v>983</v>
      </c>
      <c r="C986" s="104"/>
      <c r="D986" s="104"/>
      <c r="E986" s="104"/>
      <c r="F986" s="104"/>
      <c r="G986" s="145"/>
      <c r="H986" s="104"/>
      <c r="I986" s="104"/>
      <c r="J986" s="104"/>
      <c r="K986" s="104"/>
      <c r="L986" s="104"/>
      <c r="M986" s="104"/>
      <c r="N986" s="104"/>
      <c r="O986" s="104"/>
      <c r="P986" s="104"/>
      <c r="Q986" s="104"/>
      <c r="R986" s="104"/>
      <c r="S986" s="160"/>
      <c r="T986" s="104"/>
      <c r="U986" s="145"/>
      <c r="V986" s="145"/>
      <c r="W986" s="145"/>
      <c r="X986" s="104"/>
      <c r="Y986" s="194"/>
      <c r="Z986" s="145"/>
      <c r="AA986" s="145"/>
      <c r="AB986" s="104"/>
      <c r="AC986" s="104"/>
      <c r="AD986" s="113">
        <f>S986-Y986</f>
        <v>0</v>
      </c>
    </row>
    <row r="987" spans="2:30" ht="45" hidden="1" customHeight="1">
      <c r="B987" s="174">
        <v>984</v>
      </c>
      <c r="C987" s="104"/>
      <c r="D987" s="104"/>
      <c r="E987" s="104"/>
      <c r="F987" s="104"/>
      <c r="G987" s="145"/>
      <c r="H987" s="104"/>
      <c r="I987" s="104"/>
      <c r="J987" s="104"/>
      <c r="K987" s="104"/>
      <c r="L987" s="104"/>
      <c r="M987" s="104"/>
      <c r="N987" s="104"/>
      <c r="O987" s="104"/>
      <c r="P987" s="104"/>
      <c r="Q987" s="104"/>
      <c r="R987" s="104"/>
      <c r="S987" s="160"/>
      <c r="T987" s="104"/>
      <c r="U987" s="145"/>
      <c r="V987" s="145"/>
      <c r="W987" s="145"/>
      <c r="X987" s="104"/>
      <c r="Y987" s="194"/>
      <c r="Z987" s="145"/>
      <c r="AA987" s="145"/>
      <c r="AB987" s="104"/>
      <c r="AC987" s="104"/>
      <c r="AD987" s="113">
        <f>S987-Y987</f>
        <v>0</v>
      </c>
    </row>
    <row r="988" spans="2:30" ht="45" hidden="1" customHeight="1">
      <c r="B988" s="174">
        <v>985</v>
      </c>
      <c r="C988" s="104"/>
      <c r="D988" s="104"/>
      <c r="E988" s="104"/>
      <c r="F988" s="104"/>
      <c r="G988" s="145"/>
      <c r="H988" s="104"/>
      <c r="I988" s="104"/>
      <c r="J988" s="104"/>
      <c r="K988" s="104"/>
      <c r="L988" s="104"/>
      <c r="M988" s="104"/>
      <c r="N988" s="104"/>
      <c r="O988" s="104"/>
      <c r="P988" s="104"/>
      <c r="Q988" s="104"/>
      <c r="R988" s="104"/>
      <c r="S988" s="160"/>
      <c r="T988" s="104"/>
      <c r="U988" s="145"/>
      <c r="V988" s="145"/>
      <c r="W988" s="145"/>
      <c r="X988" s="104"/>
      <c r="Y988" s="194"/>
      <c r="Z988" s="145"/>
      <c r="AA988" s="145"/>
      <c r="AB988" s="104"/>
      <c r="AC988" s="104"/>
      <c r="AD988" s="113">
        <f>S988-Y988</f>
        <v>0</v>
      </c>
    </row>
    <row r="989" spans="2:30" ht="45" hidden="1" customHeight="1">
      <c r="B989" s="174">
        <v>986</v>
      </c>
      <c r="C989" s="104"/>
      <c r="D989" s="104"/>
      <c r="E989" s="104"/>
      <c r="F989" s="104"/>
      <c r="G989" s="145"/>
      <c r="H989" s="104"/>
      <c r="I989" s="104"/>
      <c r="J989" s="104"/>
      <c r="K989" s="104"/>
      <c r="L989" s="104"/>
      <c r="M989" s="104"/>
      <c r="N989" s="104"/>
      <c r="O989" s="104"/>
      <c r="P989" s="104"/>
      <c r="Q989" s="104"/>
      <c r="R989" s="104"/>
      <c r="S989" s="160"/>
      <c r="T989" s="104"/>
      <c r="U989" s="145"/>
      <c r="V989" s="145"/>
      <c r="W989" s="145"/>
      <c r="X989" s="104"/>
      <c r="Y989" s="194"/>
      <c r="Z989" s="145"/>
      <c r="AA989" s="145"/>
      <c r="AB989" s="104"/>
      <c r="AC989" s="104"/>
      <c r="AD989" s="113">
        <f>S989-Y989</f>
        <v>0</v>
      </c>
    </row>
    <row r="990" spans="2:30" ht="45" hidden="1" customHeight="1">
      <c r="B990" s="174">
        <v>987</v>
      </c>
      <c r="C990" s="104"/>
      <c r="D990" s="104"/>
      <c r="E990" s="104"/>
      <c r="F990" s="104"/>
      <c r="G990" s="145"/>
      <c r="H990" s="104"/>
      <c r="I990" s="104"/>
      <c r="J990" s="104"/>
      <c r="K990" s="104"/>
      <c r="L990" s="104"/>
      <c r="M990" s="104"/>
      <c r="N990" s="104"/>
      <c r="O990" s="104"/>
      <c r="P990" s="104"/>
      <c r="Q990" s="104"/>
      <c r="R990" s="104"/>
      <c r="S990" s="160"/>
      <c r="T990" s="104"/>
      <c r="U990" s="145"/>
      <c r="V990" s="145"/>
      <c r="W990" s="145"/>
      <c r="X990" s="104"/>
      <c r="Y990" s="194"/>
      <c r="Z990" s="145"/>
      <c r="AA990" s="145"/>
      <c r="AB990" s="104"/>
      <c r="AC990" s="104"/>
      <c r="AD990" s="113">
        <f>S990-Y990</f>
        <v>0</v>
      </c>
    </row>
    <row r="991" spans="2:30" ht="45" hidden="1" customHeight="1">
      <c r="B991" s="174">
        <v>988</v>
      </c>
      <c r="C991" s="104"/>
      <c r="D991" s="104"/>
      <c r="E991" s="104"/>
      <c r="F991" s="104"/>
      <c r="G991" s="145"/>
      <c r="H991" s="104"/>
      <c r="I991" s="104"/>
      <c r="J991" s="104"/>
      <c r="K991" s="104"/>
      <c r="L991" s="104"/>
      <c r="M991" s="104"/>
      <c r="N991" s="104"/>
      <c r="O991" s="104"/>
      <c r="P991" s="104"/>
      <c r="Q991" s="104"/>
      <c r="R991" s="104"/>
      <c r="S991" s="160"/>
      <c r="T991" s="104"/>
      <c r="U991" s="145"/>
      <c r="V991" s="145"/>
      <c r="W991" s="145"/>
      <c r="X991" s="104"/>
      <c r="Y991" s="194"/>
      <c r="Z991" s="145"/>
      <c r="AA991" s="145"/>
      <c r="AB991" s="104"/>
      <c r="AC991" s="104"/>
      <c r="AD991" s="113">
        <f>S991-Y991</f>
        <v>0</v>
      </c>
    </row>
    <row r="992" spans="2:30" ht="45" hidden="1" customHeight="1">
      <c r="B992" s="174">
        <v>989</v>
      </c>
      <c r="C992" s="104"/>
      <c r="D992" s="104"/>
      <c r="E992" s="104"/>
      <c r="F992" s="104"/>
      <c r="G992" s="145"/>
      <c r="H992" s="104"/>
      <c r="I992" s="104"/>
      <c r="J992" s="104"/>
      <c r="K992" s="104"/>
      <c r="L992" s="104"/>
      <c r="M992" s="104"/>
      <c r="N992" s="104"/>
      <c r="O992" s="104"/>
      <c r="P992" s="104"/>
      <c r="Q992" s="104"/>
      <c r="R992" s="104"/>
      <c r="S992" s="160"/>
      <c r="T992" s="104"/>
      <c r="U992" s="145"/>
      <c r="V992" s="145"/>
      <c r="W992" s="145"/>
      <c r="X992" s="104"/>
      <c r="Y992" s="194"/>
      <c r="Z992" s="145"/>
      <c r="AA992" s="145"/>
      <c r="AB992" s="104"/>
      <c r="AC992" s="104"/>
      <c r="AD992" s="113">
        <f>S992-Y992</f>
        <v>0</v>
      </c>
    </row>
    <row r="993" spans="2:30" ht="45" hidden="1" customHeight="1">
      <c r="B993" s="174">
        <v>990</v>
      </c>
      <c r="C993" s="104"/>
      <c r="D993" s="104"/>
      <c r="E993" s="104"/>
      <c r="F993" s="104"/>
      <c r="G993" s="145"/>
      <c r="H993" s="104"/>
      <c r="I993" s="104"/>
      <c r="J993" s="104"/>
      <c r="K993" s="104"/>
      <c r="L993" s="104"/>
      <c r="M993" s="104"/>
      <c r="N993" s="104"/>
      <c r="O993" s="104"/>
      <c r="P993" s="104"/>
      <c r="Q993" s="104"/>
      <c r="R993" s="104"/>
      <c r="S993" s="160"/>
      <c r="T993" s="104"/>
      <c r="U993" s="145"/>
      <c r="V993" s="145"/>
      <c r="W993" s="145"/>
      <c r="X993" s="104"/>
      <c r="Y993" s="194"/>
      <c r="Z993" s="145"/>
      <c r="AA993" s="145"/>
      <c r="AB993" s="104"/>
      <c r="AC993" s="104"/>
      <c r="AD993" s="113">
        <f>S993-Y993</f>
        <v>0</v>
      </c>
    </row>
    <row r="994" spans="2:30" ht="45" hidden="1" customHeight="1">
      <c r="B994" s="174">
        <v>991</v>
      </c>
      <c r="C994" s="104"/>
      <c r="D994" s="104"/>
      <c r="E994" s="104"/>
      <c r="F994" s="104"/>
      <c r="G994" s="145"/>
      <c r="H994" s="104"/>
      <c r="I994" s="104"/>
      <c r="J994" s="104"/>
      <c r="K994" s="104"/>
      <c r="L994" s="104"/>
      <c r="M994" s="104"/>
      <c r="N994" s="104"/>
      <c r="O994" s="104"/>
      <c r="P994" s="104"/>
      <c r="Q994" s="104"/>
      <c r="R994" s="104"/>
      <c r="S994" s="160"/>
      <c r="T994" s="104"/>
      <c r="U994" s="145"/>
      <c r="V994" s="145"/>
      <c r="W994" s="145"/>
      <c r="X994" s="104"/>
      <c r="Y994" s="194"/>
      <c r="Z994" s="145"/>
      <c r="AA994" s="145"/>
      <c r="AB994" s="104"/>
      <c r="AC994" s="104"/>
      <c r="AD994" s="113">
        <f>S994-Y994</f>
        <v>0</v>
      </c>
    </row>
    <row r="995" spans="2:30" ht="45" hidden="1" customHeight="1">
      <c r="B995" s="174">
        <v>992</v>
      </c>
      <c r="C995" s="104"/>
      <c r="D995" s="104"/>
      <c r="E995" s="104"/>
      <c r="F995" s="104"/>
      <c r="G995" s="145"/>
      <c r="H995" s="104"/>
      <c r="I995" s="104"/>
      <c r="J995" s="104"/>
      <c r="K995" s="104"/>
      <c r="L995" s="104"/>
      <c r="M995" s="104"/>
      <c r="N995" s="104"/>
      <c r="O995" s="104"/>
      <c r="P995" s="104"/>
      <c r="Q995" s="104"/>
      <c r="R995" s="104"/>
      <c r="S995" s="160"/>
      <c r="T995" s="104"/>
      <c r="U995" s="145"/>
      <c r="V995" s="145"/>
      <c r="W995" s="145"/>
      <c r="X995" s="104"/>
      <c r="Y995" s="194"/>
      <c r="Z995" s="145"/>
      <c r="AA995" s="145"/>
      <c r="AB995" s="104"/>
      <c r="AC995" s="104"/>
      <c r="AD995" s="113">
        <f>S995-Y995</f>
        <v>0</v>
      </c>
    </row>
    <row r="996" spans="2:30" ht="45" hidden="1" customHeight="1">
      <c r="B996" s="174">
        <v>993</v>
      </c>
      <c r="C996" s="104"/>
      <c r="D996" s="104"/>
      <c r="E996" s="104"/>
      <c r="F996" s="104"/>
      <c r="G996" s="145"/>
      <c r="H996" s="104"/>
      <c r="I996" s="104"/>
      <c r="J996" s="104"/>
      <c r="K996" s="104"/>
      <c r="L996" s="104"/>
      <c r="M996" s="104"/>
      <c r="N996" s="104"/>
      <c r="O996" s="104"/>
      <c r="P996" s="104"/>
      <c r="Q996" s="104"/>
      <c r="R996" s="104"/>
      <c r="S996" s="160"/>
      <c r="T996" s="104"/>
      <c r="U996" s="145"/>
      <c r="V996" s="145"/>
      <c r="W996" s="145"/>
      <c r="X996" s="104"/>
      <c r="Y996" s="194"/>
      <c r="Z996" s="145"/>
      <c r="AA996" s="145"/>
      <c r="AB996" s="104"/>
      <c r="AC996" s="104"/>
      <c r="AD996" s="113">
        <f>S996-Y996</f>
        <v>0</v>
      </c>
    </row>
    <row r="997" spans="2:30" ht="45" hidden="1" customHeight="1">
      <c r="B997" s="174">
        <v>994</v>
      </c>
      <c r="C997" s="104"/>
      <c r="D997" s="104"/>
      <c r="E997" s="104"/>
      <c r="F997" s="104"/>
      <c r="G997" s="145"/>
      <c r="H997" s="104"/>
      <c r="I997" s="104"/>
      <c r="J997" s="104"/>
      <c r="K997" s="104"/>
      <c r="L997" s="104"/>
      <c r="M997" s="104"/>
      <c r="N997" s="104"/>
      <c r="O997" s="104"/>
      <c r="P997" s="104"/>
      <c r="Q997" s="104"/>
      <c r="R997" s="104"/>
      <c r="S997" s="160"/>
      <c r="T997" s="104"/>
      <c r="U997" s="145"/>
      <c r="V997" s="145"/>
      <c r="W997" s="145"/>
      <c r="X997" s="104"/>
      <c r="Y997" s="194"/>
      <c r="Z997" s="145"/>
      <c r="AA997" s="145"/>
      <c r="AB997" s="104"/>
      <c r="AC997" s="104"/>
      <c r="AD997" s="113">
        <f>S997-Y997</f>
        <v>0</v>
      </c>
    </row>
    <row r="998" spans="2:30" ht="45" hidden="1" customHeight="1">
      <c r="B998" s="174">
        <v>995</v>
      </c>
      <c r="C998" s="104"/>
      <c r="D998" s="104"/>
      <c r="E998" s="104"/>
      <c r="F998" s="104"/>
      <c r="G998" s="145"/>
      <c r="H998" s="104"/>
      <c r="I998" s="104"/>
      <c r="J998" s="104"/>
      <c r="K998" s="104"/>
      <c r="L998" s="104"/>
      <c r="M998" s="104"/>
      <c r="N998" s="104"/>
      <c r="O998" s="104"/>
      <c r="P998" s="104"/>
      <c r="Q998" s="104"/>
      <c r="R998" s="104"/>
      <c r="S998" s="160"/>
      <c r="T998" s="104"/>
      <c r="U998" s="145"/>
      <c r="V998" s="145"/>
      <c r="W998" s="145"/>
      <c r="X998" s="104"/>
      <c r="Y998" s="194"/>
      <c r="Z998" s="145"/>
      <c r="AA998" s="145"/>
      <c r="AB998" s="104"/>
      <c r="AC998" s="104"/>
      <c r="AD998" s="113">
        <f>S998-Y998</f>
        <v>0</v>
      </c>
    </row>
    <row r="999" spans="2:30" ht="45" hidden="1" customHeight="1">
      <c r="B999" s="174">
        <v>996</v>
      </c>
      <c r="C999" s="104"/>
      <c r="D999" s="104"/>
      <c r="E999" s="104"/>
      <c r="F999" s="104"/>
      <c r="G999" s="145"/>
      <c r="H999" s="104"/>
      <c r="I999" s="104"/>
      <c r="J999" s="104"/>
      <c r="K999" s="104"/>
      <c r="L999" s="104"/>
      <c r="M999" s="104"/>
      <c r="N999" s="104"/>
      <c r="O999" s="104"/>
      <c r="P999" s="104"/>
      <c r="Q999" s="104"/>
      <c r="R999" s="104"/>
      <c r="S999" s="160"/>
      <c r="T999" s="104"/>
      <c r="U999" s="145"/>
      <c r="V999" s="145"/>
      <c r="W999" s="145"/>
      <c r="X999" s="104"/>
      <c r="Y999" s="194"/>
      <c r="Z999" s="145"/>
      <c r="AA999" s="145"/>
      <c r="AB999" s="104"/>
      <c r="AC999" s="104"/>
      <c r="AD999" s="113">
        <f>S999-Y999</f>
        <v>0</v>
      </c>
    </row>
    <row r="1000" spans="2:30" ht="45" hidden="1" customHeight="1">
      <c r="B1000" s="174">
        <v>997</v>
      </c>
      <c r="C1000" s="104"/>
      <c r="D1000" s="104"/>
      <c r="E1000" s="104"/>
      <c r="F1000" s="104"/>
      <c r="G1000" s="145"/>
      <c r="H1000" s="104"/>
      <c r="I1000" s="104"/>
      <c r="J1000" s="104"/>
      <c r="K1000" s="104"/>
      <c r="L1000" s="104"/>
      <c r="M1000" s="104"/>
      <c r="N1000" s="104"/>
      <c r="O1000" s="104"/>
      <c r="P1000" s="104"/>
      <c r="Q1000" s="104"/>
      <c r="R1000" s="104"/>
      <c r="S1000" s="160"/>
      <c r="T1000" s="104"/>
      <c r="U1000" s="145"/>
      <c r="V1000" s="145"/>
      <c r="W1000" s="145"/>
      <c r="X1000" s="104"/>
      <c r="Y1000" s="194"/>
      <c r="Z1000" s="145"/>
      <c r="AA1000" s="145"/>
      <c r="AB1000" s="104"/>
      <c r="AC1000" s="104"/>
      <c r="AD1000" s="113">
        <f>S1000-Y1000</f>
        <v>0</v>
      </c>
    </row>
    <row r="1001" spans="2:30" ht="45" hidden="1" customHeight="1">
      <c r="B1001" s="174">
        <v>998</v>
      </c>
      <c r="C1001" s="104"/>
      <c r="D1001" s="104"/>
      <c r="E1001" s="104"/>
      <c r="F1001" s="104"/>
      <c r="G1001" s="145"/>
      <c r="H1001" s="104"/>
      <c r="I1001" s="104"/>
      <c r="J1001" s="104"/>
      <c r="K1001" s="104"/>
      <c r="L1001" s="104"/>
      <c r="M1001" s="104"/>
      <c r="N1001" s="104"/>
      <c r="O1001" s="104"/>
      <c r="P1001" s="104"/>
      <c r="Q1001" s="104"/>
      <c r="R1001" s="104"/>
      <c r="S1001" s="160"/>
      <c r="T1001" s="104"/>
      <c r="U1001" s="145"/>
      <c r="V1001" s="145"/>
      <c r="W1001" s="145"/>
      <c r="X1001" s="104"/>
      <c r="Y1001" s="194"/>
      <c r="Z1001" s="145"/>
      <c r="AA1001" s="145"/>
      <c r="AB1001" s="104"/>
      <c r="AC1001" s="104"/>
      <c r="AD1001" s="113">
        <f>S1001-Y1001</f>
        <v>0</v>
      </c>
    </row>
    <row r="1002" spans="2:30" ht="45" hidden="1" customHeight="1">
      <c r="B1002" s="174">
        <v>999</v>
      </c>
      <c r="C1002" s="104"/>
      <c r="D1002" s="104"/>
      <c r="E1002" s="104"/>
      <c r="F1002" s="104"/>
      <c r="G1002" s="145"/>
      <c r="H1002" s="104"/>
      <c r="I1002" s="104"/>
      <c r="J1002" s="104"/>
      <c r="K1002" s="104"/>
      <c r="L1002" s="104"/>
      <c r="M1002" s="104"/>
      <c r="N1002" s="104"/>
      <c r="O1002" s="104"/>
      <c r="P1002" s="104"/>
      <c r="Q1002" s="104"/>
      <c r="R1002" s="104"/>
      <c r="S1002" s="160"/>
      <c r="T1002" s="104"/>
      <c r="U1002" s="145"/>
      <c r="V1002" s="145"/>
      <c r="W1002" s="145"/>
      <c r="X1002" s="104"/>
      <c r="Y1002" s="194"/>
      <c r="Z1002" s="145"/>
      <c r="AA1002" s="145"/>
      <c r="AB1002" s="104"/>
      <c r="AC1002" s="104"/>
      <c r="AD1002" s="113">
        <f>S1002-Y1002</f>
        <v>0</v>
      </c>
    </row>
    <row r="1003" spans="2:30" ht="45" hidden="1" customHeight="1">
      <c r="B1003" s="174">
        <v>1000</v>
      </c>
      <c r="C1003" s="104"/>
      <c r="D1003" s="104"/>
      <c r="E1003" s="104"/>
      <c r="F1003" s="104"/>
      <c r="G1003" s="145"/>
      <c r="H1003" s="104"/>
      <c r="I1003" s="104"/>
      <c r="J1003" s="104"/>
      <c r="K1003" s="104"/>
      <c r="L1003" s="104"/>
      <c r="M1003" s="104"/>
      <c r="N1003" s="104"/>
      <c r="O1003" s="104"/>
      <c r="P1003" s="104"/>
      <c r="Q1003" s="104"/>
      <c r="R1003" s="104"/>
      <c r="S1003" s="160"/>
      <c r="T1003" s="104"/>
      <c r="U1003" s="145"/>
      <c r="V1003" s="145"/>
      <c r="W1003" s="145"/>
      <c r="X1003" s="104"/>
      <c r="Y1003" s="194"/>
      <c r="Z1003" s="145"/>
      <c r="AA1003" s="145"/>
      <c r="AB1003" s="104"/>
      <c r="AC1003" s="104"/>
      <c r="AD1003" s="113">
        <f>S1003-Y1003</f>
        <v>0</v>
      </c>
    </row>
    <row r="1004" spans="2:30" ht="45" hidden="1" customHeight="1">
      <c r="B1004" s="174">
        <v>1001</v>
      </c>
      <c r="C1004" s="104"/>
      <c r="D1004" s="104"/>
      <c r="E1004" s="104"/>
      <c r="F1004" s="104"/>
      <c r="G1004" s="145"/>
      <c r="H1004" s="104"/>
      <c r="I1004" s="104"/>
      <c r="J1004" s="104"/>
      <c r="K1004" s="104"/>
      <c r="L1004" s="104"/>
      <c r="M1004" s="104"/>
      <c r="N1004" s="104"/>
      <c r="O1004" s="104"/>
      <c r="P1004" s="104"/>
      <c r="Q1004" s="104"/>
      <c r="R1004" s="104"/>
      <c r="S1004" s="160"/>
      <c r="T1004" s="104"/>
      <c r="U1004" s="145"/>
      <c r="V1004" s="145"/>
      <c r="W1004" s="145"/>
      <c r="X1004" s="104"/>
      <c r="Y1004" s="194"/>
      <c r="Z1004" s="145"/>
      <c r="AA1004" s="145"/>
      <c r="AB1004" s="104"/>
      <c r="AC1004" s="104"/>
      <c r="AD1004" s="113">
        <f>S1004-Y1004</f>
        <v>0</v>
      </c>
    </row>
    <row r="1005" spans="2:30" ht="45" hidden="1" customHeight="1">
      <c r="B1005" s="174">
        <v>1002</v>
      </c>
      <c r="C1005" s="104"/>
      <c r="D1005" s="104"/>
      <c r="E1005" s="104"/>
      <c r="F1005" s="104"/>
      <c r="G1005" s="145"/>
      <c r="H1005" s="104"/>
      <c r="I1005" s="104"/>
      <c r="J1005" s="104"/>
      <c r="K1005" s="104"/>
      <c r="L1005" s="104"/>
      <c r="M1005" s="104"/>
      <c r="N1005" s="104"/>
      <c r="O1005" s="104"/>
      <c r="P1005" s="104"/>
      <c r="Q1005" s="104"/>
      <c r="R1005" s="104"/>
      <c r="S1005" s="160"/>
      <c r="T1005" s="104"/>
      <c r="U1005" s="145"/>
      <c r="V1005" s="145"/>
      <c r="W1005" s="145"/>
      <c r="X1005" s="104"/>
      <c r="Y1005" s="194"/>
      <c r="Z1005" s="145"/>
      <c r="AA1005" s="145"/>
      <c r="AB1005" s="104"/>
      <c r="AC1005" s="104"/>
      <c r="AD1005" s="113">
        <f>S1005-Y1005</f>
        <v>0</v>
      </c>
    </row>
    <row r="1006" spans="2:30" ht="45" hidden="1" customHeight="1">
      <c r="B1006" s="174">
        <v>1003</v>
      </c>
      <c r="C1006" s="104"/>
      <c r="D1006" s="104"/>
      <c r="E1006" s="104"/>
      <c r="F1006" s="104"/>
      <c r="G1006" s="145"/>
      <c r="H1006" s="104"/>
      <c r="I1006" s="104"/>
      <c r="J1006" s="104"/>
      <c r="K1006" s="104"/>
      <c r="L1006" s="104"/>
      <c r="M1006" s="104"/>
      <c r="N1006" s="104"/>
      <c r="O1006" s="104"/>
      <c r="P1006" s="104"/>
      <c r="Q1006" s="104"/>
      <c r="R1006" s="104"/>
      <c r="S1006" s="160"/>
      <c r="T1006" s="104"/>
      <c r="U1006" s="145"/>
      <c r="V1006" s="145"/>
      <c r="W1006" s="145"/>
      <c r="X1006" s="104"/>
      <c r="Y1006" s="194"/>
      <c r="Z1006" s="145"/>
      <c r="AA1006" s="145"/>
      <c r="AB1006" s="104"/>
      <c r="AC1006" s="104"/>
      <c r="AD1006" s="113">
        <f>S1006-Y1006</f>
        <v>0</v>
      </c>
    </row>
    <row r="1007" spans="2:30" ht="45" hidden="1" customHeight="1">
      <c r="B1007" s="174">
        <v>1004</v>
      </c>
      <c r="C1007" s="104"/>
      <c r="D1007" s="104"/>
      <c r="E1007" s="104"/>
      <c r="F1007" s="104"/>
      <c r="G1007" s="145"/>
      <c r="H1007" s="104"/>
      <c r="I1007" s="104"/>
      <c r="J1007" s="104"/>
      <c r="K1007" s="104"/>
      <c r="L1007" s="104"/>
      <c r="M1007" s="104"/>
      <c r="N1007" s="104"/>
      <c r="O1007" s="104"/>
      <c r="P1007" s="104"/>
      <c r="Q1007" s="104"/>
      <c r="R1007" s="104"/>
      <c r="S1007" s="160"/>
      <c r="T1007" s="104"/>
      <c r="U1007" s="145"/>
      <c r="V1007" s="145"/>
      <c r="W1007" s="145"/>
      <c r="X1007" s="104"/>
      <c r="Y1007" s="194"/>
      <c r="Z1007" s="145"/>
      <c r="AA1007" s="145"/>
      <c r="AB1007" s="104"/>
      <c r="AC1007" s="104"/>
      <c r="AD1007" s="113">
        <f>S1007-Y1007</f>
        <v>0</v>
      </c>
    </row>
    <row r="1008" spans="2:30" ht="45" hidden="1" customHeight="1">
      <c r="B1008" s="174">
        <v>1005</v>
      </c>
      <c r="C1008" s="104"/>
      <c r="D1008" s="104"/>
      <c r="E1008" s="104"/>
      <c r="F1008" s="104"/>
      <c r="G1008" s="145"/>
      <c r="H1008" s="104"/>
      <c r="I1008" s="104"/>
      <c r="J1008" s="104"/>
      <c r="K1008" s="104"/>
      <c r="L1008" s="104"/>
      <c r="M1008" s="104"/>
      <c r="N1008" s="104"/>
      <c r="O1008" s="104"/>
      <c r="P1008" s="104"/>
      <c r="Q1008" s="104"/>
      <c r="R1008" s="104"/>
      <c r="S1008" s="160"/>
      <c r="T1008" s="104"/>
      <c r="U1008" s="145"/>
      <c r="V1008" s="145"/>
      <c r="W1008" s="145"/>
      <c r="X1008" s="104"/>
      <c r="Y1008" s="194"/>
      <c r="Z1008" s="145"/>
      <c r="AA1008" s="145"/>
      <c r="AB1008" s="104"/>
      <c r="AC1008" s="104"/>
      <c r="AD1008" s="113">
        <f>S1008-Y1008</f>
        <v>0</v>
      </c>
    </row>
    <row r="1009" spans="2:30" ht="45" hidden="1" customHeight="1">
      <c r="B1009" s="174">
        <v>1006</v>
      </c>
      <c r="C1009" s="104"/>
      <c r="D1009" s="104"/>
      <c r="E1009" s="104"/>
      <c r="F1009" s="104"/>
      <c r="G1009" s="145"/>
      <c r="H1009" s="104"/>
      <c r="I1009" s="104"/>
      <c r="J1009" s="104"/>
      <c r="K1009" s="104"/>
      <c r="L1009" s="104"/>
      <c r="M1009" s="104"/>
      <c r="N1009" s="104"/>
      <c r="O1009" s="104"/>
      <c r="P1009" s="104"/>
      <c r="Q1009" s="104"/>
      <c r="R1009" s="104"/>
      <c r="S1009" s="160"/>
      <c r="T1009" s="104"/>
      <c r="U1009" s="145"/>
      <c r="V1009" s="145"/>
      <c r="W1009" s="145"/>
      <c r="X1009" s="104"/>
      <c r="Y1009" s="194"/>
      <c r="Z1009" s="145"/>
      <c r="AA1009" s="145"/>
      <c r="AB1009" s="104"/>
      <c r="AC1009" s="104"/>
      <c r="AD1009" s="113">
        <f>S1009-Y1009</f>
        <v>0</v>
      </c>
    </row>
    <row r="1010" spans="2:30" ht="45" hidden="1" customHeight="1">
      <c r="B1010" s="174">
        <v>1007</v>
      </c>
      <c r="C1010" s="104"/>
      <c r="D1010" s="104"/>
      <c r="E1010" s="104"/>
      <c r="F1010" s="104"/>
      <c r="G1010" s="145"/>
      <c r="H1010" s="104"/>
      <c r="I1010" s="104"/>
      <c r="J1010" s="104"/>
      <c r="K1010" s="104"/>
      <c r="L1010" s="104"/>
      <c r="M1010" s="104"/>
      <c r="N1010" s="104"/>
      <c r="O1010" s="104"/>
      <c r="P1010" s="104"/>
      <c r="Q1010" s="104"/>
      <c r="R1010" s="104"/>
      <c r="S1010" s="160"/>
      <c r="T1010" s="104"/>
      <c r="U1010" s="145"/>
      <c r="V1010" s="145"/>
      <c r="W1010" s="145"/>
      <c r="X1010" s="104"/>
      <c r="Y1010" s="194"/>
      <c r="Z1010" s="145"/>
      <c r="AA1010" s="145"/>
      <c r="AB1010" s="104"/>
      <c r="AC1010" s="104"/>
      <c r="AD1010" s="113">
        <f>S1010-Y1010</f>
        <v>0</v>
      </c>
    </row>
    <row r="1011" spans="2:30" ht="45" hidden="1" customHeight="1">
      <c r="B1011" s="174">
        <v>1008</v>
      </c>
      <c r="C1011" s="104"/>
      <c r="D1011" s="104"/>
      <c r="E1011" s="104"/>
      <c r="F1011" s="104"/>
      <c r="G1011" s="145"/>
      <c r="H1011" s="104"/>
      <c r="I1011" s="104"/>
      <c r="J1011" s="104"/>
      <c r="K1011" s="104"/>
      <c r="L1011" s="104"/>
      <c r="M1011" s="104"/>
      <c r="N1011" s="104"/>
      <c r="O1011" s="104"/>
      <c r="P1011" s="104"/>
      <c r="Q1011" s="104"/>
      <c r="R1011" s="104"/>
      <c r="S1011" s="160"/>
      <c r="T1011" s="104"/>
      <c r="U1011" s="145"/>
      <c r="V1011" s="145"/>
      <c r="W1011" s="145"/>
      <c r="X1011" s="104"/>
      <c r="Y1011" s="194"/>
      <c r="Z1011" s="145"/>
      <c r="AA1011" s="145"/>
      <c r="AB1011" s="104"/>
      <c r="AC1011" s="104"/>
      <c r="AD1011" s="113">
        <f>S1011-Y1011</f>
        <v>0</v>
      </c>
    </row>
    <row r="1012" spans="2:30" ht="45" hidden="1" customHeight="1">
      <c r="B1012" s="174">
        <v>1009</v>
      </c>
      <c r="C1012" s="104"/>
      <c r="D1012" s="104"/>
      <c r="E1012" s="104"/>
      <c r="F1012" s="104"/>
      <c r="G1012" s="145"/>
      <c r="H1012" s="104"/>
      <c r="I1012" s="104"/>
      <c r="J1012" s="104"/>
      <c r="K1012" s="104"/>
      <c r="L1012" s="104"/>
      <c r="M1012" s="104"/>
      <c r="N1012" s="104"/>
      <c r="O1012" s="104"/>
      <c r="P1012" s="104"/>
      <c r="Q1012" s="104"/>
      <c r="R1012" s="104"/>
      <c r="S1012" s="160"/>
      <c r="T1012" s="104"/>
      <c r="U1012" s="145"/>
      <c r="V1012" s="145"/>
      <c r="W1012" s="145"/>
      <c r="X1012" s="104"/>
      <c r="Y1012" s="194"/>
      <c r="Z1012" s="145"/>
      <c r="AA1012" s="145"/>
      <c r="AB1012" s="104"/>
      <c r="AC1012" s="104"/>
      <c r="AD1012" s="113">
        <f>S1012-Y1012</f>
        <v>0</v>
      </c>
    </row>
    <row r="1013" spans="2:30" ht="45" hidden="1" customHeight="1">
      <c r="B1013" s="174">
        <v>1010</v>
      </c>
      <c r="C1013" s="104"/>
      <c r="D1013" s="104"/>
      <c r="E1013" s="104"/>
      <c r="F1013" s="104"/>
      <c r="G1013" s="145"/>
      <c r="H1013" s="104"/>
      <c r="I1013" s="104"/>
      <c r="J1013" s="104"/>
      <c r="K1013" s="104"/>
      <c r="L1013" s="104"/>
      <c r="M1013" s="104"/>
      <c r="N1013" s="104"/>
      <c r="O1013" s="104"/>
      <c r="P1013" s="104"/>
      <c r="Q1013" s="104"/>
      <c r="R1013" s="104"/>
      <c r="S1013" s="160"/>
      <c r="T1013" s="104"/>
      <c r="U1013" s="145"/>
      <c r="V1013" s="145"/>
      <c r="W1013" s="145"/>
      <c r="X1013" s="104"/>
      <c r="Y1013" s="194"/>
      <c r="Z1013" s="145"/>
      <c r="AA1013" s="145"/>
      <c r="AB1013" s="104"/>
      <c r="AC1013" s="104"/>
      <c r="AD1013" s="113">
        <f>S1013-Y1013</f>
        <v>0</v>
      </c>
    </row>
    <row r="1014" spans="2:30" ht="45" hidden="1" customHeight="1">
      <c r="B1014" s="174">
        <v>1011</v>
      </c>
      <c r="C1014" s="104"/>
      <c r="D1014" s="104"/>
      <c r="E1014" s="104"/>
      <c r="F1014" s="104"/>
      <c r="G1014" s="145"/>
      <c r="H1014" s="104"/>
      <c r="I1014" s="104"/>
      <c r="J1014" s="104"/>
      <c r="K1014" s="104"/>
      <c r="L1014" s="104"/>
      <c r="M1014" s="104"/>
      <c r="N1014" s="104"/>
      <c r="O1014" s="104"/>
      <c r="P1014" s="104"/>
      <c r="Q1014" s="104"/>
      <c r="R1014" s="104"/>
      <c r="S1014" s="160"/>
      <c r="T1014" s="104"/>
      <c r="U1014" s="145"/>
      <c r="V1014" s="145"/>
      <c r="W1014" s="145"/>
      <c r="X1014" s="104"/>
      <c r="Y1014" s="194"/>
      <c r="Z1014" s="145"/>
      <c r="AA1014" s="145"/>
      <c r="AB1014" s="104"/>
      <c r="AC1014" s="104"/>
      <c r="AD1014" s="113">
        <f>S1014-Y1014</f>
        <v>0</v>
      </c>
    </row>
    <row r="1015" spans="2:30" ht="45" hidden="1" customHeight="1">
      <c r="B1015" s="174">
        <v>1012</v>
      </c>
      <c r="C1015" s="104"/>
      <c r="D1015" s="104"/>
      <c r="E1015" s="104"/>
      <c r="F1015" s="104"/>
      <c r="G1015" s="145"/>
      <c r="H1015" s="104"/>
      <c r="I1015" s="104"/>
      <c r="J1015" s="104"/>
      <c r="K1015" s="104"/>
      <c r="L1015" s="104"/>
      <c r="M1015" s="104"/>
      <c r="N1015" s="104"/>
      <c r="O1015" s="104"/>
      <c r="P1015" s="104"/>
      <c r="Q1015" s="104"/>
      <c r="R1015" s="104"/>
      <c r="S1015" s="160"/>
      <c r="T1015" s="104"/>
      <c r="U1015" s="145"/>
      <c r="V1015" s="145"/>
      <c r="W1015" s="145"/>
      <c r="X1015" s="104"/>
      <c r="Y1015" s="194"/>
      <c r="Z1015" s="145"/>
      <c r="AA1015" s="145"/>
      <c r="AB1015" s="104"/>
      <c r="AC1015" s="104"/>
      <c r="AD1015" s="113">
        <f>S1015-Y1015</f>
        <v>0</v>
      </c>
    </row>
    <row r="1016" spans="2:30" ht="45" hidden="1" customHeight="1">
      <c r="B1016" s="174">
        <v>1013</v>
      </c>
      <c r="C1016" s="104"/>
      <c r="D1016" s="104"/>
      <c r="E1016" s="104"/>
      <c r="F1016" s="104"/>
      <c r="G1016" s="145"/>
      <c r="H1016" s="104"/>
      <c r="I1016" s="104"/>
      <c r="J1016" s="104"/>
      <c r="K1016" s="104"/>
      <c r="L1016" s="104"/>
      <c r="M1016" s="104"/>
      <c r="N1016" s="104"/>
      <c r="O1016" s="104"/>
      <c r="P1016" s="104"/>
      <c r="Q1016" s="104"/>
      <c r="R1016" s="104"/>
      <c r="S1016" s="160"/>
      <c r="T1016" s="104"/>
      <c r="U1016" s="145"/>
      <c r="V1016" s="145"/>
      <c r="W1016" s="145"/>
      <c r="X1016" s="104"/>
      <c r="Y1016" s="194"/>
      <c r="Z1016" s="145"/>
      <c r="AA1016" s="145"/>
      <c r="AB1016" s="104"/>
      <c r="AC1016" s="104"/>
      <c r="AD1016" s="113">
        <f>S1016-Y1016</f>
        <v>0</v>
      </c>
    </row>
    <row r="1017" spans="2:30" ht="45" hidden="1" customHeight="1">
      <c r="B1017" s="174">
        <v>1014</v>
      </c>
      <c r="C1017" s="104"/>
      <c r="D1017" s="104"/>
      <c r="E1017" s="104"/>
      <c r="F1017" s="104"/>
      <c r="G1017" s="145"/>
      <c r="H1017" s="104"/>
      <c r="I1017" s="104"/>
      <c r="J1017" s="104"/>
      <c r="K1017" s="104"/>
      <c r="L1017" s="104"/>
      <c r="M1017" s="104"/>
      <c r="N1017" s="104"/>
      <c r="O1017" s="104"/>
      <c r="P1017" s="104"/>
      <c r="Q1017" s="104"/>
      <c r="R1017" s="104"/>
      <c r="S1017" s="160"/>
      <c r="T1017" s="104"/>
      <c r="U1017" s="145"/>
      <c r="V1017" s="145"/>
      <c r="W1017" s="145"/>
      <c r="X1017" s="104"/>
      <c r="Y1017" s="194"/>
      <c r="Z1017" s="145"/>
      <c r="AA1017" s="145"/>
      <c r="AB1017" s="104"/>
      <c r="AC1017" s="104"/>
      <c r="AD1017" s="113">
        <f>S1017-Y1017</f>
        <v>0</v>
      </c>
    </row>
    <row r="1018" spans="2:30" ht="45" hidden="1" customHeight="1">
      <c r="B1018" s="174">
        <v>1015</v>
      </c>
      <c r="C1018" s="104"/>
      <c r="D1018" s="104"/>
      <c r="E1018" s="104"/>
      <c r="F1018" s="104"/>
      <c r="G1018" s="145"/>
      <c r="H1018" s="104"/>
      <c r="I1018" s="104"/>
      <c r="J1018" s="104"/>
      <c r="K1018" s="104"/>
      <c r="L1018" s="104"/>
      <c r="M1018" s="104"/>
      <c r="N1018" s="104"/>
      <c r="O1018" s="104"/>
      <c r="P1018" s="104"/>
      <c r="Q1018" s="104"/>
      <c r="R1018" s="104"/>
      <c r="S1018" s="160"/>
      <c r="T1018" s="104"/>
      <c r="U1018" s="145"/>
      <c r="V1018" s="145"/>
      <c r="W1018" s="145"/>
      <c r="X1018" s="104"/>
      <c r="Y1018" s="194"/>
      <c r="Z1018" s="145"/>
      <c r="AA1018" s="145"/>
      <c r="AB1018" s="104"/>
      <c r="AC1018" s="104"/>
      <c r="AD1018" s="113">
        <f>S1018-Y1018</f>
        <v>0</v>
      </c>
    </row>
    <row r="1019" spans="2:30" ht="45" hidden="1" customHeight="1">
      <c r="B1019" s="174">
        <v>1016</v>
      </c>
      <c r="C1019" s="104"/>
      <c r="D1019" s="104"/>
      <c r="E1019" s="104"/>
      <c r="F1019" s="104"/>
      <c r="G1019" s="145"/>
      <c r="H1019" s="104"/>
      <c r="I1019" s="104"/>
      <c r="J1019" s="104"/>
      <c r="K1019" s="104"/>
      <c r="L1019" s="104"/>
      <c r="M1019" s="104"/>
      <c r="N1019" s="104"/>
      <c r="O1019" s="104"/>
      <c r="P1019" s="104"/>
      <c r="Q1019" s="104"/>
      <c r="R1019" s="104"/>
      <c r="S1019" s="160"/>
      <c r="T1019" s="104"/>
      <c r="U1019" s="145"/>
      <c r="V1019" s="145"/>
      <c r="W1019" s="145"/>
      <c r="X1019" s="104"/>
      <c r="Y1019" s="194"/>
      <c r="Z1019" s="145"/>
      <c r="AA1019" s="145"/>
      <c r="AB1019" s="104"/>
      <c r="AC1019" s="104"/>
      <c r="AD1019" s="113">
        <f>S1019-Y1019</f>
        <v>0</v>
      </c>
    </row>
    <row r="1020" spans="2:30" ht="45" hidden="1" customHeight="1">
      <c r="B1020" s="174">
        <v>1017</v>
      </c>
      <c r="C1020" s="104"/>
      <c r="D1020" s="104"/>
      <c r="E1020" s="104"/>
      <c r="F1020" s="104"/>
      <c r="G1020" s="145"/>
      <c r="H1020" s="104"/>
      <c r="I1020" s="104"/>
      <c r="J1020" s="104"/>
      <c r="K1020" s="104"/>
      <c r="L1020" s="104"/>
      <c r="M1020" s="104"/>
      <c r="N1020" s="104"/>
      <c r="O1020" s="104"/>
      <c r="P1020" s="104"/>
      <c r="Q1020" s="104"/>
      <c r="R1020" s="104"/>
      <c r="S1020" s="160"/>
      <c r="T1020" s="104"/>
      <c r="U1020" s="145"/>
      <c r="V1020" s="145"/>
      <c r="W1020" s="145"/>
      <c r="X1020" s="104"/>
      <c r="Y1020" s="194"/>
      <c r="Z1020" s="145"/>
      <c r="AA1020" s="145"/>
      <c r="AB1020" s="104"/>
      <c r="AC1020" s="104"/>
      <c r="AD1020" s="113">
        <f>S1020-Y1020</f>
        <v>0</v>
      </c>
    </row>
    <row r="1021" spans="2:30" ht="45" hidden="1" customHeight="1">
      <c r="B1021" s="174">
        <v>1018</v>
      </c>
      <c r="C1021" s="104"/>
      <c r="D1021" s="104"/>
      <c r="E1021" s="104"/>
      <c r="F1021" s="104"/>
      <c r="G1021" s="145"/>
      <c r="H1021" s="104"/>
      <c r="I1021" s="104"/>
      <c r="J1021" s="104"/>
      <c r="K1021" s="104"/>
      <c r="L1021" s="104"/>
      <c r="M1021" s="104"/>
      <c r="N1021" s="104"/>
      <c r="O1021" s="104"/>
      <c r="P1021" s="104"/>
      <c r="Q1021" s="104"/>
      <c r="R1021" s="104"/>
      <c r="S1021" s="160"/>
      <c r="T1021" s="104"/>
      <c r="U1021" s="145"/>
      <c r="V1021" s="145"/>
      <c r="W1021" s="145"/>
      <c r="X1021" s="104"/>
      <c r="Y1021" s="194"/>
      <c r="Z1021" s="145"/>
      <c r="AA1021" s="145"/>
      <c r="AB1021" s="104"/>
      <c r="AC1021" s="104"/>
      <c r="AD1021" s="113">
        <f>S1021-Y1021</f>
        <v>0</v>
      </c>
    </row>
    <row r="1022" spans="2:30" ht="45" hidden="1" customHeight="1">
      <c r="B1022" s="174">
        <v>1019</v>
      </c>
      <c r="C1022" s="104"/>
      <c r="D1022" s="104"/>
      <c r="E1022" s="104"/>
      <c r="F1022" s="104"/>
      <c r="G1022" s="145"/>
      <c r="H1022" s="104"/>
      <c r="I1022" s="104"/>
      <c r="J1022" s="104"/>
      <c r="K1022" s="104"/>
      <c r="L1022" s="104"/>
      <c r="M1022" s="104"/>
      <c r="N1022" s="104"/>
      <c r="O1022" s="104"/>
      <c r="P1022" s="104"/>
      <c r="Q1022" s="104"/>
      <c r="R1022" s="104"/>
      <c r="S1022" s="160"/>
      <c r="T1022" s="104"/>
      <c r="U1022" s="145"/>
      <c r="V1022" s="145"/>
      <c r="W1022" s="145"/>
      <c r="X1022" s="104"/>
      <c r="Y1022" s="194"/>
      <c r="Z1022" s="145"/>
      <c r="AA1022" s="145"/>
      <c r="AB1022" s="104"/>
      <c r="AC1022" s="104"/>
      <c r="AD1022" s="113">
        <f>S1022-Y1022</f>
        <v>0</v>
      </c>
    </row>
    <row r="1023" spans="2:30" ht="45" hidden="1" customHeight="1">
      <c r="B1023" s="174">
        <v>1020</v>
      </c>
      <c r="C1023" s="104"/>
      <c r="D1023" s="104"/>
      <c r="E1023" s="104"/>
      <c r="F1023" s="104"/>
      <c r="G1023" s="145"/>
      <c r="H1023" s="104"/>
      <c r="I1023" s="104"/>
      <c r="J1023" s="104"/>
      <c r="K1023" s="104"/>
      <c r="L1023" s="104"/>
      <c r="M1023" s="104"/>
      <c r="N1023" s="104"/>
      <c r="O1023" s="104"/>
      <c r="P1023" s="104"/>
      <c r="Q1023" s="104"/>
      <c r="R1023" s="104"/>
      <c r="S1023" s="160"/>
      <c r="T1023" s="104"/>
      <c r="U1023" s="145"/>
      <c r="V1023" s="145"/>
      <c r="W1023" s="145"/>
      <c r="X1023" s="104"/>
      <c r="Y1023" s="194"/>
      <c r="Z1023" s="145"/>
      <c r="AA1023" s="145"/>
      <c r="AB1023" s="104"/>
      <c r="AC1023" s="104"/>
      <c r="AD1023" s="113">
        <f>S1023-Y1023</f>
        <v>0</v>
      </c>
    </row>
    <row r="1024" spans="2:30" ht="45" hidden="1" customHeight="1">
      <c r="B1024" s="174">
        <v>1021</v>
      </c>
      <c r="C1024" s="104"/>
      <c r="D1024" s="104"/>
      <c r="E1024" s="104"/>
      <c r="F1024" s="104"/>
      <c r="G1024" s="145"/>
      <c r="H1024" s="104"/>
      <c r="I1024" s="104"/>
      <c r="J1024" s="104"/>
      <c r="K1024" s="104"/>
      <c r="L1024" s="104"/>
      <c r="M1024" s="104"/>
      <c r="N1024" s="104"/>
      <c r="O1024" s="104"/>
      <c r="P1024" s="104"/>
      <c r="Q1024" s="104"/>
      <c r="R1024" s="104"/>
      <c r="S1024" s="160"/>
      <c r="T1024" s="104"/>
      <c r="U1024" s="145"/>
      <c r="V1024" s="145"/>
      <c r="W1024" s="145"/>
      <c r="X1024" s="104"/>
      <c r="Y1024" s="194"/>
      <c r="Z1024" s="145"/>
      <c r="AA1024" s="145"/>
      <c r="AB1024" s="104"/>
      <c r="AC1024" s="104"/>
      <c r="AD1024" s="113">
        <f>S1024-Y1024</f>
        <v>0</v>
      </c>
    </row>
    <row r="1025" spans="2:30" ht="45" hidden="1" customHeight="1">
      <c r="B1025" s="174">
        <v>1022</v>
      </c>
      <c r="C1025" s="104"/>
      <c r="D1025" s="104"/>
      <c r="E1025" s="104"/>
      <c r="F1025" s="104"/>
      <c r="G1025" s="145"/>
      <c r="H1025" s="104"/>
      <c r="I1025" s="104"/>
      <c r="J1025" s="104"/>
      <c r="K1025" s="104"/>
      <c r="L1025" s="104"/>
      <c r="M1025" s="104"/>
      <c r="N1025" s="104"/>
      <c r="O1025" s="104"/>
      <c r="P1025" s="104"/>
      <c r="Q1025" s="104"/>
      <c r="R1025" s="104"/>
      <c r="S1025" s="160"/>
      <c r="T1025" s="104"/>
      <c r="U1025" s="145"/>
      <c r="V1025" s="145"/>
      <c r="W1025" s="145"/>
      <c r="X1025" s="104"/>
      <c r="Y1025" s="194"/>
      <c r="Z1025" s="145"/>
      <c r="AA1025" s="145"/>
      <c r="AB1025" s="104"/>
      <c r="AC1025" s="104"/>
      <c r="AD1025" s="113">
        <f>S1025-Y1025</f>
        <v>0</v>
      </c>
    </row>
    <row r="1026" spans="2:30" ht="45" hidden="1" customHeight="1">
      <c r="B1026" s="174">
        <v>1023</v>
      </c>
      <c r="C1026" s="104"/>
      <c r="D1026" s="104"/>
      <c r="E1026" s="104"/>
      <c r="F1026" s="104"/>
      <c r="G1026" s="145"/>
      <c r="H1026" s="104"/>
      <c r="I1026" s="104"/>
      <c r="J1026" s="104"/>
      <c r="K1026" s="104"/>
      <c r="L1026" s="104"/>
      <c r="M1026" s="104"/>
      <c r="N1026" s="104"/>
      <c r="O1026" s="104"/>
      <c r="P1026" s="104"/>
      <c r="Q1026" s="104"/>
      <c r="R1026" s="104"/>
      <c r="S1026" s="160"/>
      <c r="T1026" s="104"/>
      <c r="U1026" s="145"/>
      <c r="V1026" s="145"/>
      <c r="W1026" s="145"/>
      <c r="X1026" s="104"/>
      <c r="Y1026" s="194"/>
      <c r="Z1026" s="145"/>
      <c r="AA1026" s="145"/>
      <c r="AB1026" s="104"/>
      <c r="AC1026" s="104"/>
      <c r="AD1026" s="113">
        <f>S1026-Y1026</f>
        <v>0</v>
      </c>
    </row>
    <row r="1027" spans="2:30" ht="45" hidden="1" customHeight="1">
      <c r="B1027" s="174">
        <v>1024</v>
      </c>
      <c r="C1027" s="104"/>
      <c r="D1027" s="104"/>
      <c r="E1027" s="104"/>
      <c r="F1027" s="104"/>
      <c r="G1027" s="145"/>
      <c r="H1027" s="104"/>
      <c r="I1027" s="104"/>
      <c r="J1027" s="104"/>
      <c r="K1027" s="104"/>
      <c r="L1027" s="104"/>
      <c r="M1027" s="104"/>
      <c r="N1027" s="104"/>
      <c r="O1027" s="104"/>
      <c r="P1027" s="104"/>
      <c r="Q1027" s="104"/>
      <c r="R1027" s="104"/>
      <c r="S1027" s="160"/>
      <c r="T1027" s="104"/>
      <c r="U1027" s="145"/>
      <c r="V1027" s="145"/>
      <c r="W1027" s="145"/>
      <c r="X1027" s="104"/>
      <c r="Y1027" s="194"/>
      <c r="Z1027" s="145"/>
      <c r="AA1027" s="145"/>
      <c r="AB1027" s="104"/>
      <c r="AC1027" s="104"/>
      <c r="AD1027" s="113">
        <f>S1027-Y1027</f>
        <v>0</v>
      </c>
    </row>
    <row r="1028" spans="2:30" ht="45" hidden="1" customHeight="1">
      <c r="B1028" s="174">
        <v>1025</v>
      </c>
      <c r="C1028" s="104"/>
      <c r="D1028" s="104"/>
      <c r="E1028" s="104"/>
      <c r="F1028" s="104"/>
      <c r="G1028" s="145"/>
      <c r="H1028" s="104"/>
      <c r="I1028" s="104"/>
      <c r="J1028" s="104"/>
      <c r="K1028" s="104"/>
      <c r="L1028" s="104"/>
      <c r="M1028" s="104"/>
      <c r="N1028" s="104"/>
      <c r="O1028" s="104"/>
      <c r="P1028" s="104"/>
      <c r="Q1028" s="104"/>
      <c r="R1028" s="104"/>
      <c r="S1028" s="160"/>
      <c r="T1028" s="104"/>
      <c r="U1028" s="145"/>
      <c r="V1028" s="145"/>
      <c r="W1028" s="145"/>
      <c r="X1028" s="104"/>
      <c r="Y1028" s="194"/>
      <c r="Z1028" s="145"/>
      <c r="AA1028" s="145"/>
      <c r="AB1028" s="104"/>
      <c r="AC1028" s="104"/>
      <c r="AD1028" s="113">
        <f>S1028-Y1028</f>
        <v>0</v>
      </c>
    </row>
    <row r="1029" spans="2:30" ht="45" hidden="1" customHeight="1">
      <c r="B1029" s="174">
        <v>1026</v>
      </c>
      <c r="C1029" s="104"/>
      <c r="D1029" s="104"/>
      <c r="E1029" s="104"/>
      <c r="F1029" s="104"/>
      <c r="G1029" s="145"/>
      <c r="H1029" s="104"/>
      <c r="I1029" s="104"/>
      <c r="J1029" s="104"/>
      <c r="K1029" s="104"/>
      <c r="L1029" s="104"/>
      <c r="M1029" s="104"/>
      <c r="N1029" s="104"/>
      <c r="O1029" s="104"/>
      <c r="P1029" s="104"/>
      <c r="Q1029" s="104"/>
      <c r="R1029" s="104"/>
      <c r="S1029" s="160"/>
      <c r="T1029" s="104"/>
      <c r="U1029" s="145"/>
      <c r="V1029" s="145"/>
      <c r="W1029" s="145"/>
      <c r="X1029" s="104"/>
      <c r="Y1029" s="194"/>
      <c r="Z1029" s="145"/>
      <c r="AA1029" s="145"/>
      <c r="AB1029" s="104"/>
      <c r="AC1029" s="104"/>
      <c r="AD1029" s="113">
        <f>S1029-Y1029</f>
        <v>0</v>
      </c>
    </row>
    <row r="1030" spans="2:30" ht="45" hidden="1" customHeight="1">
      <c r="B1030" s="174">
        <v>1027</v>
      </c>
      <c r="C1030" s="104"/>
      <c r="D1030" s="104"/>
      <c r="E1030" s="104"/>
      <c r="F1030" s="104"/>
      <c r="G1030" s="145"/>
      <c r="H1030" s="104"/>
      <c r="I1030" s="104"/>
      <c r="J1030" s="104"/>
      <c r="K1030" s="104"/>
      <c r="L1030" s="104"/>
      <c r="M1030" s="104"/>
      <c r="N1030" s="104"/>
      <c r="O1030" s="104"/>
      <c r="P1030" s="104"/>
      <c r="Q1030" s="104"/>
      <c r="R1030" s="104"/>
      <c r="S1030" s="160"/>
      <c r="T1030" s="104"/>
      <c r="U1030" s="145"/>
      <c r="V1030" s="145"/>
      <c r="W1030" s="145"/>
      <c r="X1030" s="104"/>
      <c r="Y1030" s="194"/>
      <c r="Z1030" s="145"/>
      <c r="AA1030" s="145"/>
      <c r="AB1030" s="104"/>
      <c r="AC1030" s="104"/>
      <c r="AD1030" s="113">
        <f>S1030-Y1030</f>
        <v>0</v>
      </c>
    </row>
    <row r="1031" spans="2:30" ht="45" hidden="1" customHeight="1">
      <c r="B1031" s="174">
        <v>1028</v>
      </c>
      <c r="C1031" s="104"/>
      <c r="D1031" s="104"/>
      <c r="E1031" s="104"/>
      <c r="F1031" s="104"/>
      <c r="G1031" s="145"/>
      <c r="H1031" s="104"/>
      <c r="I1031" s="104"/>
      <c r="J1031" s="104"/>
      <c r="K1031" s="104"/>
      <c r="L1031" s="104"/>
      <c r="M1031" s="104"/>
      <c r="N1031" s="104"/>
      <c r="O1031" s="104"/>
      <c r="P1031" s="104"/>
      <c r="Q1031" s="104"/>
      <c r="R1031" s="104"/>
      <c r="S1031" s="160"/>
      <c r="T1031" s="104"/>
      <c r="U1031" s="145"/>
      <c r="V1031" s="145"/>
      <c r="W1031" s="145"/>
      <c r="X1031" s="104"/>
      <c r="Y1031" s="194"/>
      <c r="Z1031" s="145"/>
      <c r="AA1031" s="145"/>
      <c r="AB1031" s="104"/>
      <c r="AC1031" s="104"/>
      <c r="AD1031" s="113">
        <f>S1031-Y1031</f>
        <v>0</v>
      </c>
    </row>
    <row r="1032" spans="2:30" ht="45" hidden="1" customHeight="1">
      <c r="B1032" s="174">
        <v>1029</v>
      </c>
      <c r="C1032" s="104"/>
      <c r="D1032" s="104"/>
      <c r="E1032" s="104"/>
      <c r="F1032" s="104"/>
      <c r="G1032" s="145"/>
      <c r="H1032" s="104"/>
      <c r="I1032" s="104"/>
      <c r="J1032" s="104"/>
      <c r="K1032" s="104"/>
      <c r="L1032" s="104"/>
      <c r="M1032" s="104"/>
      <c r="N1032" s="104"/>
      <c r="O1032" s="104"/>
      <c r="P1032" s="104"/>
      <c r="Q1032" s="104"/>
      <c r="R1032" s="104"/>
      <c r="S1032" s="160"/>
      <c r="T1032" s="104"/>
      <c r="U1032" s="145"/>
      <c r="V1032" s="145"/>
      <c r="W1032" s="145"/>
      <c r="X1032" s="104"/>
      <c r="Y1032" s="194"/>
      <c r="Z1032" s="145"/>
      <c r="AA1032" s="145"/>
      <c r="AB1032" s="104"/>
      <c r="AC1032" s="104"/>
      <c r="AD1032" s="113">
        <f>S1032-Y1032</f>
        <v>0</v>
      </c>
    </row>
    <row r="1033" spans="2:30" ht="45" hidden="1" customHeight="1">
      <c r="B1033" s="174">
        <v>1030</v>
      </c>
      <c r="C1033" s="104"/>
      <c r="D1033" s="104"/>
      <c r="E1033" s="104"/>
      <c r="F1033" s="104"/>
      <c r="G1033" s="145"/>
      <c r="H1033" s="104"/>
      <c r="I1033" s="104"/>
      <c r="J1033" s="104"/>
      <c r="K1033" s="104"/>
      <c r="L1033" s="104"/>
      <c r="M1033" s="104"/>
      <c r="N1033" s="104"/>
      <c r="O1033" s="104"/>
      <c r="P1033" s="104"/>
      <c r="Q1033" s="104"/>
      <c r="R1033" s="104"/>
      <c r="S1033" s="160"/>
      <c r="T1033" s="104"/>
      <c r="U1033" s="145"/>
      <c r="V1033" s="145"/>
      <c r="W1033" s="145"/>
      <c r="X1033" s="104"/>
      <c r="Y1033" s="194"/>
      <c r="Z1033" s="145"/>
      <c r="AA1033" s="145"/>
      <c r="AB1033" s="104"/>
      <c r="AC1033" s="104"/>
      <c r="AD1033" s="113">
        <f>S1033-Y1033</f>
        <v>0</v>
      </c>
    </row>
    <row r="1034" spans="2:30" ht="45" hidden="1" customHeight="1">
      <c r="B1034" s="174">
        <v>1031</v>
      </c>
      <c r="C1034" s="104"/>
      <c r="D1034" s="104"/>
      <c r="E1034" s="104"/>
      <c r="F1034" s="104"/>
      <c r="G1034" s="145"/>
      <c r="H1034" s="104"/>
      <c r="I1034" s="104"/>
      <c r="J1034" s="104"/>
      <c r="K1034" s="104"/>
      <c r="L1034" s="104"/>
      <c r="M1034" s="104"/>
      <c r="N1034" s="104"/>
      <c r="O1034" s="104"/>
      <c r="P1034" s="104"/>
      <c r="Q1034" s="104"/>
      <c r="R1034" s="104"/>
      <c r="S1034" s="160"/>
      <c r="T1034" s="104"/>
      <c r="U1034" s="145"/>
      <c r="V1034" s="145"/>
      <c r="W1034" s="145"/>
      <c r="X1034" s="104"/>
      <c r="Y1034" s="194"/>
      <c r="Z1034" s="145"/>
      <c r="AA1034" s="145"/>
      <c r="AB1034" s="104"/>
      <c r="AC1034" s="104"/>
      <c r="AD1034" s="113">
        <f>S1034-Y1034</f>
        <v>0</v>
      </c>
    </row>
    <row r="1035" spans="2:30" ht="45" hidden="1" customHeight="1">
      <c r="B1035" s="174">
        <v>1032</v>
      </c>
      <c r="C1035" s="104"/>
      <c r="D1035" s="104"/>
      <c r="E1035" s="104"/>
      <c r="F1035" s="104"/>
      <c r="G1035" s="145"/>
      <c r="H1035" s="104"/>
      <c r="I1035" s="104"/>
      <c r="J1035" s="104"/>
      <c r="K1035" s="104"/>
      <c r="L1035" s="104"/>
      <c r="M1035" s="104"/>
      <c r="N1035" s="104"/>
      <c r="O1035" s="104"/>
      <c r="P1035" s="104"/>
      <c r="Q1035" s="104"/>
      <c r="R1035" s="104"/>
      <c r="S1035" s="160"/>
      <c r="T1035" s="104"/>
      <c r="U1035" s="145"/>
      <c r="V1035" s="145"/>
      <c r="W1035" s="145"/>
      <c r="X1035" s="104"/>
      <c r="Y1035" s="194"/>
      <c r="Z1035" s="145"/>
      <c r="AA1035" s="145"/>
      <c r="AB1035" s="104"/>
      <c r="AC1035" s="104"/>
      <c r="AD1035" s="113">
        <f>S1035-Y1035</f>
        <v>0</v>
      </c>
    </row>
    <row r="1036" spans="2:30" ht="45" hidden="1" customHeight="1">
      <c r="B1036" s="174">
        <v>1033</v>
      </c>
      <c r="C1036" s="104"/>
      <c r="D1036" s="104"/>
      <c r="E1036" s="104"/>
      <c r="F1036" s="104"/>
      <c r="G1036" s="145"/>
      <c r="H1036" s="104"/>
      <c r="I1036" s="104"/>
      <c r="J1036" s="104"/>
      <c r="K1036" s="104"/>
      <c r="L1036" s="104"/>
      <c r="M1036" s="104"/>
      <c r="N1036" s="104"/>
      <c r="O1036" s="104"/>
      <c r="P1036" s="104"/>
      <c r="Q1036" s="104"/>
      <c r="R1036" s="104"/>
      <c r="S1036" s="160"/>
      <c r="T1036" s="104"/>
      <c r="U1036" s="145"/>
      <c r="V1036" s="145"/>
      <c r="W1036" s="145"/>
      <c r="X1036" s="104"/>
      <c r="Y1036" s="194"/>
      <c r="Z1036" s="145"/>
      <c r="AA1036" s="145"/>
      <c r="AB1036" s="104"/>
      <c r="AC1036" s="104"/>
      <c r="AD1036" s="113">
        <f>S1036-Y1036</f>
        <v>0</v>
      </c>
    </row>
    <row r="1037" spans="2:30" ht="45" hidden="1" customHeight="1">
      <c r="B1037" s="174">
        <v>1034</v>
      </c>
      <c r="C1037" s="104"/>
      <c r="D1037" s="104"/>
      <c r="E1037" s="104"/>
      <c r="F1037" s="104"/>
      <c r="G1037" s="145"/>
      <c r="H1037" s="104"/>
      <c r="I1037" s="104"/>
      <c r="J1037" s="104"/>
      <c r="K1037" s="104"/>
      <c r="L1037" s="104"/>
      <c r="M1037" s="104"/>
      <c r="N1037" s="104"/>
      <c r="O1037" s="104"/>
      <c r="P1037" s="104"/>
      <c r="Q1037" s="104"/>
      <c r="R1037" s="104"/>
      <c r="S1037" s="160"/>
      <c r="T1037" s="104"/>
      <c r="U1037" s="145"/>
      <c r="V1037" s="145"/>
      <c r="W1037" s="145"/>
      <c r="X1037" s="104"/>
      <c r="Y1037" s="194"/>
      <c r="Z1037" s="145"/>
      <c r="AA1037" s="145"/>
      <c r="AB1037" s="104"/>
      <c r="AC1037" s="104"/>
      <c r="AD1037" s="113">
        <f>S1037-Y1037</f>
        <v>0</v>
      </c>
    </row>
    <row r="1038" spans="2:30" ht="45" hidden="1" customHeight="1">
      <c r="B1038" s="174">
        <v>1035</v>
      </c>
      <c r="C1038" s="104"/>
      <c r="D1038" s="104"/>
      <c r="E1038" s="104"/>
      <c r="F1038" s="104"/>
      <c r="G1038" s="145"/>
      <c r="H1038" s="104"/>
      <c r="I1038" s="104"/>
      <c r="J1038" s="104"/>
      <c r="K1038" s="104"/>
      <c r="L1038" s="104"/>
      <c r="M1038" s="104"/>
      <c r="N1038" s="104"/>
      <c r="O1038" s="104"/>
      <c r="P1038" s="104"/>
      <c r="Q1038" s="104"/>
      <c r="R1038" s="104"/>
      <c r="S1038" s="160"/>
      <c r="T1038" s="104"/>
      <c r="U1038" s="145"/>
      <c r="V1038" s="145"/>
      <c r="W1038" s="145"/>
      <c r="X1038" s="104"/>
      <c r="Y1038" s="194"/>
      <c r="Z1038" s="145"/>
      <c r="AA1038" s="145"/>
      <c r="AB1038" s="104"/>
      <c r="AC1038" s="104"/>
      <c r="AD1038" s="113">
        <f>S1038-Y1038</f>
        <v>0</v>
      </c>
    </row>
    <row r="1039" spans="2:30" ht="45" hidden="1" customHeight="1">
      <c r="B1039" s="174">
        <v>1036</v>
      </c>
      <c r="C1039" s="104"/>
      <c r="D1039" s="104"/>
      <c r="E1039" s="104"/>
      <c r="F1039" s="104"/>
      <c r="G1039" s="145"/>
      <c r="H1039" s="104"/>
      <c r="I1039" s="104"/>
      <c r="J1039" s="104"/>
      <c r="K1039" s="104"/>
      <c r="L1039" s="104"/>
      <c r="M1039" s="104"/>
      <c r="N1039" s="104"/>
      <c r="O1039" s="104"/>
      <c r="P1039" s="104"/>
      <c r="Q1039" s="104"/>
      <c r="R1039" s="104"/>
      <c r="S1039" s="160"/>
      <c r="T1039" s="104"/>
      <c r="U1039" s="145"/>
      <c r="V1039" s="145"/>
      <c r="W1039" s="145"/>
      <c r="X1039" s="104"/>
      <c r="Y1039" s="194"/>
      <c r="Z1039" s="145"/>
      <c r="AA1039" s="145"/>
      <c r="AB1039" s="104"/>
      <c r="AC1039" s="104"/>
      <c r="AD1039" s="113">
        <f>S1039-Y1039</f>
        <v>0</v>
      </c>
    </row>
    <row r="1040" spans="2:30" ht="45" hidden="1" customHeight="1">
      <c r="B1040" s="174">
        <v>1037</v>
      </c>
      <c r="C1040" s="104"/>
      <c r="D1040" s="104"/>
      <c r="E1040" s="104"/>
      <c r="F1040" s="104"/>
      <c r="G1040" s="145"/>
      <c r="H1040" s="104"/>
      <c r="I1040" s="104"/>
      <c r="J1040" s="104"/>
      <c r="K1040" s="104"/>
      <c r="L1040" s="104"/>
      <c r="M1040" s="104"/>
      <c r="N1040" s="104"/>
      <c r="O1040" s="104"/>
      <c r="P1040" s="104"/>
      <c r="Q1040" s="104"/>
      <c r="R1040" s="104"/>
      <c r="S1040" s="160"/>
      <c r="T1040" s="104"/>
      <c r="U1040" s="145"/>
      <c r="V1040" s="145"/>
      <c r="W1040" s="145"/>
      <c r="X1040" s="104"/>
      <c r="Y1040" s="194"/>
      <c r="Z1040" s="145"/>
      <c r="AA1040" s="145"/>
      <c r="AB1040" s="104"/>
      <c r="AC1040" s="104"/>
      <c r="AD1040" s="113">
        <f>S1040-Y1040</f>
        <v>0</v>
      </c>
    </row>
    <row r="1041" spans="2:30" ht="45" hidden="1" customHeight="1">
      <c r="B1041" s="174">
        <v>1038</v>
      </c>
      <c r="C1041" s="104"/>
      <c r="D1041" s="104"/>
      <c r="E1041" s="104"/>
      <c r="F1041" s="104"/>
      <c r="G1041" s="145"/>
      <c r="H1041" s="104"/>
      <c r="I1041" s="104"/>
      <c r="J1041" s="104"/>
      <c r="K1041" s="104"/>
      <c r="L1041" s="104"/>
      <c r="M1041" s="104"/>
      <c r="N1041" s="104"/>
      <c r="O1041" s="104"/>
      <c r="P1041" s="104"/>
      <c r="Q1041" s="104"/>
      <c r="R1041" s="104"/>
      <c r="S1041" s="160"/>
      <c r="T1041" s="104"/>
      <c r="U1041" s="145"/>
      <c r="V1041" s="145"/>
      <c r="W1041" s="145"/>
      <c r="X1041" s="104"/>
      <c r="Y1041" s="194"/>
      <c r="Z1041" s="145"/>
      <c r="AA1041" s="145"/>
      <c r="AB1041" s="104"/>
      <c r="AC1041" s="104"/>
      <c r="AD1041" s="113">
        <f>S1041-Y1041</f>
        <v>0</v>
      </c>
    </row>
    <row r="1042" spans="2:30" ht="45" hidden="1" customHeight="1">
      <c r="B1042" s="174">
        <v>1039</v>
      </c>
      <c r="C1042" s="104"/>
      <c r="D1042" s="104"/>
      <c r="E1042" s="104"/>
      <c r="F1042" s="104"/>
      <c r="G1042" s="145"/>
      <c r="H1042" s="104"/>
      <c r="I1042" s="104"/>
      <c r="J1042" s="104"/>
      <c r="K1042" s="104"/>
      <c r="L1042" s="104"/>
      <c r="M1042" s="104"/>
      <c r="N1042" s="104"/>
      <c r="O1042" s="104"/>
      <c r="P1042" s="104"/>
      <c r="Q1042" s="104"/>
      <c r="R1042" s="104"/>
      <c r="S1042" s="160"/>
      <c r="T1042" s="104"/>
      <c r="U1042" s="145"/>
      <c r="V1042" s="145"/>
      <c r="W1042" s="145"/>
      <c r="X1042" s="104"/>
      <c r="Y1042" s="194"/>
      <c r="Z1042" s="145"/>
      <c r="AA1042" s="145"/>
      <c r="AB1042" s="104"/>
      <c r="AC1042" s="104"/>
      <c r="AD1042" s="113">
        <f>S1042-Y1042</f>
        <v>0</v>
      </c>
    </row>
    <row r="1043" spans="2:30" ht="45" hidden="1" customHeight="1">
      <c r="B1043" s="174">
        <v>1040</v>
      </c>
      <c r="C1043" s="104"/>
      <c r="D1043" s="104"/>
      <c r="E1043" s="104"/>
      <c r="F1043" s="104"/>
      <c r="G1043" s="145"/>
      <c r="H1043" s="104"/>
      <c r="I1043" s="104"/>
      <c r="J1043" s="104"/>
      <c r="K1043" s="104"/>
      <c r="L1043" s="104"/>
      <c r="M1043" s="104"/>
      <c r="N1043" s="104"/>
      <c r="O1043" s="104"/>
      <c r="P1043" s="104"/>
      <c r="Q1043" s="104"/>
      <c r="R1043" s="104"/>
      <c r="S1043" s="160"/>
      <c r="T1043" s="104"/>
      <c r="U1043" s="145"/>
      <c r="V1043" s="145"/>
      <c r="W1043" s="145"/>
      <c r="X1043" s="104"/>
      <c r="Y1043" s="194"/>
      <c r="Z1043" s="145"/>
      <c r="AA1043" s="145"/>
      <c r="AB1043" s="104"/>
      <c r="AC1043" s="104"/>
      <c r="AD1043" s="113">
        <f>S1043-Y1043</f>
        <v>0</v>
      </c>
    </row>
    <row r="1044" spans="2:30" ht="45" hidden="1" customHeight="1">
      <c r="B1044" s="174">
        <v>1041</v>
      </c>
      <c r="C1044" s="104"/>
      <c r="D1044" s="104"/>
      <c r="E1044" s="104"/>
      <c r="F1044" s="104"/>
      <c r="G1044" s="145"/>
      <c r="H1044" s="104"/>
      <c r="I1044" s="104"/>
      <c r="J1044" s="104"/>
      <c r="K1044" s="104"/>
      <c r="L1044" s="104"/>
      <c r="M1044" s="104"/>
      <c r="N1044" s="104"/>
      <c r="O1044" s="104"/>
      <c r="P1044" s="104"/>
      <c r="Q1044" s="104"/>
      <c r="R1044" s="104"/>
      <c r="S1044" s="160"/>
      <c r="T1044" s="104"/>
      <c r="U1044" s="145"/>
      <c r="V1044" s="145"/>
      <c r="W1044" s="145"/>
      <c r="X1044" s="104"/>
      <c r="Y1044" s="194"/>
      <c r="Z1044" s="145"/>
      <c r="AA1044" s="145"/>
      <c r="AB1044" s="104"/>
      <c r="AC1044" s="104"/>
      <c r="AD1044" s="113">
        <f>S1044-Y1044</f>
        <v>0</v>
      </c>
    </row>
    <row r="1045" spans="2:30" ht="45" hidden="1" customHeight="1">
      <c r="B1045" s="174">
        <v>1042</v>
      </c>
      <c r="C1045" s="104"/>
      <c r="D1045" s="104"/>
      <c r="E1045" s="104"/>
      <c r="F1045" s="104"/>
      <c r="G1045" s="145"/>
      <c r="H1045" s="104"/>
      <c r="I1045" s="104"/>
      <c r="J1045" s="104"/>
      <c r="K1045" s="104"/>
      <c r="L1045" s="104"/>
      <c r="M1045" s="104"/>
      <c r="N1045" s="104"/>
      <c r="O1045" s="104"/>
      <c r="P1045" s="104"/>
      <c r="Q1045" s="104"/>
      <c r="R1045" s="104"/>
      <c r="S1045" s="160"/>
      <c r="T1045" s="104"/>
      <c r="U1045" s="145"/>
      <c r="V1045" s="145"/>
      <c r="W1045" s="145"/>
      <c r="X1045" s="104"/>
      <c r="Y1045" s="194"/>
      <c r="Z1045" s="145"/>
      <c r="AA1045" s="145"/>
      <c r="AB1045" s="104"/>
      <c r="AC1045" s="104"/>
      <c r="AD1045" s="113">
        <f>S1045-Y1045</f>
        <v>0</v>
      </c>
    </row>
    <row r="1046" spans="2:30" ht="45" hidden="1" customHeight="1">
      <c r="B1046" s="174">
        <v>1043</v>
      </c>
      <c r="C1046" s="104"/>
      <c r="D1046" s="104"/>
      <c r="E1046" s="104"/>
      <c r="F1046" s="104"/>
      <c r="G1046" s="145"/>
      <c r="H1046" s="104"/>
      <c r="I1046" s="104"/>
      <c r="J1046" s="104"/>
      <c r="K1046" s="104"/>
      <c r="L1046" s="104"/>
      <c r="M1046" s="104"/>
      <c r="N1046" s="104"/>
      <c r="O1046" s="104"/>
      <c r="P1046" s="104"/>
      <c r="Q1046" s="104"/>
      <c r="R1046" s="104"/>
      <c r="S1046" s="160"/>
      <c r="T1046" s="104"/>
      <c r="U1046" s="145"/>
      <c r="V1046" s="145"/>
      <c r="W1046" s="145"/>
      <c r="X1046" s="104"/>
      <c r="Y1046" s="194"/>
      <c r="Z1046" s="145"/>
      <c r="AA1046" s="145"/>
      <c r="AB1046" s="104"/>
      <c r="AC1046" s="104"/>
      <c r="AD1046" s="113">
        <f>S1046-Y1046</f>
        <v>0</v>
      </c>
    </row>
    <row r="1047" spans="2:30" ht="45" hidden="1" customHeight="1">
      <c r="B1047" s="174">
        <v>1044</v>
      </c>
      <c r="C1047" s="104"/>
      <c r="D1047" s="104"/>
      <c r="E1047" s="104"/>
      <c r="F1047" s="104"/>
      <c r="G1047" s="145"/>
      <c r="H1047" s="104"/>
      <c r="I1047" s="104"/>
      <c r="J1047" s="104"/>
      <c r="K1047" s="104"/>
      <c r="L1047" s="104"/>
      <c r="M1047" s="104"/>
      <c r="N1047" s="104"/>
      <c r="O1047" s="104"/>
      <c r="P1047" s="104"/>
      <c r="Q1047" s="104"/>
      <c r="R1047" s="104"/>
      <c r="S1047" s="160"/>
      <c r="T1047" s="104"/>
      <c r="U1047" s="145"/>
      <c r="V1047" s="145"/>
      <c r="W1047" s="145"/>
      <c r="X1047" s="104"/>
      <c r="Y1047" s="194"/>
      <c r="Z1047" s="145"/>
      <c r="AA1047" s="145"/>
      <c r="AB1047" s="104"/>
      <c r="AC1047" s="104"/>
      <c r="AD1047" s="113">
        <f>S1047-Y1047</f>
        <v>0</v>
      </c>
    </row>
    <row r="1048" spans="2:30" ht="45" hidden="1" customHeight="1">
      <c r="B1048" s="174">
        <v>1045</v>
      </c>
      <c r="C1048" s="104"/>
      <c r="D1048" s="104"/>
      <c r="E1048" s="104"/>
      <c r="F1048" s="104"/>
      <c r="G1048" s="145"/>
      <c r="H1048" s="104"/>
      <c r="I1048" s="104"/>
      <c r="J1048" s="104"/>
      <c r="K1048" s="104"/>
      <c r="L1048" s="104"/>
      <c r="M1048" s="104"/>
      <c r="N1048" s="104"/>
      <c r="O1048" s="104"/>
      <c r="P1048" s="104"/>
      <c r="Q1048" s="104"/>
      <c r="R1048" s="104"/>
      <c r="S1048" s="160"/>
      <c r="T1048" s="104"/>
      <c r="U1048" s="145"/>
      <c r="V1048" s="145"/>
      <c r="W1048" s="145"/>
      <c r="X1048" s="104"/>
      <c r="Y1048" s="194"/>
      <c r="Z1048" s="145"/>
      <c r="AA1048" s="145"/>
      <c r="AB1048" s="104"/>
      <c r="AC1048" s="104"/>
      <c r="AD1048" s="113">
        <f>S1048-Y1048</f>
        <v>0</v>
      </c>
    </row>
    <row r="1049" spans="2:30" ht="45" hidden="1" customHeight="1">
      <c r="B1049" s="174">
        <v>1046</v>
      </c>
      <c r="C1049" s="104"/>
      <c r="D1049" s="104"/>
      <c r="E1049" s="104"/>
      <c r="F1049" s="104"/>
      <c r="G1049" s="145"/>
      <c r="H1049" s="104"/>
      <c r="I1049" s="104"/>
      <c r="J1049" s="104"/>
      <c r="K1049" s="104"/>
      <c r="L1049" s="104"/>
      <c r="M1049" s="104"/>
      <c r="N1049" s="104"/>
      <c r="O1049" s="104"/>
      <c r="P1049" s="104"/>
      <c r="Q1049" s="104"/>
      <c r="R1049" s="104"/>
      <c r="S1049" s="160"/>
      <c r="T1049" s="104"/>
      <c r="U1049" s="145"/>
      <c r="V1049" s="145"/>
      <c r="W1049" s="145"/>
      <c r="X1049" s="104"/>
      <c r="Y1049" s="194"/>
      <c r="Z1049" s="145"/>
      <c r="AA1049" s="145"/>
      <c r="AB1049" s="104"/>
      <c r="AC1049" s="104"/>
      <c r="AD1049" s="113">
        <f>S1049-Y1049</f>
        <v>0</v>
      </c>
    </row>
    <row r="1050" spans="2:30" ht="45" hidden="1" customHeight="1">
      <c r="B1050" s="174">
        <v>1047</v>
      </c>
      <c r="C1050" s="104"/>
      <c r="D1050" s="104"/>
      <c r="E1050" s="104"/>
      <c r="F1050" s="104"/>
      <c r="G1050" s="145"/>
      <c r="H1050" s="104"/>
      <c r="I1050" s="104"/>
      <c r="J1050" s="104"/>
      <c r="K1050" s="104"/>
      <c r="L1050" s="104"/>
      <c r="M1050" s="104"/>
      <c r="N1050" s="104"/>
      <c r="O1050" s="104"/>
      <c r="P1050" s="104"/>
      <c r="Q1050" s="104"/>
      <c r="R1050" s="104"/>
      <c r="S1050" s="160"/>
      <c r="T1050" s="104"/>
      <c r="U1050" s="145"/>
      <c r="V1050" s="145"/>
      <c r="W1050" s="145"/>
      <c r="X1050" s="104"/>
      <c r="Y1050" s="194"/>
      <c r="Z1050" s="145"/>
      <c r="AA1050" s="145"/>
      <c r="AB1050" s="104"/>
      <c r="AC1050" s="104"/>
      <c r="AD1050" s="113">
        <f>S1050-Y1050</f>
        <v>0</v>
      </c>
    </row>
    <row r="1051" spans="2:30" ht="45" hidden="1" customHeight="1">
      <c r="B1051" s="174">
        <v>1048</v>
      </c>
      <c r="C1051" s="104"/>
      <c r="D1051" s="104"/>
      <c r="E1051" s="104"/>
      <c r="F1051" s="104"/>
      <c r="G1051" s="145"/>
      <c r="H1051" s="104"/>
      <c r="I1051" s="104"/>
      <c r="J1051" s="104"/>
      <c r="K1051" s="104"/>
      <c r="L1051" s="104"/>
      <c r="M1051" s="104"/>
      <c r="N1051" s="104"/>
      <c r="O1051" s="104"/>
      <c r="P1051" s="104"/>
      <c r="Q1051" s="104"/>
      <c r="R1051" s="104"/>
      <c r="S1051" s="160"/>
      <c r="T1051" s="104"/>
      <c r="U1051" s="145"/>
      <c r="V1051" s="145"/>
      <c r="W1051" s="145"/>
      <c r="X1051" s="104"/>
      <c r="Y1051" s="194"/>
      <c r="Z1051" s="145"/>
      <c r="AA1051" s="145"/>
      <c r="AB1051" s="104"/>
      <c r="AC1051" s="104"/>
      <c r="AD1051" s="113">
        <f>S1051-Y1051</f>
        <v>0</v>
      </c>
    </row>
    <row r="1052" spans="2:30" ht="45" hidden="1" customHeight="1">
      <c r="B1052" s="174">
        <v>1049</v>
      </c>
      <c r="C1052" s="104"/>
      <c r="D1052" s="104"/>
      <c r="E1052" s="104"/>
      <c r="F1052" s="104"/>
      <c r="G1052" s="145"/>
      <c r="H1052" s="104"/>
      <c r="I1052" s="104"/>
      <c r="J1052" s="104"/>
      <c r="K1052" s="104"/>
      <c r="L1052" s="104"/>
      <c r="M1052" s="104"/>
      <c r="N1052" s="104"/>
      <c r="O1052" s="104"/>
      <c r="P1052" s="104"/>
      <c r="Q1052" s="104"/>
      <c r="R1052" s="104"/>
      <c r="S1052" s="160"/>
      <c r="T1052" s="104"/>
      <c r="U1052" s="145"/>
      <c r="V1052" s="145"/>
      <c r="W1052" s="145"/>
      <c r="X1052" s="104"/>
      <c r="Y1052" s="194"/>
      <c r="Z1052" s="145"/>
      <c r="AA1052" s="145"/>
      <c r="AB1052" s="104"/>
      <c r="AC1052" s="104"/>
      <c r="AD1052" s="113">
        <f>S1052-Y1052</f>
        <v>0</v>
      </c>
    </row>
    <row r="1053" spans="2:30" ht="45" hidden="1" customHeight="1">
      <c r="B1053" s="174">
        <v>1050</v>
      </c>
      <c r="C1053" s="104"/>
      <c r="D1053" s="104"/>
      <c r="E1053" s="104"/>
      <c r="F1053" s="104"/>
      <c r="G1053" s="145"/>
      <c r="H1053" s="104"/>
      <c r="I1053" s="104"/>
      <c r="J1053" s="104"/>
      <c r="K1053" s="104"/>
      <c r="L1053" s="104"/>
      <c r="M1053" s="104"/>
      <c r="N1053" s="104"/>
      <c r="O1053" s="104"/>
      <c r="P1053" s="104"/>
      <c r="Q1053" s="104"/>
      <c r="R1053" s="104"/>
      <c r="S1053" s="160"/>
      <c r="T1053" s="104"/>
      <c r="U1053" s="145"/>
      <c r="V1053" s="145"/>
      <c r="W1053" s="145"/>
      <c r="X1053" s="104"/>
      <c r="Y1053" s="194"/>
      <c r="Z1053" s="145"/>
      <c r="AA1053" s="145"/>
      <c r="AB1053" s="104"/>
      <c r="AC1053" s="104"/>
      <c r="AD1053" s="113">
        <f>S1053-Y1053</f>
        <v>0</v>
      </c>
    </row>
    <row r="1054" spans="2:30" ht="45" hidden="1" customHeight="1">
      <c r="B1054" s="174">
        <v>1051</v>
      </c>
      <c r="C1054" s="104"/>
      <c r="D1054" s="104"/>
      <c r="E1054" s="104"/>
      <c r="F1054" s="104"/>
      <c r="G1054" s="145"/>
      <c r="H1054" s="104"/>
      <c r="I1054" s="104"/>
      <c r="J1054" s="104"/>
      <c r="K1054" s="104"/>
      <c r="L1054" s="104"/>
      <c r="M1054" s="104"/>
      <c r="N1054" s="104"/>
      <c r="O1054" s="104"/>
      <c r="P1054" s="104"/>
      <c r="Q1054" s="104"/>
      <c r="R1054" s="104"/>
      <c r="S1054" s="160"/>
      <c r="T1054" s="104"/>
      <c r="U1054" s="145"/>
      <c r="V1054" s="145"/>
      <c r="W1054" s="145"/>
      <c r="X1054" s="104"/>
      <c r="Y1054" s="194"/>
      <c r="Z1054" s="145"/>
      <c r="AA1054" s="145"/>
      <c r="AB1054" s="104"/>
      <c r="AC1054" s="104"/>
      <c r="AD1054" s="113">
        <f>S1054-Y1054</f>
        <v>0</v>
      </c>
    </row>
    <row r="1055" spans="2:30" ht="45" hidden="1" customHeight="1">
      <c r="B1055" s="174">
        <v>1052</v>
      </c>
      <c r="C1055" s="104"/>
      <c r="D1055" s="104"/>
      <c r="E1055" s="104"/>
      <c r="F1055" s="104"/>
      <c r="G1055" s="145"/>
      <c r="H1055" s="104"/>
      <c r="I1055" s="104"/>
      <c r="J1055" s="104"/>
      <c r="K1055" s="104"/>
      <c r="L1055" s="104"/>
      <c r="M1055" s="104"/>
      <c r="N1055" s="104"/>
      <c r="O1055" s="104"/>
      <c r="P1055" s="104"/>
      <c r="Q1055" s="104"/>
      <c r="R1055" s="104"/>
      <c r="S1055" s="160"/>
      <c r="T1055" s="104"/>
      <c r="U1055" s="145"/>
      <c r="V1055" s="145"/>
      <c r="W1055" s="145"/>
      <c r="X1055" s="104"/>
      <c r="Y1055" s="194"/>
      <c r="Z1055" s="145"/>
      <c r="AA1055" s="145"/>
      <c r="AB1055" s="104"/>
      <c r="AC1055" s="104"/>
      <c r="AD1055" s="113">
        <f>S1055-Y1055</f>
        <v>0</v>
      </c>
    </row>
    <row r="1056" spans="2:30" ht="45" hidden="1" customHeight="1">
      <c r="B1056" s="174">
        <v>1053</v>
      </c>
      <c r="C1056" s="104"/>
      <c r="D1056" s="104"/>
      <c r="E1056" s="104"/>
      <c r="F1056" s="104"/>
      <c r="G1056" s="145"/>
      <c r="H1056" s="104"/>
      <c r="I1056" s="104"/>
      <c r="J1056" s="104"/>
      <c r="K1056" s="104"/>
      <c r="L1056" s="104"/>
      <c r="M1056" s="104"/>
      <c r="N1056" s="104"/>
      <c r="O1056" s="104"/>
      <c r="P1056" s="104"/>
      <c r="Q1056" s="104"/>
      <c r="R1056" s="104"/>
      <c r="S1056" s="160"/>
      <c r="T1056" s="104"/>
      <c r="U1056" s="145"/>
      <c r="V1056" s="145"/>
      <c r="W1056" s="145"/>
      <c r="X1056" s="104"/>
      <c r="Y1056" s="194"/>
      <c r="Z1056" s="145"/>
      <c r="AA1056" s="145"/>
      <c r="AB1056" s="104"/>
      <c r="AC1056" s="104"/>
      <c r="AD1056" s="113">
        <f>S1056-Y1056</f>
        <v>0</v>
      </c>
    </row>
    <row r="1057" spans="2:30" ht="45" hidden="1" customHeight="1">
      <c r="B1057" s="174">
        <v>1054</v>
      </c>
      <c r="C1057" s="104"/>
      <c r="D1057" s="104"/>
      <c r="E1057" s="104"/>
      <c r="F1057" s="104"/>
      <c r="G1057" s="145"/>
      <c r="H1057" s="104"/>
      <c r="I1057" s="104"/>
      <c r="J1057" s="104"/>
      <c r="K1057" s="104"/>
      <c r="L1057" s="104"/>
      <c r="M1057" s="104"/>
      <c r="N1057" s="104"/>
      <c r="O1057" s="104"/>
      <c r="P1057" s="104"/>
      <c r="Q1057" s="104"/>
      <c r="R1057" s="104"/>
      <c r="S1057" s="160"/>
      <c r="T1057" s="104"/>
      <c r="U1057" s="145"/>
      <c r="V1057" s="145"/>
      <c r="W1057" s="145"/>
      <c r="X1057" s="104"/>
      <c r="Y1057" s="194"/>
      <c r="Z1057" s="145"/>
      <c r="AA1057" s="145"/>
      <c r="AB1057" s="104"/>
      <c r="AC1057" s="104"/>
      <c r="AD1057" s="113">
        <f>S1057-Y1057</f>
        <v>0</v>
      </c>
    </row>
    <row r="1058" spans="2:30" ht="45" hidden="1" customHeight="1">
      <c r="B1058" s="174">
        <v>1055</v>
      </c>
      <c r="C1058" s="104"/>
      <c r="D1058" s="104"/>
      <c r="E1058" s="104"/>
      <c r="F1058" s="104"/>
      <c r="G1058" s="145"/>
      <c r="H1058" s="104"/>
      <c r="I1058" s="104"/>
      <c r="J1058" s="104"/>
      <c r="K1058" s="104"/>
      <c r="L1058" s="104"/>
      <c r="M1058" s="104"/>
      <c r="N1058" s="104"/>
      <c r="O1058" s="104"/>
      <c r="P1058" s="104"/>
      <c r="Q1058" s="104"/>
      <c r="R1058" s="104"/>
      <c r="S1058" s="160"/>
      <c r="T1058" s="104"/>
      <c r="U1058" s="145"/>
      <c r="V1058" s="145"/>
      <c r="W1058" s="145"/>
      <c r="X1058" s="104"/>
      <c r="Y1058" s="194"/>
      <c r="Z1058" s="145"/>
      <c r="AA1058" s="145"/>
      <c r="AB1058" s="104"/>
      <c r="AC1058" s="104"/>
      <c r="AD1058" s="113">
        <f>S1058-Y1058</f>
        <v>0</v>
      </c>
    </row>
    <row r="1059" spans="2:30" ht="45" hidden="1" customHeight="1">
      <c r="B1059" s="174">
        <v>1056</v>
      </c>
      <c r="C1059" s="104"/>
      <c r="D1059" s="104"/>
      <c r="E1059" s="104"/>
      <c r="F1059" s="104"/>
      <c r="G1059" s="145"/>
      <c r="H1059" s="104"/>
      <c r="I1059" s="104"/>
      <c r="J1059" s="104"/>
      <c r="K1059" s="104"/>
      <c r="L1059" s="104"/>
      <c r="M1059" s="104"/>
      <c r="N1059" s="104"/>
      <c r="O1059" s="104"/>
      <c r="P1059" s="104"/>
      <c r="Q1059" s="104"/>
      <c r="R1059" s="104"/>
      <c r="S1059" s="160"/>
      <c r="T1059" s="104"/>
      <c r="U1059" s="145"/>
      <c r="V1059" s="145"/>
      <c r="W1059" s="145"/>
      <c r="X1059" s="104"/>
      <c r="Y1059" s="194"/>
      <c r="Z1059" s="145"/>
      <c r="AA1059" s="145"/>
      <c r="AB1059" s="104"/>
      <c r="AC1059" s="104"/>
      <c r="AD1059" s="113">
        <f>S1059-Y1059</f>
        <v>0</v>
      </c>
    </row>
    <row r="1060" spans="2:30" ht="45" hidden="1" customHeight="1">
      <c r="B1060" s="174">
        <v>1057</v>
      </c>
      <c r="C1060" s="104"/>
      <c r="D1060" s="104"/>
      <c r="E1060" s="104"/>
      <c r="F1060" s="104"/>
      <c r="G1060" s="145"/>
      <c r="H1060" s="104"/>
      <c r="I1060" s="104"/>
      <c r="J1060" s="104"/>
      <c r="K1060" s="104"/>
      <c r="L1060" s="104"/>
      <c r="M1060" s="104"/>
      <c r="N1060" s="104"/>
      <c r="O1060" s="104"/>
      <c r="P1060" s="104"/>
      <c r="Q1060" s="104"/>
      <c r="R1060" s="104"/>
      <c r="S1060" s="160"/>
      <c r="T1060" s="104"/>
      <c r="U1060" s="145"/>
      <c r="V1060" s="145"/>
      <c r="W1060" s="145"/>
      <c r="X1060" s="104"/>
      <c r="Y1060" s="194"/>
      <c r="Z1060" s="145"/>
      <c r="AA1060" s="145"/>
      <c r="AB1060" s="104"/>
      <c r="AC1060" s="104"/>
      <c r="AD1060" s="113">
        <f>S1060-Y1060</f>
        <v>0</v>
      </c>
    </row>
    <row r="1061" spans="2:30" ht="45" hidden="1" customHeight="1">
      <c r="B1061" s="174">
        <v>1058</v>
      </c>
      <c r="C1061" s="104"/>
      <c r="D1061" s="104"/>
      <c r="E1061" s="104"/>
      <c r="F1061" s="104"/>
      <c r="G1061" s="145"/>
      <c r="H1061" s="104"/>
      <c r="I1061" s="104"/>
      <c r="J1061" s="104"/>
      <c r="K1061" s="104"/>
      <c r="L1061" s="104"/>
      <c r="M1061" s="104"/>
      <c r="N1061" s="104"/>
      <c r="O1061" s="104"/>
      <c r="P1061" s="104"/>
      <c r="Q1061" s="104"/>
      <c r="R1061" s="104"/>
      <c r="S1061" s="160"/>
      <c r="T1061" s="104"/>
      <c r="U1061" s="145"/>
      <c r="V1061" s="145"/>
      <c r="W1061" s="145"/>
      <c r="X1061" s="104"/>
      <c r="Y1061" s="194"/>
      <c r="Z1061" s="145"/>
      <c r="AA1061" s="145"/>
      <c r="AB1061" s="104"/>
      <c r="AC1061" s="104"/>
      <c r="AD1061" s="113">
        <f>S1061-Y1061</f>
        <v>0</v>
      </c>
    </row>
    <row r="1062" spans="2:30" ht="45" hidden="1" customHeight="1">
      <c r="B1062" s="174">
        <v>1059</v>
      </c>
      <c r="C1062" s="104"/>
      <c r="D1062" s="104"/>
      <c r="E1062" s="104"/>
      <c r="F1062" s="104"/>
      <c r="G1062" s="145"/>
      <c r="H1062" s="104"/>
      <c r="I1062" s="104"/>
      <c r="J1062" s="104"/>
      <c r="K1062" s="104"/>
      <c r="L1062" s="104"/>
      <c r="M1062" s="104"/>
      <c r="N1062" s="104"/>
      <c r="O1062" s="104"/>
      <c r="P1062" s="104"/>
      <c r="Q1062" s="104"/>
      <c r="R1062" s="104"/>
      <c r="S1062" s="160"/>
      <c r="T1062" s="104"/>
      <c r="U1062" s="145"/>
      <c r="V1062" s="145"/>
      <c r="W1062" s="145"/>
      <c r="X1062" s="104"/>
      <c r="Y1062" s="194"/>
      <c r="Z1062" s="145"/>
      <c r="AA1062" s="145"/>
      <c r="AB1062" s="104"/>
      <c r="AC1062" s="104"/>
      <c r="AD1062" s="113">
        <f>S1062-Y1062</f>
        <v>0</v>
      </c>
    </row>
    <row r="1063" spans="2:30" ht="45" hidden="1" customHeight="1">
      <c r="B1063" s="174">
        <v>1060</v>
      </c>
      <c r="C1063" s="104"/>
      <c r="D1063" s="104"/>
      <c r="E1063" s="104"/>
      <c r="F1063" s="104"/>
      <c r="G1063" s="145"/>
      <c r="H1063" s="104"/>
      <c r="I1063" s="104"/>
      <c r="J1063" s="104"/>
      <c r="K1063" s="104"/>
      <c r="L1063" s="104"/>
      <c r="M1063" s="104"/>
      <c r="N1063" s="104"/>
      <c r="O1063" s="104"/>
      <c r="P1063" s="104"/>
      <c r="Q1063" s="104"/>
      <c r="R1063" s="104"/>
      <c r="S1063" s="160"/>
      <c r="T1063" s="104"/>
      <c r="U1063" s="145"/>
      <c r="V1063" s="145"/>
      <c r="W1063" s="145"/>
      <c r="X1063" s="104"/>
      <c r="Y1063" s="194"/>
      <c r="Z1063" s="145"/>
      <c r="AA1063" s="145"/>
      <c r="AB1063" s="104"/>
      <c r="AC1063" s="104"/>
      <c r="AD1063" s="113">
        <f>S1063-Y1063</f>
        <v>0</v>
      </c>
    </row>
    <row r="1064" spans="2:30" ht="45" hidden="1" customHeight="1">
      <c r="B1064" s="174">
        <v>1061</v>
      </c>
      <c r="C1064" s="104"/>
      <c r="D1064" s="104"/>
      <c r="E1064" s="104"/>
      <c r="F1064" s="104"/>
      <c r="G1064" s="145"/>
      <c r="H1064" s="104"/>
      <c r="I1064" s="104"/>
      <c r="J1064" s="104"/>
      <c r="K1064" s="104"/>
      <c r="L1064" s="104"/>
      <c r="M1064" s="104"/>
      <c r="N1064" s="104"/>
      <c r="O1064" s="104"/>
      <c r="P1064" s="104"/>
      <c r="Q1064" s="104"/>
      <c r="R1064" s="104"/>
      <c r="S1064" s="160"/>
      <c r="T1064" s="104"/>
      <c r="U1064" s="145"/>
      <c r="V1064" s="145"/>
      <c r="W1064" s="145"/>
      <c r="X1064" s="104"/>
      <c r="Y1064" s="194"/>
      <c r="Z1064" s="145"/>
      <c r="AA1064" s="145"/>
      <c r="AB1064" s="104"/>
      <c r="AC1064" s="104"/>
      <c r="AD1064" s="113">
        <f>S1064-Y1064</f>
        <v>0</v>
      </c>
    </row>
    <row r="1065" spans="2:30" ht="45" hidden="1" customHeight="1">
      <c r="B1065" s="174">
        <v>1062</v>
      </c>
      <c r="C1065" s="104"/>
      <c r="D1065" s="104"/>
      <c r="E1065" s="104"/>
      <c r="F1065" s="104"/>
      <c r="G1065" s="145"/>
      <c r="H1065" s="104"/>
      <c r="I1065" s="104"/>
      <c r="J1065" s="104"/>
      <c r="K1065" s="104"/>
      <c r="L1065" s="104"/>
      <c r="M1065" s="104"/>
      <c r="N1065" s="104"/>
      <c r="O1065" s="104"/>
      <c r="P1065" s="104"/>
      <c r="Q1065" s="104"/>
      <c r="R1065" s="104"/>
      <c r="S1065" s="160"/>
      <c r="T1065" s="104"/>
      <c r="U1065" s="145"/>
      <c r="V1065" s="145"/>
      <c r="W1065" s="145"/>
      <c r="X1065" s="104"/>
      <c r="Y1065" s="194"/>
      <c r="Z1065" s="145"/>
      <c r="AA1065" s="145"/>
      <c r="AB1065" s="104"/>
      <c r="AC1065" s="104"/>
      <c r="AD1065" s="113">
        <f>S1065-Y1065</f>
        <v>0</v>
      </c>
    </row>
    <row r="1066" spans="2:30" ht="45" hidden="1" customHeight="1">
      <c r="B1066" s="174">
        <v>1063</v>
      </c>
      <c r="C1066" s="104"/>
      <c r="D1066" s="104"/>
      <c r="E1066" s="104"/>
      <c r="F1066" s="104"/>
      <c r="G1066" s="145"/>
      <c r="H1066" s="104"/>
      <c r="I1066" s="104"/>
      <c r="J1066" s="104"/>
      <c r="K1066" s="104"/>
      <c r="L1066" s="104"/>
      <c r="M1066" s="104"/>
      <c r="N1066" s="104"/>
      <c r="O1066" s="104"/>
      <c r="P1066" s="104"/>
      <c r="Q1066" s="104"/>
      <c r="R1066" s="104"/>
      <c r="S1066" s="160"/>
      <c r="T1066" s="104"/>
      <c r="U1066" s="145"/>
      <c r="V1066" s="145"/>
      <c r="W1066" s="145"/>
      <c r="X1066" s="104"/>
      <c r="Y1066" s="194"/>
      <c r="Z1066" s="145"/>
      <c r="AA1066" s="145"/>
      <c r="AB1066" s="104"/>
      <c r="AC1066" s="104"/>
      <c r="AD1066" s="113">
        <f>S1066-Y1066</f>
        <v>0</v>
      </c>
    </row>
    <row r="1067" spans="2:30" ht="45" hidden="1" customHeight="1">
      <c r="B1067" s="174">
        <v>1064</v>
      </c>
      <c r="C1067" s="104"/>
      <c r="D1067" s="104"/>
      <c r="E1067" s="104"/>
      <c r="F1067" s="104"/>
      <c r="G1067" s="145"/>
      <c r="H1067" s="104"/>
      <c r="I1067" s="104"/>
      <c r="J1067" s="104"/>
      <c r="K1067" s="104"/>
      <c r="L1067" s="104"/>
      <c r="M1067" s="104"/>
      <c r="N1067" s="104"/>
      <c r="O1067" s="104"/>
      <c r="P1067" s="104"/>
      <c r="Q1067" s="104"/>
      <c r="R1067" s="104"/>
      <c r="S1067" s="160"/>
      <c r="T1067" s="104"/>
      <c r="U1067" s="145"/>
      <c r="V1067" s="145"/>
      <c r="W1067" s="145"/>
      <c r="X1067" s="104"/>
      <c r="Y1067" s="194"/>
      <c r="Z1067" s="145"/>
      <c r="AA1067" s="145"/>
      <c r="AB1067" s="104"/>
      <c r="AC1067" s="104"/>
      <c r="AD1067" s="113">
        <f>S1067-Y1067</f>
        <v>0</v>
      </c>
    </row>
    <row r="1068" spans="2:30" ht="45" hidden="1" customHeight="1">
      <c r="B1068" s="174">
        <v>1065</v>
      </c>
      <c r="C1068" s="104"/>
      <c r="D1068" s="104"/>
      <c r="E1068" s="104"/>
      <c r="F1068" s="104"/>
      <c r="G1068" s="145"/>
      <c r="H1068" s="104"/>
      <c r="I1068" s="104"/>
      <c r="J1068" s="104"/>
      <c r="K1068" s="104"/>
      <c r="L1068" s="104"/>
      <c r="M1068" s="104"/>
      <c r="N1068" s="104"/>
      <c r="O1068" s="104"/>
      <c r="P1068" s="104"/>
      <c r="Q1068" s="104"/>
      <c r="R1068" s="104"/>
      <c r="S1068" s="160"/>
      <c r="T1068" s="104"/>
      <c r="U1068" s="145"/>
      <c r="V1068" s="145"/>
      <c r="W1068" s="145"/>
      <c r="X1068" s="104"/>
      <c r="Y1068" s="194"/>
      <c r="Z1068" s="145"/>
      <c r="AA1068" s="145"/>
      <c r="AB1068" s="104"/>
      <c r="AC1068" s="104"/>
      <c r="AD1068" s="113">
        <f>S1068-Y1068</f>
        <v>0</v>
      </c>
    </row>
    <row r="1069" spans="2:30" ht="45" hidden="1" customHeight="1">
      <c r="B1069" s="174">
        <v>1066</v>
      </c>
      <c r="C1069" s="104"/>
      <c r="D1069" s="104"/>
      <c r="E1069" s="104"/>
      <c r="F1069" s="104"/>
      <c r="G1069" s="145"/>
      <c r="H1069" s="104"/>
      <c r="I1069" s="104"/>
      <c r="J1069" s="104"/>
      <c r="K1069" s="104"/>
      <c r="L1069" s="104"/>
      <c r="M1069" s="104"/>
      <c r="N1069" s="104"/>
      <c r="O1069" s="104"/>
      <c r="P1069" s="104"/>
      <c r="Q1069" s="104"/>
      <c r="R1069" s="104"/>
      <c r="S1069" s="160"/>
      <c r="T1069" s="104"/>
      <c r="U1069" s="145"/>
      <c r="V1069" s="145"/>
      <c r="W1069" s="145"/>
      <c r="X1069" s="104"/>
      <c r="Y1069" s="194"/>
      <c r="Z1069" s="145"/>
      <c r="AA1069" s="145"/>
      <c r="AB1069" s="104"/>
      <c r="AC1069" s="104"/>
      <c r="AD1069" s="113">
        <f>S1069-Y1069</f>
        <v>0</v>
      </c>
    </row>
    <row r="1070" spans="2:30" ht="45" hidden="1" customHeight="1">
      <c r="B1070" s="174">
        <v>1067</v>
      </c>
      <c r="C1070" s="104"/>
      <c r="D1070" s="104"/>
      <c r="E1070" s="104"/>
      <c r="F1070" s="104"/>
      <c r="G1070" s="145"/>
      <c r="H1070" s="104"/>
      <c r="I1070" s="104"/>
      <c r="J1070" s="104"/>
      <c r="K1070" s="104"/>
      <c r="L1070" s="104"/>
      <c r="M1070" s="104"/>
      <c r="N1070" s="104"/>
      <c r="O1070" s="104"/>
      <c r="P1070" s="104"/>
      <c r="Q1070" s="104"/>
      <c r="R1070" s="104"/>
      <c r="S1070" s="160"/>
      <c r="T1070" s="104"/>
      <c r="U1070" s="145"/>
      <c r="V1070" s="145"/>
      <c r="W1070" s="145"/>
      <c r="X1070" s="104"/>
      <c r="Y1070" s="194"/>
      <c r="Z1070" s="145"/>
      <c r="AA1070" s="145"/>
      <c r="AB1070" s="104"/>
      <c r="AC1070" s="104"/>
      <c r="AD1070" s="113">
        <f>S1070-Y1070</f>
        <v>0</v>
      </c>
    </row>
    <row r="1071" spans="2:30" ht="45" hidden="1" customHeight="1">
      <c r="B1071" s="174">
        <v>1068</v>
      </c>
      <c r="C1071" s="104"/>
      <c r="D1071" s="104"/>
      <c r="E1071" s="104"/>
      <c r="F1071" s="104"/>
      <c r="G1071" s="145"/>
      <c r="H1071" s="104"/>
      <c r="I1071" s="104"/>
      <c r="J1071" s="104"/>
      <c r="K1071" s="104"/>
      <c r="L1071" s="104"/>
      <c r="M1071" s="104"/>
      <c r="N1071" s="104"/>
      <c r="O1071" s="104"/>
      <c r="P1071" s="104"/>
      <c r="Q1071" s="104"/>
      <c r="R1071" s="104"/>
      <c r="S1071" s="160"/>
      <c r="T1071" s="104"/>
      <c r="U1071" s="145"/>
      <c r="V1071" s="145"/>
      <c r="W1071" s="145"/>
      <c r="X1071" s="104"/>
      <c r="Y1071" s="194"/>
      <c r="Z1071" s="145"/>
      <c r="AA1071" s="145"/>
      <c r="AB1071" s="104"/>
      <c r="AC1071" s="104"/>
      <c r="AD1071" s="113">
        <f>S1071-Y1071</f>
        <v>0</v>
      </c>
    </row>
    <row r="1072" spans="2:30" ht="45" hidden="1" customHeight="1">
      <c r="B1072" s="174">
        <v>1069</v>
      </c>
      <c r="C1072" s="104"/>
      <c r="D1072" s="104"/>
      <c r="E1072" s="104"/>
      <c r="F1072" s="104"/>
      <c r="G1072" s="145"/>
      <c r="H1072" s="104"/>
      <c r="I1072" s="104"/>
      <c r="J1072" s="104"/>
      <c r="K1072" s="104"/>
      <c r="L1072" s="104"/>
      <c r="M1072" s="104"/>
      <c r="N1072" s="104"/>
      <c r="O1072" s="104"/>
      <c r="P1072" s="104"/>
      <c r="Q1072" s="104"/>
      <c r="R1072" s="104"/>
      <c r="S1072" s="160"/>
      <c r="T1072" s="104"/>
      <c r="U1072" s="145"/>
      <c r="V1072" s="145"/>
      <c r="W1072" s="145"/>
      <c r="X1072" s="104"/>
      <c r="Y1072" s="194"/>
      <c r="Z1072" s="145"/>
      <c r="AA1072" s="145"/>
      <c r="AB1072" s="104"/>
      <c r="AC1072" s="104"/>
      <c r="AD1072" s="113">
        <f>S1072-Y1072</f>
        <v>0</v>
      </c>
    </row>
    <row r="1073" spans="2:30" ht="45" hidden="1" customHeight="1">
      <c r="B1073" s="174">
        <v>1070</v>
      </c>
      <c r="C1073" s="104"/>
      <c r="D1073" s="104"/>
      <c r="E1073" s="104"/>
      <c r="F1073" s="104"/>
      <c r="G1073" s="145"/>
      <c r="H1073" s="104"/>
      <c r="I1073" s="104"/>
      <c r="J1073" s="104"/>
      <c r="K1073" s="104"/>
      <c r="L1073" s="104"/>
      <c r="M1073" s="104"/>
      <c r="N1073" s="104"/>
      <c r="O1073" s="104"/>
      <c r="P1073" s="104"/>
      <c r="Q1073" s="104"/>
      <c r="R1073" s="104"/>
      <c r="S1073" s="160"/>
      <c r="T1073" s="104"/>
      <c r="U1073" s="145"/>
      <c r="V1073" s="145"/>
      <c r="W1073" s="145"/>
      <c r="X1073" s="104"/>
      <c r="Y1073" s="194"/>
      <c r="Z1073" s="145"/>
      <c r="AA1073" s="145"/>
      <c r="AB1073" s="104"/>
      <c r="AC1073" s="104"/>
      <c r="AD1073" s="113">
        <f>S1073-Y1073</f>
        <v>0</v>
      </c>
    </row>
    <row r="1074" spans="2:30" ht="45" hidden="1" customHeight="1">
      <c r="B1074" s="174">
        <v>1071</v>
      </c>
      <c r="C1074" s="104"/>
      <c r="D1074" s="104"/>
      <c r="E1074" s="104"/>
      <c r="F1074" s="104"/>
      <c r="G1074" s="145"/>
      <c r="H1074" s="104"/>
      <c r="I1074" s="104"/>
      <c r="J1074" s="104"/>
      <c r="K1074" s="104"/>
      <c r="L1074" s="104"/>
      <c r="M1074" s="104"/>
      <c r="N1074" s="104"/>
      <c r="O1074" s="104"/>
      <c r="P1074" s="104"/>
      <c r="Q1074" s="104"/>
      <c r="R1074" s="104"/>
      <c r="S1074" s="160"/>
      <c r="T1074" s="104"/>
      <c r="U1074" s="145"/>
      <c r="V1074" s="145"/>
      <c r="W1074" s="145"/>
      <c r="X1074" s="104"/>
      <c r="Y1074" s="194"/>
      <c r="Z1074" s="145"/>
      <c r="AA1074" s="145"/>
      <c r="AB1074" s="104"/>
      <c r="AC1074" s="104"/>
      <c r="AD1074" s="113">
        <f>S1074-Y1074</f>
        <v>0</v>
      </c>
    </row>
    <row r="1075" spans="2:30" ht="45" hidden="1" customHeight="1">
      <c r="B1075" s="174">
        <v>1072</v>
      </c>
      <c r="C1075" s="104"/>
      <c r="D1075" s="104"/>
      <c r="E1075" s="104"/>
      <c r="F1075" s="104"/>
      <c r="G1075" s="145"/>
      <c r="H1075" s="104"/>
      <c r="I1075" s="104"/>
      <c r="J1075" s="104"/>
      <c r="K1075" s="104"/>
      <c r="L1075" s="104"/>
      <c r="M1075" s="104"/>
      <c r="N1075" s="104"/>
      <c r="O1075" s="104"/>
      <c r="P1075" s="104"/>
      <c r="Q1075" s="104"/>
      <c r="R1075" s="104"/>
      <c r="S1075" s="160"/>
      <c r="T1075" s="104"/>
      <c r="U1075" s="145"/>
      <c r="V1075" s="145"/>
      <c r="W1075" s="145"/>
      <c r="X1075" s="104"/>
      <c r="Y1075" s="194"/>
      <c r="Z1075" s="145"/>
      <c r="AA1075" s="145"/>
      <c r="AB1075" s="104"/>
      <c r="AC1075" s="104"/>
      <c r="AD1075" s="113">
        <f>S1075-Y1075</f>
        <v>0</v>
      </c>
    </row>
    <row r="1076" spans="2:30" ht="45" hidden="1" customHeight="1">
      <c r="B1076" s="174">
        <v>1073</v>
      </c>
      <c r="C1076" s="104"/>
      <c r="D1076" s="104"/>
      <c r="E1076" s="104"/>
      <c r="F1076" s="104"/>
      <c r="G1076" s="145"/>
      <c r="H1076" s="104"/>
      <c r="I1076" s="104"/>
      <c r="J1076" s="104"/>
      <c r="K1076" s="104"/>
      <c r="L1076" s="104"/>
      <c r="M1076" s="104"/>
      <c r="N1076" s="104"/>
      <c r="O1076" s="104"/>
      <c r="P1076" s="104"/>
      <c r="Q1076" s="104"/>
      <c r="R1076" s="104"/>
      <c r="S1076" s="160"/>
      <c r="T1076" s="104"/>
      <c r="U1076" s="145"/>
      <c r="V1076" s="145"/>
      <c r="W1076" s="145"/>
      <c r="X1076" s="104"/>
      <c r="Y1076" s="194"/>
      <c r="Z1076" s="145"/>
      <c r="AA1076" s="145"/>
      <c r="AB1076" s="104"/>
      <c r="AC1076" s="104"/>
      <c r="AD1076" s="113">
        <f>S1076-Y1076</f>
        <v>0</v>
      </c>
    </row>
    <row r="1077" spans="2:30" ht="45" hidden="1" customHeight="1">
      <c r="B1077" s="174">
        <v>1074</v>
      </c>
      <c r="C1077" s="104"/>
      <c r="D1077" s="104"/>
      <c r="E1077" s="104"/>
      <c r="F1077" s="104"/>
      <c r="G1077" s="145"/>
      <c r="H1077" s="104"/>
      <c r="I1077" s="104"/>
      <c r="J1077" s="104"/>
      <c r="K1077" s="104"/>
      <c r="L1077" s="104"/>
      <c r="M1077" s="104"/>
      <c r="N1077" s="104"/>
      <c r="O1077" s="104"/>
      <c r="P1077" s="104"/>
      <c r="Q1077" s="104"/>
      <c r="R1077" s="104"/>
      <c r="S1077" s="160"/>
      <c r="T1077" s="104"/>
      <c r="U1077" s="145"/>
      <c r="V1077" s="145"/>
      <c r="W1077" s="145"/>
      <c r="X1077" s="104"/>
      <c r="Y1077" s="194"/>
      <c r="Z1077" s="145"/>
      <c r="AA1077" s="145"/>
      <c r="AB1077" s="104"/>
      <c r="AC1077" s="104"/>
      <c r="AD1077" s="113">
        <f>S1077-Y1077</f>
        <v>0</v>
      </c>
    </row>
    <row r="1078" spans="2:30" ht="45" hidden="1" customHeight="1">
      <c r="B1078" s="174">
        <v>1075</v>
      </c>
      <c r="C1078" s="104"/>
      <c r="D1078" s="104"/>
      <c r="E1078" s="104"/>
      <c r="F1078" s="104"/>
      <c r="G1078" s="145"/>
      <c r="H1078" s="104"/>
      <c r="I1078" s="104"/>
      <c r="J1078" s="104"/>
      <c r="K1078" s="104"/>
      <c r="L1078" s="104"/>
      <c r="M1078" s="104"/>
      <c r="N1078" s="104"/>
      <c r="O1078" s="104"/>
      <c r="P1078" s="104"/>
      <c r="Q1078" s="104"/>
      <c r="R1078" s="104"/>
      <c r="S1078" s="160"/>
      <c r="T1078" s="104"/>
      <c r="U1078" s="145"/>
      <c r="V1078" s="145"/>
      <c r="W1078" s="145"/>
      <c r="X1078" s="104"/>
      <c r="Y1078" s="194"/>
      <c r="Z1078" s="145"/>
      <c r="AA1078" s="145"/>
      <c r="AB1078" s="104"/>
      <c r="AC1078" s="104"/>
      <c r="AD1078" s="113">
        <f>S1078-Y1078</f>
        <v>0</v>
      </c>
    </row>
    <row r="1079" spans="2:30" ht="45" hidden="1" customHeight="1">
      <c r="B1079" s="174">
        <v>1076</v>
      </c>
      <c r="C1079" s="104"/>
      <c r="D1079" s="104"/>
      <c r="E1079" s="104"/>
      <c r="F1079" s="104"/>
      <c r="G1079" s="145"/>
      <c r="H1079" s="104"/>
      <c r="I1079" s="104"/>
      <c r="J1079" s="104"/>
      <c r="K1079" s="104"/>
      <c r="L1079" s="104"/>
      <c r="M1079" s="104"/>
      <c r="N1079" s="104"/>
      <c r="O1079" s="104"/>
      <c r="P1079" s="104"/>
      <c r="Q1079" s="104"/>
      <c r="R1079" s="104"/>
      <c r="S1079" s="160"/>
      <c r="T1079" s="104"/>
      <c r="U1079" s="145"/>
      <c r="V1079" s="145"/>
      <c r="W1079" s="145"/>
      <c r="X1079" s="104"/>
      <c r="Y1079" s="194"/>
      <c r="Z1079" s="145"/>
      <c r="AA1079" s="145"/>
      <c r="AB1079" s="104"/>
      <c r="AC1079" s="104"/>
      <c r="AD1079" s="113">
        <f>S1079-Y1079</f>
        <v>0</v>
      </c>
    </row>
    <row r="1080" spans="2:30" ht="45" hidden="1" customHeight="1">
      <c r="B1080" s="174">
        <v>1077</v>
      </c>
      <c r="C1080" s="104"/>
      <c r="D1080" s="104"/>
      <c r="E1080" s="104"/>
      <c r="F1080" s="104"/>
      <c r="G1080" s="145"/>
      <c r="H1080" s="104"/>
      <c r="I1080" s="104"/>
      <c r="J1080" s="104"/>
      <c r="K1080" s="104"/>
      <c r="L1080" s="104"/>
      <c r="M1080" s="104"/>
      <c r="N1080" s="104"/>
      <c r="O1080" s="104"/>
      <c r="P1080" s="104"/>
      <c r="Q1080" s="104"/>
      <c r="R1080" s="104"/>
      <c r="S1080" s="160"/>
      <c r="T1080" s="104"/>
      <c r="U1080" s="145"/>
      <c r="V1080" s="145"/>
      <c r="W1080" s="145"/>
      <c r="X1080" s="104"/>
      <c r="Y1080" s="194"/>
      <c r="Z1080" s="145"/>
      <c r="AA1080" s="145"/>
      <c r="AB1080" s="104"/>
      <c r="AC1080" s="104"/>
      <c r="AD1080" s="113">
        <f>S1080-Y1080</f>
        <v>0</v>
      </c>
    </row>
    <row r="1081" spans="2:30" ht="45" hidden="1" customHeight="1">
      <c r="B1081" s="174">
        <v>1078</v>
      </c>
      <c r="C1081" s="104"/>
      <c r="D1081" s="104"/>
      <c r="E1081" s="104"/>
      <c r="F1081" s="104"/>
      <c r="G1081" s="145"/>
      <c r="H1081" s="104"/>
      <c r="I1081" s="104"/>
      <c r="J1081" s="104"/>
      <c r="K1081" s="104"/>
      <c r="L1081" s="104"/>
      <c r="M1081" s="104"/>
      <c r="N1081" s="104"/>
      <c r="O1081" s="104"/>
      <c r="P1081" s="104"/>
      <c r="Q1081" s="104"/>
      <c r="R1081" s="104"/>
      <c r="S1081" s="160"/>
      <c r="T1081" s="104"/>
      <c r="U1081" s="145"/>
      <c r="V1081" s="145"/>
      <c r="W1081" s="145"/>
      <c r="X1081" s="104"/>
      <c r="Y1081" s="194"/>
      <c r="Z1081" s="145"/>
      <c r="AA1081" s="145"/>
      <c r="AB1081" s="104"/>
      <c r="AC1081" s="104"/>
      <c r="AD1081" s="113">
        <f>S1081-Y1081</f>
        <v>0</v>
      </c>
    </row>
    <row r="1082" spans="2:30" ht="45" hidden="1" customHeight="1">
      <c r="B1082" s="174">
        <v>1079</v>
      </c>
      <c r="C1082" s="104"/>
      <c r="D1082" s="104"/>
      <c r="E1082" s="104"/>
      <c r="F1082" s="104"/>
      <c r="G1082" s="145"/>
      <c r="H1082" s="104"/>
      <c r="I1082" s="104"/>
      <c r="J1082" s="104"/>
      <c r="K1082" s="104"/>
      <c r="L1082" s="104"/>
      <c r="M1082" s="104"/>
      <c r="N1082" s="104"/>
      <c r="O1082" s="104"/>
      <c r="P1082" s="104"/>
      <c r="Q1082" s="104"/>
      <c r="R1082" s="104"/>
      <c r="S1082" s="160"/>
      <c r="T1082" s="104"/>
      <c r="U1082" s="145"/>
      <c r="V1082" s="145"/>
      <c r="W1082" s="145"/>
      <c r="X1082" s="104"/>
      <c r="Y1082" s="194"/>
      <c r="Z1082" s="145"/>
      <c r="AA1082" s="145"/>
      <c r="AB1082" s="104"/>
      <c r="AC1082" s="104"/>
      <c r="AD1082" s="113">
        <f>S1082-Y1082</f>
        <v>0</v>
      </c>
    </row>
    <row r="1083" spans="2:30" ht="45" hidden="1" customHeight="1">
      <c r="B1083" s="174">
        <v>1080</v>
      </c>
      <c r="C1083" s="104"/>
      <c r="D1083" s="104"/>
      <c r="E1083" s="104"/>
      <c r="F1083" s="104"/>
      <c r="G1083" s="145"/>
      <c r="H1083" s="104"/>
      <c r="I1083" s="104"/>
      <c r="J1083" s="104"/>
      <c r="K1083" s="104"/>
      <c r="L1083" s="104"/>
      <c r="M1083" s="104"/>
      <c r="N1083" s="104"/>
      <c r="O1083" s="104"/>
      <c r="P1083" s="104"/>
      <c r="Q1083" s="104"/>
      <c r="R1083" s="104"/>
      <c r="S1083" s="160"/>
      <c r="T1083" s="104"/>
      <c r="U1083" s="145"/>
      <c r="V1083" s="145"/>
      <c r="W1083" s="145"/>
      <c r="X1083" s="104"/>
      <c r="Y1083" s="194"/>
      <c r="Z1083" s="145"/>
      <c r="AA1083" s="145"/>
      <c r="AB1083" s="104"/>
      <c r="AC1083" s="104"/>
      <c r="AD1083" s="113">
        <f>S1083-Y1083</f>
        <v>0</v>
      </c>
    </row>
    <row r="1084" spans="2:30" ht="45" hidden="1" customHeight="1">
      <c r="B1084" s="174">
        <v>1081</v>
      </c>
      <c r="C1084" s="104"/>
      <c r="D1084" s="104"/>
      <c r="E1084" s="104"/>
      <c r="F1084" s="104"/>
      <c r="G1084" s="145"/>
      <c r="H1084" s="104"/>
      <c r="I1084" s="104"/>
      <c r="J1084" s="104"/>
      <c r="K1084" s="104"/>
      <c r="L1084" s="104"/>
      <c r="M1084" s="104"/>
      <c r="N1084" s="104"/>
      <c r="O1084" s="104"/>
      <c r="P1084" s="104"/>
      <c r="Q1084" s="104"/>
      <c r="R1084" s="104"/>
      <c r="S1084" s="160"/>
      <c r="T1084" s="104"/>
      <c r="U1084" s="145"/>
      <c r="V1084" s="145"/>
      <c r="W1084" s="145"/>
      <c r="X1084" s="104"/>
      <c r="Y1084" s="194"/>
      <c r="Z1084" s="145"/>
      <c r="AA1084" s="145"/>
      <c r="AB1084" s="104"/>
      <c r="AC1084" s="104"/>
      <c r="AD1084" s="113">
        <f>S1084-Y1084</f>
        <v>0</v>
      </c>
    </row>
    <row r="1085" spans="2:30" ht="45" hidden="1" customHeight="1">
      <c r="B1085" s="174">
        <v>1082</v>
      </c>
      <c r="C1085" s="104"/>
      <c r="D1085" s="104"/>
      <c r="E1085" s="104"/>
      <c r="F1085" s="104"/>
      <c r="G1085" s="145"/>
      <c r="H1085" s="104"/>
      <c r="I1085" s="104"/>
      <c r="J1085" s="104"/>
      <c r="K1085" s="104"/>
      <c r="L1085" s="104"/>
      <c r="M1085" s="104"/>
      <c r="N1085" s="104"/>
      <c r="O1085" s="104"/>
      <c r="P1085" s="104"/>
      <c r="Q1085" s="104"/>
      <c r="R1085" s="104"/>
      <c r="S1085" s="160"/>
      <c r="T1085" s="104"/>
      <c r="U1085" s="145"/>
      <c r="V1085" s="145"/>
      <c r="W1085" s="145"/>
      <c r="X1085" s="104"/>
      <c r="Y1085" s="194"/>
      <c r="Z1085" s="145"/>
      <c r="AA1085" s="145"/>
      <c r="AB1085" s="104"/>
      <c r="AC1085" s="104"/>
      <c r="AD1085" s="113">
        <f>S1085-Y1085</f>
        <v>0</v>
      </c>
    </row>
    <row r="1086" spans="2:30" ht="45" hidden="1" customHeight="1">
      <c r="B1086" s="174">
        <v>1083</v>
      </c>
      <c r="C1086" s="104"/>
      <c r="D1086" s="104"/>
      <c r="E1086" s="104"/>
      <c r="F1086" s="104"/>
      <c r="G1086" s="145"/>
      <c r="H1086" s="104"/>
      <c r="I1086" s="104"/>
      <c r="J1086" s="104"/>
      <c r="K1086" s="104"/>
      <c r="L1086" s="104"/>
      <c r="M1086" s="104"/>
      <c r="N1086" s="104"/>
      <c r="O1086" s="104"/>
      <c r="P1086" s="104"/>
      <c r="Q1086" s="104"/>
      <c r="R1086" s="104"/>
      <c r="S1086" s="160"/>
      <c r="T1086" s="104"/>
      <c r="U1086" s="145"/>
      <c r="V1086" s="145"/>
      <c r="W1086" s="145"/>
      <c r="X1086" s="104"/>
      <c r="Y1086" s="194"/>
      <c r="Z1086" s="145"/>
      <c r="AA1086" s="145"/>
      <c r="AB1086" s="104"/>
      <c r="AC1086" s="104"/>
      <c r="AD1086" s="113">
        <f>S1086-Y1086</f>
        <v>0</v>
      </c>
    </row>
    <row r="1087" spans="2:30" ht="45" hidden="1" customHeight="1">
      <c r="B1087" s="174">
        <v>1084</v>
      </c>
      <c r="C1087" s="104"/>
      <c r="D1087" s="104"/>
      <c r="E1087" s="104"/>
      <c r="F1087" s="104"/>
      <c r="G1087" s="145"/>
      <c r="H1087" s="104"/>
      <c r="I1087" s="104"/>
      <c r="J1087" s="104"/>
      <c r="K1087" s="104"/>
      <c r="L1087" s="104"/>
      <c r="M1087" s="104"/>
      <c r="N1087" s="104"/>
      <c r="O1087" s="104"/>
      <c r="P1087" s="104"/>
      <c r="Q1087" s="104"/>
      <c r="R1087" s="104"/>
      <c r="S1087" s="160"/>
      <c r="T1087" s="104"/>
      <c r="U1087" s="145"/>
      <c r="V1087" s="145"/>
      <c r="W1087" s="145"/>
      <c r="X1087" s="104"/>
      <c r="Y1087" s="194"/>
      <c r="Z1087" s="145"/>
      <c r="AA1087" s="145"/>
      <c r="AB1087" s="104"/>
      <c r="AC1087" s="104"/>
      <c r="AD1087" s="113">
        <f>S1087-Y1087</f>
        <v>0</v>
      </c>
    </row>
    <row r="1088" spans="2:30" ht="45" hidden="1" customHeight="1">
      <c r="B1088" s="174">
        <v>1085</v>
      </c>
      <c r="C1088" s="104"/>
      <c r="D1088" s="104"/>
      <c r="E1088" s="104"/>
      <c r="F1088" s="104"/>
      <c r="G1088" s="145"/>
      <c r="H1088" s="104"/>
      <c r="I1088" s="104"/>
      <c r="J1088" s="104"/>
      <c r="K1088" s="104"/>
      <c r="L1088" s="104"/>
      <c r="M1088" s="104"/>
      <c r="N1088" s="104"/>
      <c r="O1088" s="104"/>
      <c r="P1088" s="104"/>
      <c r="Q1088" s="104"/>
      <c r="R1088" s="104"/>
      <c r="S1088" s="160"/>
      <c r="T1088" s="104"/>
      <c r="U1088" s="145"/>
      <c r="V1088" s="145"/>
      <c r="W1088" s="145"/>
      <c r="X1088" s="104"/>
      <c r="Y1088" s="194"/>
      <c r="Z1088" s="145"/>
      <c r="AA1088" s="145"/>
      <c r="AB1088" s="104"/>
      <c r="AC1088" s="104"/>
      <c r="AD1088" s="113">
        <f>S1088-Y1088</f>
        <v>0</v>
      </c>
    </row>
    <row r="1089" spans="2:30" ht="45" hidden="1" customHeight="1">
      <c r="B1089" s="174">
        <v>1086</v>
      </c>
      <c r="C1089" s="104"/>
      <c r="D1089" s="104"/>
      <c r="E1089" s="104"/>
      <c r="F1089" s="104"/>
      <c r="G1089" s="145"/>
      <c r="H1089" s="104"/>
      <c r="I1089" s="104"/>
      <c r="J1089" s="104"/>
      <c r="K1089" s="104"/>
      <c r="L1089" s="104"/>
      <c r="M1089" s="104"/>
      <c r="N1089" s="104"/>
      <c r="O1089" s="104"/>
      <c r="P1089" s="104"/>
      <c r="Q1089" s="104"/>
      <c r="R1089" s="104"/>
      <c r="S1089" s="160"/>
      <c r="T1089" s="104"/>
      <c r="U1089" s="145"/>
      <c r="V1089" s="145"/>
      <c r="W1089" s="145"/>
      <c r="X1089" s="104"/>
      <c r="Y1089" s="194"/>
      <c r="Z1089" s="145"/>
      <c r="AA1089" s="145"/>
      <c r="AB1089" s="104"/>
      <c r="AC1089" s="104"/>
      <c r="AD1089" s="113">
        <f>S1089-Y1089</f>
        <v>0</v>
      </c>
    </row>
    <row r="1090" spans="2:30" ht="45" hidden="1" customHeight="1">
      <c r="B1090" s="174">
        <v>1087</v>
      </c>
      <c r="C1090" s="104"/>
      <c r="D1090" s="104"/>
      <c r="E1090" s="104"/>
      <c r="F1090" s="104"/>
      <c r="G1090" s="145"/>
      <c r="H1090" s="104"/>
      <c r="I1090" s="104"/>
      <c r="J1090" s="104"/>
      <c r="K1090" s="104"/>
      <c r="L1090" s="104"/>
      <c r="M1090" s="104"/>
      <c r="N1090" s="104"/>
      <c r="O1090" s="104"/>
      <c r="P1090" s="104"/>
      <c r="Q1090" s="104"/>
      <c r="R1090" s="104"/>
      <c r="S1090" s="160"/>
      <c r="T1090" s="104"/>
      <c r="U1090" s="145"/>
      <c r="V1090" s="145"/>
      <c r="W1090" s="145"/>
      <c r="X1090" s="104"/>
      <c r="Y1090" s="194"/>
      <c r="Z1090" s="145"/>
      <c r="AA1090" s="145"/>
      <c r="AB1090" s="104"/>
      <c r="AC1090" s="104"/>
      <c r="AD1090" s="113">
        <f>S1090-Y1090</f>
        <v>0</v>
      </c>
    </row>
    <row r="1091" spans="2:30" ht="45" hidden="1" customHeight="1">
      <c r="B1091" s="174">
        <v>1088</v>
      </c>
      <c r="C1091" s="104"/>
      <c r="D1091" s="104"/>
      <c r="E1091" s="104"/>
      <c r="F1091" s="104"/>
      <c r="G1091" s="145"/>
      <c r="H1091" s="104"/>
      <c r="I1091" s="104"/>
      <c r="J1091" s="104"/>
      <c r="K1091" s="104"/>
      <c r="L1091" s="104"/>
      <c r="M1091" s="104"/>
      <c r="N1091" s="104"/>
      <c r="O1091" s="104"/>
      <c r="P1091" s="104"/>
      <c r="Q1091" s="104"/>
      <c r="R1091" s="104"/>
      <c r="S1091" s="160"/>
      <c r="T1091" s="104"/>
      <c r="U1091" s="145"/>
      <c r="V1091" s="145"/>
      <c r="W1091" s="145"/>
      <c r="X1091" s="104"/>
      <c r="Y1091" s="194"/>
      <c r="Z1091" s="145"/>
      <c r="AA1091" s="145"/>
      <c r="AB1091" s="104"/>
      <c r="AC1091" s="104"/>
      <c r="AD1091" s="113">
        <f>S1091-Y1091</f>
        <v>0</v>
      </c>
    </row>
    <row r="1092" spans="2:30" ht="45" hidden="1" customHeight="1">
      <c r="B1092" s="174">
        <v>1089</v>
      </c>
      <c r="C1092" s="104"/>
      <c r="D1092" s="104"/>
      <c r="E1092" s="104"/>
      <c r="F1092" s="104"/>
      <c r="G1092" s="145"/>
      <c r="H1092" s="104"/>
      <c r="I1092" s="104"/>
      <c r="J1092" s="104"/>
      <c r="K1092" s="104"/>
      <c r="L1092" s="104"/>
      <c r="M1092" s="104"/>
      <c r="N1092" s="104"/>
      <c r="O1092" s="104"/>
      <c r="P1092" s="104"/>
      <c r="Q1092" s="104"/>
      <c r="R1092" s="104"/>
      <c r="S1092" s="160"/>
      <c r="T1092" s="104"/>
      <c r="U1092" s="145"/>
      <c r="V1092" s="145"/>
      <c r="W1092" s="145"/>
      <c r="X1092" s="104"/>
      <c r="Y1092" s="194"/>
      <c r="Z1092" s="145"/>
      <c r="AA1092" s="145"/>
      <c r="AB1092" s="104"/>
      <c r="AC1092" s="104"/>
      <c r="AD1092" s="113">
        <f>S1092-Y1092</f>
        <v>0</v>
      </c>
    </row>
    <row r="1093" spans="2:30" ht="45" hidden="1" customHeight="1">
      <c r="B1093" s="174">
        <v>1090</v>
      </c>
      <c r="C1093" s="104"/>
      <c r="D1093" s="104"/>
      <c r="E1093" s="104"/>
      <c r="F1093" s="104"/>
      <c r="G1093" s="145"/>
      <c r="H1093" s="104"/>
      <c r="I1093" s="104"/>
      <c r="J1093" s="104"/>
      <c r="K1093" s="104"/>
      <c r="L1093" s="104"/>
      <c r="M1093" s="104"/>
      <c r="N1093" s="104"/>
      <c r="O1093" s="104"/>
      <c r="P1093" s="104"/>
      <c r="Q1093" s="104"/>
      <c r="R1093" s="104"/>
      <c r="S1093" s="160"/>
      <c r="T1093" s="104"/>
      <c r="U1093" s="145"/>
      <c r="V1093" s="145"/>
      <c r="W1093" s="145"/>
      <c r="X1093" s="104"/>
      <c r="Y1093" s="194"/>
      <c r="Z1093" s="145"/>
      <c r="AA1093" s="145"/>
      <c r="AB1093" s="104"/>
      <c r="AC1093" s="104"/>
      <c r="AD1093" s="113">
        <f>S1093-Y1093</f>
        <v>0</v>
      </c>
    </row>
    <row r="1094" spans="2:30" ht="45" hidden="1" customHeight="1">
      <c r="B1094" s="174">
        <v>1091</v>
      </c>
      <c r="C1094" s="104"/>
      <c r="D1094" s="104"/>
      <c r="E1094" s="104"/>
      <c r="F1094" s="104"/>
      <c r="G1094" s="145"/>
      <c r="H1094" s="104"/>
      <c r="I1094" s="104"/>
      <c r="J1094" s="104"/>
      <c r="K1094" s="104"/>
      <c r="L1094" s="104"/>
      <c r="M1094" s="104"/>
      <c r="N1094" s="104"/>
      <c r="O1094" s="104"/>
      <c r="P1094" s="104"/>
      <c r="Q1094" s="104"/>
      <c r="R1094" s="104"/>
      <c r="S1094" s="160"/>
      <c r="T1094" s="104"/>
      <c r="U1094" s="145"/>
      <c r="V1094" s="145"/>
      <c r="W1094" s="145"/>
      <c r="X1094" s="104"/>
      <c r="Y1094" s="194"/>
      <c r="Z1094" s="145"/>
      <c r="AA1094" s="145"/>
      <c r="AB1094" s="104"/>
      <c r="AC1094" s="104"/>
      <c r="AD1094" s="113">
        <f>S1094-Y1094</f>
        <v>0</v>
      </c>
    </row>
    <row r="1095" spans="2:30" ht="45" hidden="1" customHeight="1">
      <c r="B1095" s="174">
        <v>1092</v>
      </c>
      <c r="C1095" s="104"/>
      <c r="D1095" s="104"/>
      <c r="E1095" s="104"/>
      <c r="F1095" s="104"/>
      <c r="G1095" s="145"/>
      <c r="H1095" s="104"/>
      <c r="I1095" s="104"/>
      <c r="J1095" s="104"/>
      <c r="K1095" s="104"/>
      <c r="L1095" s="104"/>
      <c r="M1095" s="104"/>
      <c r="N1095" s="104"/>
      <c r="O1095" s="104"/>
      <c r="P1095" s="104"/>
      <c r="Q1095" s="104"/>
      <c r="R1095" s="104"/>
      <c r="S1095" s="160"/>
      <c r="T1095" s="104"/>
      <c r="U1095" s="145"/>
      <c r="V1095" s="145"/>
      <c r="W1095" s="145"/>
      <c r="X1095" s="104"/>
      <c r="Y1095" s="194"/>
      <c r="Z1095" s="145"/>
      <c r="AA1095" s="145"/>
      <c r="AB1095" s="104"/>
      <c r="AC1095" s="104"/>
      <c r="AD1095" s="113">
        <f>S1095-Y1095</f>
        <v>0</v>
      </c>
    </row>
    <row r="1096" spans="2:30" ht="45" hidden="1" customHeight="1">
      <c r="B1096" s="174">
        <v>1093</v>
      </c>
      <c r="C1096" s="104"/>
      <c r="D1096" s="104"/>
      <c r="E1096" s="104"/>
      <c r="F1096" s="104"/>
      <c r="G1096" s="145"/>
      <c r="H1096" s="104"/>
      <c r="I1096" s="104"/>
      <c r="J1096" s="104"/>
      <c r="K1096" s="104"/>
      <c r="L1096" s="104"/>
      <c r="M1096" s="104"/>
      <c r="N1096" s="104"/>
      <c r="O1096" s="104"/>
      <c r="P1096" s="104"/>
      <c r="Q1096" s="104"/>
      <c r="R1096" s="104"/>
      <c r="S1096" s="160"/>
      <c r="T1096" s="104"/>
      <c r="U1096" s="145"/>
      <c r="V1096" s="145"/>
      <c r="W1096" s="145"/>
      <c r="X1096" s="104"/>
      <c r="Y1096" s="194"/>
      <c r="Z1096" s="145"/>
      <c r="AA1096" s="145"/>
      <c r="AB1096" s="104"/>
      <c r="AC1096" s="104"/>
      <c r="AD1096" s="113">
        <f>S1096-Y1096</f>
        <v>0</v>
      </c>
    </row>
    <row r="1097" spans="2:30" ht="45" hidden="1" customHeight="1">
      <c r="B1097" s="174">
        <v>1094</v>
      </c>
      <c r="C1097" s="104"/>
      <c r="D1097" s="104"/>
      <c r="E1097" s="104"/>
      <c r="F1097" s="104"/>
      <c r="G1097" s="145"/>
      <c r="H1097" s="104"/>
      <c r="I1097" s="104"/>
      <c r="J1097" s="104"/>
      <c r="K1097" s="104"/>
      <c r="L1097" s="104"/>
      <c r="M1097" s="104"/>
      <c r="N1097" s="104"/>
      <c r="O1097" s="104"/>
      <c r="P1097" s="104"/>
      <c r="Q1097" s="104"/>
      <c r="R1097" s="104"/>
      <c r="S1097" s="160"/>
      <c r="T1097" s="104"/>
      <c r="U1097" s="145"/>
      <c r="V1097" s="145"/>
      <c r="W1097" s="145"/>
      <c r="X1097" s="104"/>
      <c r="Y1097" s="194"/>
      <c r="Z1097" s="145"/>
      <c r="AA1097" s="145"/>
      <c r="AB1097" s="104"/>
      <c r="AC1097" s="104"/>
      <c r="AD1097" s="113">
        <f>S1097-Y1097</f>
        <v>0</v>
      </c>
    </row>
    <row r="1098" spans="2:30" ht="45" hidden="1" customHeight="1">
      <c r="B1098" s="174">
        <v>1095</v>
      </c>
      <c r="C1098" s="104"/>
      <c r="D1098" s="104"/>
      <c r="E1098" s="104"/>
      <c r="F1098" s="104"/>
      <c r="G1098" s="145"/>
      <c r="H1098" s="104"/>
      <c r="I1098" s="104"/>
      <c r="J1098" s="104"/>
      <c r="K1098" s="104"/>
      <c r="L1098" s="104"/>
      <c r="M1098" s="104"/>
      <c r="N1098" s="104"/>
      <c r="O1098" s="104"/>
      <c r="P1098" s="104"/>
      <c r="Q1098" s="104"/>
      <c r="R1098" s="104"/>
      <c r="S1098" s="160"/>
      <c r="T1098" s="104"/>
      <c r="U1098" s="145"/>
      <c r="V1098" s="145"/>
      <c r="W1098" s="145"/>
      <c r="X1098" s="104"/>
      <c r="Y1098" s="194"/>
      <c r="Z1098" s="145"/>
      <c r="AA1098" s="145"/>
      <c r="AB1098" s="104"/>
      <c r="AC1098" s="104"/>
      <c r="AD1098" s="113">
        <f>S1098-Y1098</f>
        <v>0</v>
      </c>
    </row>
    <row r="1099" spans="2:30" ht="45" hidden="1" customHeight="1">
      <c r="B1099" s="174">
        <v>1096</v>
      </c>
      <c r="C1099" s="104"/>
      <c r="D1099" s="104"/>
      <c r="E1099" s="104"/>
      <c r="F1099" s="104"/>
      <c r="G1099" s="145"/>
      <c r="H1099" s="104"/>
      <c r="I1099" s="104"/>
      <c r="J1099" s="104"/>
      <c r="K1099" s="104"/>
      <c r="L1099" s="104"/>
      <c r="M1099" s="104"/>
      <c r="N1099" s="104"/>
      <c r="O1099" s="104"/>
      <c r="P1099" s="104"/>
      <c r="Q1099" s="104"/>
      <c r="R1099" s="104"/>
      <c r="S1099" s="160"/>
      <c r="T1099" s="104"/>
      <c r="U1099" s="145"/>
      <c r="V1099" s="145"/>
      <c r="W1099" s="145"/>
      <c r="X1099" s="104"/>
      <c r="Y1099" s="194"/>
      <c r="Z1099" s="145"/>
      <c r="AA1099" s="145"/>
      <c r="AB1099" s="104"/>
      <c r="AC1099" s="104"/>
      <c r="AD1099" s="113">
        <f>S1099-Y1099</f>
        <v>0</v>
      </c>
    </row>
    <row r="1100" spans="2:30" ht="45" hidden="1" customHeight="1">
      <c r="B1100" s="174">
        <v>1097</v>
      </c>
      <c r="C1100" s="104"/>
      <c r="D1100" s="104"/>
      <c r="E1100" s="104"/>
      <c r="F1100" s="104"/>
      <c r="G1100" s="145"/>
      <c r="H1100" s="104"/>
      <c r="I1100" s="104"/>
      <c r="J1100" s="104"/>
      <c r="K1100" s="104"/>
      <c r="L1100" s="104"/>
      <c r="M1100" s="104"/>
      <c r="N1100" s="104"/>
      <c r="O1100" s="104"/>
      <c r="P1100" s="104"/>
      <c r="Q1100" s="104"/>
      <c r="R1100" s="104"/>
      <c r="S1100" s="160"/>
      <c r="T1100" s="104"/>
      <c r="U1100" s="145"/>
      <c r="V1100" s="145"/>
      <c r="W1100" s="145"/>
      <c r="X1100" s="104"/>
      <c r="Y1100" s="194"/>
      <c r="Z1100" s="145"/>
      <c r="AA1100" s="145"/>
      <c r="AB1100" s="104"/>
      <c r="AC1100" s="104"/>
      <c r="AD1100" s="113">
        <f>S1100-Y1100</f>
        <v>0</v>
      </c>
    </row>
    <row r="1101" spans="2:30" ht="45" hidden="1" customHeight="1">
      <c r="B1101" s="174">
        <v>1098</v>
      </c>
      <c r="C1101" s="104"/>
      <c r="D1101" s="104"/>
      <c r="E1101" s="104"/>
      <c r="F1101" s="104"/>
      <c r="G1101" s="145"/>
      <c r="H1101" s="104"/>
      <c r="I1101" s="104"/>
      <c r="J1101" s="104"/>
      <c r="K1101" s="104"/>
      <c r="L1101" s="104"/>
      <c r="M1101" s="104"/>
      <c r="N1101" s="104"/>
      <c r="O1101" s="104"/>
      <c r="P1101" s="104"/>
      <c r="Q1101" s="104"/>
      <c r="R1101" s="104"/>
      <c r="S1101" s="160"/>
      <c r="T1101" s="104"/>
      <c r="U1101" s="145"/>
      <c r="V1101" s="145"/>
      <c r="W1101" s="145"/>
      <c r="X1101" s="104"/>
      <c r="Y1101" s="194"/>
      <c r="Z1101" s="145"/>
      <c r="AA1101" s="145"/>
      <c r="AB1101" s="104"/>
      <c r="AC1101" s="104"/>
      <c r="AD1101" s="113">
        <f>S1101-Y1101</f>
        <v>0</v>
      </c>
    </row>
    <row r="1102" spans="2:30" ht="45" hidden="1" customHeight="1">
      <c r="B1102" s="174">
        <v>1099</v>
      </c>
      <c r="C1102" s="104"/>
      <c r="D1102" s="104"/>
      <c r="E1102" s="104"/>
      <c r="F1102" s="104"/>
      <c r="G1102" s="145"/>
      <c r="H1102" s="104"/>
      <c r="I1102" s="104"/>
      <c r="J1102" s="104"/>
      <c r="K1102" s="104"/>
      <c r="L1102" s="104"/>
      <c r="M1102" s="104"/>
      <c r="N1102" s="104"/>
      <c r="O1102" s="104"/>
      <c r="P1102" s="104"/>
      <c r="Q1102" s="104"/>
      <c r="R1102" s="104"/>
      <c r="S1102" s="160"/>
      <c r="T1102" s="104"/>
      <c r="U1102" s="145"/>
      <c r="V1102" s="145"/>
      <c r="W1102" s="145"/>
      <c r="X1102" s="104"/>
      <c r="Y1102" s="194"/>
      <c r="Z1102" s="145"/>
      <c r="AA1102" s="145"/>
      <c r="AB1102" s="104"/>
      <c r="AC1102" s="104"/>
      <c r="AD1102" s="113">
        <f>S1102-Y1102</f>
        <v>0</v>
      </c>
    </row>
    <row r="1103" spans="2:30" ht="45" hidden="1" customHeight="1">
      <c r="B1103" s="174">
        <v>1100</v>
      </c>
      <c r="C1103" s="104"/>
      <c r="D1103" s="104"/>
      <c r="E1103" s="104"/>
      <c r="F1103" s="104"/>
      <c r="G1103" s="145"/>
      <c r="H1103" s="104"/>
      <c r="I1103" s="104"/>
      <c r="J1103" s="104"/>
      <c r="K1103" s="104"/>
      <c r="L1103" s="104"/>
      <c r="M1103" s="104"/>
      <c r="N1103" s="104"/>
      <c r="O1103" s="104"/>
      <c r="P1103" s="104"/>
      <c r="Q1103" s="104"/>
      <c r="R1103" s="104"/>
      <c r="S1103" s="160"/>
      <c r="T1103" s="104"/>
      <c r="U1103" s="145"/>
      <c r="V1103" s="145"/>
      <c r="W1103" s="145"/>
      <c r="X1103" s="104"/>
      <c r="Y1103" s="194"/>
      <c r="Z1103" s="145"/>
      <c r="AA1103" s="145"/>
      <c r="AB1103" s="104"/>
      <c r="AC1103" s="104"/>
      <c r="AD1103" s="113">
        <f>S1103-Y1103</f>
        <v>0</v>
      </c>
    </row>
    <row r="1104" spans="2:30" ht="45" hidden="1" customHeight="1">
      <c r="B1104" s="174">
        <v>1101</v>
      </c>
      <c r="C1104" s="104"/>
      <c r="D1104" s="104"/>
      <c r="E1104" s="104"/>
      <c r="F1104" s="104"/>
      <c r="G1104" s="145"/>
      <c r="H1104" s="104"/>
      <c r="I1104" s="104"/>
      <c r="J1104" s="104"/>
      <c r="K1104" s="104"/>
      <c r="L1104" s="104"/>
      <c r="M1104" s="104"/>
      <c r="N1104" s="104"/>
      <c r="O1104" s="104"/>
      <c r="P1104" s="104"/>
      <c r="Q1104" s="104"/>
      <c r="R1104" s="104"/>
      <c r="S1104" s="160"/>
      <c r="T1104" s="104"/>
      <c r="U1104" s="145"/>
      <c r="V1104" s="145"/>
      <c r="W1104" s="145"/>
      <c r="X1104" s="104"/>
      <c r="Y1104" s="194"/>
      <c r="Z1104" s="145"/>
      <c r="AA1104" s="145"/>
      <c r="AB1104" s="104"/>
      <c r="AC1104" s="104"/>
      <c r="AD1104" s="113">
        <f>S1104-Y1104</f>
        <v>0</v>
      </c>
    </row>
    <row r="1105" spans="2:30" ht="45" hidden="1" customHeight="1">
      <c r="B1105" s="174">
        <v>1102</v>
      </c>
      <c r="C1105" s="104"/>
      <c r="D1105" s="104"/>
      <c r="E1105" s="104"/>
      <c r="F1105" s="104"/>
      <c r="G1105" s="145"/>
      <c r="H1105" s="104"/>
      <c r="I1105" s="104"/>
      <c r="J1105" s="104"/>
      <c r="K1105" s="104"/>
      <c r="L1105" s="104"/>
      <c r="M1105" s="104"/>
      <c r="N1105" s="104"/>
      <c r="O1105" s="104"/>
      <c r="P1105" s="104"/>
      <c r="Q1105" s="104"/>
      <c r="R1105" s="104"/>
      <c r="S1105" s="160"/>
      <c r="T1105" s="104"/>
      <c r="U1105" s="145"/>
      <c r="V1105" s="145"/>
      <c r="W1105" s="145"/>
      <c r="X1105" s="104"/>
      <c r="Y1105" s="194"/>
      <c r="Z1105" s="145"/>
      <c r="AA1105" s="145"/>
      <c r="AB1105" s="104"/>
      <c r="AC1105" s="104"/>
      <c r="AD1105" s="113">
        <f>S1105-Y1105</f>
        <v>0</v>
      </c>
    </row>
    <row r="1106" spans="2:30" ht="45" hidden="1" customHeight="1">
      <c r="B1106" s="174">
        <v>1103</v>
      </c>
      <c r="C1106" s="104"/>
      <c r="D1106" s="104"/>
      <c r="E1106" s="104"/>
      <c r="F1106" s="104"/>
      <c r="G1106" s="145"/>
      <c r="H1106" s="104"/>
      <c r="I1106" s="104"/>
      <c r="J1106" s="104"/>
      <c r="K1106" s="104"/>
      <c r="L1106" s="104"/>
      <c r="M1106" s="104"/>
      <c r="N1106" s="104"/>
      <c r="O1106" s="104"/>
      <c r="P1106" s="104"/>
      <c r="Q1106" s="104"/>
      <c r="R1106" s="104"/>
      <c r="S1106" s="160"/>
      <c r="T1106" s="104"/>
      <c r="U1106" s="145"/>
      <c r="V1106" s="145"/>
      <c r="W1106" s="145"/>
      <c r="X1106" s="104"/>
      <c r="Y1106" s="194"/>
      <c r="Z1106" s="145"/>
      <c r="AA1106" s="145"/>
      <c r="AB1106" s="104"/>
      <c r="AC1106" s="104"/>
      <c r="AD1106" s="113">
        <f>S1106-Y1106</f>
        <v>0</v>
      </c>
    </row>
    <row r="1107" spans="2:30" ht="45" hidden="1" customHeight="1">
      <c r="B1107" s="174">
        <v>1104</v>
      </c>
      <c r="C1107" s="104"/>
      <c r="D1107" s="104"/>
      <c r="E1107" s="104"/>
      <c r="F1107" s="104"/>
      <c r="G1107" s="145"/>
      <c r="H1107" s="104"/>
      <c r="I1107" s="104"/>
      <c r="J1107" s="104"/>
      <c r="K1107" s="104"/>
      <c r="L1107" s="104"/>
      <c r="M1107" s="104"/>
      <c r="N1107" s="104"/>
      <c r="O1107" s="104"/>
      <c r="P1107" s="104"/>
      <c r="Q1107" s="104"/>
      <c r="R1107" s="104"/>
      <c r="S1107" s="160"/>
      <c r="T1107" s="104"/>
      <c r="U1107" s="145"/>
      <c r="V1107" s="145"/>
      <c r="W1107" s="145"/>
      <c r="X1107" s="104"/>
      <c r="Y1107" s="194"/>
      <c r="Z1107" s="145"/>
      <c r="AA1107" s="145"/>
      <c r="AB1107" s="104"/>
      <c r="AC1107" s="104"/>
      <c r="AD1107" s="113">
        <f>S1107-Y1107</f>
        <v>0</v>
      </c>
    </row>
    <row r="1108" spans="2:30" ht="45" hidden="1" customHeight="1">
      <c r="B1108" s="174">
        <v>1105</v>
      </c>
      <c r="C1108" s="104"/>
      <c r="D1108" s="104"/>
      <c r="E1108" s="104"/>
      <c r="F1108" s="104"/>
      <c r="G1108" s="145"/>
      <c r="H1108" s="104"/>
      <c r="I1108" s="104"/>
      <c r="J1108" s="104"/>
      <c r="K1108" s="104"/>
      <c r="L1108" s="104"/>
      <c r="M1108" s="104"/>
      <c r="N1108" s="104"/>
      <c r="O1108" s="104"/>
      <c r="P1108" s="104"/>
      <c r="Q1108" s="104"/>
      <c r="R1108" s="104"/>
      <c r="S1108" s="160"/>
      <c r="T1108" s="104"/>
      <c r="U1108" s="145"/>
      <c r="V1108" s="145"/>
      <c r="W1108" s="145"/>
      <c r="X1108" s="104"/>
      <c r="Y1108" s="194"/>
      <c r="Z1108" s="145"/>
      <c r="AA1108" s="145"/>
      <c r="AB1108" s="104"/>
      <c r="AC1108" s="104"/>
      <c r="AD1108" s="113">
        <f>S1108-Y1108</f>
        <v>0</v>
      </c>
    </row>
    <row r="1109" spans="2:30" ht="45" hidden="1" customHeight="1">
      <c r="B1109" s="174">
        <v>1106</v>
      </c>
      <c r="C1109" s="104"/>
      <c r="D1109" s="104"/>
      <c r="E1109" s="104"/>
      <c r="F1109" s="104"/>
      <c r="G1109" s="145"/>
      <c r="H1109" s="104"/>
      <c r="I1109" s="104"/>
      <c r="J1109" s="104"/>
      <c r="K1109" s="104"/>
      <c r="L1109" s="104"/>
      <c r="M1109" s="104"/>
      <c r="N1109" s="104"/>
      <c r="O1109" s="104"/>
      <c r="P1109" s="104"/>
      <c r="Q1109" s="104"/>
      <c r="R1109" s="104"/>
      <c r="S1109" s="160"/>
      <c r="T1109" s="104"/>
      <c r="U1109" s="145"/>
      <c r="V1109" s="145"/>
      <c r="W1109" s="145"/>
      <c r="X1109" s="104"/>
      <c r="Y1109" s="194"/>
      <c r="Z1109" s="145"/>
      <c r="AA1109" s="145"/>
      <c r="AB1109" s="104"/>
      <c r="AC1109" s="104"/>
      <c r="AD1109" s="113">
        <f>S1109-Y1109</f>
        <v>0</v>
      </c>
    </row>
    <row r="1110" spans="2:30" ht="45" hidden="1" customHeight="1">
      <c r="B1110" s="174">
        <v>1107</v>
      </c>
      <c r="C1110" s="104"/>
      <c r="D1110" s="104"/>
      <c r="E1110" s="104"/>
      <c r="F1110" s="104"/>
      <c r="G1110" s="145"/>
      <c r="H1110" s="104"/>
      <c r="I1110" s="104"/>
      <c r="J1110" s="104"/>
      <c r="K1110" s="104"/>
      <c r="L1110" s="104"/>
      <c r="M1110" s="104"/>
      <c r="N1110" s="104"/>
      <c r="O1110" s="104"/>
      <c r="P1110" s="104"/>
      <c r="Q1110" s="104"/>
      <c r="R1110" s="104"/>
      <c r="S1110" s="160"/>
      <c r="T1110" s="104"/>
      <c r="U1110" s="145"/>
      <c r="V1110" s="145"/>
      <c r="W1110" s="145"/>
      <c r="X1110" s="104"/>
      <c r="Y1110" s="194"/>
      <c r="Z1110" s="145"/>
      <c r="AA1110" s="145"/>
      <c r="AB1110" s="104"/>
      <c r="AC1110" s="104"/>
      <c r="AD1110" s="113">
        <f>S1110-Y1110</f>
        <v>0</v>
      </c>
    </row>
    <row r="1111" spans="2:30" ht="45" hidden="1" customHeight="1">
      <c r="B1111" s="174">
        <v>1108</v>
      </c>
      <c r="C1111" s="104"/>
      <c r="D1111" s="104"/>
      <c r="E1111" s="104"/>
      <c r="F1111" s="104"/>
      <c r="G1111" s="145"/>
      <c r="H1111" s="104"/>
      <c r="I1111" s="104"/>
      <c r="J1111" s="104"/>
      <c r="K1111" s="104"/>
      <c r="L1111" s="104"/>
      <c r="M1111" s="104"/>
      <c r="N1111" s="104"/>
      <c r="O1111" s="104"/>
      <c r="P1111" s="104"/>
      <c r="Q1111" s="104"/>
      <c r="R1111" s="104"/>
      <c r="S1111" s="160"/>
      <c r="T1111" s="104"/>
      <c r="U1111" s="145"/>
      <c r="V1111" s="145"/>
      <c r="W1111" s="145"/>
      <c r="X1111" s="104"/>
      <c r="Y1111" s="194"/>
      <c r="Z1111" s="145"/>
      <c r="AA1111" s="145"/>
      <c r="AB1111" s="104"/>
      <c r="AC1111" s="104"/>
      <c r="AD1111" s="113">
        <f>S1111-Y1111</f>
        <v>0</v>
      </c>
    </row>
    <row r="1112" spans="2:30" ht="45" hidden="1" customHeight="1">
      <c r="B1112" s="174">
        <v>1109</v>
      </c>
      <c r="C1112" s="104"/>
      <c r="D1112" s="104"/>
      <c r="E1112" s="104"/>
      <c r="F1112" s="104"/>
      <c r="G1112" s="145"/>
      <c r="H1112" s="104"/>
      <c r="I1112" s="104"/>
      <c r="J1112" s="104"/>
      <c r="K1112" s="104"/>
      <c r="L1112" s="104"/>
      <c r="M1112" s="104"/>
      <c r="N1112" s="104"/>
      <c r="O1112" s="104"/>
      <c r="P1112" s="104"/>
      <c r="Q1112" s="104"/>
      <c r="R1112" s="104"/>
      <c r="S1112" s="160"/>
      <c r="T1112" s="104"/>
      <c r="U1112" s="145"/>
      <c r="V1112" s="145"/>
      <c r="W1112" s="145"/>
      <c r="X1112" s="104"/>
      <c r="Y1112" s="194"/>
      <c r="Z1112" s="145"/>
      <c r="AA1112" s="145"/>
      <c r="AB1112" s="104"/>
      <c r="AC1112" s="104"/>
      <c r="AD1112" s="113">
        <f>S1112-Y1112</f>
        <v>0</v>
      </c>
    </row>
    <row r="1113" spans="2:30" ht="45" hidden="1" customHeight="1">
      <c r="B1113" s="174">
        <v>1110</v>
      </c>
      <c r="C1113" s="104"/>
      <c r="D1113" s="104"/>
      <c r="E1113" s="104"/>
      <c r="F1113" s="104"/>
      <c r="G1113" s="145"/>
      <c r="H1113" s="104"/>
      <c r="I1113" s="104"/>
      <c r="J1113" s="104"/>
      <c r="K1113" s="104"/>
      <c r="L1113" s="104"/>
      <c r="M1113" s="104"/>
      <c r="N1113" s="104"/>
      <c r="O1113" s="104"/>
      <c r="P1113" s="104"/>
      <c r="Q1113" s="104"/>
      <c r="R1113" s="104"/>
      <c r="S1113" s="160"/>
      <c r="T1113" s="104"/>
      <c r="U1113" s="145"/>
      <c r="V1113" s="145"/>
      <c r="W1113" s="145"/>
      <c r="X1113" s="104"/>
      <c r="Y1113" s="194"/>
      <c r="Z1113" s="145"/>
      <c r="AA1113" s="145"/>
      <c r="AB1113" s="104"/>
      <c r="AC1113" s="104"/>
      <c r="AD1113" s="113">
        <f>S1113-Y1113</f>
        <v>0</v>
      </c>
    </row>
    <row r="1114" spans="2:30" ht="45" hidden="1" customHeight="1">
      <c r="B1114" s="174">
        <v>1111</v>
      </c>
      <c r="C1114" s="104"/>
      <c r="D1114" s="104"/>
      <c r="E1114" s="104"/>
      <c r="F1114" s="104"/>
      <c r="G1114" s="145"/>
      <c r="H1114" s="104"/>
      <c r="I1114" s="104"/>
      <c r="J1114" s="104"/>
      <c r="K1114" s="104"/>
      <c r="L1114" s="104"/>
      <c r="M1114" s="104"/>
      <c r="N1114" s="104"/>
      <c r="O1114" s="104"/>
      <c r="P1114" s="104"/>
      <c r="Q1114" s="104"/>
      <c r="R1114" s="104"/>
      <c r="S1114" s="160"/>
      <c r="T1114" s="104"/>
      <c r="U1114" s="145"/>
      <c r="V1114" s="145"/>
      <c r="W1114" s="145"/>
      <c r="X1114" s="104"/>
      <c r="Y1114" s="194"/>
      <c r="Z1114" s="145"/>
      <c r="AA1114" s="145"/>
      <c r="AB1114" s="104"/>
      <c r="AC1114" s="104"/>
      <c r="AD1114" s="113">
        <f>S1114-Y1114</f>
        <v>0</v>
      </c>
    </row>
    <row r="1115" spans="2:30" ht="45" hidden="1" customHeight="1">
      <c r="B1115" s="174">
        <v>1112</v>
      </c>
      <c r="C1115" s="104"/>
      <c r="D1115" s="104"/>
      <c r="E1115" s="104"/>
      <c r="F1115" s="104"/>
      <c r="G1115" s="145"/>
      <c r="H1115" s="104"/>
      <c r="I1115" s="104"/>
      <c r="J1115" s="104"/>
      <c r="K1115" s="104"/>
      <c r="L1115" s="104"/>
      <c r="M1115" s="104"/>
      <c r="N1115" s="104"/>
      <c r="O1115" s="104"/>
      <c r="P1115" s="104"/>
      <c r="Q1115" s="104"/>
      <c r="R1115" s="104"/>
      <c r="S1115" s="160"/>
      <c r="T1115" s="104"/>
      <c r="U1115" s="145"/>
      <c r="V1115" s="145"/>
      <c r="W1115" s="145"/>
      <c r="X1115" s="104"/>
      <c r="Y1115" s="194"/>
      <c r="Z1115" s="145"/>
      <c r="AA1115" s="145"/>
      <c r="AB1115" s="104"/>
      <c r="AC1115" s="104"/>
      <c r="AD1115" s="113">
        <f>S1115-Y1115</f>
        <v>0</v>
      </c>
    </row>
    <row r="1116" spans="2:30" ht="45" hidden="1" customHeight="1">
      <c r="B1116" s="174">
        <v>1113</v>
      </c>
      <c r="C1116" s="104"/>
      <c r="D1116" s="104"/>
      <c r="E1116" s="104"/>
      <c r="F1116" s="104"/>
      <c r="G1116" s="145"/>
      <c r="H1116" s="104"/>
      <c r="I1116" s="104"/>
      <c r="J1116" s="104"/>
      <c r="K1116" s="104"/>
      <c r="L1116" s="104"/>
      <c r="M1116" s="104"/>
      <c r="N1116" s="104"/>
      <c r="O1116" s="104"/>
      <c r="P1116" s="104"/>
      <c r="Q1116" s="104"/>
      <c r="R1116" s="104"/>
      <c r="S1116" s="160"/>
      <c r="T1116" s="104"/>
      <c r="U1116" s="145"/>
      <c r="V1116" s="145"/>
      <c r="W1116" s="145"/>
      <c r="X1116" s="104"/>
      <c r="Y1116" s="194"/>
      <c r="Z1116" s="145"/>
      <c r="AA1116" s="145"/>
      <c r="AB1116" s="104"/>
      <c r="AC1116" s="104"/>
      <c r="AD1116" s="113">
        <f>S1116-Y1116</f>
        <v>0</v>
      </c>
    </row>
    <row r="1117" spans="2:30" ht="45" hidden="1" customHeight="1">
      <c r="B1117" s="174">
        <v>1114</v>
      </c>
      <c r="C1117" s="104"/>
      <c r="D1117" s="104"/>
      <c r="E1117" s="104"/>
      <c r="F1117" s="104"/>
      <c r="G1117" s="145"/>
      <c r="H1117" s="104"/>
      <c r="I1117" s="104"/>
      <c r="J1117" s="104"/>
      <c r="K1117" s="104"/>
      <c r="L1117" s="104"/>
      <c r="M1117" s="104"/>
      <c r="N1117" s="104"/>
      <c r="O1117" s="104"/>
      <c r="P1117" s="104"/>
      <c r="Q1117" s="104"/>
      <c r="R1117" s="104"/>
      <c r="S1117" s="160"/>
      <c r="T1117" s="104"/>
      <c r="U1117" s="145"/>
      <c r="V1117" s="145"/>
      <c r="W1117" s="145"/>
      <c r="X1117" s="104"/>
      <c r="Y1117" s="194"/>
      <c r="Z1117" s="145"/>
      <c r="AA1117" s="145"/>
      <c r="AB1117" s="104"/>
      <c r="AC1117" s="104"/>
      <c r="AD1117" s="113">
        <f>S1117-Y1117</f>
        <v>0</v>
      </c>
    </row>
    <row r="1118" spans="2:30" ht="45" hidden="1" customHeight="1">
      <c r="B1118" s="174">
        <v>1115</v>
      </c>
      <c r="C1118" s="104"/>
      <c r="D1118" s="104"/>
      <c r="E1118" s="104"/>
      <c r="F1118" s="104"/>
      <c r="G1118" s="145"/>
      <c r="H1118" s="104"/>
      <c r="I1118" s="104"/>
      <c r="J1118" s="104"/>
      <c r="K1118" s="104"/>
      <c r="L1118" s="104"/>
      <c r="M1118" s="104"/>
      <c r="N1118" s="104"/>
      <c r="O1118" s="104"/>
      <c r="P1118" s="104"/>
      <c r="Q1118" s="104"/>
      <c r="R1118" s="104"/>
      <c r="S1118" s="160"/>
      <c r="T1118" s="104"/>
      <c r="U1118" s="145"/>
      <c r="V1118" s="145"/>
      <c r="W1118" s="145"/>
      <c r="X1118" s="104"/>
      <c r="Y1118" s="194"/>
      <c r="Z1118" s="145"/>
      <c r="AA1118" s="145"/>
      <c r="AB1118" s="104"/>
      <c r="AC1118" s="104"/>
      <c r="AD1118" s="113">
        <f>S1118-Y1118</f>
        <v>0</v>
      </c>
    </row>
    <row r="1119" spans="2:30" ht="45" hidden="1" customHeight="1">
      <c r="B1119" s="174">
        <v>1116</v>
      </c>
      <c r="C1119" s="104"/>
      <c r="D1119" s="104"/>
      <c r="E1119" s="104"/>
      <c r="F1119" s="104"/>
      <c r="G1119" s="145"/>
      <c r="H1119" s="104"/>
      <c r="I1119" s="104"/>
      <c r="J1119" s="104"/>
      <c r="K1119" s="104"/>
      <c r="L1119" s="104"/>
      <c r="M1119" s="104"/>
      <c r="N1119" s="104"/>
      <c r="O1119" s="104"/>
      <c r="P1119" s="104"/>
      <c r="Q1119" s="104"/>
      <c r="R1119" s="104"/>
      <c r="S1119" s="160"/>
      <c r="T1119" s="104"/>
      <c r="U1119" s="145"/>
      <c r="V1119" s="145"/>
      <c r="W1119" s="145"/>
      <c r="X1119" s="104"/>
      <c r="Y1119" s="194"/>
      <c r="Z1119" s="145"/>
      <c r="AA1119" s="145"/>
      <c r="AB1119" s="104"/>
      <c r="AC1119" s="104"/>
      <c r="AD1119" s="113">
        <f>S1119-Y1119</f>
        <v>0</v>
      </c>
    </row>
    <row r="1120" spans="2:30" ht="45" hidden="1" customHeight="1">
      <c r="B1120" s="174">
        <v>1117</v>
      </c>
      <c r="C1120" s="104"/>
      <c r="D1120" s="104"/>
      <c r="E1120" s="104"/>
      <c r="F1120" s="104"/>
      <c r="G1120" s="145"/>
      <c r="H1120" s="104"/>
      <c r="I1120" s="104"/>
      <c r="J1120" s="104"/>
      <c r="K1120" s="104"/>
      <c r="L1120" s="104"/>
      <c r="M1120" s="104"/>
      <c r="N1120" s="104"/>
      <c r="O1120" s="104"/>
      <c r="P1120" s="104"/>
      <c r="Q1120" s="104"/>
      <c r="R1120" s="104"/>
      <c r="S1120" s="160"/>
      <c r="T1120" s="104"/>
      <c r="U1120" s="145"/>
      <c r="V1120" s="145"/>
      <c r="W1120" s="145"/>
      <c r="X1120" s="104"/>
      <c r="Y1120" s="194"/>
      <c r="Z1120" s="145"/>
      <c r="AA1120" s="145"/>
      <c r="AB1120" s="104"/>
      <c r="AC1120" s="104"/>
      <c r="AD1120" s="113">
        <f>S1120-Y1120</f>
        <v>0</v>
      </c>
    </row>
    <row r="1121" spans="2:30" ht="45" hidden="1" customHeight="1">
      <c r="B1121" s="174">
        <v>1118</v>
      </c>
      <c r="C1121" s="104"/>
      <c r="D1121" s="104"/>
      <c r="E1121" s="104"/>
      <c r="F1121" s="104"/>
      <c r="G1121" s="145"/>
      <c r="H1121" s="104"/>
      <c r="I1121" s="104"/>
      <c r="J1121" s="104"/>
      <c r="K1121" s="104"/>
      <c r="L1121" s="104"/>
      <c r="M1121" s="104"/>
      <c r="N1121" s="104"/>
      <c r="O1121" s="104"/>
      <c r="P1121" s="104"/>
      <c r="Q1121" s="104"/>
      <c r="R1121" s="104"/>
      <c r="S1121" s="160"/>
      <c r="T1121" s="104"/>
      <c r="U1121" s="145"/>
      <c r="V1121" s="145"/>
      <c r="W1121" s="145"/>
      <c r="X1121" s="104"/>
      <c r="Y1121" s="194"/>
      <c r="Z1121" s="145"/>
      <c r="AA1121" s="145"/>
      <c r="AB1121" s="104"/>
      <c r="AC1121" s="104"/>
      <c r="AD1121" s="113">
        <f>S1121-Y1121</f>
        <v>0</v>
      </c>
    </row>
    <row r="1122" spans="2:30" ht="45" hidden="1" customHeight="1">
      <c r="B1122" s="174">
        <v>1119</v>
      </c>
      <c r="C1122" s="104"/>
      <c r="D1122" s="104"/>
      <c r="E1122" s="104"/>
      <c r="F1122" s="104"/>
      <c r="G1122" s="145"/>
      <c r="H1122" s="104"/>
      <c r="I1122" s="104"/>
      <c r="J1122" s="104"/>
      <c r="K1122" s="104"/>
      <c r="L1122" s="104"/>
      <c r="M1122" s="104"/>
      <c r="N1122" s="104"/>
      <c r="O1122" s="104"/>
      <c r="P1122" s="104"/>
      <c r="Q1122" s="104"/>
      <c r="R1122" s="104"/>
      <c r="S1122" s="160"/>
      <c r="T1122" s="104"/>
      <c r="U1122" s="145"/>
      <c r="V1122" s="145"/>
      <c r="W1122" s="145"/>
      <c r="X1122" s="104"/>
      <c r="Y1122" s="194"/>
      <c r="Z1122" s="145"/>
      <c r="AA1122" s="145"/>
      <c r="AB1122" s="104"/>
      <c r="AC1122" s="104"/>
      <c r="AD1122" s="113">
        <f>S1122-Y1122</f>
        <v>0</v>
      </c>
    </row>
    <row r="1123" spans="2:30" ht="45" hidden="1" customHeight="1">
      <c r="B1123" s="174">
        <v>1120</v>
      </c>
      <c r="C1123" s="104"/>
      <c r="D1123" s="104"/>
      <c r="E1123" s="104"/>
      <c r="F1123" s="104"/>
      <c r="G1123" s="145"/>
      <c r="H1123" s="104"/>
      <c r="I1123" s="104"/>
      <c r="J1123" s="104"/>
      <c r="K1123" s="104"/>
      <c r="L1123" s="104"/>
      <c r="M1123" s="104"/>
      <c r="N1123" s="104"/>
      <c r="O1123" s="104"/>
      <c r="P1123" s="104"/>
      <c r="Q1123" s="104"/>
      <c r="R1123" s="104"/>
      <c r="S1123" s="160"/>
      <c r="T1123" s="104"/>
      <c r="U1123" s="145"/>
      <c r="V1123" s="145"/>
      <c r="W1123" s="145"/>
      <c r="X1123" s="104"/>
      <c r="Y1123" s="194"/>
      <c r="Z1123" s="145"/>
      <c r="AA1123" s="145"/>
      <c r="AB1123" s="104"/>
      <c r="AC1123" s="104"/>
      <c r="AD1123" s="113">
        <f>S1123-Y1123</f>
        <v>0</v>
      </c>
    </row>
    <row r="1124" spans="2:30" ht="45" hidden="1" customHeight="1">
      <c r="B1124" s="174">
        <v>1121</v>
      </c>
      <c r="C1124" s="104"/>
      <c r="D1124" s="104"/>
      <c r="E1124" s="104"/>
      <c r="F1124" s="104"/>
      <c r="G1124" s="145"/>
      <c r="H1124" s="104"/>
      <c r="I1124" s="104"/>
      <c r="J1124" s="104"/>
      <c r="K1124" s="104"/>
      <c r="L1124" s="104"/>
      <c r="M1124" s="104"/>
      <c r="N1124" s="104"/>
      <c r="O1124" s="104"/>
      <c r="P1124" s="104"/>
      <c r="Q1124" s="104"/>
      <c r="R1124" s="104"/>
      <c r="S1124" s="160"/>
      <c r="T1124" s="104"/>
      <c r="U1124" s="145"/>
      <c r="V1124" s="145"/>
      <c r="W1124" s="145"/>
      <c r="X1124" s="104"/>
      <c r="Y1124" s="194"/>
      <c r="Z1124" s="145"/>
      <c r="AA1124" s="145"/>
      <c r="AB1124" s="104"/>
      <c r="AC1124" s="104"/>
      <c r="AD1124" s="113">
        <f>S1124-Y1124</f>
        <v>0</v>
      </c>
    </row>
    <row r="1125" spans="2:30" ht="45" hidden="1" customHeight="1">
      <c r="B1125" s="174">
        <v>1122</v>
      </c>
      <c r="C1125" s="104"/>
      <c r="D1125" s="104"/>
      <c r="E1125" s="104"/>
      <c r="F1125" s="104"/>
      <c r="G1125" s="145"/>
      <c r="H1125" s="104"/>
      <c r="I1125" s="104"/>
      <c r="J1125" s="104"/>
      <c r="K1125" s="104"/>
      <c r="L1125" s="104"/>
      <c r="M1125" s="104"/>
      <c r="N1125" s="104"/>
      <c r="O1125" s="104"/>
      <c r="P1125" s="104"/>
      <c r="Q1125" s="104"/>
      <c r="R1125" s="104"/>
      <c r="S1125" s="160"/>
      <c r="T1125" s="104"/>
      <c r="U1125" s="145"/>
      <c r="V1125" s="145"/>
      <c r="W1125" s="145"/>
      <c r="X1125" s="104"/>
      <c r="Y1125" s="194"/>
      <c r="Z1125" s="145"/>
      <c r="AA1125" s="145"/>
      <c r="AB1125" s="104"/>
      <c r="AC1125" s="104"/>
      <c r="AD1125" s="113">
        <f>S1125-Y1125</f>
        <v>0</v>
      </c>
    </row>
    <row r="1126" spans="2:30" ht="45" hidden="1" customHeight="1">
      <c r="B1126" s="174">
        <v>1123</v>
      </c>
      <c r="C1126" s="104"/>
      <c r="D1126" s="104"/>
      <c r="E1126" s="104"/>
      <c r="F1126" s="104"/>
      <c r="G1126" s="145"/>
      <c r="H1126" s="104"/>
      <c r="I1126" s="104"/>
      <c r="J1126" s="104"/>
      <c r="K1126" s="104"/>
      <c r="L1126" s="104"/>
      <c r="M1126" s="104"/>
      <c r="N1126" s="104"/>
      <c r="O1126" s="104"/>
      <c r="P1126" s="104"/>
      <c r="Q1126" s="104"/>
      <c r="R1126" s="104"/>
      <c r="S1126" s="160"/>
      <c r="T1126" s="104"/>
      <c r="U1126" s="145"/>
      <c r="V1126" s="145"/>
      <c r="W1126" s="145"/>
      <c r="X1126" s="104"/>
      <c r="Y1126" s="194"/>
      <c r="Z1126" s="145"/>
      <c r="AA1126" s="145"/>
      <c r="AB1126" s="104"/>
      <c r="AC1126" s="104"/>
      <c r="AD1126" s="113">
        <f>S1126-Y1126</f>
        <v>0</v>
      </c>
    </row>
    <row r="1127" spans="2:30" ht="45" hidden="1" customHeight="1">
      <c r="B1127" s="174">
        <v>1124</v>
      </c>
      <c r="C1127" s="104"/>
      <c r="D1127" s="104"/>
      <c r="E1127" s="104"/>
      <c r="F1127" s="104"/>
      <c r="G1127" s="145"/>
      <c r="H1127" s="104"/>
      <c r="I1127" s="104"/>
      <c r="J1127" s="104"/>
      <c r="K1127" s="104"/>
      <c r="L1127" s="104"/>
      <c r="M1127" s="104"/>
      <c r="N1127" s="104"/>
      <c r="O1127" s="104"/>
      <c r="P1127" s="104"/>
      <c r="Q1127" s="104"/>
      <c r="R1127" s="104"/>
      <c r="S1127" s="160"/>
      <c r="T1127" s="104"/>
      <c r="U1127" s="145"/>
      <c r="V1127" s="145"/>
      <c r="W1127" s="145"/>
      <c r="X1127" s="104"/>
      <c r="Y1127" s="194"/>
      <c r="Z1127" s="145"/>
      <c r="AA1127" s="145"/>
      <c r="AB1127" s="104"/>
      <c r="AC1127" s="104"/>
      <c r="AD1127" s="113">
        <f>S1127-Y1127</f>
        <v>0</v>
      </c>
    </row>
    <row r="1128" spans="2:30" ht="45" hidden="1" customHeight="1">
      <c r="B1128" s="174">
        <v>1125</v>
      </c>
      <c r="C1128" s="104"/>
      <c r="D1128" s="104"/>
      <c r="E1128" s="104"/>
      <c r="F1128" s="104"/>
      <c r="G1128" s="145"/>
      <c r="H1128" s="104"/>
      <c r="I1128" s="104"/>
      <c r="J1128" s="104"/>
      <c r="K1128" s="104"/>
      <c r="L1128" s="104"/>
      <c r="M1128" s="104"/>
      <c r="N1128" s="104"/>
      <c r="O1128" s="104"/>
      <c r="P1128" s="104"/>
      <c r="Q1128" s="104"/>
      <c r="R1128" s="104"/>
      <c r="S1128" s="160"/>
      <c r="T1128" s="104"/>
      <c r="U1128" s="145"/>
      <c r="V1128" s="145"/>
      <c r="W1128" s="145"/>
      <c r="X1128" s="104"/>
      <c r="Y1128" s="194"/>
      <c r="Z1128" s="145"/>
      <c r="AA1128" s="145"/>
      <c r="AB1128" s="104"/>
      <c r="AC1128" s="104"/>
      <c r="AD1128" s="113">
        <f>S1128-Y1128</f>
        <v>0</v>
      </c>
    </row>
    <row r="1129" spans="2:30" ht="45" hidden="1" customHeight="1">
      <c r="B1129" s="174">
        <v>1126</v>
      </c>
      <c r="C1129" s="104"/>
      <c r="D1129" s="104"/>
      <c r="E1129" s="104"/>
      <c r="F1129" s="104"/>
      <c r="G1129" s="145"/>
      <c r="H1129" s="104"/>
      <c r="I1129" s="104"/>
      <c r="J1129" s="104"/>
      <c r="K1129" s="104"/>
      <c r="L1129" s="104"/>
      <c r="M1129" s="104"/>
      <c r="N1129" s="104"/>
      <c r="O1129" s="104"/>
      <c r="P1129" s="104"/>
      <c r="Q1129" s="104"/>
      <c r="R1129" s="104"/>
      <c r="S1129" s="160"/>
      <c r="T1129" s="104"/>
      <c r="U1129" s="145"/>
      <c r="V1129" s="145"/>
      <c r="W1129" s="145"/>
      <c r="X1129" s="104"/>
      <c r="Y1129" s="194"/>
      <c r="Z1129" s="145"/>
      <c r="AA1129" s="145"/>
      <c r="AB1129" s="104"/>
      <c r="AC1129" s="104"/>
      <c r="AD1129" s="113">
        <f>S1129-Y1129</f>
        <v>0</v>
      </c>
    </row>
    <row r="1130" spans="2:30" ht="45" hidden="1" customHeight="1">
      <c r="B1130" s="174">
        <v>1127</v>
      </c>
      <c r="C1130" s="104"/>
      <c r="D1130" s="104"/>
      <c r="E1130" s="104"/>
      <c r="F1130" s="104"/>
      <c r="G1130" s="145"/>
      <c r="H1130" s="104"/>
      <c r="I1130" s="104"/>
      <c r="J1130" s="104"/>
      <c r="K1130" s="104"/>
      <c r="L1130" s="104"/>
      <c r="M1130" s="104"/>
      <c r="N1130" s="104"/>
      <c r="O1130" s="104"/>
      <c r="P1130" s="104"/>
      <c r="Q1130" s="104"/>
      <c r="R1130" s="104"/>
      <c r="S1130" s="160"/>
      <c r="T1130" s="104"/>
      <c r="U1130" s="145"/>
      <c r="V1130" s="145"/>
      <c r="W1130" s="145"/>
      <c r="X1130" s="104"/>
      <c r="Y1130" s="194"/>
      <c r="Z1130" s="145"/>
      <c r="AA1130" s="145"/>
      <c r="AB1130" s="104"/>
      <c r="AC1130" s="104"/>
      <c r="AD1130" s="113">
        <f>S1130-Y1130</f>
        <v>0</v>
      </c>
    </row>
    <row r="1131" spans="2:30" ht="45" hidden="1" customHeight="1">
      <c r="B1131" s="174">
        <v>1128</v>
      </c>
      <c r="C1131" s="104"/>
      <c r="D1131" s="104"/>
      <c r="E1131" s="104"/>
      <c r="F1131" s="104"/>
      <c r="G1131" s="145"/>
      <c r="H1131" s="104"/>
      <c r="I1131" s="104"/>
      <c r="J1131" s="104"/>
      <c r="K1131" s="104"/>
      <c r="L1131" s="104"/>
      <c r="M1131" s="104"/>
      <c r="N1131" s="104"/>
      <c r="O1131" s="104"/>
      <c r="P1131" s="104"/>
      <c r="Q1131" s="104"/>
      <c r="R1131" s="104"/>
      <c r="S1131" s="160"/>
      <c r="T1131" s="104"/>
      <c r="U1131" s="145"/>
      <c r="V1131" s="145"/>
      <c r="W1131" s="145"/>
      <c r="X1131" s="104"/>
      <c r="Y1131" s="194"/>
      <c r="Z1131" s="145"/>
      <c r="AA1131" s="145"/>
      <c r="AB1131" s="104"/>
      <c r="AC1131" s="104"/>
      <c r="AD1131" s="113">
        <f>S1131-Y1131</f>
        <v>0</v>
      </c>
    </row>
    <row r="1132" spans="2:30" ht="45" hidden="1" customHeight="1">
      <c r="B1132" s="174">
        <v>1129</v>
      </c>
      <c r="C1132" s="104"/>
      <c r="D1132" s="104"/>
      <c r="E1132" s="104"/>
      <c r="F1132" s="104"/>
      <c r="G1132" s="145"/>
      <c r="H1132" s="104"/>
      <c r="I1132" s="104"/>
      <c r="J1132" s="104"/>
      <c r="K1132" s="104"/>
      <c r="L1132" s="104"/>
      <c r="M1132" s="104"/>
      <c r="N1132" s="104"/>
      <c r="O1132" s="104"/>
      <c r="P1132" s="104"/>
      <c r="Q1132" s="104"/>
      <c r="R1132" s="104"/>
      <c r="S1132" s="160"/>
      <c r="T1132" s="104"/>
      <c r="U1132" s="145"/>
      <c r="V1132" s="145"/>
      <c r="W1132" s="145"/>
      <c r="X1132" s="104"/>
      <c r="Y1132" s="194"/>
      <c r="Z1132" s="145"/>
      <c r="AA1132" s="145"/>
      <c r="AB1132" s="104"/>
      <c r="AC1132" s="104"/>
      <c r="AD1132" s="113">
        <f>S1132-Y1132</f>
        <v>0</v>
      </c>
    </row>
    <row r="1133" spans="2:30" ht="45" hidden="1" customHeight="1">
      <c r="B1133" s="174">
        <v>1130</v>
      </c>
      <c r="C1133" s="104"/>
      <c r="D1133" s="104"/>
      <c r="E1133" s="104"/>
      <c r="F1133" s="104"/>
      <c r="G1133" s="145"/>
      <c r="H1133" s="104"/>
      <c r="I1133" s="104"/>
      <c r="J1133" s="104"/>
      <c r="K1133" s="104"/>
      <c r="L1133" s="104"/>
      <c r="M1133" s="104"/>
      <c r="N1133" s="104"/>
      <c r="O1133" s="104"/>
      <c r="P1133" s="104"/>
      <c r="Q1133" s="104"/>
      <c r="R1133" s="104"/>
      <c r="S1133" s="160"/>
      <c r="T1133" s="104"/>
      <c r="U1133" s="145"/>
      <c r="V1133" s="145"/>
      <c r="W1133" s="145"/>
      <c r="X1133" s="104"/>
      <c r="Y1133" s="194"/>
      <c r="Z1133" s="145"/>
      <c r="AA1133" s="145"/>
      <c r="AB1133" s="104"/>
      <c r="AC1133" s="104"/>
      <c r="AD1133" s="113">
        <f>S1133-Y1133</f>
        <v>0</v>
      </c>
    </row>
    <row r="1134" spans="2:30" ht="45" hidden="1" customHeight="1">
      <c r="B1134" s="174">
        <v>1131</v>
      </c>
      <c r="C1134" s="104"/>
      <c r="D1134" s="104"/>
      <c r="E1134" s="104"/>
      <c r="F1134" s="104"/>
      <c r="G1134" s="145"/>
      <c r="H1134" s="104"/>
      <c r="I1134" s="104"/>
      <c r="J1134" s="104"/>
      <c r="K1134" s="104"/>
      <c r="L1134" s="104"/>
      <c r="M1134" s="104"/>
      <c r="N1134" s="104"/>
      <c r="O1134" s="104"/>
      <c r="P1134" s="104"/>
      <c r="Q1134" s="104"/>
      <c r="R1134" s="104"/>
      <c r="S1134" s="160"/>
      <c r="T1134" s="104"/>
      <c r="U1134" s="145"/>
      <c r="V1134" s="145"/>
      <c r="W1134" s="145"/>
      <c r="X1134" s="104"/>
      <c r="Y1134" s="194"/>
      <c r="Z1134" s="145"/>
      <c r="AA1134" s="145"/>
      <c r="AB1134" s="104"/>
      <c r="AC1134" s="104"/>
      <c r="AD1134" s="113">
        <f>S1134-Y1134</f>
        <v>0</v>
      </c>
    </row>
    <row r="1135" spans="2:30" ht="45" hidden="1" customHeight="1">
      <c r="B1135" s="174">
        <v>1132</v>
      </c>
      <c r="C1135" s="104"/>
      <c r="D1135" s="104"/>
      <c r="E1135" s="104"/>
      <c r="F1135" s="104"/>
      <c r="G1135" s="145"/>
      <c r="H1135" s="104"/>
      <c r="I1135" s="104"/>
      <c r="J1135" s="104"/>
      <c r="K1135" s="104"/>
      <c r="L1135" s="104"/>
      <c r="M1135" s="104"/>
      <c r="N1135" s="104"/>
      <c r="O1135" s="104"/>
      <c r="P1135" s="104"/>
      <c r="Q1135" s="104"/>
      <c r="R1135" s="104"/>
      <c r="S1135" s="160"/>
      <c r="T1135" s="104"/>
      <c r="U1135" s="145"/>
      <c r="V1135" s="145"/>
      <c r="W1135" s="145"/>
      <c r="X1135" s="104"/>
      <c r="Y1135" s="194"/>
      <c r="Z1135" s="145"/>
      <c r="AA1135" s="145"/>
      <c r="AB1135" s="104"/>
      <c r="AC1135" s="104"/>
      <c r="AD1135" s="113">
        <f>S1135-Y1135</f>
        <v>0</v>
      </c>
    </row>
    <row r="1136" spans="2:30" ht="45" hidden="1" customHeight="1">
      <c r="B1136" s="174">
        <v>1133</v>
      </c>
      <c r="C1136" s="104"/>
      <c r="D1136" s="104"/>
      <c r="E1136" s="104"/>
      <c r="F1136" s="104"/>
      <c r="G1136" s="145"/>
      <c r="H1136" s="104"/>
      <c r="I1136" s="104"/>
      <c r="J1136" s="104"/>
      <c r="K1136" s="104"/>
      <c r="L1136" s="104"/>
      <c r="M1136" s="104"/>
      <c r="N1136" s="104"/>
      <c r="O1136" s="104"/>
      <c r="P1136" s="104"/>
      <c r="Q1136" s="104"/>
      <c r="R1136" s="104"/>
      <c r="S1136" s="160"/>
      <c r="T1136" s="104"/>
      <c r="U1136" s="145"/>
      <c r="V1136" s="145"/>
      <c r="W1136" s="145"/>
      <c r="X1136" s="104"/>
      <c r="Y1136" s="194"/>
      <c r="Z1136" s="145"/>
      <c r="AA1136" s="145"/>
      <c r="AB1136" s="104"/>
      <c r="AC1136" s="104"/>
      <c r="AD1136" s="113">
        <f>S1136-Y1136</f>
        <v>0</v>
      </c>
    </row>
    <row r="1137" spans="2:30" ht="45" hidden="1" customHeight="1">
      <c r="B1137" s="174">
        <v>1134</v>
      </c>
      <c r="C1137" s="104"/>
      <c r="D1137" s="104"/>
      <c r="E1137" s="104"/>
      <c r="F1137" s="104"/>
      <c r="G1137" s="145"/>
      <c r="H1137" s="104"/>
      <c r="I1137" s="104"/>
      <c r="J1137" s="104"/>
      <c r="K1137" s="104"/>
      <c r="L1137" s="104"/>
      <c r="M1137" s="104"/>
      <c r="N1137" s="104"/>
      <c r="O1137" s="104"/>
      <c r="P1137" s="104"/>
      <c r="Q1137" s="104"/>
      <c r="R1137" s="104"/>
      <c r="S1137" s="160"/>
      <c r="T1137" s="104"/>
      <c r="U1137" s="145"/>
      <c r="V1137" s="145"/>
      <c r="W1137" s="145"/>
      <c r="X1137" s="104"/>
      <c r="Y1137" s="194"/>
      <c r="Z1137" s="145"/>
      <c r="AA1137" s="145"/>
      <c r="AB1137" s="104"/>
      <c r="AC1137" s="104"/>
      <c r="AD1137" s="113">
        <f>S1137-Y1137</f>
        <v>0</v>
      </c>
    </row>
    <row r="1138" spans="2:30" ht="45" hidden="1" customHeight="1">
      <c r="B1138" s="174">
        <v>1135</v>
      </c>
      <c r="C1138" s="104"/>
      <c r="D1138" s="104"/>
      <c r="E1138" s="104"/>
      <c r="F1138" s="104"/>
      <c r="G1138" s="145"/>
      <c r="H1138" s="104"/>
      <c r="I1138" s="104"/>
      <c r="J1138" s="104"/>
      <c r="K1138" s="104"/>
      <c r="L1138" s="104"/>
      <c r="M1138" s="104"/>
      <c r="N1138" s="104"/>
      <c r="O1138" s="104"/>
      <c r="P1138" s="104"/>
      <c r="Q1138" s="104"/>
      <c r="R1138" s="104"/>
      <c r="S1138" s="160"/>
      <c r="T1138" s="104"/>
      <c r="U1138" s="145"/>
      <c r="V1138" s="145"/>
      <c r="W1138" s="145"/>
      <c r="X1138" s="104"/>
      <c r="Y1138" s="194"/>
      <c r="Z1138" s="145"/>
      <c r="AA1138" s="145"/>
      <c r="AB1138" s="104"/>
      <c r="AC1138" s="104"/>
      <c r="AD1138" s="113">
        <f>S1138-Y1138</f>
        <v>0</v>
      </c>
    </row>
    <row r="1139" spans="2:30" ht="45" hidden="1" customHeight="1">
      <c r="B1139" s="174">
        <v>1136</v>
      </c>
      <c r="C1139" s="104"/>
      <c r="D1139" s="104"/>
      <c r="E1139" s="104"/>
      <c r="F1139" s="104"/>
      <c r="G1139" s="145"/>
      <c r="H1139" s="104"/>
      <c r="I1139" s="104"/>
      <c r="J1139" s="104"/>
      <c r="K1139" s="104"/>
      <c r="L1139" s="104"/>
      <c r="M1139" s="104"/>
      <c r="N1139" s="104"/>
      <c r="O1139" s="104"/>
      <c r="P1139" s="104"/>
      <c r="Q1139" s="104"/>
      <c r="R1139" s="104"/>
      <c r="S1139" s="160"/>
      <c r="T1139" s="104"/>
      <c r="U1139" s="145"/>
      <c r="V1139" s="145"/>
      <c r="W1139" s="145"/>
      <c r="X1139" s="104"/>
      <c r="Y1139" s="194"/>
      <c r="Z1139" s="145"/>
      <c r="AA1139" s="145"/>
      <c r="AB1139" s="104"/>
      <c r="AC1139" s="104"/>
      <c r="AD1139" s="113">
        <f>S1139-Y1139</f>
        <v>0</v>
      </c>
    </row>
    <row r="1140" spans="2:30" ht="45" hidden="1" customHeight="1">
      <c r="B1140" s="174">
        <v>1137</v>
      </c>
      <c r="C1140" s="104"/>
      <c r="D1140" s="104"/>
      <c r="E1140" s="104"/>
      <c r="F1140" s="104"/>
      <c r="G1140" s="145"/>
      <c r="H1140" s="104"/>
      <c r="I1140" s="104"/>
      <c r="J1140" s="104"/>
      <c r="K1140" s="104"/>
      <c r="L1140" s="104"/>
      <c r="M1140" s="104"/>
      <c r="N1140" s="104"/>
      <c r="O1140" s="104"/>
      <c r="P1140" s="104"/>
      <c r="Q1140" s="104"/>
      <c r="R1140" s="104"/>
      <c r="S1140" s="160"/>
      <c r="T1140" s="104"/>
      <c r="U1140" s="145"/>
      <c r="V1140" s="145"/>
      <c r="W1140" s="145"/>
      <c r="X1140" s="104"/>
      <c r="Y1140" s="194"/>
      <c r="Z1140" s="145"/>
      <c r="AA1140" s="145"/>
      <c r="AB1140" s="104"/>
      <c r="AC1140" s="104"/>
      <c r="AD1140" s="113">
        <f>S1140-Y1140</f>
        <v>0</v>
      </c>
    </row>
    <row r="1141" spans="2:30" ht="45" hidden="1" customHeight="1">
      <c r="B1141" s="174">
        <v>1138</v>
      </c>
      <c r="C1141" s="104"/>
      <c r="D1141" s="104"/>
      <c r="E1141" s="104"/>
      <c r="F1141" s="104"/>
      <c r="G1141" s="145"/>
      <c r="H1141" s="104"/>
      <c r="I1141" s="104"/>
      <c r="J1141" s="104"/>
      <c r="K1141" s="104"/>
      <c r="L1141" s="104"/>
      <c r="M1141" s="104"/>
      <c r="N1141" s="104"/>
      <c r="O1141" s="104"/>
      <c r="P1141" s="104"/>
      <c r="Q1141" s="104"/>
      <c r="R1141" s="104"/>
      <c r="S1141" s="160"/>
      <c r="T1141" s="104"/>
      <c r="U1141" s="145"/>
      <c r="V1141" s="145"/>
      <c r="W1141" s="145"/>
      <c r="X1141" s="104"/>
      <c r="Y1141" s="194"/>
      <c r="Z1141" s="145"/>
      <c r="AA1141" s="145"/>
      <c r="AB1141" s="104"/>
      <c r="AC1141" s="104"/>
      <c r="AD1141" s="113">
        <f>S1141-Y1141</f>
        <v>0</v>
      </c>
    </row>
    <row r="1142" spans="2:30" ht="45" hidden="1" customHeight="1">
      <c r="B1142" s="174">
        <v>1139</v>
      </c>
      <c r="C1142" s="104"/>
      <c r="D1142" s="104"/>
      <c r="E1142" s="104"/>
      <c r="F1142" s="104"/>
      <c r="G1142" s="145"/>
      <c r="H1142" s="104"/>
      <c r="I1142" s="104"/>
      <c r="J1142" s="104"/>
      <c r="K1142" s="104"/>
      <c r="L1142" s="104"/>
      <c r="M1142" s="104"/>
      <c r="N1142" s="104"/>
      <c r="O1142" s="104"/>
      <c r="P1142" s="104"/>
      <c r="Q1142" s="104"/>
      <c r="R1142" s="104"/>
      <c r="S1142" s="160"/>
      <c r="T1142" s="104"/>
      <c r="U1142" s="145"/>
      <c r="V1142" s="145"/>
      <c r="W1142" s="145"/>
      <c r="X1142" s="104"/>
      <c r="Y1142" s="194"/>
      <c r="Z1142" s="145"/>
      <c r="AA1142" s="145"/>
      <c r="AB1142" s="104"/>
      <c r="AC1142" s="104"/>
      <c r="AD1142" s="113">
        <f>S1142-Y1142</f>
        <v>0</v>
      </c>
    </row>
    <row r="1143" spans="2:30" ht="45" hidden="1" customHeight="1">
      <c r="B1143" s="174">
        <v>1140</v>
      </c>
      <c r="C1143" s="104"/>
      <c r="D1143" s="104"/>
      <c r="E1143" s="104"/>
      <c r="F1143" s="104"/>
      <c r="G1143" s="145"/>
      <c r="H1143" s="104"/>
      <c r="I1143" s="104"/>
      <c r="J1143" s="104"/>
      <c r="K1143" s="104"/>
      <c r="L1143" s="104"/>
      <c r="M1143" s="104"/>
      <c r="N1143" s="104"/>
      <c r="O1143" s="104"/>
      <c r="P1143" s="104"/>
      <c r="Q1143" s="104"/>
      <c r="R1143" s="104"/>
      <c r="S1143" s="160"/>
      <c r="T1143" s="104"/>
      <c r="U1143" s="145"/>
      <c r="V1143" s="145"/>
      <c r="W1143" s="145"/>
      <c r="X1143" s="104"/>
      <c r="Y1143" s="194"/>
      <c r="Z1143" s="145"/>
      <c r="AA1143" s="145"/>
      <c r="AB1143" s="104"/>
      <c r="AC1143" s="104"/>
      <c r="AD1143" s="113">
        <f>S1143-Y1143</f>
        <v>0</v>
      </c>
    </row>
    <row r="1144" spans="2:30" ht="45" hidden="1" customHeight="1">
      <c r="B1144" s="174">
        <v>1141</v>
      </c>
      <c r="C1144" s="104"/>
      <c r="D1144" s="104"/>
      <c r="E1144" s="104"/>
      <c r="F1144" s="104"/>
      <c r="G1144" s="145"/>
      <c r="H1144" s="104"/>
      <c r="I1144" s="104"/>
      <c r="J1144" s="104"/>
      <c r="K1144" s="104"/>
      <c r="L1144" s="104"/>
      <c r="M1144" s="104"/>
      <c r="N1144" s="104"/>
      <c r="O1144" s="104"/>
      <c r="P1144" s="104"/>
      <c r="Q1144" s="104"/>
      <c r="R1144" s="104"/>
      <c r="S1144" s="160"/>
      <c r="T1144" s="104"/>
      <c r="U1144" s="145"/>
      <c r="V1144" s="145"/>
      <c r="W1144" s="145"/>
      <c r="X1144" s="104"/>
      <c r="Y1144" s="194"/>
      <c r="Z1144" s="145"/>
      <c r="AA1144" s="145"/>
      <c r="AB1144" s="104"/>
      <c r="AC1144" s="104"/>
      <c r="AD1144" s="113">
        <f>S1144-Y1144</f>
        <v>0</v>
      </c>
    </row>
    <row r="1145" spans="2:30" ht="45" hidden="1" customHeight="1">
      <c r="B1145" s="174">
        <v>1142</v>
      </c>
      <c r="C1145" s="104"/>
      <c r="D1145" s="104"/>
      <c r="E1145" s="104"/>
      <c r="F1145" s="104"/>
      <c r="G1145" s="145"/>
      <c r="H1145" s="104"/>
      <c r="I1145" s="104"/>
      <c r="J1145" s="104"/>
      <c r="K1145" s="104"/>
      <c r="L1145" s="104"/>
      <c r="M1145" s="104"/>
      <c r="N1145" s="104"/>
      <c r="O1145" s="104"/>
      <c r="P1145" s="104"/>
      <c r="Q1145" s="104"/>
      <c r="R1145" s="104"/>
      <c r="S1145" s="160"/>
      <c r="T1145" s="104"/>
      <c r="U1145" s="145"/>
      <c r="V1145" s="145"/>
      <c r="W1145" s="145"/>
      <c r="X1145" s="104"/>
      <c r="Y1145" s="194"/>
      <c r="Z1145" s="145"/>
      <c r="AA1145" s="145"/>
      <c r="AB1145" s="104"/>
      <c r="AC1145" s="104"/>
      <c r="AD1145" s="113">
        <f>S1145-Y1145</f>
        <v>0</v>
      </c>
    </row>
    <row r="1146" spans="2:30" ht="45" hidden="1" customHeight="1">
      <c r="B1146" s="174">
        <v>1143</v>
      </c>
      <c r="C1146" s="104"/>
      <c r="D1146" s="104"/>
      <c r="E1146" s="104"/>
      <c r="F1146" s="104"/>
      <c r="G1146" s="145"/>
      <c r="H1146" s="104"/>
      <c r="I1146" s="104"/>
      <c r="J1146" s="104"/>
      <c r="K1146" s="104"/>
      <c r="L1146" s="104"/>
      <c r="M1146" s="104"/>
      <c r="N1146" s="104"/>
      <c r="O1146" s="104"/>
      <c r="P1146" s="104"/>
      <c r="Q1146" s="104"/>
      <c r="R1146" s="104"/>
      <c r="S1146" s="160"/>
      <c r="T1146" s="104"/>
      <c r="U1146" s="145"/>
      <c r="V1146" s="145"/>
      <c r="W1146" s="145"/>
      <c r="X1146" s="104"/>
      <c r="Y1146" s="194"/>
      <c r="Z1146" s="145"/>
      <c r="AA1146" s="145"/>
      <c r="AB1146" s="104"/>
      <c r="AC1146" s="104"/>
      <c r="AD1146" s="113">
        <f>S1146-Y1146</f>
        <v>0</v>
      </c>
    </row>
    <row r="1147" spans="2:30" ht="45" hidden="1" customHeight="1">
      <c r="B1147" s="174">
        <v>1144</v>
      </c>
      <c r="C1147" s="104"/>
      <c r="D1147" s="104"/>
      <c r="E1147" s="104"/>
      <c r="F1147" s="104"/>
      <c r="G1147" s="145"/>
      <c r="H1147" s="104"/>
      <c r="I1147" s="104"/>
      <c r="J1147" s="104"/>
      <c r="K1147" s="104"/>
      <c r="L1147" s="104"/>
      <c r="M1147" s="104"/>
      <c r="N1147" s="104"/>
      <c r="O1147" s="104"/>
      <c r="P1147" s="104"/>
      <c r="Q1147" s="104"/>
      <c r="R1147" s="104"/>
      <c r="S1147" s="160"/>
      <c r="T1147" s="104"/>
      <c r="U1147" s="145"/>
      <c r="V1147" s="145"/>
      <c r="W1147" s="145"/>
      <c r="X1147" s="104"/>
      <c r="Y1147" s="194"/>
      <c r="Z1147" s="145"/>
      <c r="AA1147" s="145"/>
      <c r="AB1147" s="104"/>
      <c r="AC1147" s="104"/>
      <c r="AD1147" s="113">
        <f>S1147-Y1147</f>
        <v>0</v>
      </c>
    </row>
    <row r="1148" spans="2:30" ht="45" hidden="1" customHeight="1">
      <c r="B1148" s="174">
        <v>1145</v>
      </c>
      <c r="C1148" s="104"/>
      <c r="D1148" s="104"/>
      <c r="E1148" s="104"/>
      <c r="F1148" s="104"/>
      <c r="G1148" s="145"/>
      <c r="H1148" s="104"/>
      <c r="I1148" s="104"/>
      <c r="J1148" s="104"/>
      <c r="K1148" s="104"/>
      <c r="L1148" s="104"/>
      <c r="M1148" s="104"/>
      <c r="N1148" s="104"/>
      <c r="O1148" s="104"/>
      <c r="P1148" s="104"/>
      <c r="Q1148" s="104"/>
      <c r="R1148" s="104"/>
      <c r="S1148" s="160"/>
      <c r="T1148" s="104"/>
      <c r="U1148" s="145"/>
      <c r="V1148" s="145"/>
      <c r="W1148" s="145"/>
      <c r="X1148" s="104"/>
      <c r="Y1148" s="194"/>
      <c r="Z1148" s="145"/>
      <c r="AA1148" s="145"/>
      <c r="AB1148" s="104"/>
      <c r="AC1148" s="104"/>
      <c r="AD1148" s="113">
        <f>S1148-Y1148</f>
        <v>0</v>
      </c>
    </row>
    <row r="1149" spans="2:30" ht="45" hidden="1" customHeight="1">
      <c r="B1149" s="174">
        <v>1146</v>
      </c>
      <c r="C1149" s="104"/>
      <c r="D1149" s="104"/>
      <c r="E1149" s="104"/>
      <c r="F1149" s="104"/>
      <c r="G1149" s="145"/>
      <c r="H1149" s="104"/>
      <c r="I1149" s="104"/>
      <c r="J1149" s="104"/>
      <c r="K1149" s="104"/>
      <c r="L1149" s="104"/>
      <c r="M1149" s="104"/>
      <c r="N1149" s="104"/>
      <c r="O1149" s="104"/>
      <c r="P1149" s="104"/>
      <c r="Q1149" s="104"/>
      <c r="R1149" s="104"/>
      <c r="S1149" s="160"/>
      <c r="T1149" s="104"/>
      <c r="U1149" s="145"/>
      <c r="V1149" s="145"/>
      <c r="W1149" s="145"/>
      <c r="X1149" s="104"/>
      <c r="Y1149" s="194"/>
      <c r="Z1149" s="145"/>
      <c r="AA1149" s="145"/>
      <c r="AB1149" s="104"/>
      <c r="AC1149" s="104"/>
      <c r="AD1149" s="113">
        <f>S1149-Y1149</f>
        <v>0</v>
      </c>
    </row>
    <row r="1150" spans="2:30" ht="45" hidden="1" customHeight="1">
      <c r="B1150" s="174">
        <v>1147</v>
      </c>
      <c r="C1150" s="104"/>
      <c r="D1150" s="104"/>
      <c r="E1150" s="104"/>
      <c r="F1150" s="104"/>
      <c r="G1150" s="145"/>
      <c r="H1150" s="104"/>
      <c r="I1150" s="104"/>
      <c r="J1150" s="104"/>
      <c r="K1150" s="104"/>
      <c r="L1150" s="104"/>
      <c r="M1150" s="104"/>
      <c r="N1150" s="104"/>
      <c r="O1150" s="104"/>
      <c r="P1150" s="104"/>
      <c r="Q1150" s="104"/>
      <c r="R1150" s="104"/>
      <c r="S1150" s="160"/>
      <c r="T1150" s="104"/>
      <c r="U1150" s="145"/>
      <c r="V1150" s="145"/>
      <c r="W1150" s="145"/>
      <c r="X1150" s="104"/>
      <c r="Y1150" s="194"/>
      <c r="Z1150" s="145"/>
      <c r="AA1150" s="145"/>
      <c r="AB1150" s="104"/>
      <c r="AC1150" s="104"/>
      <c r="AD1150" s="113">
        <f>S1150-Y1150</f>
        <v>0</v>
      </c>
    </row>
    <row r="1151" spans="2:30" ht="45" hidden="1" customHeight="1">
      <c r="B1151" s="174">
        <v>1148</v>
      </c>
      <c r="C1151" s="104"/>
      <c r="D1151" s="104"/>
      <c r="E1151" s="104"/>
      <c r="F1151" s="104"/>
      <c r="G1151" s="145"/>
      <c r="H1151" s="104"/>
      <c r="I1151" s="104"/>
      <c r="J1151" s="104"/>
      <c r="K1151" s="104"/>
      <c r="L1151" s="104"/>
      <c r="M1151" s="104"/>
      <c r="N1151" s="104"/>
      <c r="O1151" s="104"/>
      <c r="P1151" s="104"/>
      <c r="Q1151" s="104"/>
      <c r="R1151" s="104"/>
      <c r="S1151" s="160"/>
      <c r="T1151" s="104"/>
      <c r="U1151" s="145"/>
      <c r="V1151" s="145"/>
      <c r="W1151" s="145"/>
      <c r="X1151" s="104"/>
      <c r="Y1151" s="194"/>
      <c r="Z1151" s="145"/>
      <c r="AA1151" s="145"/>
      <c r="AB1151" s="104"/>
      <c r="AC1151" s="104"/>
      <c r="AD1151" s="113">
        <f>S1151-Y1151</f>
        <v>0</v>
      </c>
    </row>
    <row r="1152" spans="2:30" ht="45" hidden="1" customHeight="1">
      <c r="B1152" s="174">
        <v>1149</v>
      </c>
      <c r="C1152" s="104"/>
      <c r="D1152" s="104"/>
      <c r="E1152" s="104"/>
      <c r="F1152" s="104"/>
      <c r="G1152" s="145"/>
      <c r="H1152" s="104"/>
      <c r="I1152" s="104"/>
      <c r="J1152" s="104"/>
      <c r="K1152" s="104"/>
      <c r="L1152" s="104"/>
      <c r="M1152" s="104"/>
      <c r="N1152" s="104"/>
      <c r="O1152" s="104"/>
      <c r="P1152" s="104"/>
      <c r="Q1152" s="104"/>
      <c r="R1152" s="104"/>
      <c r="S1152" s="160"/>
      <c r="T1152" s="104"/>
      <c r="U1152" s="145"/>
      <c r="V1152" s="145"/>
      <c r="W1152" s="145"/>
      <c r="X1152" s="104"/>
      <c r="Y1152" s="194"/>
      <c r="Z1152" s="145"/>
      <c r="AA1152" s="145"/>
      <c r="AB1152" s="104"/>
      <c r="AC1152" s="104"/>
      <c r="AD1152" s="113">
        <f>S1152-Y1152</f>
        <v>0</v>
      </c>
    </row>
    <row r="1153" spans="2:30" ht="45" hidden="1" customHeight="1">
      <c r="B1153" s="174">
        <v>1150</v>
      </c>
      <c r="C1153" s="104"/>
      <c r="D1153" s="104"/>
      <c r="E1153" s="104"/>
      <c r="F1153" s="104"/>
      <c r="G1153" s="145"/>
      <c r="H1153" s="104"/>
      <c r="I1153" s="104"/>
      <c r="J1153" s="104"/>
      <c r="K1153" s="104"/>
      <c r="L1153" s="104"/>
      <c r="M1153" s="104"/>
      <c r="N1153" s="104"/>
      <c r="O1153" s="104"/>
      <c r="P1153" s="104"/>
      <c r="Q1153" s="104"/>
      <c r="R1153" s="104"/>
      <c r="S1153" s="160"/>
      <c r="T1153" s="104"/>
      <c r="U1153" s="145"/>
      <c r="V1153" s="145"/>
      <c r="W1153" s="145"/>
      <c r="X1153" s="104"/>
      <c r="Y1153" s="194"/>
      <c r="Z1153" s="145"/>
      <c r="AA1153" s="145"/>
      <c r="AB1153" s="104"/>
      <c r="AC1153" s="104"/>
      <c r="AD1153" s="113">
        <f>S1153-Y1153</f>
        <v>0</v>
      </c>
    </row>
    <row r="1154" spans="2:30" ht="45" hidden="1" customHeight="1">
      <c r="B1154" s="174">
        <v>1151</v>
      </c>
      <c r="C1154" s="104"/>
      <c r="D1154" s="104"/>
      <c r="E1154" s="104"/>
      <c r="F1154" s="104"/>
      <c r="G1154" s="145"/>
      <c r="H1154" s="104"/>
      <c r="I1154" s="104"/>
      <c r="J1154" s="104"/>
      <c r="K1154" s="104"/>
      <c r="L1154" s="104"/>
      <c r="M1154" s="104"/>
      <c r="N1154" s="104"/>
      <c r="O1154" s="104"/>
      <c r="P1154" s="104"/>
      <c r="Q1154" s="104"/>
      <c r="R1154" s="104"/>
      <c r="S1154" s="160"/>
      <c r="T1154" s="104"/>
      <c r="U1154" s="145"/>
      <c r="V1154" s="145"/>
      <c r="W1154" s="145"/>
      <c r="X1154" s="104"/>
      <c r="Y1154" s="194"/>
      <c r="Z1154" s="145"/>
      <c r="AA1154" s="145"/>
      <c r="AB1154" s="104"/>
      <c r="AC1154" s="104"/>
      <c r="AD1154" s="113">
        <f>S1154-Y1154</f>
        <v>0</v>
      </c>
    </row>
    <row r="1155" spans="2:30" ht="45" hidden="1" customHeight="1">
      <c r="B1155" s="174">
        <v>1152</v>
      </c>
      <c r="C1155" s="104"/>
      <c r="D1155" s="104"/>
      <c r="E1155" s="104"/>
      <c r="F1155" s="104"/>
      <c r="G1155" s="145"/>
      <c r="H1155" s="104"/>
      <c r="I1155" s="104"/>
      <c r="J1155" s="104"/>
      <c r="K1155" s="104"/>
      <c r="L1155" s="104"/>
      <c r="M1155" s="104"/>
      <c r="N1155" s="104"/>
      <c r="O1155" s="104"/>
      <c r="P1155" s="104"/>
      <c r="Q1155" s="104"/>
      <c r="R1155" s="104"/>
      <c r="S1155" s="160"/>
      <c r="T1155" s="104"/>
      <c r="U1155" s="145"/>
      <c r="V1155" s="145"/>
      <c r="W1155" s="145"/>
      <c r="X1155" s="104"/>
      <c r="Y1155" s="194"/>
      <c r="Z1155" s="145"/>
      <c r="AA1155" s="145"/>
      <c r="AB1155" s="104"/>
      <c r="AC1155" s="104"/>
      <c r="AD1155" s="113">
        <f>S1155-Y1155</f>
        <v>0</v>
      </c>
    </row>
    <row r="1156" spans="2:30" ht="45" hidden="1" customHeight="1">
      <c r="B1156" s="174">
        <v>1153</v>
      </c>
      <c r="C1156" s="104"/>
      <c r="D1156" s="104"/>
      <c r="E1156" s="104"/>
      <c r="F1156" s="104"/>
      <c r="G1156" s="145"/>
      <c r="H1156" s="104"/>
      <c r="I1156" s="104"/>
      <c r="J1156" s="104"/>
      <c r="K1156" s="104"/>
      <c r="L1156" s="104"/>
      <c r="M1156" s="104"/>
      <c r="N1156" s="104"/>
      <c r="O1156" s="104"/>
      <c r="P1156" s="104"/>
      <c r="Q1156" s="104"/>
      <c r="R1156" s="104"/>
      <c r="S1156" s="160"/>
      <c r="T1156" s="104"/>
      <c r="U1156" s="145"/>
      <c r="V1156" s="145"/>
      <c r="W1156" s="145"/>
      <c r="X1156" s="104"/>
      <c r="Y1156" s="194"/>
      <c r="Z1156" s="145"/>
      <c r="AA1156" s="145"/>
      <c r="AB1156" s="104"/>
      <c r="AC1156" s="104"/>
      <c r="AD1156" s="113">
        <f>S1156-Y1156</f>
        <v>0</v>
      </c>
    </row>
    <row r="1157" spans="2:30" ht="45" hidden="1" customHeight="1">
      <c r="B1157" s="174">
        <v>1154</v>
      </c>
      <c r="C1157" s="104"/>
      <c r="D1157" s="104"/>
      <c r="E1157" s="104"/>
      <c r="F1157" s="104"/>
      <c r="G1157" s="145"/>
      <c r="H1157" s="104"/>
      <c r="I1157" s="104"/>
      <c r="J1157" s="104"/>
      <c r="K1157" s="104"/>
      <c r="L1157" s="104"/>
      <c r="M1157" s="104"/>
      <c r="N1157" s="104"/>
      <c r="O1157" s="104"/>
      <c r="P1157" s="104"/>
      <c r="Q1157" s="104"/>
      <c r="R1157" s="104"/>
      <c r="S1157" s="160"/>
      <c r="T1157" s="104"/>
      <c r="U1157" s="145"/>
      <c r="V1157" s="145"/>
      <c r="W1157" s="145"/>
      <c r="X1157" s="104"/>
      <c r="Y1157" s="194"/>
      <c r="Z1157" s="145"/>
      <c r="AA1157" s="145"/>
      <c r="AB1157" s="104"/>
      <c r="AC1157" s="104"/>
      <c r="AD1157" s="113">
        <f>S1157-Y1157</f>
        <v>0</v>
      </c>
    </row>
    <row r="1158" spans="2:30" ht="45" hidden="1" customHeight="1">
      <c r="B1158" s="174">
        <v>1155</v>
      </c>
      <c r="C1158" s="104"/>
      <c r="D1158" s="104"/>
      <c r="E1158" s="104"/>
      <c r="F1158" s="104"/>
      <c r="G1158" s="145"/>
      <c r="H1158" s="104"/>
      <c r="I1158" s="104"/>
      <c r="J1158" s="104"/>
      <c r="K1158" s="104"/>
      <c r="L1158" s="104"/>
      <c r="M1158" s="104"/>
      <c r="N1158" s="104"/>
      <c r="O1158" s="104"/>
      <c r="P1158" s="104"/>
      <c r="Q1158" s="104"/>
      <c r="R1158" s="104"/>
      <c r="S1158" s="160"/>
      <c r="T1158" s="104"/>
      <c r="U1158" s="145"/>
      <c r="V1158" s="145"/>
      <c r="W1158" s="145"/>
      <c r="X1158" s="104"/>
      <c r="Y1158" s="194"/>
      <c r="Z1158" s="145"/>
      <c r="AA1158" s="145"/>
      <c r="AB1158" s="104"/>
      <c r="AC1158" s="104"/>
      <c r="AD1158" s="113">
        <f>S1158-Y1158</f>
        <v>0</v>
      </c>
    </row>
    <row r="1159" spans="2:30" ht="45" hidden="1" customHeight="1">
      <c r="B1159" s="174">
        <v>1156</v>
      </c>
      <c r="C1159" s="104"/>
      <c r="D1159" s="104"/>
      <c r="E1159" s="104"/>
      <c r="F1159" s="104"/>
      <c r="G1159" s="145"/>
      <c r="H1159" s="104"/>
      <c r="I1159" s="104"/>
      <c r="J1159" s="104"/>
      <c r="K1159" s="104"/>
      <c r="L1159" s="104"/>
      <c r="M1159" s="104"/>
      <c r="N1159" s="104"/>
      <c r="O1159" s="104"/>
      <c r="P1159" s="104"/>
      <c r="Q1159" s="104"/>
      <c r="R1159" s="104"/>
      <c r="S1159" s="160"/>
      <c r="T1159" s="104"/>
      <c r="U1159" s="145"/>
      <c r="V1159" s="145"/>
      <c r="W1159" s="145"/>
      <c r="X1159" s="104"/>
      <c r="Y1159" s="194"/>
      <c r="Z1159" s="145"/>
      <c r="AA1159" s="145"/>
      <c r="AB1159" s="104"/>
      <c r="AC1159" s="104"/>
      <c r="AD1159" s="113">
        <f>S1159-Y1159</f>
        <v>0</v>
      </c>
    </row>
    <row r="1160" spans="2:30" ht="45" hidden="1" customHeight="1">
      <c r="B1160" s="174">
        <v>1157</v>
      </c>
      <c r="C1160" s="104"/>
      <c r="D1160" s="104"/>
      <c r="E1160" s="104"/>
      <c r="F1160" s="104"/>
      <c r="G1160" s="145"/>
      <c r="H1160" s="104"/>
      <c r="I1160" s="104"/>
      <c r="J1160" s="104"/>
      <c r="K1160" s="104"/>
      <c r="L1160" s="104"/>
      <c r="M1160" s="104"/>
      <c r="N1160" s="104"/>
      <c r="O1160" s="104"/>
      <c r="P1160" s="104"/>
      <c r="Q1160" s="104"/>
      <c r="R1160" s="104"/>
      <c r="S1160" s="160"/>
      <c r="T1160" s="104"/>
      <c r="U1160" s="145"/>
      <c r="V1160" s="145"/>
      <c r="W1160" s="145"/>
      <c r="X1160" s="104"/>
      <c r="Y1160" s="194"/>
      <c r="Z1160" s="145"/>
      <c r="AA1160" s="145"/>
      <c r="AB1160" s="104"/>
      <c r="AC1160" s="104"/>
      <c r="AD1160" s="113">
        <f>S1160-Y1160</f>
        <v>0</v>
      </c>
    </row>
    <row r="1161" spans="2:30" ht="45" hidden="1" customHeight="1">
      <c r="B1161" s="174">
        <v>1158</v>
      </c>
      <c r="C1161" s="104"/>
      <c r="D1161" s="104"/>
      <c r="E1161" s="104"/>
      <c r="F1161" s="104"/>
      <c r="G1161" s="145"/>
      <c r="H1161" s="104"/>
      <c r="I1161" s="104"/>
      <c r="J1161" s="104"/>
      <c r="K1161" s="104"/>
      <c r="L1161" s="104"/>
      <c r="M1161" s="104"/>
      <c r="N1161" s="104"/>
      <c r="O1161" s="104"/>
      <c r="P1161" s="104"/>
      <c r="Q1161" s="104"/>
      <c r="R1161" s="104"/>
      <c r="S1161" s="160"/>
      <c r="T1161" s="104"/>
      <c r="U1161" s="145"/>
      <c r="V1161" s="145"/>
      <c r="W1161" s="145"/>
      <c r="X1161" s="104"/>
      <c r="Y1161" s="194"/>
      <c r="Z1161" s="145"/>
      <c r="AA1161" s="145"/>
      <c r="AB1161" s="104"/>
      <c r="AC1161" s="104"/>
      <c r="AD1161" s="113">
        <f>S1161-Y1161</f>
        <v>0</v>
      </c>
    </row>
    <row r="1162" spans="2:30" ht="45" hidden="1" customHeight="1">
      <c r="B1162" s="174">
        <v>1159</v>
      </c>
      <c r="C1162" s="104"/>
      <c r="D1162" s="104"/>
      <c r="E1162" s="104"/>
      <c r="F1162" s="104"/>
      <c r="G1162" s="145"/>
      <c r="H1162" s="104"/>
      <c r="I1162" s="104"/>
      <c r="J1162" s="104"/>
      <c r="K1162" s="104"/>
      <c r="L1162" s="104"/>
      <c r="M1162" s="104"/>
      <c r="N1162" s="104"/>
      <c r="O1162" s="104"/>
      <c r="P1162" s="104"/>
      <c r="Q1162" s="104"/>
      <c r="R1162" s="104"/>
      <c r="S1162" s="160"/>
      <c r="T1162" s="104"/>
      <c r="U1162" s="145"/>
      <c r="V1162" s="145"/>
      <c r="W1162" s="145"/>
      <c r="X1162" s="104"/>
      <c r="Y1162" s="194"/>
      <c r="Z1162" s="145"/>
      <c r="AA1162" s="145"/>
      <c r="AB1162" s="104"/>
      <c r="AC1162" s="104"/>
      <c r="AD1162" s="113">
        <f>S1162-Y1162</f>
        <v>0</v>
      </c>
    </row>
    <row r="1163" spans="2:30" ht="45" hidden="1" customHeight="1">
      <c r="B1163" s="174">
        <v>1160</v>
      </c>
      <c r="C1163" s="104"/>
      <c r="D1163" s="104"/>
      <c r="E1163" s="104"/>
      <c r="F1163" s="104"/>
      <c r="G1163" s="145"/>
      <c r="H1163" s="104"/>
      <c r="I1163" s="104"/>
      <c r="J1163" s="104"/>
      <c r="K1163" s="104"/>
      <c r="L1163" s="104"/>
      <c r="M1163" s="104"/>
      <c r="N1163" s="104"/>
      <c r="O1163" s="104"/>
      <c r="P1163" s="104"/>
      <c r="Q1163" s="104"/>
      <c r="R1163" s="104"/>
      <c r="S1163" s="160"/>
      <c r="T1163" s="104"/>
      <c r="U1163" s="145"/>
      <c r="V1163" s="145"/>
      <c r="W1163" s="145"/>
      <c r="X1163" s="104"/>
      <c r="Y1163" s="194"/>
      <c r="Z1163" s="145"/>
      <c r="AA1163" s="145"/>
      <c r="AB1163" s="104"/>
      <c r="AC1163" s="104"/>
      <c r="AD1163" s="113">
        <f>S1163-Y1163</f>
        <v>0</v>
      </c>
    </row>
    <row r="1164" spans="2:30" ht="45" hidden="1" customHeight="1">
      <c r="B1164" s="174">
        <v>1161</v>
      </c>
      <c r="C1164" s="104"/>
      <c r="D1164" s="104"/>
      <c r="E1164" s="104"/>
      <c r="F1164" s="104"/>
      <c r="G1164" s="145"/>
      <c r="H1164" s="104"/>
      <c r="I1164" s="104"/>
      <c r="J1164" s="104"/>
      <c r="K1164" s="104"/>
      <c r="L1164" s="104"/>
      <c r="M1164" s="104"/>
      <c r="N1164" s="104"/>
      <c r="O1164" s="104"/>
      <c r="P1164" s="104"/>
      <c r="Q1164" s="104"/>
      <c r="R1164" s="104"/>
      <c r="S1164" s="160"/>
      <c r="T1164" s="104"/>
      <c r="U1164" s="145"/>
      <c r="V1164" s="145"/>
      <c r="W1164" s="145"/>
      <c r="X1164" s="104"/>
      <c r="Y1164" s="194"/>
      <c r="Z1164" s="145"/>
      <c r="AA1164" s="145"/>
      <c r="AB1164" s="104"/>
      <c r="AC1164" s="104"/>
      <c r="AD1164" s="113">
        <f>S1164-Y1164</f>
        <v>0</v>
      </c>
    </row>
    <row r="1165" spans="2:30" ht="45" hidden="1" customHeight="1">
      <c r="B1165" s="174">
        <v>1162</v>
      </c>
      <c r="C1165" s="104"/>
      <c r="D1165" s="104"/>
      <c r="E1165" s="104"/>
      <c r="F1165" s="104"/>
      <c r="G1165" s="145"/>
      <c r="H1165" s="104"/>
      <c r="I1165" s="104"/>
      <c r="J1165" s="104"/>
      <c r="K1165" s="104"/>
      <c r="L1165" s="104"/>
      <c r="M1165" s="104"/>
      <c r="N1165" s="104"/>
      <c r="O1165" s="104"/>
      <c r="P1165" s="104"/>
      <c r="Q1165" s="104"/>
      <c r="R1165" s="104"/>
      <c r="S1165" s="160"/>
      <c r="T1165" s="104"/>
      <c r="U1165" s="145"/>
      <c r="V1165" s="145"/>
      <c r="W1165" s="145"/>
      <c r="X1165" s="104"/>
      <c r="Y1165" s="194"/>
      <c r="Z1165" s="145"/>
      <c r="AA1165" s="145"/>
      <c r="AB1165" s="104"/>
      <c r="AC1165" s="104"/>
      <c r="AD1165" s="113">
        <f>S1165-Y1165</f>
        <v>0</v>
      </c>
    </row>
    <row r="1166" spans="2:30" ht="45" hidden="1" customHeight="1">
      <c r="B1166" s="174">
        <v>1163</v>
      </c>
      <c r="C1166" s="104"/>
      <c r="D1166" s="104"/>
      <c r="E1166" s="104"/>
      <c r="F1166" s="104"/>
      <c r="G1166" s="145"/>
      <c r="H1166" s="104"/>
      <c r="I1166" s="104"/>
      <c r="J1166" s="104"/>
      <c r="K1166" s="104"/>
      <c r="L1166" s="104"/>
      <c r="M1166" s="104"/>
      <c r="N1166" s="104"/>
      <c r="O1166" s="104"/>
      <c r="P1166" s="104"/>
      <c r="Q1166" s="104"/>
      <c r="R1166" s="104"/>
      <c r="S1166" s="160"/>
      <c r="T1166" s="104"/>
      <c r="U1166" s="145"/>
      <c r="V1166" s="145"/>
      <c r="W1166" s="145"/>
      <c r="X1166" s="104"/>
      <c r="Y1166" s="194"/>
      <c r="Z1166" s="145"/>
      <c r="AA1166" s="145"/>
      <c r="AB1166" s="104"/>
      <c r="AC1166" s="104"/>
      <c r="AD1166" s="113">
        <f>S1166-Y1166</f>
        <v>0</v>
      </c>
    </row>
    <row r="1167" spans="2:30" ht="45" hidden="1" customHeight="1">
      <c r="B1167" s="174">
        <v>1164</v>
      </c>
      <c r="C1167" s="104"/>
      <c r="D1167" s="104"/>
      <c r="E1167" s="104"/>
      <c r="F1167" s="104"/>
      <c r="G1167" s="145"/>
      <c r="H1167" s="104"/>
      <c r="I1167" s="104"/>
      <c r="J1167" s="104"/>
      <c r="K1167" s="104"/>
      <c r="L1167" s="104"/>
      <c r="M1167" s="104"/>
      <c r="N1167" s="104"/>
      <c r="O1167" s="104"/>
      <c r="P1167" s="104"/>
      <c r="Q1167" s="104"/>
      <c r="R1167" s="104"/>
      <c r="S1167" s="160"/>
      <c r="T1167" s="104"/>
      <c r="U1167" s="145"/>
      <c r="V1167" s="145"/>
      <c r="W1167" s="145"/>
      <c r="X1167" s="104"/>
      <c r="Y1167" s="194"/>
      <c r="Z1167" s="145"/>
      <c r="AA1167" s="145"/>
      <c r="AB1167" s="104"/>
      <c r="AC1167" s="104"/>
      <c r="AD1167" s="113">
        <f>S1167-Y1167</f>
        <v>0</v>
      </c>
    </row>
    <row r="1168" spans="2:30" ht="45" hidden="1" customHeight="1">
      <c r="B1168" s="174">
        <v>1165</v>
      </c>
      <c r="C1168" s="104"/>
      <c r="D1168" s="104"/>
      <c r="E1168" s="104"/>
      <c r="F1168" s="104"/>
      <c r="G1168" s="145"/>
      <c r="H1168" s="104"/>
      <c r="I1168" s="104"/>
      <c r="J1168" s="104"/>
      <c r="K1168" s="104"/>
      <c r="L1168" s="104"/>
      <c r="M1168" s="104"/>
      <c r="N1168" s="104"/>
      <c r="O1168" s="104"/>
      <c r="P1168" s="104"/>
      <c r="Q1168" s="104"/>
      <c r="R1168" s="104"/>
      <c r="S1168" s="160"/>
      <c r="T1168" s="104"/>
      <c r="U1168" s="145"/>
      <c r="V1168" s="145"/>
      <c r="W1168" s="145"/>
      <c r="X1168" s="104"/>
      <c r="Y1168" s="194"/>
      <c r="Z1168" s="145"/>
      <c r="AA1168" s="145"/>
      <c r="AB1168" s="104"/>
      <c r="AC1168" s="104"/>
      <c r="AD1168" s="113">
        <f>S1168-Y1168</f>
        <v>0</v>
      </c>
    </row>
    <row r="1169" spans="2:30" ht="45" hidden="1" customHeight="1">
      <c r="B1169" s="174">
        <v>1166</v>
      </c>
      <c r="C1169" s="104"/>
      <c r="D1169" s="104"/>
      <c r="E1169" s="104"/>
      <c r="F1169" s="104"/>
      <c r="G1169" s="145"/>
      <c r="H1169" s="104"/>
      <c r="I1169" s="104"/>
      <c r="J1169" s="104"/>
      <c r="K1169" s="104"/>
      <c r="L1169" s="104"/>
      <c r="M1169" s="104"/>
      <c r="N1169" s="104"/>
      <c r="O1169" s="104"/>
      <c r="P1169" s="104"/>
      <c r="Q1169" s="104"/>
      <c r="R1169" s="104"/>
      <c r="S1169" s="160"/>
      <c r="T1169" s="104"/>
      <c r="U1169" s="145"/>
      <c r="V1169" s="145"/>
      <c r="W1169" s="145"/>
      <c r="X1169" s="104"/>
      <c r="Y1169" s="194"/>
      <c r="Z1169" s="145"/>
      <c r="AA1169" s="145"/>
      <c r="AB1169" s="104"/>
      <c r="AC1169" s="104"/>
      <c r="AD1169" s="113">
        <f>S1169-Y1169</f>
        <v>0</v>
      </c>
    </row>
    <row r="1170" spans="2:30" ht="45" hidden="1" customHeight="1">
      <c r="B1170" s="174">
        <v>1167</v>
      </c>
      <c r="C1170" s="104"/>
      <c r="D1170" s="104"/>
      <c r="E1170" s="104"/>
      <c r="F1170" s="104"/>
      <c r="G1170" s="145"/>
      <c r="H1170" s="104"/>
      <c r="I1170" s="104"/>
      <c r="J1170" s="104"/>
      <c r="K1170" s="104"/>
      <c r="L1170" s="104"/>
      <c r="M1170" s="104"/>
      <c r="N1170" s="104"/>
      <c r="O1170" s="104"/>
      <c r="P1170" s="104"/>
      <c r="Q1170" s="104"/>
      <c r="R1170" s="104"/>
      <c r="S1170" s="160"/>
      <c r="T1170" s="104"/>
      <c r="U1170" s="145"/>
      <c r="V1170" s="145"/>
      <c r="W1170" s="145"/>
      <c r="X1170" s="104"/>
      <c r="Y1170" s="194"/>
      <c r="Z1170" s="145"/>
      <c r="AA1170" s="145"/>
      <c r="AB1170" s="104"/>
      <c r="AC1170" s="104"/>
      <c r="AD1170" s="113">
        <f>S1170-Y1170</f>
        <v>0</v>
      </c>
    </row>
    <row r="1171" spans="2:30" ht="45" hidden="1" customHeight="1">
      <c r="B1171" s="174">
        <v>1168</v>
      </c>
      <c r="C1171" s="104"/>
      <c r="D1171" s="104"/>
      <c r="E1171" s="104"/>
      <c r="F1171" s="104"/>
      <c r="G1171" s="145"/>
      <c r="H1171" s="104"/>
      <c r="I1171" s="104"/>
      <c r="J1171" s="104"/>
      <c r="K1171" s="104"/>
      <c r="L1171" s="104"/>
      <c r="M1171" s="104"/>
      <c r="N1171" s="104"/>
      <c r="O1171" s="104"/>
      <c r="P1171" s="104"/>
      <c r="Q1171" s="104"/>
      <c r="R1171" s="104"/>
      <c r="S1171" s="160"/>
      <c r="T1171" s="104"/>
      <c r="U1171" s="145"/>
      <c r="V1171" s="145"/>
      <c r="W1171" s="145"/>
      <c r="X1171" s="104"/>
      <c r="Y1171" s="194"/>
      <c r="Z1171" s="145"/>
      <c r="AA1171" s="145"/>
      <c r="AB1171" s="104"/>
      <c r="AC1171" s="104"/>
      <c r="AD1171" s="113">
        <f>S1171-Y1171</f>
        <v>0</v>
      </c>
    </row>
    <row r="1172" spans="2:30" ht="45" hidden="1" customHeight="1">
      <c r="B1172" s="174">
        <v>1169</v>
      </c>
      <c r="C1172" s="104"/>
      <c r="D1172" s="104"/>
      <c r="E1172" s="104"/>
      <c r="F1172" s="104"/>
      <c r="G1172" s="145"/>
      <c r="H1172" s="104"/>
      <c r="I1172" s="104"/>
      <c r="J1172" s="104"/>
      <c r="K1172" s="104"/>
      <c r="L1172" s="104"/>
      <c r="M1172" s="104"/>
      <c r="N1172" s="104"/>
      <c r="O1172" s="104"/>
      <c r="P1172" s="104"/>
      <c r="Q1172" s="104"/>
      <c r="R1172" s="104"/>
      <c r="S1172" s="160"/>
      <c r="T1172" s="104"/>
      <c r="U1172" s="145"/>
      <c r="V1172" s="145"/>
      <c r="W1172" s="145"/>
      <c r="X1172" s="104"/>
      <c r="Y1172" s="194"/>
      <c r="Z1172" s="145"/>
      <c r="AA1172" s="145"/>
      <c r="AB1172" s="104"/>
      <c r="AC1172" s="104"/>
      <c r="AD1172" s="113">
        <f>S1172-Y1172</f>
        <v>0</v>
      </c>
    </row>
    <row r="1173" spans="2:30" ht="45" hidden="1" customHeight="1">
      <c r="B1173" s="174">
        <v>1170</v>
      </c>
      <c r="C1173" s="104"/>
      <c r="D1173" s="104"/>
      <c r="E1173" s="104"/>
      <c r="F1173" s="104"/>
      <c r="G1173" s="145"/>
      <c r="H1173" s="104"/>
      <c r="I1173" s="104"/>
      <c r="J1173" s="104"/>
      <c r="K1173" s="104"/>
      <c r="L1173" s="104"/>
      <c r="M1173" s="104"/>
      <c r="N1173" s="104"/>
      <c r="O1173" s="104"/>
      <c r="P1173" s="104"/>
      <c r="Q1173" s="104"/>
      <c r="R1173" s="104"/>
      <c r="S1173" s="160"/>
      <c r="T1173" s="104"/>
      <c r="U1173" s="145"/>
      <c r="V1173" s="145"/>
      <c r="W1173" s="145"/>
      <c r="X1173" s="104"/>
      <c r="Y1173" s="194"/>
      <c r="Z1173" s="145"/>
      <c r="AA1173" s="145"/>
      <c r="AB1173" s="104"/>
      <c r="AC1173" s="104"/>
      <c r="AD1173" s="113">
        <f>S1173-Y1173</f>
        <v>0</v>
      </c>
    </row>
    <row r="1174" spans="2:30" ht="45" hidden="1" customHeight="1">
      <c r="B1174" s="174">
        <v>1171</v>
      </c>
      <c r="C1174" s="104"/>
      <c r="D1174" s="104"/>
      <c r="E1174" s="104"/>
      <c r="F1174" s="104"/>
      <c r="G1174" s="145"/>
      <c r="H1174" s="104"/>
      <c r="I1174" s="104"/>
      <c r="J1174" s="104"/>
      <c r="K1174" s="104"/>
      <c r="L1174" s="104"/>
      <c r="M1174" s="104"/>
      <c r="N1174" s="104"/>
      <c r="O1174" s="104"/>
      <c r="P1174" s="104"/>
      <c r="Q1174" s="104"/>
      <c r="R1174" s="104"/>
      <c r="S1174" s="160"/>
      <c r="T1174" s="104"/>
      <c r="U1174" s="145"/>
      <c r="V1174" s="145"/>
      <c r="W1174" s="145"/>
      <c r="X1174" s="104"/>
      <c r="Y1174" s="194"/>
      <c r="Z1174" s="145"/>
      <c r="AA1174" s="145"/>
      <c r="AB1174" s="104"/>
      <c r="AC1174" s="104"/>
      <c r="AD1174" s="113">
        <f>S1174-Y1174</f>
        <v>0</v>
      </c>
    </row>
    <row r="1175" spans="2:30" ht="45" hidden="1" customHeight="1">
      <c r="B1175" s="174">
        <v>1172</v>
      </c>
      <c r="C1175" s="104"/>
      <c r="D1175" s="104"/>
      <c r="E1175" s="104"/>
      <c r="F1175" s="104"/>
      <c r="G1175" s="145"/>
      <c r="H1175" s="104"/>
      <c r="I1175" s="104"/>
      <c r="J1175" s="104"/>
      <c r="K1175" s="104"/>
      <c r="L1175" s="104"/>
      <c r="M1175" s="104"/>
      <c r="N1175" s="104"/>
      <c r="O1175" s="104"/>
      <c r="P1175" s="104"/>
      <c r="Q1175" s="104"/>
      <c r="R1175" s="104"/>
      <c r="S1175" s="160"/>
      <c r="T1175" s="104"/>
      <c r="U1175" s="145"/>
      <c r="V1175" s="145"/>
      <c r="W1175" s="145"/>
      <c r="X1175" s="104"/>
      <c r="Y1175" s="194"/>
      <c r="Z1175" s="145"/>
      <c r="AA1175" s="145"/>
      <c r="AB1175" s="104"/>
      <c r="AC1175" s="104"/>
      <c r="AD1175" s="113">
        <f>S1175-Y1175</f>
        <v>0</v>
      </c>
    </row>
    <row r="1176" spans="2:30" ht="45" hidden="1" customHeight="1">
      <c r="B1176" s="174">
        <v>1173</v>
      </c>
      <c r="C1176" s="104"/>
      <c r="D1176" s="104"/>
      <c r="E1176" s="104"/>
      <c r="F1176" s="104"/>
      <c r="G1176" s="145"/>
      <c r="H1176" s="104"/>
      <c r="I1176" s="104"/>
      <c r="J1176" s="104"/>
      <c r="K1176" s="104"/>
      <c r="L1176" s="104"/>
      <c r="M1176" s="104"/>
      <c r="N1176" s="104"/>
      <c r="O1176" s="104"/>
      <c r="P1176" s="104"/>
      <c r="Q1176" s="104"/>
      <c r="R1176" s="104"/>
      <c r="S1176" s="160"/>
      <c r="T1176" s="104"/>
      <c r="U1176" s="145"/>
      <c r="V1176" s="145"/>
      <c r="W1176" s="145"/>
      <c r="X1176" s="104"/>
      <c r="Y1176" s="194"/>
      <c r="Z1176" s="145"/>
      <c r="AA1176" s="145"/>
      <c r="AB1176" s="104"/>
      <c r="AC1176" s="104"/>
      <c r="AD1176" s="113">
        <f>S1176-Y1176</f>
        <v>0</v>
      </c>
    </row>
    <row r="1177" spans="2:30" ht="45" hidden="1" customHeight="1">
      <c r="B1177" s="174">
        <v>1174</v>
      </c>
      <c r="C1177" s="104"/>
      <c r="D1177" s="104"/>
      <c r="E1177" s="104"/>
      <c r="F1177" s="104"/>
      <c r="G1177" s="145"/>
      <c r="H1177" s="104"/>
      <c r="I1177" s="104"/>
      <c r="J1177" s="104"/>
      <c r="K1177" s="104"/>
      <c r="L1177" s="104"/>
      <c r="M1177" s="104"/>
      <c r="N1177" s="104"/>
      <c r="O1177" s="104"/>
      <c r="P1177" s="104"/>
      <c r="Q1177" s="104"/>
      <c r="R1177" s="104"/>
      <c r="S1177" s="160"/>
      <c r="T1177" s="104"/>
      <c r="U1177" s="145"/>
      <c r="V1177" s="145"/>
      <c r="W1177" s="145"/>
      <c r="X1177" s="104"/>
      <c r="Y1177" s="194"/>
      <c r="Z1177" s="145"/>
      <c r="AA1177" s="145"/>
      <c r="AB1177" s="104"/>
      <c r="AC1177" s="104"/>
      <c r="AD1177" s="113">
        <f>S1177-Y1177</f>
        <v>0</v>
      </c>
    </row>
    <row r="1178" spans="2:30" ht="45" hidden="1" customHeight="1">
      <c r="B1178" s="174">
        <v>1175</v>
      </c>
      <c r="C1178" s="104"/>
      <c r="D1178" s="104"/>
      <c r="E1178" s="104"/>
      <c r="F1178" s="104"/>
      <c r="G1178" s="145"/>
      <c r="H1178" s="104"/>
      <c r="I1178" s="104"/>
      <c r="J1178" s="104"/>
      <c r="K1178" s="104"/>
      <c r="L1178" s="104"/>
      <c r="M1178" s="104"/>
      <c r="N1178" s="104"/>
      <c r="O1178" s="104"/>
      <c r="P1178" s="104"/>
      <c r="Q1178" s="104"/>
      <c r="R1178" s="104"/>
      <c r="S1178" s="160"/>
      <c r="T1178" s="104"/>
      <c r="U1178" s="145"/>
      <c r="V1178" s="145"/>
      <c r="W1178" s="145"/>
      <c r="X1178" s="104"/>
      <c r="Y1178" s="194"/>
      <c r="Z1178" s="145"/>
      <c r="AA1178" s="145"/>
      <c r="AB1178" s="104"/>
      <c r="AC1178" s="104"/>
      <c r="AD1178" s="113">
        <f>S1178-Y1178</f>
        <v>0</v>
      </c>
    </row>
    <row r="1179" spans="2:30" ht="45" hidden="1" customHeight="1">
      <c r="B1179" s="174">
        <v>1176</v>
      </c>
      <c r="C1179" s="104"/>
      <c r="D1179" s="104"/>
      <c r="E1179" s="104"/>
      <c r="F1179" s="104"/>
      <c r="G1179" s="145"/>
      <c r="H1179" s="104"/>
      <c r="I1179" s="104"/>
      <c r="J1179" s="104"/>
      <c r="K1179" s="104"/>
      <c r="L1179" s="104"/>
      <c r="M1179" s="104"/>
      <c r="N1179" s="104"/>
      <c r="O1179" s="104"/>
      <c r="P1179" s="104"/>
      <c r="Q1179" s="104"/>
      <c r="R1179" s="104"/>
      <c r="S1179" s="160"/>
      <c r="T1179" s="104"/>
      <c r="U1179" s="145"/>
      <c r="V1179" s="145"/>
      <c r="W1179" s="145"/>
      <c r="X1179" s="104"/>
      <c r="Y1179" s="194"/>
      <c r="Z1179" s="145"/>
      <c r="AA1179" s="145"/>
      <c r="AB1179" s="104"/>
      <c r="AC1179" s="104"/>
      <c r="AD1179" s="113">
        <f>S1179-Y1179</f>
        <v>0</v>
      </c>
    </row>
    <row r="1180" spans="2:30" ht="45" hidden="1" customHeight="1">
      <c r="B1180" s="174">
        <v>1177</v>
      </c>
      <c r="C1180" s="104"/>
      <c r="D1180" s="104"/>
      <c r="E1180" s="104"/>
      <c r="F1180" s="104"/>
      <c r="G1180" s="145"/>
      <c r="H1180" s="104"/>
      <c r="I1180" s="104"/>
      <c r="J1180" s="104"/>
      <c r="K1180" s="104"/>
      <c r="L1180" s="104"/>
      <c r="M1180" s="104"/>
      <c r="N1180" s="104"/>
      <c r="O1180" s="104"/>
      <c r="P1180" s="104"/>
      <c r="Q1180" s="104"/>
      <c r="R1180" s="104"/>
      <c r="S1180" s="160"/>
      <c r="T1180" s="104"/>
      <c r="U1180" s="145"/>
      <c r="V1180" s="145"/>
      <c r="W1180" s="145"/>
      <c r="X1180" s="104"/>
      <c r="Y1180" s="194"/>
      <c r="Z1180" s="145"/>
      <c r="AA1180" s="145"/>
      <c r="AB1180" s="104"/>
      <c r="AC1180" s="104"/>
      <c r="AD1180" s="113">
        <f>S1180-Y1180</f>
        <v>0</v>
      </c>
    </row>
    <row r="1181" spans="2:30" ht="45" hidden="1" customHeight="1">
      <c r="B1181" s="174">
        <v>1178</v>
      </c>
      <c r="C1181" s="104"/>
      <c r="D1181" s="104"/>
      <c r="E1181" s="104"/>
      <c r="F1181" s="104"/>
      <c r="G1181" s="145"/>
      <c r="H1181" s="104"/>
      <c r="I1181" s="104"/>
      <c r="J1181" s="104"/>
      <c r="K1181" s="104"/>
      <c r="L1181" s="104"/>
      <c r="M1181" s="104"/>
      <c r="N1181" s="104"/>
      <c r="O1181" s="104"/>
      <c r="P1181" s="104"/>
      <c r="Q1181" s="104"/>
      <c r="R1181" s="104"/>
      <c r="S1181" s="160"/>
      <c r="T1181" s="104"/>
      <c r="U1181" s="145"/>
      <c r="V1181" s="145"/>
      <c r="W1181" s="145"/>
      <c r="X1181" s="104"/>
      <c r="Y1181" s="194"/>
      <c r="Z1181" s="145"/>
      <c r="AA1181" s="145"/>
      <c r="AB1181" s="104"/>
      <c r="AC1181" s="104"/>
      <c r="AD1181" s="113">
        <f>S1181-Y1181</f>
        <v>0</v>
      </c>
    </row>
    <row r="1182" spans="2:30" ht="45" hidden="1" customHeight="1">
      <c r="B1182" s="174">
        <v>1179</v>
      </c>
      <c r="C1182" s="104"/>
      <c r="D1182" s="104"/>
      <c r="E1182" s="104"/>
      <c r="F1182" s="104"/>
      <c r="G1182" s="145"/>
      <c r="H1182" s="104"/>
      <c r="I1182" s="104"/>
      <c r="J1182" s="104"/>
      <c r="K1182" s="104"/>
      <c r="L1182" s="104"/>
      <c r="M1182" s="104"/>
      <c r="N1182" s="104"/>
      <c r="O1182" s="104"/>
      <c r="P1182" s="104"/>
      <c r="Q1182" s="104"/>
      <c r="R1182" s="104"/>
      <c r="S1182" s="160"/>
      <c r="T1182" s="104"/>
      <c r="U1182" s="145"/>
      <c r="V1182" s="145"/>
      <c r="W1182" s="145"/>
      <c r="X1182" s="104"/>
      <c r="Y1182" s="194"/>
      <c r="Z1182" s="145"/>
      <c r="AA1182" s="145"/>
      <c r="AB1182" s="104"/>
      <c r="AC1182" s="104"/>
      <c r="AD1182" s="113">
        <f>S1182-Y1182</f>
        <v>0</v>
      </c>
    </row>
    <row r="1183" spans="2:30" ht="45" hidden="1" customHeight="1">
      <c r="B1183" s="174">
        <v>1180</v>
      </c>
      <c r="C1183" s="104"/>
      <c r="D1183" s="104"/>
      <c r="E1183" s="104"/>
      <c r="F1183" s="104"/>
      <c r="G1183" s="145"/>
      <c r="H1183" s="104"/>
      <c r="I1183" s="104"/>
      <c r="J1183" s="104"/>
      <c r="K1183" s="104"/>
      <c r="L1183" s="104"/>
      <c r="M1183" s="104"/>
      <c r="N1183" s="104"/>
      <c r="O1183" s="104"/>
      <c r="P1183" s="104"/>
      <c r="Q1183" s="104"/>
      <c r="R1183" s="104"/>
      <c r="S1183" s="160"/>
      <c r="T1183" s="104"/>
      <c r="U1183" s="145"/>
      <c r="V1183" s="145"/>
      <c r="W1183" s="145"/>
      <c r="X1183" s="104"/>
      <c r="Y1183" s="194"/>
      <c r="Z1183" s="145"/>
      <c r="AA1183" s="145"/>
      <c r="AB1183" s="104"/>
      <c r="AC1183" s="104"/>
      <c r="AD1183" s="113">
        <f>S1183-Y1183</f>
        <v>0</v>
      </c>
    </row>
    <row r="1184" spans="2:30" ht="45" hidden="1" customHeight="1">
      <c r="B1184" s="174">
        <v>1181</v>
      </c>
      <c r="C1184" s="104"/>
      <c r="D1184" s="104"/>
      <c r="E1184" s="104"/>
      <c r="F1184" s="104"/>
      <c r="G1184" s="145"/>
      <c r="H1184" s="104"/>
      <c r="I1184" s="104"/>
      <c r="J1184" s="104"/>
      <c r="K1184" s="104"/>
      <c r="L1184" s="104"/>
      <c r="M1184" s="104"/>
      <c r="N1184" s="104"/>
      <c r="O1184" s="104"/>
      <c r="P1184" s="104"/>
      <c r="Q1184" s="104"/>
      <c r="R1184" s="104"/>
      <c r="S1184" s="160"/>
      <c r="T1184" s="104"/>
      <c r="U1184" s="145"/>
      <c r="V1184" s="145"/>
      <c r="W1184" s="145"/>
      <c r="X1184" s="104"/>
      <c r="Y1184" s="194"/>
      <c r="Z1184" s="145"/>
      <c r="AA1184" s="145"/>
      <c r="AB1184" s="104"/>
      <c r="AC1184" s="104"/>
      <c r="AD1184" s="113">
        <f>S1184-Y1184</f>
        <v>0</v>
      </c>
    </row>
    <row r="1185" spans="2:30" ht="45" hidden="1" customHeight="1">
      <c r="B1185" s="174">
        <v>1182</v>
      </c>
      <c r="C1185" s="104"/>
      <c r="D1185" s="104"/>
      <c r="E1185" s="104"/>
      <c r="F1185" s="104"/>
      <c r="G1185" s="145"/>
      <c r="H1185" s="104"/>
      <c r="I1185" s="104"/>
      <c r="J1185" s="104"/>
      <c r="K1185" s="104"/>
      <c r="L1185" s="104"/>
      <c r="M1185" s="104"/>
      <c r="N1185" s="104"/>
      <c r="O1185" s="104"/>
      <c r="P1185" s="104"/>
      <c r="Q1185" s="104"/>
      <c r="R1185" s="104"/>
      <c r="S1185" s="160"/>
      <c r="T1185" s="104"/>
      <c r="U1185" s="145"/>
      <c r="V1185" s="145"/>
      <c r="W1185" s="145"/>
      <c r="X1185" s="104"/>
      <c r="Y1185" s="194"/>
      <c r="Z1185" s="145"/>
      <c r="AA1185" s="145"/>
      <c r="AB1185" s="104"/>
      <c r="AC1185" s="104"/>
      <c r="AD1185" s="113">
        <f>S1185-Y1185</f>
        <v>0</v>
      </c>
    </row>
    <row r="1186" spans="2:30" ht="45" hidden="1" customHeight="1">
      <c r="B1186" s="174">
        <v>1183</v>
      </c>
      <c r="C1186" s="104"/>
      <c r="D1186" s="104"/>
      <c r="E1186" s="104"/>
      <c r="F1186" s="104"/>
      <c r="G1186" s="145"/>
      <c r="H1186" s="104"/>
      <c r="I1186" s="104"/>
      <c r="J1186" s="104"/>
      <c r="K1186" s="104"/>
      <c r="L1186" s="104"/>
      <c r="M1186" s="104"/>
      <c r="N1186" s="104"/>
      <c r="O1186" s="104"/>
      <c r="P1186" s="104"/>
      <c r="Q1186" s="104"/>
      <c r="R1186" s="104"/>
      <c r="S1186" s="160"/>
      <c r="T1186" s="104"/>
      <c r="U1186" s="145"/>
      <c r="V1186" s="145"/>
      <c r="W1186" s="145"/>
      <c r="X1186" s="104"/>
      <c r="Y1186" s="194"/>
      <c r="Z1186" s="145"/>
      <c r="AA1186" s="145"/>
      <c r="AB1186" s="104"/>
      <c r="AC1186" s="104"/>
      <c r="AD1186" s="113">
        <f>S1186-Y1186</f>
        <v>0</v>
      </c>
    </row>
    <row r="1187" spans="2:30" ht="45" hidden="1" customHeight="1">
      <c r="B1187" s="174">
        <v>1184</v>
      </c>
      <c r="C1187" s="104"/>
      <c r="D1187" s="104"/>
      <c r="E1187" s="104"/>
      <c r="F1187" s="104"/>
      <c r="G1187" s="145"/>
      <c r="H1187" s="104"/>
      <c r="I1187" s="104"/>
      <c r="J1187" s="104"/>
      <c r="K1187" s="104"/>
      <c r="L1187" s="104"/>
      <c r="M1187" s="104"/>
      <c r="N1187" s="104"/>
      <c r="O1187" s="104"/>
      <c r="P1187" s="104"/>
      <c r="Q1187" s="104"/>
      <c r="R1187" s="104"/>
      <c r="S1187" s="160"/>
      <c r="T1187" s="104"/>
      <c r="U1187" s="145"/>
      <c r="V1187" s="145"/>
      <c r="W1187" s="145"/>
      <c r="X1187" s="104"/>
      <c r="Y1187" s="194"/>
      <c r="Z1187" s="145"/>
      <c r="AA1187" s="145"/>
      <c r="AB1187" s="104"/>
      <c r="AC1187" s="104"/>
      <c r="AD1187" s="113">
        <f>S1187-Y1187</f>
        <v>0</v>
      </c>
    </row>
    <row r="1188" spans="2:30" ht="45" hidden="1" customHeight="1">
      <c r="B1188" s="174">
        <v>1185</v>
      </c>
      <c r="C1188" s="104"/>
      <c r="D1188" s="104"/>
      <c r="E1188" s="104"/>
      <c r="F1188" s="104"/>
      <c r="G1188" s="145"/>
      <c r="H1188" s="104"/>
      <c r="I1188" s="104"/>
      <c r="J1188" s="104"/>
      <c r="K1188" s="104"/>
      <c r="L1188" s="104"/>
      <c r="M1188" s="104"/>
      <c r="N1188" s="104"/>
      <c r="O1188" s="104"/>
      <c r="P1188" s="104"/>
      <c r="Q1188" s="104"/>
      <c r="R1188" s="104"/>
      <c r="S1188" s="160"/>
      <c r="T1188" s="104"/>
      <c r="U1188" s="145"/>
      <c r="V1188" s="145"/>
      <c r="W1188" s="145"/>
      <c r="X1188" s="104"/>
      <c r="Y1188" s="194"/>
      <c r="Z1188" s="145"/>
      <c r="AA1188" s="145"/>
      <c r="AB1188" s="104"/>
      <c r="AC1188" s="104"/>
      <c r="AD1188" s="113">
        <f>S1188-Y1188</f>
        <v>0</v>
      </c>
    </row>
    <row r="1189" spans="2:30" ht="45" hidden="1" customHeight="1">
      <c r="B1189" s="174">
        <v>1186</v>
      </c>
      <c r="C1189" s="104"/>
      <c r="D1189" s="104"/>
      <c r="E1189" s="104"/>
      <c r="F1189" s="104"/>
      <c r="G1189" s="145"/>
      <c r="H1189" s="104"/>
      <c r="I1189" s="104"/>
      <c r="J1189" s="104"/>
      <c r="K1189" s="104"/>
      <c r="L1189" s="104"/>
      <c r="M1189" s="104"/>
      <c r="N1189" s="104"/>
      <c r="O1189" s="104"/>
      <c r="P1189" s="104"/>
      <c r="Q1189" s="104"/>
      <c r="R1189" s="104"/>
      <c r="S1189" s="160"/>
      <c r="T1189" s="104"/>
      <c r="U1189" s="145"/>
      <c r="V1189" s="145"/>
      <c r="W1189" s="145"/>
      <c r="X1189" s="104"/>
      <c r="Y1189" s="194"/>
      <c r="Z1189" s="145"/>
      <c r="AA1189" s="145"/>
      <c r="AB1189" s="104"/>
      <c r="AC1189" s="104"/>
      <c r="AD1189" s="113">
        <f>S1189-Y1189</f>
        <v>0</v>
      </c>
    </row>
    <row r="1190" spans="2:30" ht="45" hidden="1" customHeight="1">
      <c r="B1190" s="174">
        <v>1187</v>
      </c>
      <c r="C1190" s="104"/>
      <c r="D1190" s="104"/>
      <c r="E1190" s="104"/>
      <c r="F1190" s="104"/>
      <c r="G1190" s="145"/>
      <c r="H1190" s="104"/>
      <c r="I1190" s="104"/>
      <c r="J1190" s="104"/>
      <c r="K1190" s="104"/>
      <c r="L1190" s="104"/>
      <c r="M1190" s="104"/>
      <c r="N1190" s="104"/>
      <c r="O1190" s="104"/>
      <c r="P1190" s="104"/>
      <c r="Q1190" s="104"/>
      <c r="R1190" s="104"/>
      <c r="S1190" s="160"/>
      <c r="T1190" s="104"/>
      <c r="U1190" s="145"/>
      <c r="V1190" s="145"/>
      <c r="W1190" s="145"/>
      <c r="X1190" s="104"/>
      <c r="Y1190" s="194"/>
      <c r="Z1190" s="145"/>
      <c r="AA1190" s="145"/>
      <c r="AB1190" s="104"/>
      <c r="AC1190" s="104"/>
      <c r="AD1190" s="113">
        <f>S1190-Y1190</f>
        <v>0</v>
      </c>
    </row>
    <row r="1191" spans="2:30" ht="45" hidden="1" customHeight="1">
      <c r="B1191" s="174">
        <v>1188</v>
      </c>
      <c r="C1191" s="104"/>
      <c r="D1191" s="104"/>
      <c r="E1191" s="104"/>
      <c r="F1191" s="104"/>
      <c r="G1191" s="145"/>
      <c r="H1191" s="104"/>
      <c r="I1191" s="104"/>
      <c r="J1191" s="104"/>
      <c r="K1191" s="104"/>
      <c r="L1191" s="104"/>
      <c r="M1191" s="104"/>
      <c r="N1191" s="104"/>
      <c r="O1191" s="104"/>
      <c r="P1191" s="104"/>
      <c r="Q1191" s="104"/>
      <c r="R1191" s="104"/>
      <c r="S1191" s="160"/>
      <c r="T1191" s="104"/>
      <c r="U1191" s="145"/>
      <c r="V1191" s="145"/>
      <c r="W1191" s="145"/>
      <c r="X1191" s="104"/>
      <c r="Y1191" s="194"/>
      <c r="Z1191" s="145"/>
      <c r="AA1191" s="145"/>
      <c r="AB1191" s="104"/>
      <c r="AC1191" s="104"/>
      <c r="AD1191" s="113">
        <f>S1191-Y1191</f>
        <v>0</v>
      </c>
    </row>
    <row r="1192" spans="2:30" ht="45" hidden="1" customHeight="1">
      <c r="B1192" s="174">
        <v>1189</v>
      </c>
      <c r="C1192" s="104"/>
      <c r="D1192" s="104"/>
      <c r="E1192" s="104"/>
      <c r="F1192" s="104"/>
      <c r="G1192" s="145"/>
      <c r="H1192" s="104"/>
      <c r="I1192" s="104"/>
      <c r="J1192" s="104"/>
      <c r="K1192" s="104"/>
      <c r="L1192" s="104"/>
      <c r="M1192" s="104"/>
      <c r="N1192" s="104"/>
      <c r="O1192" s="104"/>
      <c r="P1192" s="104"/>
      <c r="Q1192" s="104"/>
      <c r="R1192" s="104"/>
      <c r="S1192" s="160"/>
      <c r="T1192" s="104"/>
      <c r="U1192" s="145"/>
      <c r="V1192" s="145"/>
      <c r="W1192" s="145"/>
      <c r="X1192" s="104"/>
      <c r="Y1192" s="194"/>
      <c r="Z1192" s="145"/>
      <c r="AA1192" s="145"/>
      <c r="AB1192" s="104"/>
      <c r="AC1192" s="104"/>
      <c r="AD1192" s="113">
        <f>S1192-Y1192</f>
        <v>0</v>
      </c>
    </row>
    <row r="1193" spans="2:30" ht="45" hidden="1" customHeight="1">
      <c r="B1193" s="174">
        <v>1190</v>
      </c>
      <c r="C1193" s="104"/>
      <c r="D1193" s="104"/>
      <c r="E1193" s="104"/>
      <c r="F1193" s="104"/>
      <c r="G1193" s="145"/>
      <c r="H1193" s="104"/>
      <c r="I1193" s="104"/>
      <c r="J1193" s="104"/>
      <c r="K1193" s="104"/>
      <c r="L1193" s="104"/>
      <c r="M1193" s="104"/>
      <c r="N1193" s="104"/>
      <c r="O1193" s="104"/>
      <c r="P1193" s="104"/>
      <c r="Q1193" s="104"/>
      <c r="R1193" s="104"/>
      <c r="S1193" s="160"/>
      <c r="T1193" s="104"/>
      <c r="U1193" s="145"/>
      <c r="V1193" s="145"/>
      <c r="W1193" s="145"/>
      <c r="X1193" s="104"/>
      <c r="Y1193" s="194"/>
      <c r="Z1193" s="145"/>
      <c r="AA1193" s="145"/>
      <c r="AB1193" s="104"/>
      <c r="AC1193" s="104"/>
      <c r="AD1193" s="113">
        <f>S1193-Y1193</f>
        <v>0</v>
      </c>
    </row>
    <row r="1194" spans="2:30" ht="45" hidden="1" customHeight="1">
      <c r="B1194" s="174">
        <v>1191</v>
      </c>
      <c r="C1194" s="104"/>
      <c r="D1194" s="104"/>
      <c r="E1194" s="104"/>
      <c r="F1194" s="104"/>
      <c r="G1194" s="145"/>
      <c r="H1194" s="104"/>
      <c r="I1194" s="104"/>
      <c r="J1194" s="104"/>
      <c r="K1194" s="104"/>
      <c r="L1194" s="104"/>
      <c r="M1194" s="104"/>
      <c r="N1194" s="104"/>
      <c r="O1194" s="104"/>
      <c r="P1194" s="104"/>
      <c r="Q1194" s="104"/>
      <c r="R1194" s="104"/>
      <c r="S1194" s="160"/>
      <c r="T1194" s="104"/>
      <c r="U1194" s="145"/>
      <c r="V1194" s="145"/>
      <c r="W1194" s="145"/>
      <c r="X1194" s="104"/>
      <c r="Y1194" s="194"/>
      <c r="Z1194" s="145"/>
      <c r="AA1194" s="145"/>
      <c r="AB1194" s="104"/>
      <c r="AC1194" s="104"/>
      <c r="AD1194" s="113">
        <f>S1194-Y1194</f>
        <v>0</v>
      </c>
    </row>
    <row r="1195" spans="2:30" ht="45" hidden="1" customHeight="1">
      <c r="B1195" s="174">
        <v>1192</v>
      </c>
      <c r="C1195" s="104"/>
      <c r="D1195" s="104"/>
      <c r="E1195" s="104"/>
      <c r="F1195" s="104"/>
      <c r="G1195" s="145"/>
      <c r="H1195" s="104"/>
      <c r="I1195" s="104"/>
      <c r="J1195" s="104"/>
      <c r="K1195" s="104"/>
      <c r="L1195" s="104"/>
      <c r="M1195" s="104"/>
      <c r="N1195" s="104"/>
      <c r="O1195" s="104"/>
      <c r="P1195" s="104"/>
      <c r="Q1195" s="104"/>
      <c r="R1195" s="104"/>
      <c r="S1195" s="160"/>
      <c r="T1195" s="104"/>
      <c r="U1195" s="145"/>
      <c r="V1195" s="145"/>
      <c r="W1195" s="145"/>
      <c r="X1195" s="104"/>
      <c r="Y1195" s="194"/>
      <c r="Z1195" s="145"/>
      <c r="AA1195" s="145"/>
      <c r="AB1195" s="104"/>
      <c r="AC1195" s="104"/>
      <c r="AD1195" s="113">
        <f>S1195-Y1195</f>
        <v>0</v>
      </c>
    </row>
    <row r="1196" spans="2:30" ht="45" hidden="1" customHeight="1">
      <c r="B1196" s="174">
        <v>1193</v>
      </c>
      <c r="C1196" s="104"/>
      <c r="D1196" s="104"/>
      <c r="E1196" s="104"/>
      <c r="F1196" s="104"/>
      <c r="G1196" s="145"/>
      <c r="H1196" s="104"/>
      <c r="I1196" s="104"/>
      <c r="J1196" s="104"/>
      <c r="K1196" s="104"/>
      <c r="L1196" s="104"/>
      <c r="M1196" s="104"/>
      <c r="N1196" s="104"/>
      <c r="O1196" s="104"/>
      <c r="P1196" s="104"/>
      <c r="Q1196" s="104"/>
      <c r="R1196" s="104"/>
      <c r="S1196" s="160"/>
      <c r="T1196" s="104"/>
      <c r="U1196" s="145"/>
      <c r="V1196" s="145"/>
      <c r="W1196" s="145"/>
      <c r="X1196" s="104"/>
      <c r="Y1196" s="194"/>
      <c r="Z1196" s="145"/>
      <c r="AA1196" s="145"/>
      <c r="AB1196" s="104"/>
      <c r="AC1196" s="104"/>
      <c r="AD1196" s="113">
        <f>S1196-Y1196</f>
        <v>0</v>
      </c>
    </row>
    <row r="1197" spans="2:30" ht="45" hidden="1" customHeight="1">
      <c r="B1197" s="174">
        <v>1194</v>
      </c>
      <c r="C1197" s="104"/>
      <c r="D1197" s="104"/>
      <c r="E1197" s="104"/>
      <c r="F1197" s="104"/>
      <c r="G1197" s="145"/>
      <c r="H1197" s="104"/>
      <c r="I1197" s="104"/>
      <c r="J1197" s="104"/>
      <c r="K1197" s="104"/>
      <c r="L1197" s="104"/>
      <c r="M1197" s="104"/>
      <c r="N1197" s="104"/>
      <c r="O1197" s="104"/>
      <c r="P1197" s="104"/>
      <c r="Q1197" s="104"/>
      <c r="R1197" s="104"/>
      <c r="S1197" s="160"/>
      <c r="T1197" s="104"/>
      <c r="U1197" s="145"/>
      <c r="V1197" s="145"/>
      <c r="W1197" s="145"/>
      <c r="X1197" s="104"/>
      <c r="Y1197" s="194"/>
      <c r="Z1197" s="145"/>
      <c r="AA1197" s="145"/>
      <c r="AB1197" s="104"/>
      <c r="AC1197" s="104"/>
      <c r="AD1197" s="113">
        <f>S1197-Y1197</f>
        <v>0</v>
      </c>
    </row>
    <row r="1198" spans="2:30" ht="45" hidden="1" customHeight="1">
      <c r="B1198" s="174">
        <v>1195</v>
      </c>
      <c r="C1198" s="104"/>
      <c r="D1198" s="104"/>
      <c r="E1198" s="104"/>
      <c r="F1198" s="104"/>
      <c r="G1198" s="145"/>
      <c r="H1198" s="104"/>
      <c r="I1198" s="104"/>
      <c r="J1198" s="104"/>
      <c r="K1198" s="104"/>
      <c r="L1198" s="104"/>
      <c r="M1198" s="104"/>
      <c r="N1198" s="104"/>
      <c r="O1198" s="104"/>
      <c r="P1198" s="104"/>
      <c r="Q1198" s="104"/>
      <c r="R1198" s="104"/>
      <c r="S1198" s="160"/>
      <c r="T1198" s="104"/>
      <c r="U1198" s="145"/>
      <c r="V1198" s="145"/>
      <c r="W1198" s="145"/>
      <c r="X1198" s="104"/>
      <c r="Y1198" s="194"/>
      <c r="Z1198" s="145"/>
      <c r="AA1198" s="145"/>
      <c r="AB1198" s="104"/>
      <c r="AC1198" s="104"/>
      <c r="AD1198" s="113">
        <f>S1198-Y1198</f>
        <v>0</v>
      </c>
    </row>
    <row r="1199" spans="2:30" ht="45" hidden="1" customHeight="1">
      <c r="B1199" s="174">
        <v>1196</v>
      </c>
      <c r="C1199" s="104"/>
      <c r="D1199" s="104"/>
      <c r="E1199" s="104"/>
      <c r="F1199" s="104"/>
      <c r="G1199" s="145"/>
      <c r="H1199" s="104"/>
      <c r="I1199" s="104"/>
      <c r="J1199" s="104"/>
      <c r="K1199" s="104"/>
      <c r="L1199" s="104"/>
      <c r="M1199" s="104"/>
      <c r="N1199" s="104"/>
      <c r="O1199" s="104"/>
      <c r="P1199" s="104"/>
      <c r="Q1199" s="104"/>
      <c r="R1199" s="104"/>
      <c r="S1199" s="160"/>
      <c r="T1199" s="104"/>
      <c r="U1199" s="145"/>
      <c r="V1199" s="145"/>
      <c r="W1199" s="145"/>
      <c r="X1199" s="104"/>
      <c r="Y1199" s="194"/>
      <c r="Z1199" s="145"/>
      <c r="AA1199" s="145"/>
      <c r="AB1199" s="104"/>
      <c r="AC1199" s="104"/>
      <c r="AD1199" s="113">
        <f>S1199-Y1199</f>
        <v>0</v>
      </c>
    </row>
    <row r="1200" spans="2:30" ht="45" hidden="1" customHeight="1">
      <c r="B1200" s="174">
        <v>1197</v>
      </c>
      <c r="C1200" s="104"/>
      <c r="D1200" s="104"/>
      <c r="E1200" s="104"/>
      <c r="F1200" s="104"/>
      <c r="G1200" s="145"/>
      <c r="H1200" s="104"/>
      <c r="I1200" s="104"/>
      <c r="J1200" s="104"/>
      <c r="K1200" s="104"/>
      <c r="L1200" s="104"/>
      <c r="M1200" s="104"/>
      <c r="N1200" s="104"/>
      <c r="O1200" s="104"/>
      <c r="P1200" s="104"/>
      <c r="Q1200" s="104"/>
      <c r="R1200" s="104"/>
      <c r="S1200" s="160"/>
      <c r="T1200" s="104"/>
      <c r="U1200" s="145"/>
      <c r="V1200" s="145"/>
      <c r="W1200" s="145"/>
      <c r="X1200" s="104"/>
      <c r="Y1200" s="194"/>
      <c r="Z1200" s="145"/>
      <c r="AA1200" s="145"/>
      <c r="AB1200" s="104"/>
      <c r="AC1200" s="104"/>
      <c r="AD1200" s="113">
        <f>S1200-Y1200</f>
        <v>0</v>
      </c>
    </row>
    <row r="1201" spans="2:30" ht="45" hidden="1" customHeight="1">
      <c r="B1201" s="174">
        <v>1198</v>
      </c>
      <c r="C1201" s="104"/>
      <c r="D1201" s="104"/>
      <c r="E1201" s="104"/>
      <c r="F1201" s="104"/>
      <c r="G1201" s="145"/>
      <c r="H1201" s="104"/>
      <c r="I1201" s="104"/>
      <c r="J1201" s="104"/>
      <c r="K1201" s="104"/>
      <c r="L1201" s="104"/>
      <c r="M1201" s="104"/>
      <c r="N1201" s="104"/>
      <c r="O1201" s="104"/>
      <c r="P1201" s="104"/>
      <c r="Q1201" s="104"/>
      <c r="R1201" s="104"/>
      <c r="S1201" s="160"/>
      <c r="T1201" s="104"/>
      <c r="U1201" s="145"/>
      <c r="V1201" s="145"/>
      <c r="W1201" s="145"/>
      <c r="X1201" s="104"/>
      <c r="Y1201" s="194"/>
      <c r="Z1201" s="145"/>
      <c r="AA1201" s="145"/>
      <c r="AB1201" s="104"/>
      <c r="AC1201" s="104"/>
      <c r="AD1201" s="113">
        <f>S1201-Y1201</f>
        <v>0</v>
      </c>
    </row>
    <row r="1202" spans="2:30" ht="45" hidden="1" customHeight="1">
      <c r="B1202" s="174">
        <v>1199</v>
      </c>
      <c r="C1202" s="104"/>
      <c r="D1202" s="104"/>
      <c r="E1202" s="104"/>
      <c r="F1202" s="104"/>
      <c r="G1202" s="145"/>
      <c r="H1202" s="104"/>
      <c r="I1202" s="104"/>
      <c r="J1202" s="104"/>
      <c r="K1202" s="104"/>
      <c r="L1202" s="104"/>
      <c r="M1202" s="104"/>
      <c r="N1202" s="104"/>
      <c r="O1202" s="104"/>
      <c r="P1202" s="104"/>
      <c r="Q1202" s="104"/>
      <c r="R1202" s="104"/>
      <c r="S1202" s="160"/>
      <c r="T1202" s="104"/>
      <c r="U1202" s="145"/>
      <c r="V1202" s="145"/>
      <c r="W1202" s="145"/>
      <c r="X1202" s="104"/>
      <c r="Y1202" s="194"/>
      <c r="Z1202" s="145"/>
      <c r="AA1202" s="145"/>
      <c r="AB1202" s="104"/>
      <c r="AC1202" s="104"/>
      <c r="AD1202" s="113">
        <f>S1202-Y1202</f>
        <v>0</v>
      </c>
    </row>
    <row r="1203" spans="2:30" ht="45" hidden="1" customHeight="1">
      <c r="B1203" s="174">
        <v>1200</v>
      </c>
      <c r="C1203" s="104"/>
      <c r="D1203" s="104"/>
      <c r="E1203" s="104"/>
      <c r="F1203" s="104"/>
      <c r="G1203" s="145"/>
      <c r="H1203" s="104"/>
      <c r="I1203" s="104"/>
      <c r="J1203" s="104"/>
      <c r="K1203" s="104"/>
      <c r="L1203" s="104"/>
      <c r="M1203" s="104"/>
      <c r="N1203" s="104"/>
      <c r="O1203" s="104"/>
      <c r="P1203" s="104"/>
      <c r="Q1203" s="104"/>
      <c r="R1203" s="104"/>
      <c r="S1203" s="160"/>
      <c r="T1203" s="104"/>
      <c r="U1203" s="145"/>
      <c r="V1203" s="145"/>
      <c r="W1203" s="145"/>
      <c r="X1203" s="104"/>
      <c r="Y1203" s="194"/>
      <c r="Z1203" s="145"/>
      <c r="AA1203" s="145"/>
      <c r="AB1203" s="104"/>
      <c r="AC1203" s="104"/>
      <c r="AD1203" s="113">
        <f>S1203-Y1203</f>
        <v>0</v>
      </c>
    </row>
    <row r="1204" spans="2:30" ht="45" hidden="1" customHeight="1">
      <c r="B1204" s="174">
        <v>1201</v>
      </c>
      <c r="C1204" s="104"/>
      <c r="D1204" s="104"/>
      <c r="E1204" s="104"/>
      <c r="F1204" s="104"/>
      <c r="G1204" s="145"/>
      <c r="H1204" s="104"/>
      <c r="I1204" s="104"/>
      <c r="J1204" s="104"/>
      <c r="K1204" s="104"/>
      <c r="L1204" s="104"/>
      <c r="M1204" s="104"/>
      <c r="N1204" s="104"/>
      <c r="O1204" s="104"/>
      <c r="P1204" s="104"/>
      <c r="Q1204" s="104"/>
      <c r="R1204" s="104"/>
      <c r="S1204" s="160"/>
      <c r="T1204" s="104"/>
      <c r="U1204" s="145"/>
      <c r="V1204" s="145"/>
      <c r="W1204" s="145"/>
      <c r="X1204" s="104"/>
      <c r="Y1204" s="194"/>
      <c r="Z1204" s="145"/>
      <c r="AA1204" s="145"/>
      <c r="AB1204" s="104"/>
      <c r="AC1204" s="104"/>
      <c r="AD1204" s="113">
        <f>S1204-Y1204</f>
        <v>0</v>
      </c>
    </row>
    <row r="1205" spans="2:30" ht="45" hidden="1" customHeight="1">
      <c r="B1205" s="174">
        <v>1202</v>
      </c>
      <c r="C1205" s="104"/>
      <c r="D1205" s="104"/>
      <c r="E1205" s="104"/>
      <c r="F1205" s="104"/>
      <c r="G1205" s="145"/>
      <c r="H1205" s="104"/>
      <c r="I1205" s="104"/>
      <c r="J1205" s="104"/>
      <c r="K1205" s="104"/>
      <c r="L1205" s="104"/>
      <c r="M1205" s="104"/>
      <c r="N1205" s="104"/>
      <c r="O1205" s="104"/>
      <c r="P1205" s="104"/>
      <c r="Q1205" s="104"/>
      <c r="R1205" s="104"/>
      <c r="S1205" s="160"/>
      <c r="T1205" s="104"/>
      <c r="U1205" s="145"/>
      <c r="V1205" s="145"/>
      <c r="W1205" s="145"/>
      <c r="X1205" s="104"/>
      <c r="Y1205" s="194"/>
      <c r="Z1205" s="145"/>
      <c r="AA1205" s="145"/>
      <c r="AB1205" s="104"/>
      <c r="AC1205" s="104"/>
      <c r="AD1205" s="113">
        <f>S1205-Y1205</f>
        <v>0</v>
      </c>
    </row>
    <row r="1206" spans="2:30" ht="45" hidden="1" customHeight="1">
      <c r="B1206" s="174">
        <v>1203</v>
      </c>
      <c r="C1206" s="104"/>
      <c r="D1206" s="104"/>
      <c r="E1206" s="104"/>
      <c r="F1206" s="104"/>
      <c r="G1206" s="145"/>
      <c r="H1206" s="104"/>
      <c r="I1206" s="104"/>
      <c r="J1206" s="104"/>
      <c r="K1206" s="104"/>
      <c r="L1206" s="104"/>
      <c r="M1206" s="104"/>
      <c r="N1206" s="104"/>
      <c r="O1206" s="104"/>
      <c r="P1206" s="104"/>
      <c r="Q1206" s="104"/>
      <c r="R1206" s="104"/>
      <c r="S1206" s="160"/>
      <c r="T1206" s="104"/>
      <c r="U1206" s="145"/>
      <c r="V1206" s="145"/>
      <c r="W1206" s="145"/>
      <c r="X1206" s="104"/>
      <c r="Y1206" s="194"/>
      <c r="Z1206" s="145"/>
      <c r="AA1206" s="145"/>
      <c r="AB1206" s="104"/>
      <c r="AC1206" s="104"/>
      <c r="AD1206" s="113">
        <f>S1206-Y1206</f>
        <v>0</v>
      </c>
    </row>
    <row r="1207" spans="2:30" ht="45" hidden="1" customHeight="1">
      <c r="B1207" s="174">
        <v>1204</v>
      </c>
      <c r="C1207" s="104"/>
      <c r="D1207" s="104"/>
      <c r="E1207" s="104"/>
      <c r="F1207" s="104"/>
      <c r="G1207" s="145"/>
      <c r="H1207" s="104"/>
      <c r="I1207" s="104"/>
      <c r="J1207" s="104"/>
      <c r="K1207" s="104"/>
      <c r="L1207" s="104"/>
      <c r="M1207" s="104"/>
      <c r="N1207" s="104"/>
      <c r="O1207" s="104"/>
      <c r="P1207" s="104"/>
      <c r="Q1207" s="104"/>
      <c r="R1207" s="104"/>
      <c r="S1207" s="160"/>
      <c r="T1207" s="104"/>
      <c r="U1207" s="145"/>
      <c r="V1207" s="145"/>
      <c r="W1207" s="145"/>
      <c r="X1207" s="104"/>
      <c r="Y1207" s="194"/>
      <c r="Z1207" s="145"/>
      <c r="AA1207" s="145"/>
      <c r="AB1207" s="104"/>
      <c r="AC1207" s="104"/>
      <c r="AD1207" s="113">
        <f>S1207-Y1207</f>
        <v>0</v>
      </c>
    </row>
    <row r="1208" spans="2:30" ht="45" hidden="1" customHeight="1">
      <c r="B1208" s="174">
        <v>1205</v>
      </c>
      <c r="C1208" s="104"/>
      <c r="D1208" s="104"/>
      <c r="E1208" s="104"/>
      <c r="F1208" s="104"/>
      <c r="G1208" s="145"/>
      <c r="H1208" s="104"/>
      <c r="I1208" s="104"/>
      <c r="J1208" s="104"/>
      <c r="K1208" s="104"/>
      <c r="L1208" s="104"/>
      <c r="M1208" s="104"/>
      <c r="N1208" s="104"/>
      <c r="O1208" s="104"/>
      <c r="P1208" s="104"/>
      <c r="Q1208" s="104"/>
      <c r="R1208" s="104"/>
      <c r="S1208" s="160"/>
      <c r="T1208" s="104"/>
      <c r="U1208" s="145"/>
      <c r="V1208" s="145"/>
      <c r="W1208" s="145"/>
      <c r="X1208" s="104"/>
      <c r="Y1208" s="194"/>
      <c r="Z1208" s="145"/>
      <c r="AA1208" s="145"/>
      <c r="AB1208" s="104"/>
      <c r="AC1208" s="104"/>
      <c r="AD1208" s="113">
        <f>S1208-Y1208</f>
        <v>0</v>
      </c>
    </row>
    <row r="1209" spans="2:30" ht="45" hidden="1" customHeight="1">
      <c r="B1209" s="174">
        <v>1206</v>
      </c>
      <c r="C1209" s="104"/>
      <c r="D1209" s="104"/>
      <c r="E1209" s="104"/>
      <c r="F1209" s="104"/>
      <c r="G1209" s="145"/>
      <c r="H1209" s="104"/>
      <c r="I1209" s="104"/>
      <c r="J1209" s="104"/>
      <c r="K1209" s="104"/>
      <c r="L1209" s="104"/>
      <c r="M1209" s="104"/>
      <c r="N1209" s="104"/>
      <c r="O1209" s="104"/>
      <c r="P1209" s="104"/>
      <c r="Q1209" s="104"/>
      <c r="R1209" s="104"/>
      <c r="S1209" s="160"/>
      <c r="T1209" s="104"/>
      <c r="U1209" s="145"/>
      <c r="V1209" s="145"/>
      <c r="W1209" s="145"/>
      <c r="X1209" s="104"/>
      <c r="Y1209" s="194"/>
      <c r="Z1209" s="145"/>
      <c r="AA1209" s="145"/>
      <c r="AB1209" s="104"/>
      <c r="AC1209" s="104"/>
      <c r="AD1209" s="113">
        <f>S1209-Y1209</f>
        <v>0</v>
      </c>
    </row>
    <row r="1210" spans="2:30" ht="45" hidden="1" customHeight="1">
      <c r="B1210" s="174">
        <v>1207</v>
      </c>
      <c r="C1210" s="104"/>
      <c r="D1210" s="104"/>
      <c r="E1210" s="104"/>
      <c r="F1210" s="104"/>
      <c r="G1210" s="145"/>
      <c r="H1210" s="104"/>
      <c r="I1210" s="104"/>
      <c r="J1210" s="104"/>
      <c r="K1210" s="104"/>
      <c r="L1210" s="104"/>
      <c r="M1210" s="104"/>
      <c r="N1210" s="104"/>
      <c r="O1210" s="104"/>
      <c r="P1210" s="104"/>
      <c r="Q1210" s="104"/>
      <c r="R1210" s="104"/>
      <c r="S1210" s="160"/>
      <c r="T1210" s="104"/>
      <c r="U1210" s="145"/>
      <c r="V1210" s="145"/>
      <c r="W1210" s="145"/>
      <c r="X1210" s="104"/>
      <c r="Y1210" s="194"/>
      <c r="Z1210" s="145"/>
      <c r="AA1210" s="145"/>
      <c r="AB1210" s="104"/>
      <c r="AC1210" s="104"/>
      <c r="AD1210" s="113">
        <f>S1210-Y1210</f>
        <v>0</v>
      </c>
    </row>
    <row r="1211" spans="2:30" ht="45" hidden="1" customHeight="1">
      <c r="B1211" s="174">
        <v>1208</v>
      </c>
      <c r="C1211" s="104"/>
      <c r="D1211" s="104"/>
      <c r="E1211" s="104"/>
      <c r="F1211" s="104"/>
      <c r="G1211" s="145"/>
      <c r="H1211" s="104"/>
      <c r="I1211" s="104"/>
      <c r="J1211" s="104"/>
      <c r="K1211" s="104"/>
      <c r="L1211" s="104"/>
      <c r="M1211" s="104"/>
      <c r="N1211" s="104"/>
      <c r="O1211" s="104"/>
      <c r="P1211" s="104"/>
      <c r="Q1211" s="104"/>
      <c r="R1211" s="104"/>
      <c r="S1211" s="160"/>
      <c r="T1211" s="104"/>
      <c r="U1211" s="145"/>
      <c r="V1211" s="145"/>
      <c r="W1211" s="145"/>
      <c r="X1211" s="104"/>
      <c r="Y1211" s="194"/>
      <c r="Z1211" s="145"/>
      <c r="AA1211" s="145"/>
      <c r="AB1211" s="104"/>
      <c r="AC1211" s="104"/>
      <c r="AD1211" s="113">
        <f>S1211-Y1211</f>
        <v>0</v>
      </c>
    </row>
    <row r="1212" spans="2:30" ht="45" hidden="1" customHeight="1">
      <c r="B1212" s="174">
        <v>1209</v>
      </c>
      <c r="C1212" s="104"/>
      <c r="D1212" s="104"/>
      <c r="E1212" s="104"/>
      <c r="F1212" s="104"/>
      <c r="G1212" s="145"/>
      <c r="H1212" s="104"/>
      <c r="I1212" s="104"/>
      <c r="J1212" s="104"/>
      <c r="K1212" s="104"/>
      <c r="L1212" s="104"/>
      <c r="M1212" s="104"/>
      <c r="N1212" s="104"/>
      <c r="O1212" s="104"/>
      <c r="P1212" s="104"/>
      <c r="Q1212" s="104"/>
      <c r="R1212" s="104"/>
      <c r="S1212" s="160"/>
      <c r="T1212" s="104"/>
      <c r="U1212" s="145"/>
      <c r="V1212" s="145"/>
      <c r="W1212" s="145"/>
      <c r="X1212" s="104"/>
      <c r="Y1212" s="194"/>
      <c r="Z1212" s="145"/>
      <c r="AA1212" s="145"/>
      <c r="AB1212" s="104"/>
      <c r="AC1212" s="104"/>
      <c r="AD1212" s="113">
        <f>S1212-Y1212</f>
        <v>0</v>
      </c>
    </row>
    <row r="1213" spans="2:30" ht="45" hidden="1" customHeight="1">
      <c r="B1213" s="174">
        <v>1210</v>
      </c>
      <c r="C1213" s="104"/>
      <c r="D1213" s="104"/>
      <c r="E1213" s="104"/>
      <c r="F1213" s="104"/>
      <c r="G1213" s="145"/>
      <c r="H1213" s="104"/>
      <c r="I1213" s="104"/>
      <c r="J1213" s="104"/>
      <c r="K1213" s="104"/>
      <c r="L1213" s="104"/>
      <c r="M1213" s="104"/>
      <c r="N1213" s="104"/>
      <c r="O1213" s="104"/>
      <c r="P1213" s="104"/>
      <c r="Q1213" s="104"/>
      <c r="R1213" s="104"/>
      <c r="S1213" s="160"/>
      <c r="T1213" s="104"/>
      <c r="U1213" s="145"/>
      <c r="V1213" s="145"/>
      <c r="W1213" s="145"/>
      <c r="X1213" s="104"/>
      <c r="Y1213" s="194"/>
      <c r="Z1213" s="145"/>
      <c r="AA1213" s="145"/>
      <c r="AB1213" s="104"/>
      <c r="AC1213" s="104"/>
      <c r="AD1213" s="113">
        <f>S1213-Y1213</f>
        <v>0</v>
      </c>
    </row>
    <row r="1214" spans="2:30" ht="45" hidden="1" customHeight="1">
      <c r="B1214" s="174">
        <v>1211</v>
      </c>
      <c r="C1214" s="104"/>
      <c r="D1214" s="104"/>
      <c r="E1214" s="104"/>
      <c r="F1214" s="104"/>
      <c r="G1214" s="145"/>
      <c r="H1214" s="104"/>
      <c r="I1214" s="104"/>
      <c r="J1214" s="104"/>
      <c r="K1214" s="104"/>
      <c r="L1214" s="104"/>
      <c r="M1214" s="104"/>
      <c r="N1214" s="104"/>
      <c r="O1214" s="104"/>
      <c r="P1214" s="104"/>
      <c r="Q1214" s="104"/>
      <c r="R1214" s="104"/>
      <c r="S1214" s="160"/>
      <c r="T1214" s="104"/>
      <c r="U1214" s="145"/>
      <c r="V1214" s="145"/>
      <c r="W1214" s="145"/>
      <c r="X1214" s="104"/>
      <c r="Y1214" s="194"/>
      <c r="Z1214" s="145"/>
      <c r="AA1214" s="145"/>
      <c r="AB1214" s="104"/>
      <c r="AC1214" s="104"/>
      <c r="AD1214" s="113">
        <f>S1214-Y1214</f>
        <v>0</v>
      </c>
    </row>
    <row r="1215" spans="2:30" ht="45" hidden="1" customHeight="1">
      <c r="B1215" s="174">
        <v>1212</v>
      </c>
      <c r="C1215" s="104"/>
      <c r="D1215" s="104"/>
      <c r="E1215" s="104"/>
      <c r="F1215" s="104"/>
      <c r="G1215" s="145"/>
      <c r="H1215" s="104"/>
      <c r="I1215" s="104"/>
      <c r="J1215" s="104"/>
      <c r="K1215" s="104"/>
      <c r="L1215" s="104"/>
      <c r="M1215" s="104"/>
      <c r="N1215" s="104"/>
      <c r="O1215" s="104"/>
      <c r="P1215" s="104"/>
      <c r="Q1215" s="104"/>
      <c r="R1215" s="104"/>
      <c r="S1215" s="160"/>
      <c r="T1215" s="104"/>
      <c r="U1215" s="145"/>
      <c r="V1215" s="145"/>
      <c r="W1215" s="145"/>
      <c r="X1215" s="104"/>
      <c r="Y1215" s="194"/>
      <c r="Z1215" s="145"/>
      <c r="AA1215" s="145"/>
      <c r="AB1215" s="104"/>
      <c r="AC1215" s="104"/>
      <c r="AD1215" s="113">
        <f>S1215-Y1215</f>
        <v>0</v>
      </c>
    </row>
    <row r="1216" spans="2:30" ht="45" hidden="1" customHeight="1">
      <c r="B1216" s="174">
        <v>1213</v>
      </c>
      <c r="C1216" s="104"/>
      <c r="D1216" s="104"/>
      <c r="E1216" s="104"/>
      <c r="F1216" s="104"/>
      <c r="G1216" s="145"/>
      <c r="H1216" s="104"/>
      <c r="I1216" s="104"/>
      <c r="J1216" s="104"/>
      <c r="K1216" s="104"/>
      <c r="L1216" s="104"/>
      <c r="M1216" s="104"/>
      <c r="N1216" s="104"/>
      <c r="O1216" s="104"/>
      <c r="P1216" s="104"/>
      <c r="Q1216" s="104"/>
      <c r="R1216" s="104"/>
      <c r="S1216" s="160"/>
      <c r="T1216" s="104"/>
      <c r="U1216" s="145"/>
      <c r="V1216" s="145"/>
      <c r="W1216" s="145"/>
      <c r="X1216" s="104"/>
      <c r="Y1216" s="194"/>
      <c r="Z1216" s="145"/>
      <c r="AA1216" s="145"/>
      <c r="AB1216" s="104"/>
      <c r="AC1216" s="104"/>
      <c r="AD1216" s="113">
        <f>S1216-Y1216</f>
        <v>0</v>
      </c>
    </row>
    <row r="1217" spans="2:30" ht="45" hidden="1" customHeight="1">
      <c r="B1217" s="174">
        <v>1214</v>
      </c>
      <c r="C1217" s="104"/>
      <c r="D1217" s="104"/>
      <c r="E1217" s="104"/>
      <c r="F1217" s="104"/>
      <c r="G1217" s="145"/>
      <c r="H1217" s="104"/>
      <c r="I1217" s="104"/>
      <c r="J1217" s="104"/>
      <c r="K1217" s="104"/>
      <c r="L1217" s="104"/>
      <c r="M1217" s="104"/>
      <c r="N1217" s="104"/>
      <c r="O1217" s="104"/>
      <c r="P1217" s="104"/>
      <c r="Q1217" s="104"/>
      <c r="R1217" s="104"/>
      <c r="S1217" s="160"/>
      <c r="T1217" s="104"/>
      <c r="U1217" s="145"/>
      <c r="V1217" s="145"/>
      <c r="W1217" s="145"/>
      <c r="X1217" s="104"/>
      <c r="Y1217" s="194"/>
      <c r="Z1217" s="145"/>
      <c r="AA1217" s="145"/>
      <c r="AB1217" s="104"/>
      <c r="AC1217" s="104"/>
      <c r="AD1217" s="113">
        <f>S1217-Y1217</f>
        <v>0</v>
      </c>
    </row>
    <row r="1218" spans="2:30" ht="45" hidden="1" customHeight="1">
      <c r="B1218" s="174">
        <v>1215</v>
      </c>
      <c r="C1218" s="104"/>
      <c r="D1218" s="104"/>
      <c r="E1218" s="104"/>
      <c r="F1218" s="104"/>
      <c r="G1218" s="145"/>
      <c r="H1218" s="104"/>
      <c r="I1218" s="104"/>
      <c r="J1218" s="104"/>
      <c r="K1218" s="104"/>
      <c r="L1218" s="104"/>
      <c r="M1218" s="104"/>
      <c r="N1218" s="104"/>
      <c r="O1218" s="104"/>
      <c r="P1218" s="104"/>
      <c r="Q1218" s="104"/>
      <c r="R1218" s="104"/>
      <c r="S1218" s="160"/>
      <c r="T1218" s="104"/>
      <c r="U1218" s="145"/>
      <c r="V1218" s="145"/>
      <c r="W1218" s="145"/>
      <c r="X1218" s="104"/>
      <c r="Y1218" s="194"/>
      <c r="Z1218" s="145"/>
      <c r="AA1218" s="145"/>
      <c r="AB1218" s="104"/>
      <c r="AC1218" s="104"/>
      <c r="AD1218" s="113">
        <f>S1218-Y1218</f>
        <v>0</v>
      </c>
    </row>
    <row r="1219" spans="2:30" ht="45" hidden="1" customHeight="1">
      <c r="B1219" s="174">
        <v>1216</v>
      </c>
      <c r="C1219" s="104"/>
      <c r="D1219" s="104"/>
      <c r="E1219" s="104"/>
      <c r="F1219" s="104"/>
      <c r="G1219" s="145"/>
      <c r="H1219" s="104"/>
      <c r="I1219" s="104"/>
      <c r="J1219" s="104"/>
      <c r="K1219" s="104"/>
      <c r="L1219" s="104"/>
      <c r="M1219" s="104"/>
      <c r="N1219" s="104"/>
      <c r="O1219" s="104"/>
      <c r="P1219" s="104"/>
      <c r="Q1219" s="104"/>
      <c r="R1219" s="104"/>
      <c r="S1219" s="160"/>
      <c r="T1219" s="104"/>
      <c r="U1219" s="145"/>
      <c r="V1219" s="145"/>
      <c r="W1219" s="145"/>
      <c r="X1219" s="104"/>
      <c r="Y1219" s="194"/>
      <c r="Z1219" s="145"/>
      <c r="AA1219" s="145"/>
      <c r="AB1219" s="104"/>
      <c r="AC1219" s="104"/>
      <c r="AD1219" s="113">
        <f>S1219-Y1219</f>
        <v>0</v>
      </c>
    </row>
    <row r="1220" spans="2:30" ht="45" hidden="1" customHeight="1">
      <c r="B1220" s="174">
        <v>1217</v>
      </c>
      <c r="C1220" s="104"/>
      <c r="D1220" s="104"/>
      <c r="E1220" s="104"/>
      <c r="F1220" s="104"/>
      <c r="G1220" s="145"/>
      <c r="H1220" s="104"/>
      <c r="I1220" s="104"/>
      <c r="J1220" s="104"/>
      <c r="K1220" s="104"/>
      <c r="L1220" s="104"/>
      <c r="M1220" s="104"/>
      <c r="N1220" s="104"/>
      <c r="O1220" s="104"/>
      <c r="P1220" s="104"/>
      <c r="Q1220" s="104"/>
      <c r="R1220" s="104"/>
      <c r="S1220" s="160"/>
      <c r="T1220" s="104"/>
      <c r="U1220" s="145"/>
      <c r="V1220" s="145"/>
      <c r="W1220" s="145"/>
      <c r="X1220" s="104"/>
      <c r="Y1220" s="194"/>
      <c r="Z1220" s="145"/>
      <c r="AA1220" s="145"/>
      <c r="AB1220" s="104"/>
      <c r="AC1220" s="104"/>
      <c r="AD1220" s="113">
        <f>S1220-Y1220</f>
        <v>0</v>
      </c>
    </row>
    <row r="1221" spans="2:30" ht="45" hidden="1" customHeight="1">
      <c r="B1221" s="174">
        <v>1218</v>
      </c>
      <c r="C1221" s="104"/>
      <c r="D1221" s="104"/>
      <c r="E1221" s="104"/>
      <c r="F1221" s="104"/>
      <c r="G1221" s="145"/>
      <c r="H1221" s="104"/>
      <c r="I1221" s="104"/>
      <c r="J1221" s="104"/>
      <c r="K1221" s="104"/>
      <c r="L1221" s="104"/>
      <c r="M1221" s="104"/>
      <c r="N1221" s="104"/>
      <c r="O1221" s="104"/>
      <c r="P1221" s="104"/>
      <c r="Q1221" s="104"/>
      <c r="R1221" s="104"/>
      <c r="S1221" s="160"/>
      <c r="T1221" s="104"/>
      <c r="U1221" s="145"/>
      <c r="V1221" s="145"/>
      <c r="W1221" s="145"/>
      <c r="X1221" s="104"/>
      <c r="Y1221" s="194"/>
      <c r="Z1221" s="145"/>
      <c r="AA1221" s="145"/>
      <c r="AB1221" s="104"/>
      <c r="AC1221" s="104"/>
      <c r="AD1221" s="113">
        <f>S1221-Y1221</f>
        <v>0</v>
      </c>
    </row>
    <row r="1222" spans="2:30" ht="45" hidden="1" customHeight="1">
      <c r="B1222" s="174">
        <v>1219</v>
      </c>
      <c r="C1222" s="104"/>
      <c r="D1222" s="104"/>
      <c r="E1222" s="104"/>
      <c r="F1222" s="104"/>
      <c r="G1222" s="145"/>
      <c r="H1222" s="104"/>
      <c r="I1222" s="104"/>
      <c r="J1222" s="104"/>
      <c r="K1222" s="104"/>
      <c r="L1222" s="104"/>
      <c r="M1222" s="104"/>
      <c r="N1222" s="104"/>
      <c r="O1222" s="104"/>
      <c r="P1222" s="104"/>
      <c r="Q1222" s="104"/>
      <c r="R1222" s="104"/>
      <c r="S1222" s="160"/>
      <c r="T1222" s="104"/>
      <c r="U1222" s="145"/>
      <c r="V1222" s="145"/>
      <c r="W1222" s="145"/>
      <c r="X1222" s="104"/>
      <c r="Y1222" s="194"/>
      <c r="Z1222" s="145"/>
      <c r="AA1222" s="145"/>
      <c r="AB1222" s="104"/>
      <c r="AC1222" s="104"/>
      <c r="AD1222" s="113">
        <f>S1222-Y1222</f>
        <v>0</v>
      </c>
    </row>
    <row r="1223" spans="2:30" ht="45" hidden="1" customHeight="1">
      <c r="B1223" s="174">
        <v>1220</v>
      </c>
      <c r="C1223" s="104"/>
      <c r="D1223" s="104"/>
      <c r="E1223" s="104"/>
      <c r="F1223" s="104"/>
      <c r="G1223" s="145"/>
      <c r="H1223" s="104"/>
      <c r="I1223" s="104"/>
      <c r="J1223" s="104"/>
      <c r="K1223" s="104"/>
      <c r="L1223" s="104"/>
      <c r="M1223" s="104"/>
      <c r="N1223" s="104"/>
      <c r="O1223" s="104"/>
      <c r="P1223" s="104"/>
      <c r="Q1223" s="104"/>
      <c r="R1223" s="104"/>
      <c r="S1223" s="160"/>
      <c r="T1223" s="104"/>
      <c r="U1223" s="145"/>
      <c r="V1223" s="145"/>
      <c r="W1223" s="145"/>
      <c r="X1223" s="104"/>
      <c r="Y1223" s="194"/>
      <c r="Z1223" s="145"/>
      <c r="AA1223" s="145"/>
      <c r="AB1223" s="104"/>
      <c r="AC1223" s="104"/>
      <c r="AD1223" s="113">
        <f>S1223-Y1223</f>
        <v>0</v>
      </c>
    </row>
    <row r="1224" spans="2:30" ht="45" hidden="1" customHeight="1">
      <c r="B1224" s="174">
        <v>1221</v>
      </c>
      <c r="C1224" s="104"/>
      <c r="D1224" s="104"/>
      <c r="E1224" s="104"/>
      <c r="F1224" s="104"/>
      <c r="G1224" s="145"/>
      <c r="H1224" s="104"/>
      <c r="I1224" s="104"/>
      <c r="J1224" s="104"/>
      <c r="K1224" s="104"/>
      <c r="L1224" s="104"/>
      <c r="M1224" s="104"/>
      <c r="N1224" s="104"/>
      <c r="O1224" s="104"/>
      <c r="P1224" s="104"/>
      <c r="Q1224" s="104"/>
      <c r="R1224" s="104"/>
      <c r="S1224" s="160"/>
      <c r="T1224" s="104"/>
      <c r="U1224" s="145"/>
      <c r="V1224" s="145"/>
      <c r="W1224" s="145"/>
      <c r="X1224" s="104"/>
      <c r="Y1224" s="194"/>
      <c r="Z1224" s="145"/>
      <c r="AA1224" s="145"/>
      <c r="AB1224" s="104"/>
      <c r="AC1224" s="104"/>
      <c r="AD1224" s="113">
        <f>S1224-Y1224</f>
        <v>0</v>
      </c>
    </row>
    <row r="1225" spans="2:30" ht="45" hidden="1" customHeight="1">
      <c r="B1225" s="174">
        <v>1222</v>
      </c>
      <c r="C1225" s="104"/>
      <c r="D1225" s="104"/>
      <c r="E1225" s="104"/>
      <c r="F1225" s="104"/>
      <c r="G1225" s="145"/>
      <c r="H1225" s="104"/>
      <c r="I1225" s="104"/>
      <c r="J1225" s="104"/>
      <c r="K1225" s="104"/>
      <c r="L1225" s="104"/>
      <c r="M1225" s="104"/>
      <c r="N1225" s="104"/>
      <c r="O1225" s="104"/>
      <c r="P1225" s="104"/>
      <c r="Q1225" s="104"/>
      <c r="R1225" s="104"/>
      <c r="S1225" s="160"/>
      <c r="T1225" s="104"/>
      <c r="U1225" s="145"/>
      <c r="V1225" s="145"/>
      <c r="W1225" s="145"/>
      <c r="X1225" s="104"/>
      <c r="Y1225" s="194"/>
      <c r="Z1225" s="145"/>
      <c r="AA1225" s="145"/>
      <c r="AB1225" s="104"/>
      <c r="AC1225" s="104"/>
      <c r="AD1225" s="113">
        <f>S1225-Y1225</f>
        <v>0</v>
      </c>
    </row>
    <row r="1226" spans="2:30" ht="45" hidden="1" customHeight="1">
      <c r="B1226" s="174">
        <v>1223</v>
      </c>
      <c r="C1226" s="104"/>
      <c r="D1226" s="104"/>
      <c r="E1226" s="104"/>
      <c r="F1226" s="104"/>
      <c r="G1226" s="145"/>
      <c r="H1226" s="104"/>
      <c r="I1226" s="104"/>
      <c r="J1226" s="104"/>
      <c r="K1226" s="104"/>
      <c r="L1226" s="104"/>
      <c r="M1226" s="104"/>
      <c r="N1226" s="104"/>
      <c r="O1226" s="104"/>
      <c r="P1226" s="104"/>
      <c r="Q1226" s="104"/>
      <c r="R1226" s="104"/>
      <c r="S1226" s="160"/>
      <c r="T1226" s="104"/>
      <c r="U1226" s="145"/>
      <c r="V1226" s="145"/>
      <c r="W1226" s="145"/>
      <c r="X1226" s="104"/>
      <c r="Y1226" s="194"/>
      <c r="Z1226" s="145"/>
      <c r="AA1226" s="145"/>
      <c r="AB1226" s="104"/>
      <c r="AC1226" s="104"/>
      <c r="AD1226" s="113">
        <f>S1226-Y1226</f>
        <v>0</v>
      </c>
    </row>
    <row r="1227" spans="2:30" ht="45" hidden="1" customHeight="1">
      <c r="B1227" s="174">
        <v>1224</v>
      </c>
      <c r="C1227" s="104"/>
      <c r="D1227" s="104"/>
      <c r="E1227" s="104"/>
      <c r="F1227" s="104"/>
      <c r="G1227" s="145"/>
      <c r="H1227" s="104"/>
      <c r="I1227" s="104"/>
      <c r="J1227" s="104"/>
      <c r="K1227" s="104"/>
      <c r="L1227" s="104"/>
      <c r="M1227" s="104"/>
      <c r="N1227" s="104"/>
      <c r="O1227" s="104"/>
      <c r="P1227" s="104"/>
      <c r="Q1227" s="104"/>
      <c r="R1227" s="104"/>
      <c r="S1227" s="160"/>
      <c r="T1227" s="104"/>
      <c r="U1227" s="145"/>
      <c r="V1227" s="145"/>
      <c r="W1227" s="145"/>
      <c r="X1227" s="104"/>
      <c r="Y1227" s="194"/>
      <c r="Z1227" s="145"/>
      <c r="AA1227" s="145"/>
      <c r="AB1227" s="104"/>
      <c r="AC1227" s="104"/>
      <c r="AD1227" s="113">
        <f>S1227-Y1227</f>
        <v>0</v>
      </c>
    </row>
    <row r="1228" spans="2:30" ht="45" hidden="1" customHeight="1">
      <c r="B1228" s="174">
        <v>1225</v>
      </c>
      <c r="C1228" s="104"/>
      <c r="D1228" s="104"/>
      <c r="E1228" s="104"/>
      <c r="F1228" s="104"/>
      <c r="G1228" s="145"/>
      <c r="H1228" s="104"/>
      <c r="I1228" s="104"/>
      <c r="J1228" s="104"/>
      <c r="K1228" s="104"/>
      <c r="L1228" s="104"/>
      <c r="M1228" s="104"/>
      <c r="N1228" s="104"/>
      <c r="O1228" s="104"/>
      <c r="P1228" s="104"/>
      <c r="Q1228" s="104"/>
      <c r="R1228" s="104"/>
      <c r="S1228" s="160"/>
      <c r="T1228" s="104"/>
      <c r="U1228" s="145"/>
      <c r="V1228" s="145"/>
      <c r="W1228" s="145"/>
      <c r="X1228" s="104"/>
      <c r="Y1228" s="194"/>
      <c r="Z1228" s="145"/>
      <c r="AA1228" s="145"/>
      <c r="AB1228" s="104"/>
      <c r="AC1228" s="104"/>
      <c r="AD1228" s="113">
        <f>S1228-Y1228</f>
        <v>0</v>
      </c>
    </row>
    <row r="1229" spans="2:30" ht="45" hidden="1" customHeight="1">
      <c r="B1229" s="174">
        <v>1226</v>
      </c>
      <c r="C1229" s="104"/>
      <c r="D1229" s="104"/>
      <c r="E1229" s="104"/>
      <c r="F1229" s="104"/>
      <c r="G1229" s="145"/>
      <c r="H1229" s="104"/>
      <c r="I1229" s="104"/>
      <c r="J1229" s="104"/>
      <c r="K1229" s="104"/>
      <c r="L1229" s="104"/>
      <c r="M1229" s="104"/>
      <c r="N1229" s="104"/>
      <c r="O1229" s="104"/>
      <c r="P1229" s="104"/>
      <c r="Q1229" s="104"/>
      <c r="R1229" s="104"/>
      <c r="S1229" s="160"/>
      <c r="T1229" s="104"/>
      <c r="U1229" s="145"/>
      <c r="V1229" s="145"/>
      <c r="W1229" s="145"/>
      <c r="X1229" s="104"/>
      <c r="Y1229" s="194"/>
      <c r="Z1229" s="145"/>
      <c r="AA1229" s="145"/>
      <c r="AB1229" s="104"/>
      <c r="AC1229" s="104"/>
      <c r="AD1229" s="113">
        <f>S1229-Y1229</f>
        <v>0</v>
      </c>
    </row>
    <row r="1230" spans="2:30" ht="45" hidden="1" customHeight="1">
      <c r="B1230" s="174">
        <v>1227</v>
      </c>
      <c r="C1230" s="104"/>
      <c r="D1230" s="104"/>
      <c r="E1230" s="104"/>
      <c r="F1230" s="104"/>
      <c r="G1230" s="145"/>
      <c r="H1230" s="104"/>
      <c r="I1230" s="104"/>
      <c r="J1230" s="104"/>
      <c r="K1230" s="104"/>
      <c r="L1230" s="104"/>
      <c r="M1230" s="104"/>
      <c r="N1230" s="104"/>
      <c r="O1230" s="104"/>
      <c r="P1230" s="104"/>
      <c r="Q1230" s="104"/>
      <c r="R1230" s="104"/>
      <c r="S1230" s="160"/>
      <c r="T1230" s="104"/>
      <c r="U1230" s="145"/>
      <c r="V1230" s="145"/>
      <c r="W1230" s="145"/>
      <c r="X1230" s="104"/>
      <c r="Y1230" s="194"/>
      <c r="Z1230" s="145"/>
      <c r="AA1230" s="145"/>
      <c r="AB1230" s="104"/>
      <c r="AC1230" s="104"/>
      <c r="AD1230" s="113">
        <f>S1230-Y1230</f>
        <v>0</v>
      </c>
    </row>
    <row r="1231" spans="2:30" ht="45" hidden="1" customHeight="1">
      <c r="B1231" s="174">
        <v>1228</v>
      </c>
      <c r="C1231" s="104"/>
      <c r="D1231" s="104"/>
      <c r="E1231" s="104"/>
      <c r="F1231" s="104"/>
      <c r="G1231" s="145"/>
      <c r="H1231" s="104"/>
      <c r="I1231" s="104"/>
      <c r="J1231" s="104"/>
      <c r="K1231" s="104"/>
      <c r="L1231" s="104"/>
      <c r="M1231" s="104"/>
      <c r="N1231" s="104"/>
      <c r="O1231" s="104"/>
      <c r="P1231" s="104"/>
      <c r="Q1231" s="104"/>
      <c r="R1231" s="104"/>
      <c r="S1231" s="160"/>
      <c r="T1231" s="104"/>
      <c r="U1231" s="145"/>
      <c r="V1231" s="145"/>
      <c r="W1231" s="145"/>
      <c r="X1231" s="104"/>
      <c r="Y1231" s="194"/>
      <c r="Z1231" s="145"/>
      <c r="AA1231" s="145"/>
      <c r="AB1231" s="104"/>
      <c r="AC1231" s="104"/>
      <c r="AD1231" s="113">
        <f>S1231-Y1231</f>
        <v>0</v>
      </c>
    </row>
    <row r="1232" spans="2:30" ht="45" hidden="1" customHeight="1">
      <c r="B1232" s="174">
        <v>1229</v>
      </c>
      <c r="C1232" s="104"/>
      <c r="D1232" s="104"/>
      <c r="E1232" s="104"/>
      <c r="F1232" s="104"/>
      <c r="G1232" s="145"/>
      <c r="H1232" s="104"/>
      <c r="I1232" s="104"/>
      <c r="J1232" s="104"/>
      <c r="K1232" s="104"/>
      <c r="L1232" s="104"/>
      <c r="M1232" s="104"/>
      <c r="N1232" s="104"/>
      <c r="O1232" s="104"/>
      <c r="P1232" s="104"/>
      <c r="Q1232" s="104"/>
      <c r="R1232" s="104"/>
      <c r="S1232" s="160"/>
      <c r="T1232" s="104"/>
      <c r="U1232" s="145"/>
      <c r="V1232" s="145"/>
      <c r="W1232" s="145"/>
      <c r="X1232" s="104"/>
      <c r="Y1232" s="194"/>
      <c r="Z1232" s="145"/>
      <c r="AA1232" s="145"/>
      <c r="AB1232" s="104"/>
      <c r="AC1232" s="104"/>
      <c r="AD1232" s="113">
        <f>S1232-Y1232</f>
        <v>0</v>
      </c>
    </row>
    <row r="1233" spans="2:30" ht="45" hidden="1" customHeight="1">
      <c r="B1233" s="174">
        <v>1230</v>
      </c>
      <c r="C1233" s="104"/>
      <c r="D1233" s="104"/>
      <c r="E1233" s="104"/>
      <c r="F1233" s="104"/>
      <c r="G1233" s="145"/>
      <c r="H1233" s="104"/>
      <c r="I1233" s="104"/>
      <c r="J1233" s="104"/>
      <c r="K1233" s="104"/>
      <c r="L1233" s="104"/>
      <c r="M1233" s="104"/>
      <c r="N1233" s="104"/>
      <c r="O1233" s="104"/>
      <c r="P1233" s="104"/>
      <c r="Q1233" s="104"/>
      <c r="R1233" s="104"/>
      <c r="S1233" s="160"/>
      <c r="T1233" s="104"/>
      <c r="U1233" s="145"/>
      <c r="V1233" s="145"/>
      <c r="W1233" s="145"/>
      <c r="X1233" s="104"/>
      <c r="Y1233" s="194"/>
      <c r="Z1233" s="145"/>
      <c r="AA1233" s="145"/>
      <c r="AB1233" s="104"/>
      <c r="AC1233" s="104"/>
      <c r="AD1233" s="113">
        <f>S1233-Y1233</f>
        <v>0</v>
      </c>
    </row>
    <row r="1234" spans="2:30" ht="45" hidden="1" customHeight="1">
      <c r="B1234" s="174">
        <v>1231</v>
      </c>
      <c r="C1234" s="104"/>
      <c r="D1234" s="104"/>
      <c r="E1234" s="104"/>
      <c r="F1234" s="104"/>
      <c r="G1234" s="145"/>
      <c r="H1234" s="104"/>
      <c r="I1234" s="104"/>
      <c r="J1234" s="104"/>
      <c r="K1234" s="104"/>
      <c r="L1234" s="104"/>
      <c r="M1234" s="104"/>
      <c r="N1234" s="104"/>
      <c r="O1234" s="104"/>
      <c r="P1234" s="104"/>
      <c r="Q1234" s="104"/>
      <c r="R1234" s="104"/>
      <c r="S1234" s="160"/>
      <c r="T1234" s="104"/>
      <c r="U1234" s="145"/>
      <c r="V1234" s="145"/>
      <c r="W1234" s="145"/>
      <c r="X1234" s="104"/>
      <c r="Y1234" s="194"/>
      <c r="Z1234" s="145"/>
      <c r="AA1234" s="145"/>
      <c r="AB1234" s="104"/>
      <c r="AC1234" s="104"/>
      <c r="AD1234" s="113">
        <f>S1234-Y1234</f>
        <v>0</v>
      </c>
    </row>
    <row r="1235" spans="2:30" ht="45" hidden="1" customHeight="1">
      <c r="B1235" s="174">
        <v>1232</v>
      </c>
      <c r="C1235" s="104"/>
      <c r="D1235" s="104"/>
      <c r="E1235" s="104"/>
      <c r="F1235" s="104"/>
      <c r="G1235" s="145"/>
      <c r="H1235" s="104"/>
      <c r="I1235" s="104"/>
      <c r="J1235" s="104"/>
      <c r="K1235" s="104"/>
      <c r="L1235" s="104"/>
      <c r="M1235" s="104"/>
      <c r="N1235" s="104"/>
      <c r="O1235" s="104"/>
      <c r="P1235" s="104"/>
      <c r="Q1235" s="104"/>
      <c r="R1235" s="104"/>
      <c r="S1235" s="160"/>
      <c r="T1235" s="104"/>
      <c r="U1235" s="145"/>
      <c r="V1235" s="145"/>
      <c r="W1235" s="145"/>
      <c r="X1235" s="104"/>
      <c r="Y1235" s="194"/>
      <c r="Z1235" s="145"/>
      <c r="AA1235" s="145"/>
      <c r="AB1235" s="104"/>
      <c r="AC1235" s="104"/>
      <c r="AD1235" s="113">
        <f>S1235-Y1235</f>
        <v>0</v>
      </c>
    </row>
    <row r="1236" spans="2:30" ht="45" hidden="1" customHeight="1">
      <c r="B1236" s="174">
        <v>1233</v>
      </c>
      <c r="C1236" s="104"/>
      <c r="D1236" s="104"/>
      <c r="E1236" s="104"/>
      <c r="F1236" s="104"/>
      <c r="G1236" s="145"/>
      <c r="H1236" s="104"/>
      <c r="I1236" s="104"/>
      <c r="J1236" s="104"/>
      <c r="K1236" s="104"/>
      <c r="L1236" s="104"/>
      <c r="M1236" s="104"/>
      <c r="N1236" s="104"/>
      <c r="O1236" s="104"/>
      <c r="P1236" s="104"/>
      <c r="Q1236" s="104"/>
      <c r="R1236" s="104"/>
      <c r="S1236" s="160"/>
      <c r="T1236" s="104"/>
      <c r="U1236" s="145"/>
      <c r="V1236" s="145"/>
      <c r="W1236" s="145"/>
      <c r="X1236" s="104"/>
      <c r="Y1236" s="194"/>
      <c r="Z1236" s="145"/>
      <c r="AA1236" s="145"/>
      <c r="AB1236" s="104"/>
      <c r="AC1236" s="104"/>
      <c r="AD1236" s="113">
        <f>S1236-Y1236</f>
        <v>0</v>
      </c>
    </row>
    <row r="1237" spans="2:30" ht="45" hidden="1" customHeight="1">
      <c r="B1237" s="174">
        <v>1234</v>
      </c>
      <c r="C1237" s="104"/>
      <c r="D1237" s="104"/>
      <c r="E1237" s="104"/>
      <c r="F1237" s="104"/>
      <c r="G1237" s="145"/>
      <c r="H1237" s="104"/>
      <c r="I1237" s="104"/>
      <c r="J1237" s="104"/>
      <c r="K1237" s="104"/>
      <c r="L1237" s="104"/>
      <c r="M1237" s="104"/>
      <c r="N1237" s="104"/>
      <c r="O1237" s="104"/>
      <c r="P1237" s="104"/>
      <c r="Q1237" s="104"/>
      <c r="R1237" s="104"/>
      <c r="S1237" s="160"/>
      <c r="T1237" s="104"/>
      <c r="U1237" s="145"/>
      <c r="V1237" s="145"/>
      <c r="W1237" s="145"/>
      <c r="X1237" s="104"/>
      <c r="Y1237" s="194"/>
      <c r="Z1237" s="145"/>
      <c r="AA1237" s="145"/>
      <c r="AB1237" s="104"/>
      <c r="AC1237" s="104"/>
      <c r="AD1237" s="113">
        <f>S1237-Y1237</f>
        <v>0</v>
      </c>
    </row>
    <row r="1238" spans="2:30" ht="45" hidden="1" customHeight="1">
      <c r="B1238" s="174">
        <v>1235</v>
      </c>
      <c r="C1238" s="104"/>
      <c r="D1238" s="104"/>
      <c r="E1238" s="104"/>
      <c r="F1238" s="104"/>
      <c r="G1238" s="145"/>
      <c r="H1238" s="104"/>
      <c r="I1238" s="104"/>
      <c r="J1238" s="104"/>
      <c r="K1238" s="104"/>
      <c r="L1238" s="104"/>
      <c r="M1238" s="104"/>
      <c r="N1238" s="104"/>
      <c r="O1238" s="104"/>
      <c r="P1238" s="104"/>
      <c r="Q1238" s="104"/>
      <c r="R1238" s="104"/>
      <c r="S1238" s="160"/>
      <c r="T1238" s="104"/>
      <c r="U1238" s="145"/>
      <c r="V1238" s="145"/>
      <c r="W1238" s="145"/>
      <c r="X1238" s="104"/>
      <c r="Y1238" s="194"/>
      <c r="Z1238" s="145"/>
      <c r="AA1238" s="145"/>
      <c r="AB1238" s="104"/>
      <c r="AC1238" s="104"/>
      <c r="AD1238" s="113">
        <f>S1238-Y1238</f>
        <v>0</v>
      </c>
    </row>
    <row r="1239" spans="2:30" ht="45" hidden="1" customHeight="1">
      <c r="B1239" s="174">
        <v>1236</v>
      </c>
      <c r="C1239" s="104"/>
      <c r="D1239" s="104"/>
      <c r="E1239" s="104"/>
      <c r="F1239" s="104"/>
      <c r="G1239" s="145"/>
      <c r="H1239" s="104"/>
      <c r="I1239" s="104"/>
      <c r="J1239" s="104"/>
      <c r="K1239" s="104"/>
      <c r="L1239" s="104"/>
      <c r="M1239" s="104"/>
      <c r="N1239" s="104"/>
      <c r="O1239" s="104"/>
      <c r="P1239" s="104"/>
      <c r="Q1239" s="104"/>
      <c r="R1239" s="104"/>
      <c r="S1239" s="160"/>
      <c r="T1239" s="104"/>
      <c r="U1239" s="145"/>
      <c r="V1239" s="145"/>
      <c r="W1239" s="145"/>
      <c r="X1239" s="104"/>
      <c r="Y1239" s="194"/>
      <c r="Z1239" s="145"/>
      <c r="AA1239" s="145"/>
      <c r="AB1239" s="104"/>
      <c r="AC1239" s="104"/>
      <c r="AD1239" s="113">
        <f>S1239-Y1239</f>
        <v>0</v>
      </c>
    </row>
    <row r="1240" spans="2:30" ht="45" hidden="1" customHeight="1">
      <c r="B1240" s="174">
        <v>1237</v>
      </c>
      <c r="C1240" s="104"/>
      <c r="D1240" s="104"/>
      <c r="E1240" s="104"/>
      <c r="F1240" s="104"/>
      <c r="G1240" s="145"/>
      <c r="H1240" s="104"/>
      <c r="I1240" s="104"/>
      <c r="J1240" s="104"/>
      <c r="K1240" s="104"/>
      <c r="L1240" s="104"/>
      <c r="M1240" s="104"/>
      <c r="N1240" s="104"/>
      <c r="O1240" s="104"/>
      <c r="P1240" s="104"/>
      <c r="Q1240" s="104"/>
      <c r="R1240" s="104"/>
      <c r="S1240" s="160"/>
      <c r="T1240" s="104"/>
      <c r="U1240" s="145"/>
      <c r="V1240" s="145"/>
      <c r="W1240" s="145"/>
      <c r="X1240" s="104"/>
      <c r="Y1240" s="194"/>
      <c r="Z1240" s="145"/>
      <c r="AA1240" s="145"/>
      <c r="AB1240" s="104"/>
      <c r="AC1240" s="104"/>
      <c r="AD1240" s="113">
        <f>S1240-Y1240</f>
        <v>0</v>
      </c>
    </row>
    <row r="1241" spans="2:30" ht="45" hidden="1" customHeight="1">
      <c r="B1241" s="174">
        <v>1238</v>
      </c>
      <c r="C1241" s="104"/>
      <c r="D1241" s="104"/>
      <c r="E1241" s="104"/>
      <c r="F1241" s="104"/>
      <c r="G1241" s="145"/>
      <c r="H1241" s="104"/>
      <c r="I1241" s="104"/>
      <c r="J1241" s="104"/>
      <c r="K1241" s="104"/>
      <c r="L1241" s="104"/>
      <c r="M1241" s="104"/>
      <c r="N1241" s="104"/>
      <c r="O1241" s="104"/>
      <c r="P1241" s="104"/>
      <c r="Q1241" s="104"/>
      <c r="R1241" s="104"/>
      <c r="S1241" s="160"/>
      <c r="T1241" s="104"/>
      <c r="U1241" s="145"/>
      <c r="V1241" s="145"/>
      <c r="W1241" s="145"/>
      <c r="X1241" s="104"/>
      <c r="Y1241" s="194"/>
      <c r="Z1241" s="145"/>
      <c r="AA1241" s="145"/>
      <c r="AB1241" s="104"/>
      <c r="AC1241" s="104"/>
      <c r="AD1241" s="113">
        <f>S1241-Y1241</f>
        <v>0</v>
      </c>
    </row>
    <row r="1242" spans="2:30" ht="45" hidden="1" customHeight="1">
      <c r="B1242" s="174">
        <v>1239</v>
      </c>
      <c r="C1242" s="104"/>
      <c r="D1242" s="104"/>
      <c r="E1242" s="104"/>
      <c r="F1242" s="104"/>
      <c r="G1242" s="145"/>
      <c r="H1242" s="104"/>
      <c r="I1242" s="104"/>
      <c r="J1242" s="104"/>
      <c r="K1242" s="104"/>
      <c r="L1242" s="104"/>
      <c r="M1242" s="104"/>
      <c r="N1242" s="104"/>
      <c r="O1242" s="104"/>
      <c r="P1242" s="104"/>
      <c r="Q1242" s="104"/>
      <c r="R1242" s="104"/>
      <c r="S1242" s="160"/>
      <c r="T1242" s="104"/>
      <c r="U1242" s="145"/>
      <c r="V1242" s="145"/>
      <c r="W1242" s="145"/>
      <c r="X1242" s="104"/>
      <c r="Y1242" s="194"/>
      <c r="Z1242" s="145"/>
      <c r="AA1242" s="145"/>
      <c r="AB1242" s="104"/>
      <c r="AC1242" s="104"/>
      <c r="AD1242" s="113">
        <f>S1242-Y1242</f>
        <v>0</v>
      </c>
    </row>
    <row r="1243" spans="2:30" ht="45" hidden="1" customHeight="1">
      <c r="B1243" s="174">
        <v>1240</v>
      </c>
      <c r="C1243" s="104"/>
      <c r="D1243" s="104"/>
      <c r="E1243" s="104"/>
      <c r="F1243" s="104"/>
      <c r="G1243" s="145"/>
      <c r="H1243" s="104"/>
      <c r="I1243" s="104"/>
      <c r="J1243" s="104"/>
      <c r="K1243" s="104"/>
      <c r="L1243" s="104"/>
      <c r="M1243" s="104"/>
      <c r="N1243" s="104"/>
      <c r="O1243" s="104"/>
      <c r="P1243" s="104"/>
      <c r="Q1243" s="104"/>
      <c r="R1243" s="104"/>
      <c r="S1243" s="160"/>
      <c r="T1243" s="104"/>
      <c r="U1243" s="145"/>
      <c r="V1243" s="145"/>
      <c r="W1243" s="145"/>
      <c r="X1243" s="104"/>
      <c r="Y1243" s="194"/>
      <c r="Z1243" s="145"/>
      <c r="AA1243" s="145"/>
      <c r="AB1243" s="104"/>
      <c r="AC1243" s="104"/>
      <c r="AD1243" s="113">
        <f>S1243-Y1243</f>
        <v>0</v>
      </c>
    </row>
    <row r="1244" spans="2:30" ht="45" hidden="1" customHeight="1">
      <c r="B1244" s="174">
        <v>1241</v>
      </c>
      <c r="C1244" s="104"/>
      <c r="D1244" s="104"/>
      <c r="E1244" s="104"/>
      <c r="F1244" s="104"/>
      <c r="G1244" s="145"/>
      <c r="H1244" s="104"/>
      <c r="I1244" s="104"/>
      <c r="J1244" s="104"/>
      <c r="K1244" s="104"/>
      <c r="L1244" s="104"/>
      <c r="M1244" s="104"/>
      <c r="N1244" s="104"/>
      <c r="O1244" s="104"/>
      <c r="P1244" s="104"/>
      <c r="Q1244" s="104"/>
      <c r="R1244" s="104"/>
      <c r="S1244" s="160"/>
      <c r="T1244" s="104"/>
      <c r="U1244" s="145"/>
      <c r="V1244" s="145"/>
      <c r="W1244" s="145"/>
      <c r="X1244" s="104"/>
      <c r="Y1244" s="194"/>
      <c r="Z1244" s="145"/>
      <c r="AA1244" s="145"/>
      <c r="AB1244" s="104"/>
      <c r="AC1244" s="104"/>
      <c r="AD1244" s="113">
        <f>S1244-Y1244</f>
        <v>0</v>
      </c>
    </row>
    <row r="1245" spans="2:30" ht="45" hidden="1" customHeight="1">
      <c r="B1245" s="174">
        <v>1242</v>
      </c>
      <c r="C1245" s="104"/>
      <c r="D1245" s="104"/>
      <c r="E1245" s="104"/>
      <c r="F1245" s="104"/>
      <c r="G1245" s="145"/>
      <c r="H1245" s="104"/>
      <c r="I1245" s="104"/>
      <c r="J1245" s="104"/>
      <c r="K1245" s="104"/>
      <c r="L1245" s="104"/>
      <c r="M1245" s="104"/>
      <c r="N1245" s="104"/>
      <c r="O1245" s="104"/>
      <c r="P1245" s="104"/>
      <c r="Q1245" s="104"/>
      <c r="R1245" s="104"/>
      <c r="S1245" s="160"/>
      <c r="T1245" s="104"/>
      <c r="U1245" s="145"/>
      <c r="V1245" s="145"/>
      <c r="W1245" s="145"/>
      <c r="X1245" s="104"/>
      <c r="Y1245" s="194"/>
      <c r="Z1245" s="145"/>
      <c r="AA1245" s="145"/>
      <c r="AB1245" s="104"/>
      <c r="AC1245" s="104"/>
      <c r="AD1245" s="113">
        <f>S1245-Y1245</f>
        <v>0</v>
      </c>
    </row>
    <row r="1246" spans="2:30" ht="45" hidden="1" customHeight="1">
      <c r="B1246" s="174">
        <v>1243</v>
      </c>
      <c r="C1246" s="104"/>
      <c r="D1246" s="104"/>
      <c r="E1246" s="104"/>
      <c r="F1246" s="104"/>
      <c r="G1246" s="145"/>
      <c r="H1246" s="104"/>
      <c r="I1246" s="104"/>
      <c r="J1246" s="104"/>
      <c r="K1246" s="104"/>
      <c r="L1246" s="104"/>
      <c r="M1246" s="104"/>
      <c r="N1246" s="104"/>
      <c r="O1246" s="104"/>
      <c r="P1246" s="104"/>
      <c r="Q1246" s="104"/>
      <c r="R1246" s="104"/>
      <c r="S1246" s="160"/>
      <c r="T1246" s="104"/>
      <c r="U1246" s="145"/>
      <c r="V1246" s="145"/>
      <c r="W1246" s="145"/>
      <c r="X1246" s="104"/>
      <c r="Y1246" s="194"/>
      <c r="Z1246" s="145"/>
      <c r="AA1246" s="145"/>
      <c r="AB1246" s="104"/>
      <c r="AC1246" s="104"/>
      <c r="AD1246" s="113">
        <f>S1246-Y1246</f>
        <v>0</v>
      </c>
    </row>
    <row r="1247" spans="2:30" ht="45" hidden="1" customHeight="1">
      <c r="B1247" s="174">
        <v>1244</v>
      </c>
      <c r="C1247" s="104"/>
      <c r="D1247" s="104"/>
      <c r="E1247" s="104"/>
      <c r="F1247" s="104"/>
      <c r="G1247" s="145"/>
      <c r="H1247" s="104"/>
      <c r="I1247" s="104"/>
      <c r="J1247" s="104"/>
      <c r="K1247" s="104"/>
      <c r="L1247" s="104"/>
      <c r="M1247" s="104"/>
      <c r="N1247" s="104"/>
      <c r="O1247" s="104"/>
      <c r="P1247" s="104"/>
      <c r="Q1247" s="104"/>
      <c r="R1247" s="104"/>
      <c r="S1247" s="160"/>
      <c r="T1247" s="104"/>
      <c r="U1247" s="145"/>
      <c r="V1247" s="145"/>
      <c r="W1247" s="145"/>
      <c r="X1247" s="104"/>
      <c r="Y1247" s="194"/>
      <c r="Z1247" s="145"/>
      <c r="AA1247" s="145"/>
      <c r="AB1247" s="104"/>
      <c r="AC1247" s="104"/>
      <c r="AD1247" s="113">
        <f>S1247-Y1247</f>
        <v>0</v>
      </c>
    </row>
    <row r="1248" spans="2:30" ht="45" hidden="1" customHeight="1">
      <c r="B1248" s="174">
        <v>1245</v>
      </c>
      <c r="C1248" s="104"/>
      <c r="D1248" s="104"/>
      <c r="E1248" s="104"/>
      <c r="F1248" s="104"/>
      <c r="G1248" s="145"/>
      <c r="H1248" s="104"/>
      <c r="I1248" s="104"/>
      <c r="J1248" s="104"/>
      <c r="K1248" s="104"/>
      <c r="L1248" s="104"/>
      <c r="M1248" s="104"/>
      <c r="N1248" s="104"/>
      <c r="O1248" s="104"/>
      <c r="P1248" s="104"/>
      <c r="Q1248" s="104"/>
      <c r="R1248" s="104"/>
      <c r="S1248" s="160"/>
      <c r="T1248" s="104"/>
      <c r="U1248" s="145"/>
      <c r="V1248" s="145"/>
      <c r="W1248" s="145"/>
      <c r="X1248" s="104"/>
      <c r="Y1248" s="194"/>
      <c r="Z1248" s="145"/>
      <c r="AA1248" s="145"/>
      <c r="AB1248" s="104"/>
      <c r="AC1248" s="104"/>
      <c r="AD1248" s="113">
        <f>S1248-Y1248</f>
        <v>0</v>
      </c>
    </row>
    <row r="1249" spans="2:30" ht="45" hidden="1" customHeight="1">
      <c r="B1249" s="174">
        <v>1246</v>
      </c>
      <c r="C1249" s="104"/>
      <c r="D1249" s="104"/>
      <c r="E1249" s="104"/>
      <c r="F1249" s="104"/>
      <c r="G1249" s="145"/>
      <c r="H1249" s="104"/>
      <c r="I1249" s="104"/>
      <c r="J1249" s="104"/>
      <c r="K1249" s="104"/>
      <c r="L1249" s="104"/>
      <c r="M1249" s="104"/>
      <c r="N1249" s="104"/>
      <c r="O1249" s="104"/>
      <c r="P1249" s="104"/>
      <c r="Q1249" s="104"/>
      <c r="R1249" s="104"/>
      <c r="S1249" s="160"/>
      <c r="T1249" s="104"/>
      <c r="U1249" s="145"/>
      <c r="V1249" s="145"/>
      <c r="W1249" s="145"/>
      <c r="X1249" s="104"/>
      <c r="Y1249" s="194"/>
      <c r="Z1249" s="145"/>
      <c r="AA1249" s="145"/>
      <c r="AB1249" s="104"/>
      <c r="AC1249" s="104"/>
      <c r="AD1249" s="113">
        <f>S1249-Y1249</f>
        <v>0</v>
      </c>
    </row>
    <row r="1250" spans="2:30" ht="45" hidden="1" customHeight="1">
      <c r="B1250" s="174">
        <v>1247</v>
      </c>
      <c r="C1250" s="104"/>
      <c r="D1250" s="104"/>
      <c r="E1250" s="104"/>
      <c r="F1250" s="104"/>
      <c r="G1250" s="145"/>
      <c r="H1250" s="104"/>
      <c r="I1250" s="104"/>
      <c r="J1250" s="104"/>
      <c r="K1250" s="104"/>
      <c r="L1250" s="104"/>
      <c r="M1250" s="104"/>
      <c r="N1250" s="104"/>
      <c r="O1250" s="104"/>
      <c r="P1250" s="104"/>
      <c r="Q1250" s="104"/>
      <c r="R1250" s="104"/>
      <c r="S1250" s="160"/>
      <c r="T1250" s="104"/>
      <c r="U1250" s="145"/>
      <c r="V1250" s="145"/>
      <c r="W1250" s="145"/>
      <c r="X1250" s="104"/>
      <c r="Y1250" s="194"/>
      <c r="Z1250" s="145"/>
      <c r="AA1250" s="145"/>
      <c r="AB1250" s="104"/>
      <c r="AC1250" s="104"/>
      <c r="AD1250" s="113">
        <f>S1250-Y1250</f>
        <v>0</v>
      </c>
    </row>
    <row r="1251" spans="2:30" ht="45" hidden="1" customHeight="1">
      <c r="B1251" s="174">
        <v>1248</v>
      </c>
      <c r="C1251" s="104"/>
      <c r="D1251" s="104"/>
      <c r="E1251" s="104"/>
      <c r="F1251" s="104"/>
      <c r="G1251" s="145"/>
      <c r="H1251" s="104"/>
      <c r="I1251" s="104"/>
      <c r="J1251" s="104"/>
      <c r="K1251" s="104"/>
      <c r="L1251" s="104"/>
      <c r="M1251" s="104"/>
      <c r="N1251" s="104"/>
      <c r="O1251" s="104"/>
      <c r="P1251" s="104"/>
      <c r="Q1251" s="104"/>
      <c r="R1251" s="104"/>
      <c r="S1251" s="160"/>
      <c r="T1251" s="104"/>
      <c r="U1251" s="145"/>
      <c r="V1251" s="145"/>
      <c r="W1251" s="145"/>
      <c r="X1251" s="104"/>
      <c r="Y1251" s="194"/>
      <c r="Z1251" s="145"/>
      <c r="AA1251" s="145"/>
      <c r="AB1251" s="104"/>
      <c r="AC1251" s="104"/>
      <c r="AD1251" s="113">
        <f>S1251-Y1251</f>
        <v>0</v>
      </c>
    </row>
    <row r="1252" spans="2:30" ht="45" hidden="1" customHeight="1">
      <c r="B1252" s="174">
        <v>1249</v>
      </c>
      <c r="C1252" s="104"/>
      <c r="D1252" s="104"/>
      <c r="E1252" s="104"/>
      <c r="F1252" s="104"/>
      <c r="G1252" s="145"/>
      <c r="H1252" s="104"/>
      <c r="I1252" s="104"/>
      <c r="J1252" s="104"/>
      <c r="K1252" s="104"/>
      <c r="L1252" s="104"/>
      <c r="M1252" s="104"/>
      <c r="N1252" s="104"/>
      <c r="O1252" s="104"/>
      <c r="P1252" s="104"/>
      <c r="Q1252" s="104"/>
      <c r="R1252" s="104"/>
      <c r="S1252" s="160"/>
      <c r="T1252" s="104"/>
      <c r="U1252" s="145"/>
      <c r="V1252" s="145"/>
      <c r="W1252" s="145"/>
      <c r="X1252" s="104"/>
      <c r="Y1252" s="194"/>
      <c r="Z1252" s="145"/>
      <c r="AA1252" s="145"/>
      <c r="AB1252" s="104"/>
      <c r="AC1252" s="104"/>
      <c r="AD1252" s="113">
        <f>S1252-Y1252</f>
        <v>0</v>
      </c>
    </row>
    <row r="1253" spans="2:30" ht="45" hidden="1" customHeight="1">
      <c r="B1253" s="174">
        <v>1250</v>
      </c>
      <c r="C1253" s="104"/>
      <c r="D1253" s="104"/>
      <c r="E1253" s="104"/>
      <c r="F1253" s="104"/>
      <c r="G1253" s="145"/>
      <c r="H1253" s="104"/>
      <c r="I1253" s="104"/>
      <c r="J1253" s="104"/>
      <c r="K1253" s="104"/>
      <c r="L1253" s="104"/>
      <c r="M1253" s="104"/>
      <c r="N1253" s="104"/>
      <c r="O1253" s="104"/>
      <c r="P1253" s="104"/>
      <c r="Q1253" s="104"/>
      <c r="R1253" s="104"/>
      <c r="S1253" s="160"/>
      <c r="T1253" s="104"/>
      <c r="U1253" s="145"/>
      <c r="V1253" s="145"/>
      <c r="W1253" s="145"/>
      <c r="X1253" s="104"/>
      <c r="Y1253" s="194"/>
      <c r="Z1253" s="145"/>
      <c r="AA1253" s="145"/>
      <c r="AB1253" s="104"/>
      <c r="AC1253" s="104"/>
      <c r="AD1253" s="113">
        <f>S1253-Y1253</f>
        <v>0</v>
      </c>
    </row>
    <row r="1254" spans="2:30" ht="24" hidden="1" customHeight="1">
      <c r="S1254" s="103"/>
      <c r="U1254" s="101"/>
      <c r="W1254" s="101"/>
      <c r="Y1254" s="230"/>
      <c r="AC1254" s="103" t="s">
        <v>1017</v>
      </c>
    </row>
    <row r="1259" spans="2:30" ht="45" customHeight="1">
      <c r="I1259" s="270"/>
    </row>
  </sheetData>
  <sheetProtection algorithmName="SHA-512" hashValue="jsHrvZ3yA6AHSnYvruPccwDRFatDBH/jksWhGG/0lExs7MdY3X5JBSxJHZ7ObBOZuiW+JnWaqHw2S4F00n95cA==" saltValue="w+pFcxyiPAvO5ivUA2bLsQ==" spinCount="100000" sheet="1" formatCells="0" formatColumns="0" formatRows="0" insertColumns="0" insertHyperlinks="0" sort="0" autoFilter="0" pivotTables="0"/>
  <autoFilter ref="A3:AI1254" xr:uid="{00000000-0009-0000-0000-000000000000}">
    <filterColumn colId="12">
      <filters>
        <filter val="8"/>
      </filters>
    </filterColumn>
  </autoFilter>
  <mergeCells count="4">
    <mergeCell ref="U2:AA2"/>
    <mergeCell ref="AB2:AD2"/>
    <mergeCell ref="C2:E2"/>
    <mergeCell ref="F2:T2"/>
  </mergeCells>
  <conditionalFormatting sqref="A1:B1 A2:A153 A155:A441 A1254:B1048576 A443:A480 A482:A489 A491:A514 A516:A660 A664:A678 A681:A1253">
    <cfRule type="containsText" dxfId="357" priority="106" operator="containsText" text="TORNO">
      <formula>NOT(ISERROR(SEARCH("TORNO",A1)))</formula>
    </cfRule>
  </conditionalFormatting>
  <conditionalFormatting sqref="M1 M1254:M1048576 M4:M468">
    <cfRule type="containsText" dxfId="356" priority="75" operator="containsText" text="8">
      <formula>NOT(ISERROR(SEARCH("8",M1)))</formula>
    </cfRule>
    <cfRule type="containsText" dxfId="355" priority="76" operator="containsText" text="5">
      <formula>NOT(ISERROR(SEARCH("5",M1)))</formula>
    </cfRule>
  </conditionalFormatting>
  <conditionalFormatting sqref="S4:S44 S46:S108 S110:S251 S255:S285 S287:S308 S310:S366 S634:S679 S683:S693 S716:S718 S720:S726 S695:S714 S851:S1253 S728:S782 S784 S788:S849">
    <cfRule type="cellIs" dxfId="354" priority="105" operator="lessThanOrEqual">
      <formula>550</formula>
    </cfRule>
  </conditionalFormatting>
  <conditionalFormatting sqref="S368:S457 S459:S468 S486 S488 S490:S509 S470:S484 S511:S529 S531:S560 S565:S573 S563 S588:S598 S600:S631 S575:S586">
    <cfRule type="cellIs" dxfId="353" priority="73" operator="lessThanOrEqual">
      <formula>550</formula>
    </cfRule>
  </conditionalFormatting>
  <conditionalFormatting sqref="Y17">
    <cfRule type="cellIs" dxfId="352" priority="89" operator="lessThanOrEqual">
      <formula>550</formula>
    </cfRule>
  </conditionalFormatting>
  <conditionalFormatting sqref="Y21">
    <cfRule type="cellIs" dxfId="351" priority="99" operator="lessThanOrEqual">
      <formula>550</formula>
    </cfRule>
  </conditionalFormatting>
  <conditionalFormatting sqref="Y25">
    <cfRule type="cellIs" dxfId="350" priority="100" operator="lessThanOrEqual">
      <formula>550</formula>
    </cfRule>
  </conditionalFormatting>
  <conditionalFormatting sqref="Y34">
    <cfRule type="cellIs" dxfId="349" priority="102" operator="lessThanOrEqual">
      <formula>550</formula>
    </cfRule>
  </conditionalFormatting>
  <conditionalFormatting sqref="Y37">
    <cfRule type="cellIs" dxfId="348" priority="101" operator="lessThanOrEqual">
      <formula>550</formula>
    </cfRule>
  </conditionalFormatting>
  <conditionalFormatting sqref="Y40">
    <cfRule type="cellIs" dxfId="347" priority="98" operator="lessThanOrEqual">
      <formula>550</formula>
    </cfRule>
  </conditionalFormatting>
  <conditionalFormatting sqref="Y44">
    <cfRule type="cellIs" dxfId="346" priority="103" operator="lessThanOrEqual">
      <formula>550</formula>
    </cfRule>
  </conditionalFormatting>
  <conditionalFormatting sqref="Y87">
    <cfRule type="cellIs" dxfId="345" priority="104" operator="lessThanOrEqual">
      <formula>550</formula>
    </cfRule>
  </conditionalFormatting>
  <conditionalFormatting sqref="Y164">
    <cfRule type="cellIs" dxfId="344" priority="90" operator="lessThanOrEqual">
      <formula>550</formula>
    </cfRule>
  </conditionalFormatting>
  <conditionalFormatting sqref="Y180">
    <cfRule type="cellIs" dxfId="343" priority="86" operator="lessThanOrEqual">
      <formula>550</formula>
    </cfRule>
  </conditionalFormatting>
  <conditionalFormatting sqref="Y190">
    <cfRule type="cellIs" dxfId="342" priority="85" operator="lessThanOrEqual">
      <formula>550</formula>
    </cfRule>
  </conditionalFormatting>
  <conditionalFormatting sqref="Y196">
    <cfRule type="cellIs" dxfId="341" priority="87" operator="lessThanOrEqual">
      <formula>550</formula>
    </cfRule>
  </conditionalFormatting>
  <conditionalFormatting sqref="Y199">
    <cfRule type="cellIs" dxfId="340" priority="88" operator="lessThanOrEqual">
      <formula>550</formula>
    </cfRule>
  </conditionalFormatting>
  <conditionalFormatting sqref="Y203">
    <cfRule type="cellIs" dxfId="339" priority="84" operator="lessThanOrEqual">
      <formula>550</formula>
    </cfRule>
  </conditionalFormatting>
  <conditionalFormatting sqref="Y283">
    <cfRule type="cellIs" dxfId="338" priority="74" operator="lessThanOrEqual">
      <formula>550</formula>
    </cfRule>
  </conditionalFormatting>
  <conditionalFormatting sqref="Y294">
    <cfRule type="cellIs" dxfId="337" priority="82" operator="lessThanOrEqual">
      <formula>550</formula>
    </cfRule>
  </conditionalFormatting>
  <conditionalFormatting sqref="Y308:Y309">
    <cfRule type="cellIs" dxfId="336" priority="81" operator="lessThanOrEqual">
      <formula>550</formula>
    </cfRule>
  </conditionalFormatting>
  <conditionalFormatting sqref="AB1:AB529 AB851:AB1048576 AB531:AB849">
    <cfRule type="containsText" dxfId="335" priority="107" operator="containsText" text="NF - PENDENTE">
      <formula>NOT(ISERROR(SEARCH("NF - PENDENTE",AB1)))</formula>
    </cfRule>
    <cfRule type="containsText" dxfId="334" priority="108" operator="containsText" text="NF - AGUARDANDO NF SUBSTITUTA">
      <formula>NOT(ISERROR(SEARCH("NF - AGUARDANDO NF SUBSTITUTA",AB1)))</formula>
    </cfRule>
    <cfRule type="containsText" dxfId="333" priority="109" operator="containsText" text="NF - AGUARDANDO APROVAÇÃO PARA LANÇAMENTO">
      <formula>NOT(ISERROR(SEARCH("NF - AGUARDANDO APROVAÇÃO PARA LANÇAMENTO",AB1)))</formula>
    </cfRule>
    <cfRule type="containsText" dxfId="332" priority="110" operator="containsText" text="RC - AGUARDANDO RETORNO DO SOLICITANTE">
      <formula>NOT(ISERROR(SEARCH("RC - AGUARDANDO RETORNO DO SOLICITANTE",AB1)))</formula>
    </cfRule>
    <cfRule type="containsText" dxfId="331" priority="111" operator="containsText" text="FINALIZADO 100%">
      <formula>NOT(ISERROR(SEARCH("FINALIZADO 100%",AB1)))</formula>
    </cfRule>
    <cfRule type="containsText" dxfId="330" priority="112" operator="containsText" text="7. NF - APROVADO, LANÇAR">
      <formula>NOT(ISERROR(SEARCH("7. NF - APROVADO, LANÇAR",AB1)))</formula>
    </cfRule>
    <cfRule type="containsText" dxfId="329" priority="113" operator="containsText" text="NF INCLUSA NA 198">
      <formula>NOT(ISERROR(SEARCH("NF INCLUSA NA 198",AB1)))</formula>
    </cfRule>
    <cfRule type="containsText" dxfId="328" priority="114" operator="containsText" text="4. RC - RC ABERTA, AGUARDANDO GERAR PEDIDO">
      <formula>NOT(ISERROR(SEARCH("4. RC - RC ABERTA, AGUARDANDO GERAR PEDIDO",AB1)))</formula>
    </cfRule>
    <cfRule type="containsText" dxfId="327" priority="115" operator="containsText" text="5. NF - PEDIDO GERADO, AGUARDANDO NF">
      <formula>NOT(ISERROR(SEARCH("5. NF - PEDIDO GERADO, AGUARDANDO NF",AB1)))</formula>
    </cfRule>
    <cfRule type="containsText" dxfId="326" priority="116" operator="containsText" text="RC - AGUARDANDO APROVAÇÃO CRISTIANO">
      <formula>NOT(ISERROR(SEARCH("RC - AGUARDANDO APROVAÇÃO CRISTIANO",AB1)))</formula>
    </cfRule>
  </conditionalFormatting>
  <conditionalFormatting sqref="M485:N485">
    <cfRule type="containsText" dxfId="325" priority="71" operator="containsText" text="8">
      <formula>NOT(ISERROR(SEARCH("8",M485)))</formula>
    </cfRule>
    <cfRule type="containsText" dxfId="324" priority="72" operator="containsText" text="5">
      <formula>NOT(ISERROR(SEARCH("5",M485)))</formula>
    </cfRule>
  </conditionalFormatting>
  <conditionalFormatting sqref="M487:N487">
    <cfRule type="containsText" dxfId="323" priority="69" operator="containsText" text="8">
      <formula>NOT(ISERROR(SEARCH("8",M487)))</formula>
    </cfRule>
    <cfRule type="containsText" dxfId="322" priority="70" operator="containsText" text="5">
      <formula>NOT(ISERROR(SEARCH("5",M487)))</formula>
    </cfRule>
  </conditionalFormatting>
  <conditionalFormatting sqref="M489:N489">
    <cfRule type="containsText" dxfId="321" priority="67" operator="containsText" text="8">
      <formula>NOT(ISERROR(SEARCH("8",M489)))</formula>
    </cfRule>
    <cfRule type="containsText" dxfId="320" priority="68" operator="containsText" text="5">
      <formula>NOT(ISERROR(SEARCH("5",M489)))</formula>
    </cfRule>
  </conditionalFormatting>
  <conditionalFormatting sqref="M504">
    <cfRule type="containsText" dxfId="319" priority="65" operator="containsText" text="8">
      <formula>NOT(ISERROR(SEARCH("8",M504)))</formula>
    </cfRule>
    <cfRule type="containsText" dxfId="318" priority="66" operator="containsText" text="5">
      <formula>NOT(ISERROR(SEARCH("5",M504)))</formula>
    </cfRule>
  </conditionalFormatting>
  <conditionalFormatting sqref="M510">
    <cfRule type="containsText" dxfId="317" priority="62" operator="containsText" text="8">
      <formula>NOT(ISERROR(SEARCH("8",M510)))</formula>
    </cfRule>
    <cfRule type="containsText" dxfId="316" priority="63" operator="containsText" text="5">
      <formula>NOT(ISERROR(SEARCH("5",M510)))</formula>
    </cfRule>
  </conditionalFormatting>
  <conditionalFormatting sqref="S510">
    <cfRule type="cellIs" dxfId="315" priority="64" operator="lessThanOrEqual">
      <formula>550</formula>
    </cfRule>
  </conditionalFormatting>
  <conditionalFormatting sqref="M530:N530">
    <cfRule type="containsText" dxfId="314" priority="50" operator="containsText" text="8">
      <formula>NOT(ISERROR(SEARCH("8",M530)))</formula>
    </cfRule>
    <cfRule type="containsText" dxfId="313" priority="51" operator="containsText" text="5">
      <formula>NOT(ISERROR(SEARCH("5",M530)))</formula>
    </cfRule>
  </conditionalFormatting>
  <conditionalFormatting sqref="S530:T530">
    <cfRule type="cellIs" dxfId="312" priority="49" operator="lessThanOrEqual">
      <formula>550</formula>
    </cfRule>
  </conditionalFormatting>
  <conditionalFormatting sqref="AB530:AC530">
    <cfRule type="containsText" dxfId="311" priority="52" operator="containsText" text="NF - PENDENTE">
      <formula>NOT(ISERROR(SEARCH("NF - PENDENTE",AB530)))</formula>
    </cfRule>
    <cfRule type="containsText" dxfId="310" priority="53" operator="containsText" text="NF - AGUARDANDO NF SUBSTITUTA">
      <formula>NOT(ISERROR(SEARCH("NF - AGUARDANDO NF SUBSTITUTA",AB530)))</formula>
    </cfRule>
    <cfRule type="containsText" dxfId="309" priority="54" operator="containsText" text="NF - AGUARDANDO APROVAÇÃO PARA LANÇAMENTO">
      <formula>NOT(ISERROR(SEARCH("NF - AGUARDANDO APROVAÇÃO PARA LANÇAMENTO",AB530)))</formula>
    </cfRule>
    <cfRule type="containsText" dxfId="308" priority="55" operator="containsText" text="RC - AGUARDANDO RETORNO DO SOLICITANTE">
      <formula>NOT(ISERROR(SEARCH("RC - AGUARDANDO RETORNO DO SOLICITANTE",AB530)))</formula>
    </cfRule>
    <cfRule type="containsText" dxfId="307" priority="56" operator="containsText" text="FINALIZADO 100%">
      <formula>NOT(ISERROR(SEARCH("FINALIZADO 100%",AB530)))</formula>
    </cfRule>
    <cfRule type="containsText" dxfId="306" priority="57" operator="containsText" text="7. NF - APROVADO, LANÇAR">
      <formula>NOT(ISERROR(SEARCH("7. NF - APROVADO, LANÇAR",AB530)))</formula>
    </cfRule>
    <cfRule type="containsText" dxfId="305" priority="58" operator="containsText" text="NF INCLUSA NA 198">
      <formula>NOT(ISERROR(SEARCH("NF INCLUSA NA 198",AB530)))</formula>
    </cfRule>
    <cfRule type="containsText" dxfId="304" priority="59" operator="containsText" text="4. RC - RC ABERTA, AGUARDANDO GERAR PEDIDO">
      <formula>NOT(ISERROR(SEARCH("4. RC - RC ABERTA, AGUARDANDO GERAR PEDIDO",AB530)))</formula>
    </cfRule>
    <cfRule type="containsText" dxfId="303" priority="60" operator="containsText" text="5. NF - PEDIDO GERADO, AGUARDANDO NF">
      <formula>NOT(ISERROR(SEARCH("5. NF - PEDIDO GERADO, AGUARDANDO NF",AB530)))</formula>
    </cfRule>
    <cfRule type="containsText" dxfId="302" priority="61" operator="containsText" text="RC - AGUARDANDO APROVAÇÃO CRISTIANO">
      <formula>NOT(ISERROR(SEARCH("RC - AGUARDANDO APROVAÇÃO CRISTIANO",AB530)))</formula>
    </cfRule>
  </conditionalFormatting>
  <conditionalFormatting sqref="M551">
    <cfRule type="containsText" dxfId="301" priority="47" operator="containsText" text="8">
      <formula>NOT(ISERROR(SEARCH("8",M551)))</formula>
    </cfRule>
    <cfRule type="containsText" dxfId="300" priority="48" operator="containsText" text="5">
      <formula>NOT(ISERROR(SEARCH("5",M551)))</formula>
    </cfRule>
  </conditionalFormatting>
  <conditionalFormatting sqref="M564">
    <cfRule type="containsText" dxfId="299" priority="44" operator="containsText" text="8">
      <formula>NOT(ISERROR(SEARCH("8",M564)))</formula>
    </cfRule>
    <cfRule type="containsText" dxfId="298" priority="45" operator="containsText" text="5">
      <formula>NOT(ISERROR(SEARCH("5",M564)))</formula>
    </cfRule>
  </conditionalFormatting>
  <conditionalFormatting sqref="S564">
    <cfRule type="cellIs" dxfId="297" priority="46" operator="lessThanOrEqual">
      <formula>550</formula>
    </cfRule>
  </conditionalFormatting>
  <conditionalFormatting sqref="M574">
    <cfRule type="containsText" dxfId="296" priority="41" operator="containsText" text="8">
      <formula>NOT(ISERROR(SEARCH("8",M574)))</formula>
    </cfRule>
    <cfRule type="containsText" dxfId="295" priority="42" operator="containsText" text="5">
      <formula>NOT(ISERROR(SEARCH("5",M574)))</formula>
    </cfRule>
  </conditionalFormatting>
  <conditionalFormatting sqref="M587">
    <cfRule type="containsText" dxfId="294" priority="38" operator="containsText" text="8">
      <formula>NOT(ISERROR(SEARCH("8",M587)))</formula>
    </cfRule>
    <cfRule type="containsText" dxfId="293" priority="39" operator="containsText" text="5">
      <formula>NOT(ISERROR(SEARCH("5",M587)))</formula>
    </cfRule>
  </conditionalFormatting>
  <conditionalFormatting sqref="S587">
    <cfRule type="cellIs" dxfId="292" priority="40" operator="lessThanOrEqual">
      <formula>550</formula>
    </cfRule>
  </conditionalFormatting>
  <conditionalFormatting sqref="Y587">
    <cfRule type="cellIs" dxfId="291" priority="37" operator="lessThanOrEqual">
      <formula>550</formula>
    </cfRule>
  </conditionalFormatting>
  <conditionalFormatting sqref="M599:N599">
    <cfRule type="containsText" dxfId="290" priority="35" operator="containsText" text="8">
      <formula>NOT(ISERROR(SEARCH("8",M599)))</formula>
    </cfRule>
    <cfRule type="containsText" dxfId="289" priority="36" operator="containsText" text="5">
      <formula>NOT(ISERROR(SEARCH("5",M599)))</formula>
    </cfRule>
  </conditionalFormatting>
  <conditionalFormatting sqref="M631">
    <cfRule type="containsText" dxfId="288" priority="33" operator="containsText" text="8">
      <formula>NOT(ISERROR(SEARCH("8",M631)))</formula>
    </cfRule>
    <cfRule type="containsText" dxfId="287" priority="34" operator="containsText" text="5">
      <formula>NOT(ISERROR(SEARCH("5",M631)))</formula>
    </cfRule>
  </conditionalFormatting>
  <conditionalFormatting sqref="M632">
    <cfRule type="containsText" dxfId="286" priority="30" operator="containsText" text="8">
      <formula>NOT(ISERROR(SEARCH("8",M632)))</formula>
    </cfRule>
    <cfRule type="containsText" dxfId="285" priority="31" operator="containsText" text="5">
      <formula>NOT(ISERROR(SEARCH("5",M632)))</formula>
    </cfRule>
  </conditionalFormatting>
  <conditionalFormatting sqref="S632">
    <cfRule type="cellIs" dxfId="284" priority="32" operator="lessThanOrEqual">
      <formula>550</formula>
    </cfRule>
  </conditionalFormatting>
  <conditionalFormatting sqref="M633">
    <cfRule type="containsText" dxfId="283" priority="27" operator="containsText" text="8">
      <formula>NOT(ISERROR(SEARCH("8",M633)))</formula>
    </cfRule>
    <cfRule type="containsText" dxfId="282" priority="28" operator="containsText" text="5">
      <formula>NOT(ISERROR(SEARCH("5",M633)))</formula>
    </cfRule>
  </conditionalFormatting>
  <conditionalFormatting sqref="M643">
    <cfRule type="containsText" dxfId="281" priority="25" operator="containsText" text="8">
      <formula>NOT(ISERROR(SEARCH("8",M643)))</formula>
    </cfRule>
    <cfRule type="containsText" dxfId="280" priority="26" operator="containsText" text="5">
      <formula>NOT(ISERROR(SEARCH("5",M643)))</formula>
    </cfRule>
  </conditionalFormatting>
  <conditionalFormatting sqref="M660">
    <cfRule type="containsText" dxfId="279" priority="23" operator="containsText" text="8">
      <formula>NOT(ISERROR(SEARCH("8",M660)))</formula>
    </cfRule>
    <cfRule type="containsText" dxfId="278" priority="24" operator="containsText" text="5">
      <formula>NOT(ISERROR(SEARCH("5",M660)))</formula>
    </cfRule>
  </conditionalFormatting>
  <conditionalFormatting sqref="M681">
    <cfRule type="containsText" dxfId="277" priority="21" operator="containsText" text="8">
      <formula>NOT(ISERROR(SEARCH("8",M681)))</formula>
    </cfRule>
    <cfRule type="containsText" dxfId="276" priority="22" operator="containsText" text="5">
      <formula>NOT(ISERROR(SEARCH("5",M681)))</formula>
    </cfRule>
  </conditionalFormatting>
  <conditionalFormatting sqref="S681:S682">
    <cfRule type="cellIs" dxfId="275" priority="20" operator="lessThanOrEqual">
      <formula>550</formula>
    </cfRule>
  </conditionalFormatting>
  <conditionalFormatting sqref="S680">
    <cfRule type="cellIs" dxfId="274" priority="19" operator="lessThanOrEqual">
      <formula>550</formula>
    </cfRule>
  </conditionalFormatting>
  <conditionalFormatting sqref="Y53">
    <cfRule type="cellIs" dxfId="273" priority="18" operator="lessThanOrEqual">
      <formula>550</formula>
    </cfRule>
  </conditionalFormatting>
  <conditionalFormatting sqref="S715">
    <cfRule type="cellIs" dxfId="272" priority="17" operator="lessThanOrEqual">
      <formula>550</formula>
    </cfRule>
  </conditionalFormatting>
  <conditionalFormatting sqref="S719">
    <cfRule type="cellIs" dxfId="271" priority="16" operator="lessThanOrEqual">
      <formula>550</formula>
    </cfRule>
  </conditionalFormatting>
  <conditionalFormatting sqref="M719">
    <cfRule type="containsText" dxfId="270" priority="14" operator="containsText" text="8">
      <formula>NOT(ISERROR(SEARCH("8",M719)))</formula>
    </cfRule>
    <cfRule type="containsText" dxfId="269" priority="15" operator="containsText" text="5">
      <formula>NOT(ISERROR(SEARCH("5",M719)))</formula>
    </cfRule>
  </conditionalFormatting>
  <conditionalFormatting sqref="S727">
    <cfRule type="cellIs" dxfId="268" priority="13" operator="lessThanOrEqual">
      <formula>550</formula>
    </cfRule>
  </conditionalFormatting>
  <conditionalFormatting sqref="Y755">
    <cfRule type="cellIs" dxfId="267" priority="12" operator="lessThanOrEqual">
      <formula>550</formula>
    </cfRule>
  </conditionalFormatting>
  <conditionalFormatting sqref="F762:F764 F766:F782 F784 F789:F846">
    <cfRule type="containsText" dxfId="266" priority="10" operator="containsText" text="SIM">
      <formula>NOT(ISERROR(SEARCH("SIM",F762)))</formula>
    </cfRule>
  </conditionalFormatting>
  <conditionalFormatting sqref="F1:F1048576">
    <cfRule type="containsText" dxfId="265" priority="9" operator="containsText" text="SIM">
      <formula>NOT(ISERROR(SEARCH("SIM",F1)))</formula>
    </cfRule>
  </conditionalFormatting>
  <conditionalFormatting sqref="S783">
    <cfRule type="cellIs" dxfId="264" priority="8" operator="lessThanOrEqual">
      <formula>550</formula>
    </cfRule>
  </conditionalFormatting>
  <conditionalFormatting sqref="S785">
    <cfRule type="cellIs" dxfId="263" priority="7" operator="lessThanOrEqual">
      <formula>550</formula>
    </cfRule>
  </conditionalFormatting>
  <conditionalFormatting sqref="M786">
    <cfRule type="containsText" dxfId="262" priority="5" operator="containsText" text="8">
      <formula>NOT(ISERROR(SEARCH("8",M786)))</formula>
    </cfRule>
    <cfRule type="containsText" dxfId="261" priority="6" operator="containsText" text="5">
      <formula>NOT(ISERROR(SEARCH("5",M786)))</formula>
    </cfRule>
  </conditionalFormatting>
  <conditionalFormatting sqref="S786">
    <cfRule type="cellIs" dxfId="260" priority="4" operator="lessThanOrEqual">
      <formula>550</formula>
    </cfRule>
  </conditionalFormatting>
  <conditionalFormatting sqref="S787">
    <cfRule type="cellIs" dxfId="259" priority="3" operator="lessThanOrEqual">
      <formula>550</formula>
    </cfRule>
  </conditionalFormatting>
  <conditionalFormatting sqref="M788">
    <cfRule type="containsText" dxfId="258" priority="1" operator="containsText" text="8">
      <formula>NOT(ISERROR(SEARCH("8",M788)))</formula>
    </cfRule>
    <cfRule type="containsText" dxfId="257" priority="2" operator="containsText" text="5">
      <formula>NOT(ISERROR(SEARCH("5",M788)))</formula>
    </cfRule>
  </conditionalFormatting>
  <dataValidations count="1">
    <dataValidation type="list" allowBlank="1" showInputMessage="1" showErrorMessage="1" sqref="F4:F846" xr:uid="{6DAAE506-4B78-48D7-B807-203BBD05DBFF}">
      <formula1>"SIM,NÃO"</formula1>
    </dataValidation>
  </dataValidations>
  <pageMargins left="0.511811024" right="0.511811024" top="0.78740157499999996" bottom="0.78740157499999996" header="0.31496062000000002" footer="0.31496062000000002"/>
  <pageSetup paperSize="9" orientation="portrait" verticalDpi="0"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'LISTA SUSPENSA - NÃO ALTERAR '!$E$2:$E$10</xm:f>
          </x14:formula1>
          <xm:sqref>J4:J467</xm:sqref>
        </x14:dataValidation>
        <x14:dataValidation type="list" allowBlank="1" showInputMessage="1" showErrorMessage="1" xr:uid="{00000000-0002-0000-0000-000002000000}">
          <x14:formula1>
            <xm:f>'LISTA SUSPENSA - NÃO ALTERAR '!$H$2:$H$15</xm:f>
          </x14:formula1>
          <xm:sqref>AB4:AB679 AB681:AB693 AB695:AB849 AB851:AB1253</xm:sqref>
        </x14:dataValidation>
        <x14:dataValidation type="list" allowBlank="1" showInputMessage="1" showErrorMessage="1" xr:uid="{00000000-0002-0000-0000-000000000000}">
          <x14:formula1>
            <xm:f>'LISTA SUSPENSA - NÃO ALTERAR '!$C$2:$C$28</xm:f>
          </x14:formula1>
          <xm:sqref>C195:C269 C515:C679 C469:C513 C4:C193 C273:C467 C271 C681:C693 C695:C849 C851:C1253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N27"/>
  <sheetViews>
    <sheetView showGridLines="0" workbookViewId="0">
      <pane ySplit="1" topLeftCell="A20" activePane="bottomLeft" state="frozen"/>
      <selection pane="bottomLeft" activeCell="G22" sqref="G22"/>
    </sheetView>
  </sheetViews>
  <sheetFormatPr defaultColWidth="9.28515625" defaultRowHeight="15"/>
  <cols>
    <col min="1" max="1" width="30.140625" customWidth="1"/>
    <col min="2" max="2" width="23.28515625" bestFit="1" customWidth="1"/>
    <col min="3" max="3" width="10.140625" bestFit="1" customWidth="1"/>
    <col min="4" max="4" width="11.5703125" customWidth="1"/>
    <col min="5" max="5" width="15" bestFit="1" customWidth="1"/>
    <col min="6" max="6" width="10.7109375" customWidth="1"/>
    <col min="7" max="7" width="8.7109375" bestFit="1" customWidth="1"/>
    <col min="8" max="8" width="25.28515625" customWidth="1"/>
    <col min="9" max="9" width="16.28515625" bestFit="1" customWidth="1"/>
    <col min="10" max="10" width="11.42578125" customWidth="1"/>
    <col min="11" max="11" width="17.7109375" bestFit="1" customWidth="1"/>
    <col min="12" max="12" width="16.42578125" customWidth="1"/>
    <col min="13" max="13" width="90" customWidth="1"/>
    <col min="14" max="31" width="11.5703125" hidden="1" customWidth="1"/>
    <col min="32" max="32" width="11.5703125" customWidth="1"/>
    <col min="33" max="33" width="9.85546875" hidden="1" customWidth="1"/>
    <col min="34" max="34" width="9.7109375" hidden="1" customWidth="1"/>
    <col min="35" max="35" width="8.28515625" hidden="1" customWidth="1"/>
    <col min="36" max="36" width="9.5703125" hidden="1" customWidth="1"/>
    <col min="37" max="37" width="12.28515625" customWidth="1"/>
    <col min="39" max="39" width="9.28515625" bestFit="1" customWidth="1"/>
  </cols>
  <sheetData>
    <row r="1" spans="1:40">
      <c r="A1" s="7" t="s">
        <v>2187</v>
      </c>
      <c r="B1" s="7" t="s">
        <v>2188</v>
      </c>
      <c r="C1" s="7" t="s">
        <v>2189</v>
      </c>
      <c r="D1" s="7" t="s">
        <v>2190</v>
      </c>
      <c r="E1" s="8" t="s">
        <v>2191</v>
      </c>
      <c r="F1" s="7" t="s">
        <v>2192</v>
      </c>
      <c r="G1" s="7" t="s">
        <v>2193</v>
      </c>
      <c r="H1" s="7" t="s">
        <v>2194</v>
      </c>
      <c r="I1" s="7" t="s">
        <v>2195</v>
      </c>
      <c r="J1" s="9" t="s">
        <v>2196</v>
      </c>
      <c r="K1" s="9" t="s">
        <v>2197</v>
      </c>
      <c r="L1" s="7" t="s">
        <v>2198</v>
      </c>
      <c r="M1" s="10" t="s">
        <v>2199</v>
      </c>
      <c r="N1" s="11">
        <v>45352</v>
      </c>
      <c r="O1" s="11">
        <v>45383</v>
      </c>
      <c r="P1" s="11">
        <v>45413</v>
      </c>
      <c r="Q1" s="11">
        <v>45444</v>
      </c>
      <c r="R1" s="11">
        <v>45474</v>
      </c>
      <c r="S1" s="11">
        <v>45505</v>
      </c>
      <c r="T1" s="11">
        <v>45536</v>
      </c>
      <c r="U1" s="11">
        <v>45566</v>
      </c>
      <c r="V1" s="11">
        <v>45597</v>
      </c>
      <c r="W1" s="11">
        <v>45627</v>
      </c>
      <c r="X1" s="11">
        <v>45658</v>
      </c>
      <c r="Y1" s="11">
        <v>45689</v>
      </c>
      <c r="Z1" s="11">
        <v>45717</v>
      </c>
      <c r="AA1" s="11">
        <v>45748</v>
      </c>
      <c r="AB1" s="11">
        <v>45778</v>
      </c>
      <c r="AC1" s="11">
        <v>45809</v>
      </c>
      <c r="AD1" s="11">
        <v>45839</v>
      </c>
      <c r="AE1" s="11">
        <v>45870</v>
      </c>
      <c r="AF1" s="237"/>
      <c r="AG1" s="11">
        <v>45901</v>
      </c>
      <c r="AH1" s="11">
        <v>45931</v>
      </c>
      <c r="AI1" s="11">
        <v>45962</v>
      </c>
      <c r="AJ1" s="11">
        <v>45992</v>
      </c>
      <c r="AK1" s="11">
        <v>46023</v>
      </c>
      <c r="AL1" s="11">
        <v>46054</v>
      </c>
      <c r="AM1" s="11">
        <v>46082</v>
      </c>
      <c r="AN1" s="240">
        <v>46113</v>
      </c>
    </row>
    <row r="2" spans="1:40" hidden="1">
      <c r="A2" s="12" t="s">
        <v>2200</v>
      </c>
      <c r="B2" s="13" t="s">
        <v>2201</v>
      </c>
      <c r="C2" s="14">
        <v>112589</v>
      </c>
      <c r="D2" s="14">
        <v>14445</v>
      </c>
      <c r="E2" s="15">
        <v>146936.89000000001</v>
      </c>
      <c r="F2" s="14">
        <v>3623537</v>
      </c>
      <c r="G2" s="14">
        <v>3769130</v>
      </c>
      <c r="H2" s="14" t="s">
        <v>2202</v>
      </c>
      <c r="I2" s="14" t="s">
        <v>1456</v>
      </c>
      <c r="J2" s="16">
        <v>45313</v>
      </c>
      <c r="K2" s="16">
        <v>46043</v>
      </c>
      <c r="L2" s="14" t="s">
        <v>2203</v>
      </c>
      <c r="M2" s="17" t="s">
        <v>2204</v>
      </c>
      <c r="N2" s="14" t="s">
        <v>40</v>
      </c>
      <c r="O2" s="14" t="s">
        <v>40</v>
      </c>
      <c r="P2" s="14" t="s">
        <v>40</v>
      </c>
      <c r="Q2" s="14" t="s">
        <v>40</v>
      </c>
      <c r="R2" s="14" t="s">
        <v>40</v>
      </c>
      <c r="S2" s="14" t="s">
        <v>40</v>
      </c>
      <c r="T2" s="14" t="s">
        <v>40</v>
      </c>
      <c r="U2" s="14" t="s">
        <v>40</v>
      </c>
      <c r="V2" s="14" t="s">
        <v>40</v>
      </c>
      <c r="W2" s="14" t="s">
        <v>40</v>
      </c>
      <c r="X2" s="14" t="s">
        <v>40</v>
      </c>
      <c r="Y2" s="14" t="s">
        <v>40</v>
      </c>
      <c r="Z2" s="14" t="s">
        <v>40</v>
      </c>
      <c r="AA2" s="14" t="s">
        <v>40</v>
      </c>
      <c r="AB2" s="14" t="s">
        <v>40</v>
      </c>
      <c r="AC2" s="14" t="s">
        <v>40</v>
      </c>
      <c r="AD2" s="14" t="s">
        <v>40</v>
      </c>
      <c r="AE2" s="14" t="s">
        <v>40</v>
      </c>
      <c r="AF2" s="14"/>
      <c r="AG2" s="14" t="s">
        <v>40</v>
      </c>
      <c r="AH2" s="14" t="s">
        <v>40</v>
      </c>
      <c r="AI2" s="14" t="s">
        <v>40</v>
      </c>
      <c r="AJ2" s="14" t="s">
        <v>40</v>
      </c>
      <c r="AK2" s="14" t="s">
        <v>40</v>
      </c>
      <c r="AL2" s="29" t="s">
        <v>40</v>
      </c>
      <c r="AM2" s="29" t="s">
        <v>48</v>
      </c>
      <c r="AN2" s="248" t="s">
        <v>48</v>
      </c>
    </row>
    <row r="3" spans="1:40" hidden="1">
      <c r="A3" s="18" t="s">
        <v>1491</v>
      </c>
      <c r="B3" s="18" t="s">
        <v>2205</v>
      </c>
      <c r="C3" s="19">
        <v>112325</v>
      </c>
      <c r="D3" s="19">
        <v>14277</v>
      </c>
      <c r="E3" s="20" t="s">
        <v>2206</v>
      </c>
      <c r="F3" s="19">
        <v>3623588</v>
      </c>
      <c r="G3" s="19">
        <v>3769114</v>
      </c>
      <c r="H3" s="19"/>
      <c r="I3" s="19" t="s">
        <v>2207</v>
      </c>
      <c r="J3" s="21">
        <v>45215</v>
      </c>
      <c r="K3" s="21">
        <v>45580</v>
      </c>
      <c r="L3" s="19" t="s">
        <v>2203</v>
      </c>
      <c r="M3" s="22" t="s">
        <v>2208</v>
      </c>
      <c r="N3" s="19" t="s">
        <v>40</v>
      </c>
      <c r="O3" s="19" t="s">
        <v>40</v>
      </c>
      <c r="P3" s="19" t="s">
        <v>40</v>
      </c>
      <c r="Q3" s="19" t="s">
        <v>40</v>
      </c>
      <c r="R3" s="19" t="s">
        <v>40</v>
      </c>
      <c r="S3" s="19" t="s">
        <v>40</v>
      </c>
      <c r="T3" s="19" t="s">
        <v>40</v>
      </c>
      <c r="U3" s="19" t="s">
        <v>44</v>
      </c>
      <c r="V3" s="19" t="s">
        <v>44</v>
      </c>
      <c r="W3" s="19" t="s">
        <v>44</v>
      </c>
      <c r="X3" s="19" t="s">
        <v>44</v>
      </c>
      <c r="Y3" s="19" t="s">
        <v>44</v>
      </c>
      <c r="Z3" s="19" t="s">
        <v>44</v>
      </c>
      <c r="AA3" s="19" t="s">
        <v>44</v>
      </c>
      <c r="AB3" s="19" t="s">
        <v>44</v>
      </c>
      <c r="AC3" s="19" t="s">
        <v>44</v>
      </c>
      <c r="AD3" s="19" t="s">
        <v>44</v>
      </c>
      <c r="AE3" s="19" t="s">
        <v>44</v>
      </c>
      <c r="AF3" s="19"/>
      <c r="AG3" s="19" t="s">
        <v>44</v>
      </c>
      <c r="AH3" s="19" t="s">
        <v>44</v>
      </c>
      <c r="AI3" s="19" t="s">
        <v>44</v>
      </c>
      <c r="AJ3" s="19" t="s">
        <v>44</v>
      </c>
      <c r="AK3" s="247"/>
      <c r="AL3" s="14"/>
      <c r="AM3" s="14"/>
      <c r="AN3" s="150"/>
    </row>
    <row r="4" spans="1:40" hidden="1">
      <c r="A4" s="18" t="s">
        <v>2209</v>
      </c>
      <c r="B4" s="18" t="s">
        <v>2205</v>
      </c>
      <c r="C4" s="19">
        <v>111420</v>
      </c>
      <c r="D4" s="19">
        <v>13958</v>
      </c>
      <c r="E4" s="23">
        <v>31664.98</v>
      </c>
      <c r="F4" s="19"/>
      <c r="G4" s="19">
        <v>3763776</v>
      </c>
      <c r="H4" s="19" t="s">
        <v>2202</v>
      </c>
      <c r="I4" s="19" t="s">
        <v>2210</v>
      </c>
      <c r="J4" s="21">
        <v>45215</v>
      </c>
      <c r="K4" s="21">
        <v>45580</v>
      </c>
      <c r="L4" s="19" t="s">
        <v>2203</v>
      </c>
      <c r="M4" s="22" t="s">
        <v>2211</v>
      </c>
      <c r="N4" s="19" t="s">
        <v>40</v>
      </c>
      <c r="O4" s="19" t="s">
        <v>40</v>
      </c>
      <c r="P4" s="19" t="s">
        <v>40</v>
      </c>
      <c r="Q4" s="19" t="s">
        <v>40</v>
      </c>
      <c r="R4" s="19" t="s">
        <v>40</v>
      </c>
      <c r="S4" s="19" t="s">
        <v>40</v>
      </c>
      <c r="T4" s="19" t="s">
        <v>40</v>
      </c>
      <c r="U4" s="19" t="s">
        <v>40</v>
      </c>
      <c r="V4" s="19" t="s">
        <v>44</v>
      </c>
      <c r="W4" s="19" t="s">
        <v>44</v>
      </c>
      <c r="X4" s="19" t="s">
        <v>44</v>
      </c>
      <c r="Y4" s="19" t="s">
        <v>44</v>
      </c>
      <c r="Z4" s="19" t="s">
        <v>44</v>
      </c>
      <c r="AA4" s="19" t="s">
        <v>44</v>
      </c>
      <c r="AB4" s="19" t="s">
        <v>44</v>
      </c>
      <c r="AC4" s="19" t="s">
        <v>44</v>
      </c>
      <c r="AD4" s="19" t="s">
        <v>44</v>
      </c>
      <c r="AE4" s="19" t="s">
        <v>44</v>
      </c>
      <c r="AF4" s="19"/>
      <c r="AG4" s="19" t="s">
        <v>44</v>
      </c>
      <c r="AH4" s="19" t="s">
        <v>44</v>
      </c>
      <c r="AI4" s="19" t="s">
        <v>44</v>
      </c>
      <c r="AJ4" s="19" t="s">
        <v>44</v>
      </c>
      <c r="AK4" s="19"/>
    </row>
    <row r="5" spans="1:40" hidden="1">
      <c r="A5" s="12" t="s">
        <v>2212</v>
      </c>
      <c r="B5" s="13" t="s">
        <v>2201</v>
      </c>
      <c r="C5" s="14">
        <v>111657</v>
      </c>
      <c r="D5" s="14">
        <v>3624</v>
      </c>
      <c r="E5" s="15">
        <v>4074.44</v>
      </c>
      <c r="F5" s="14">
        <v>3619858</v>
      </c>
      <c r="G5" s="14">
        <v>3766711</v>
      </c>
      <c r="H5" s="14" t="s">
        <v>2202</v>
      </c>
      <c r="I5" s="14" t="s">
        <v>2210</v>
      </c>
      <c r="J5" s="16">
        <v>41792</v>
      </c>
      <c r="K5" s="16">
        <v>72686</v>
      </c>
      <c r="L5" s="14" t="s">
        <v>2213</v>
      </c>
      <c r="M5" s="17" t="s">
        <v>2214</v>
      </c>
      <c r="N5" s="14" t="s">
        <v>40</v>
      </c>
      <c r="O5" s="14" t="s">
        <v>40</v>
      </c>
      <c r="P5" s="14" t="s">
        <v>40</v>
      </c>
      <c r="Q5" s="14" t="s">
        <v>40</v>
      </c>
      <c r="R5" s="14" t="s">
        <v>40</v>
      </c>
      <c r="S5" s="14" t="s">
        <v>40</v>
      </c>
      <c r="T5" s="14" t="s">
        <v>40</v>
      </c>
      <c r="U5" s="14" t="s">
        <v>40</v>
      </c>
      <c r="V5" s="14" t="s">
        <v>40</v>
      </c>
      <c r="W5" s="14" t="s">
        <v>40</v>
      </c>
      <c r="X5" s="14" t="s">
        <v>40</v>
      </c>
      <c r="Y5" s="14" t="s">
        <v>40</v>
      </c>
      <c r="Z5" s="14" t="s">
        <v>40</v>
      </c>
      <c r="AA5" s="14" t="s">
        <v>40</v>
      </c>
      <c r="AB5" s="14" t="s">
        <v>40</v>
      </c>
      <c r="AC5" s="14" t="s">
        <v>40</v>
      </c>
      <c r="AD5" s="14" t="s">
        <v>40</v>
      </c>
      <c r="AE5" s="14" t="s">
        <v>40</v>
      </c>
      <c r="AF5" s="14"/>
      <c r="AG5" s="14" t="s">
        <v>40</v>
      </c>
      <c r="AH5" s="14" t="s">
        <v>40</v>
      </c>
      <c r="AI5" s="14" t="s">
        <v>40</v>
      </c>
      <c r="AJ5" s="14" t="s">
        <v>40</v>
      </c>
      <c r="AK5" s="14" t="s">
        <v>40</v>
      </c>
      <c r="AL5" s="14" t="s">
        <v>40</v>
      </c>
      <c r="AM5" s="189" t="s">
        <v>40</v>
      </c>
      <c r="AN5" s="150" t="s">
        <v>48</v>
      </c>
    </row>
    <row r="6" spans="1:40" ht="167.25" hidden="1">
      <c r="A6" s="12" t="s">
        <v>2215</v>
      </c>
      <c r="B6" s="13" t="s">
        <v>2216</v>
      </c>
      <c r="C6" s="14">
        <v>112382</v>
      </c>
      <c r="D6" s="14">
        <v>834</v>
      </c>
      <c r="E6" s="15">
        <v>13133.68</v>
      </c>
      <c r="F6" s="24">
        <v>3494194</v>
      </c>
      <c r="G6" s="24">
        <v>3741081</v>
      </c>
      <c r="H6" s="14">
        <v>2208</v>
      </c>
      <c r="I6" s="14" t="s">
        <v>2217</v>
      </c>
      <c r="J6" s="16">
        <v>40134</v>
      </c>
      <c r="K6" s="16">
        <v>73049</v>
      </c>
      <c r="L6" s="14" t="s">
        <v>2218</v>
      </c>
      <c r="M6" s="17" t="s">
        <v>2219</v>
      </c>
      <c r="N6" s="14" t="s">
        <v>40</v>
      </c>
      <c r="O6" s="14" t="s">
        <v>40</v>
      </c>
      <c r="P6" s="14" t="s">
        <v>40</v>
      </c>
      <c r="Q6" s="14" t="s">
        <v>40</v>
      </c>
      <c r="R6" s="14" t="s">
        <v>40</v>
      </c>
      <c r="S6" s="14" t="s">
        <v>40</v>
      </c>
      <c r="T6" s="14" t="s">
        <v>48</v>
      </c>
      <c r="U6" s="14" t="s">
        <v>40</v>
      </c>
      <c r="V6" s="14" t="s">
        <v>40</v>
      </c>
      <c r="W6" s="14" t="s">
        <v>40</v>
      </c>
      <c r="X6" s="25" t="s">
        <v>2220</v>
      </c>
      <c r="Y6" s="25" t="s">
        <v>2220</v>
      </c>
      <c r="Z6" s="25" t="s">
        <v>2220</v>
      </c>
      <c r="AA6" s="25" t="s">
        <v>2220</v>
      </c>
      <c r="AB6" s="25" t="s">
        <v>2220</v>
      </c>
      <c r="AC6" s="25" t="s">
        <v>2220</v>
      </c>
      <c r="AD6" s="25" t="s">
        <v>2220</v>
      </c>
      <c r="AE6" s="25" t="s">
        <v>2220</v>
      </c>
      <c r="AF6" s="25"/>
      <c r="AG6" s="25" t="s">
        <v>2220</v>
      </c>
      <c r="AH6" s="25" t="s">
        <v>2220</v>
      </c>
      <c r="AI6" s="25" t="s">
        <v>2220</v>
      </c>
      <c r="AJ6" s="25" t="s">
        <v>2220</v>
      </c>
      <c r="AK6" s="161" t="s">
        <v>2221</v>
      </c>
    </row>
    <row r="7" spans="1:40" hidden="1">
      <c r="A7" s="12" t="s">
        <v>2222</v>
      </c>
      <c r="B7" s="13" t="s">
        <v>2201</v>
      </c>
      <c r="C7" s="14">
        <v>112582</v>
      </c>
      <c r="D7" s="14">
        <v>14441</v>
      </c>
      <c r="E7" s="26">
        <v>1595.88</v>
      </c>
      <c r="F7" s="14">
        <v>3627916</v>
      </c>
      <c r="G7" s="14">
        <v>3773474</v>
      </c>
      <c r="H7" s="14" t="s">
        <v>2223</v>
      </c>
      <c r="I7" s="14" t="s">
        <v>2224</v>
      </c>
      <c r="J7" s="16">
        <v>45215</v>
      </c>
      <c r="K7" s="16">
        <v>45782</v>
      </c>
      <c r="L7" s="14" t="s">
        <v>2203</v>
      </c>
      <c r="M7" s="17" t="s">
        <v>2225</v>
      </c>
      <c r="N7" s="14" t="s">
        <v>40</v>
      </c>
      <c r="O7" s="14" t="s">
        <v>40</v>
      </c>
      <c r="P7" s="14" t="s">
        <v>40</v>
      </c>
      <c r="Q7" s="14" t="s">
        <v>40</v>
      </c>
      <c r="R7" s="14" t="s">
        <v>48</v>
      </c>
      <c r="S7" s="14" t="s">
        <v>40</v>
      </c>
      <c r="T7" s="14" t="s">
        <v>40</v>
      </c>
      <c r="U7" s="14" t="s">
        <v>40</v>
      </c>
      <c r="V7" s="14" t="s">
        <v>40</v>
      </c>
      <c r="W7" s="14" t="s">
        <v>40</v>
      </c>
      <c r="X7" s="14" t="s">
        <v>40</v>
      </c>
      <c r="Y7" s="14" t="s">
        <v>40</v>
      </c>
      <c r="Z7" s="14" t="s">
        <v>40</v>
      </c>
      <c r="AA7" s="14" t="s">
        <v>48</v>
      </c>
      <c r="AB7" s="14" t="s">
        <v>40</v>
      </c>
      <c r="AC7" s="14" t="s">
        <v>40</v>
      </c>
      <c r="AD7" s="14" t="s">
        <v>40</v>
      </c>
      <c r="AE7" s="14" t="s">
        <v>40</v>
      </c>
      <c r="AF7" s="14"/>
      <c r="AG7" s="14" t="s">
        <v>40</v>
      </c>
      <c r="AH7" s="14" t="s">
        <v>40</v>
      </c>
      <c r="AI7" s="14" t="s">
        <v>40</v>
      </c>
      <c r="AJ7" s="14" t="s">
        <v>40</v>
      </c>
      <c r="AK7" s="14" t="s">
        <v>40</v>
      </c>
      <c r="AL7" s="14" t="s">
        <v>48</v>
      </c>
      <c r="AM7" s="14"/>
    </row>
    <row r="8" spans="1:40" hidden="1">
      <c r="A8" s="12" t="s">
        <v>2222</v>
      </c>
      <c r="B8" s="13" t="s">
        <v>2201</v>
      </c>
      <c r="C8" s="14">
        <v>112582</v>
      </c>
      <c r="D8" s="14">
        <v>14441</v>
      </c>
      <c r="E8" s="15">
        <v>521.95000000000005</v>
      </c>
      <c r="F8" s="14">
        <v>3631801</v>
      </c>
      <c r="G8" s="14">
        <v>3776543</v>
      </c>
      <c r="H8" s="14" t="s">
        <v>2223</v>
      </c>
      <c r="I8" s="14" t="s">
        <v>2224</v>
      </c>
      <c r="J8" s="16">
        <v>45215</v>
      </c>
      <c r="K8" s="16">
        <v>45782</v>
      </c>
      <c r="L8" s="14" t="s">
        <v>2203</v>
      </c>
      <c r="M8" s="17" t="s">
        <v>2226</v>
      </c>
      <c r="N8" s="14" t="s">
        <v>40</v>
      </c>
      <c r="O8" s="14" t="s">
        <v>40</v>
      </c>
      <c r="P8" s="14" t="s">
        <v>40</v>
      </c>
      <c r="Q8" s="14" t="s">
        <v>40</v>
      </c>
      <c r="R8" s="14" t="s">
        <v>40</v>
      </c>
      <c r="S8" s="14" t="s">
        <v>48</v>
      </c>
      <c r="T8" s="14" t="s">
        <v>40</v>
      </c>
      <c r="U8" s="14" t="s">
        <v>40</v>
      </c>
      <c r="V8" s="14" t="s">
        <v>40</v>
      </c>
      <c r="W8" s="14" t="s">
        <v>40</v>
      </c>
      <c r="X8" s="14" t="s">
        <v>40</v>
      </c>
      <c r="Y8" s="14" t="s">
        <v>40</v>
      </c>
      <c r="Z8" s="14" t="s">
        <v>40</v>
      </c>
      <c r="AA8" s="14" t="s">
        <v>40</v>
      </c>
      <c r="AB8" s="14" t="s">
        <v>48</v>
      </c>
      <c r="AC8" s="14" t="s">
        <v>40</v>
      </c>
      <c r="AD8" s="14" t="s">
        <v>40</v>
      </c>
      <c r="AE8" s="14" t="s">
        <v>40</v>
      </c>
      <c r="AF8" s="14"/>
      <c r="AG8" s="14" t="s">
        <v>40</v>
      </c>
      <c r="AH8" s="14" t="s">
        <v>40</v>
      </c>
      <c r="AI8" s="14" t="s">
        <v>40</v>
      </c>
      <c r="AJ8" s="14" t="s">
        <v>40</v>
      </c>
      <c r="AK8" s="14" t="s">
        <v>48</v>
      </c>
      <c r="AL8" s="14" t="s">
        <v>40</v>
      </c>
      <c r="AM8" s="14" t="s">
        <v>40</v>
      </c>
    </row>
    <row r="9" spans="1:40" ht="30.75" hidden="1">
      <c r="A9" s="12" t="s">
        <v>2227</v>
      </c>
      <c r="B9" s="13" t="s">
        <v>2201</v>
      </c>
      <c r="C9" s="14">
        <v>114403</v>
      </c>
      <c r="D9" s="14">
        <v>9655</v>
      </c>
      <c r="E9" s="34" t="s">
        <v>2228</v>
      </c>
      <c r="F9" s="14">
        <v>3796459</v>
      </c>
      <c r="G9" s="14">
        <v>3934135</v>
      </c>
      <c r="H9" s="27">
        <v>2054</v>
      </c>
      <c r="I9" s="14" t="s">
        <v>2210</v>
      </c>
      <c r="J9" s="16">
        <v>43983</v>
      </c>
      <c r="K9" s="16" t="s">
        <v>2229</v>
      </c>
      <c r="L9" s="14" t="s">
        <v>2203</v>
      </c>
      <c r="M9" s="28" t="s">
        <v>2230</v>
      </c>
      <c r="N9" s="14" t="s">
        <v>34</v>
      </c>
      <c r="O9" s="14" t="s">
        <v>34</v>
      </c>
      <c r="P9" s="14" t="s">
        <v>34</v>
      </c>
      <c r="Q9" s="14" t="s">
        <v>34</v>
      </c>
      <c r="R9" s="14" t="s">
        <v>40</v>
      </c>
      <c r="S9" s="14" t="s">
        <v>40</v>
      </c>
      <c r="T9" s="14" t="s">
        <v>40</v>
      </c>
      <c r="U9" s="14" t="s">
        <v>40</v>
      </c>
      <c r="V9" s="14" t="s">
        <v>40</v>
      </c>
      <c r="W9" s="14" t="s">
        <v>40</v>
      </c>
      <c r="X9" s="14" t="s">
        <v>40</v>
      </c>
      <c r="Y9" s="14" t="s">
        <v>40</v>
      </c>
      <c r="Z9" s="14" t="s">
        <v>40</v>
      </c>
      <c r="AA9" s="14" t="s">
        <v>40</v>
      </c>
      <c r="AB9" s="14" t="s">
        <v>40</v>
      </c>
      <c r="AC9" s="14" t="s">
        <v>40</v>
      </c>
      <c r="AD9" s="14" t="s">
        <v>40</v>
      </c>
      <c r="AE9" s="14" t="s">
        <v>40</v>
      </c>
      <c r="AF9" s="238">
        <v>415</v>
      </c>
      <c r="AG9" s="14" t="s">
        <v>40</v>
      </c>
      <c r="AH9" s="14" t="s">
        <v>40</v>
      </c>
      <c r="AI9" s="14" t="s">
        <v>40</v>
      </c>
      <c r="AJ9" s="14" t="s">
        <v>40</v>
      </c>
      <c r="AK9" s="14" t="s">
        <v>48</v>
      </c>
      <c r="AL9" s="14" t="s">
        <v>48</v>
      </c>
      <c r="AM9" s="14" t="s">
        <v>48</v>
      </c>
      <c r="AN9" s="14"/>
    </row>
    <row r="10" spans="1:40" ht="137.25" hidden="1">
      <c r="A10" s="12" t="s">
        <v>2231</v>
      </c>
      <c r="B10" s="13" t="s">
        <v>2201</v>
      </c>
      <c r="C10" s="14">
        <v>114402</v>
      </c>
      <c r="D10" s="14">
        <v>9654</v>
      </c>
      <c r="E10" s="15">
        <v>6776.3</v>
      </c>
      <c r="F10" s="14">
        <v>3796471</v>
      </c>
      <c r="G10" s="14">
        <v>3934127</v>
      </c>
      <c r="H10" s="27" t="s">
        <v>2232</v>
      </c>
      <c r="I10" s="14" t="s">
        <v>2210</v>
      </c>
      <c r="J10" s="16">
        <v>43983</v>
      </c>
      <c r="K10" s="16" t="s">
        <v>2229</v>
      </c>
      <c r="L10" s="14" t="s">
        <v>2203</v>
      </c>
      <c r="M10" s="28" t="s">
        <v>2233</v>
      </c>
      <c r="N10" s="14" t="s">
        <v>34</v>
      </c>
      <c r="O10" s="14" t="s">
        <v>34</v>
      </c>
      <c r="P10" s="14" t="s">
        <v>34</v>
      </c>
      <c r="Q10" s="14" t="s">
        <v>34</v>
      </c>
      <c r="R10" s="14" t="s">
        <v>48</v>
      </c>
      <c r="S10" s="14" t="s">
        <v>48</v>
      </c>
      <c r="T10" s="14" t="s">
        <v>48</v>
      </c>
      <c r="U10" s="14" t="s">
        <v>48</v>
      </c>
      <c r="V10" s="14" t="s">
        <v>40</v>
      </c>
      <c r="W10" s="14" t="s">
        <v>40</v>
      </c>
      <c r="X10" s="14" t="s">
        <v>40</v>
      </c>
      <c r="Y10" s="14" t="s">
        <v>40</v>
      </c>
      <c r="Z10" s="14" t="s">
        <v>40</v>
      </c>
      <c r="AA10" s="14" t="s">
        <v>40</v>
      </c>
      <c r="AB10" s="14" t="s">
        <v>40</v>
      </c>
      <c r="AC10" s="14" t="s">
        <v>40</v>
      </c>
      <c r="AD10" s="14" t="s">
        <v>40</v>
      </c>
      <c r="AE10" s="14" t="s">
        <v>40</v>
      </c>
      <c r="AF10" s="23">
        <v>6250.23</v>
      </c>
      <c r="AG10" s="14" t="s">
        <v>40</v>
      </c>
      <c r="AH10" s="14" t="s">
        <v>40</v>
      </c>
      <c r="AI10" s="14" t="s">
        <v>40</v>
      </c>
      <c r="AJ10" s="14" t="s">
        <v>40</v>
      </c>
      <c r="AK10" s="14" t="s">
        <v>48</v>
      </c>
      <c r="AL10" s="14" t="s">
        <v>48</v>
      </c>
      <c r="AM10" s="14" t="s">
        <v>48</v>
      </c>
      <c r="AN10" s="14"/>
    </row>
    <row r="11" spans="1:40" hidden="1">
      <c r="A11" s="12" t="s">
        <v>2234</v>
      </c>
      <c r="B11" s="13" t="s">
        <v>2201</v>
      </c>
      <c r="C11" s="14">
        <v>113132</v>
      </c>
      <c r="D11" s="14">
        <v>5835</v>
      </c>
      <c r="E11" s="15">
        <v>1321.16</v>
      </c>
      <c r="F11" s="14" t="s">
        <v>34</v>
      </c>
      <c r="G11" s="14" t="s">
        <v>34</v>
      </c>
      <c r="H11" s="14">
        <v>1295</v>
      </c>
      <c r="I11" s="14" t="s">
        <v>2235</v>
      </c>
      <c r="J11" s="16">
        <v>42555</v>
      </c>
      <c r="K11" s="16">
        <v>46387</v>
      </c>
      <c r="L11" s="14" t="s">
        <v>34</v>
      </c>
      <c r="M11" s="17" t="s">
        <v>2236</v>
      </c>
      <c r="N11" s="14" t="s">
        <v>40</v>
      </c>
      <c r="O11" s="14" t="s">
        <v>34</v>
      </c>
      <c r="P11" s="14" t="s">
        <v>34</v>
      </c>
      <c r="Q11" s="14" t="s">
        <v>34</v>
      </c>
      <c r="R11" s="14" t="s">
        <v>40</v>
      </c>
      <c r="S11" s="14" t="s">
        <v>40</v>
      </c>
      <c r="T11" s="14" t="s">
        <v>40</v>
      </c>
      <c r="U11" s="14" t="s">
        <v>48</v>
      </c>
      <c r="V11" s="14" t="s">
        <v>40</v>
      </c>
      <c r="W11" s="14" t="s">
        <v>40</v>
      </c>
      <c r="X11" s="14" t="s">
        <v>40</v>
      </c>
      <c r="Y11" s="14" t="s">
        <v>40</v>
      </c>
      <c r="Z11" s="14" t="s">
        <v>40</v>
      </c>
      <c r="AA11" s="14" t="s">
        <v>40</v>
      </c>
      <c r="AB11" s="14" t="s">
        <v>40</v>
      </c>
      <c r="AC11" s="14" t="s">
        <v>40</v>
      </c>
      <c r="AD11" s="14" t="s">
        <v>40</v>
      </c>
      <c r="AE11" s="14" t="s">
        <v>40</v>
      </c>
      <c r="AF11" s="14"/>
      <c r="AG11" s="14" t="s">
        <v>40</v>
      </c>
      <c r="AH11" s="14" t="s">
        <v>40</v>
      </c>
      <c r="AI11" s="14" t="s">
        <v>40</v>
      </c>
      <c r="AJ11" s="14" t="s">
        <v>40</v>
      </c>
      <c r="AK11" s="14" t="s">
        <v>40</v>
      </c>
      <c r="AL11" s="14" t="s">
        <v>40</v>
      </c>
      <c r="AM11" s="189" t="s">
        <v>40</v>
      </c>
      <c r="AN11" s="246" t="s">
        <v>48</v>
      </c>
    </row>
    <row r="12" spans="1:40" hidden="1">
      <c r="A12" s="18" t="s">
        <v>2237</v>
      </c>
      <c r="B12" s="19" t="s">
        <v>2238</v>
      </c>
      <c r="C12" s="19">
        <v>119738</v>
      </c>
      <c r="D12" s="19">
        <v>15713</v>
      </c>
      <c r="E12" s="23">
        <v>7500</v>
      </c>
      <c r="F12" s="19">
        <v>3977321</v>
      </c>
      <c r="G12" s="19">
        <v>4106352</v>
      </c>
      <c r="H12" s="19">
        <v>1210</v>
      </c>
      <c r="I12" s="19" t="s">
        <v>2235</v>
      </c>
      <c r="J12" s="21">
        <v>45645</v>
      </c>
      <c r="K12" s="21">
        <v>45991</v>
      </c>
      <c r="L12" s="19" t="s">
        <v>2213</v>
      </c>
      <c r="M12" s="22" t="s">
        <v>2239</v>
      </c>
      <c r="N12" s="19" t="s">
        <v>34</v>
      </c>
      <c r="O12" s="19" t="s">
        <v>34</v>
      </c>
      <c r="P12" s="19" t="s">
        <v>34</v>
      </c>
      <c r="Q12" s="19" t="s">
        <v>34</v>
      </c>
      <c r="R12" s="19" t="s">
        <v>34</v>
      </c>
      <c r="S12" s="19" t="s">
        <v>34</v>
      </c>
      <c r="T12" s="19" t="s">
        <v>34</v>
      </c>
      <c r="U12" s="19" t="s">
        <v>34</v>
      </c>
      <c r="V12" s="19" t="s">
        <v>34</v>
      </c>
      <c r="W12" s="19" t="s">
        <v>34</v>
      </c>
      <c r="X12" s="19" t="s">
        <v>40</v>
      </c>
      <c r="Y12" s="19" t="s">
        <v>40</v>
      </c>
      <c r="Z12" s="19" t="s">
        <v>40</v>
      </c>
      <c r="AA12" s="19" t="s">
        <v>40</v>
      </c>
      <c r="AB12" s="19" t="s">
        <v>40</v>
      </c>
      <c r="AC12" s="19" t="s">
        <v>40</v>
      </c>
      <c r="AD12" s="19" t="s">
        <v>40</v>
      </c>
      <c r="AE12" s="19" t="s">
        <v>40</v>
      </c>
      <c r="AF12" s="19"/>
      <c r="AG12" s="19" t="s">
        <v>40</v>
      </c>
      <c r="AH12" s="19" t="s">
        <v>40</v>
      </c>
      <c r="AI12" s="19" t="s">
        <v>40</v>
      </c>
      <c r="AJ12" s="19" t="s">
        <v>44</v>
      </c>
      <c r="AK12" s="19"/>
    </row>
    <row r="13" spans="1:40" hidden="1">
      <c r="A13" s="12" t="s">
        <v>2240</v>
      </c>
      <c r="B13" s="13" t="s">
        <v>2201</v>
      </c>
      <c r="C13" s="14">
        <v>128247</v>
      </c>
      <c r="D13" s="14">
        <v>18060</v>
      </c>
      <c r="E13" s="15">
        <v>8730</v>
      </c>
      <c r="F13" s="14">
        <v>4285976</v>
      </c>
      <c r="G13" s="14">
        <v>4412650</v>
      </c>
      <c r="H13" s="14">
        <v>1210</v>
      </c>
      <c r="I13" s="14" t="s">
        <v>2241</v>
      </c>
      <c r="J13" s="16">
        <v>45992</v>
      </c>
      <c r="K13" s="16" t="s">
        <v>2229</v>
      </c>
      <c r="L13" s="14" t="s">
        <v>2203</v>
      </c>
      <c r="M13" s="17" t="s">
        <v>2239</v>
      </c>
      <c r="N13" s="14"/>
      <c r="O13" s="14"/>
      <c r="P13" s="14"/>
      <c r="Q13" s="14"/>
      <c r="R13" s="14"/>
      <c r="S13" s="14"/>
      <c r="T13" s="14"/>
      <c r="U13" s="14"/>
      <c r="V13" s="14"/>
      <c r="W13" s="14"/>
      <c r="X13" s="14"/>
      <c r="Y13" s="14"/>
      <c r="Z13" s="14"/>
      <c r="AA13" s="14"/>
      <c r="AB13" s="14"/>
      <c r="AC13" s="14"/>
      <c r="AD13" s="14"/>
      <c r="AE13" s="14" t="s">
        <v>34</v>
      </c>
      <c r="AF13" s="14"/>
      <c r="AG13" s="14" t="s">
        <v>34</v>
      </c>
      <c r="AH13" s="14" t="s">
        <v>34</v>
      </c>
      <c r="AI13" s="14" t="s">
        <v>34</v>
      </c>
      <c r="AJ13" s="14" t="s">
        <v>40</v>
      </c>
      <c r="AK13" s="14" t="s">
        <v>40</v>
      </c>
      <c r="AL13" s="14" t="s">
        <v>40</v>
      </c>
      <c r="AM13" s="189" t="s">
        <v>40</v>
      </c>
      <c r="AN13" s="150" t="s">
        <v>48</v>
      </c>
    </row>
    <row r="14" spans="1:40" ht="321" hidden="1">
      <c r="A14" s="12" t="s">
        <v>2242</v>
      </c>
      <c r="B14" s="13" t="s">
        <v>2201</v>
      </c>
      <c r="C14" s="14">
        <v>119950</v>
      </c>
      <c r="D14" s="14">
        <v>15839</v>
      </c>
      <c r="E14" s="15">
        <v>2750</v>
      </c>
      <c r="F14" s="14">
        <v>4002793</v>
      </c>
      <c r="G14" s="14">
        <v>4129082</v>
      </c>
      <c r="H14" s="27" t="s">
        <v>2243</v>
      </c>
      <c r="I14" s="14" t="s">
        <v>2224</v>
      </c>
      <c r="J14" s="16">
        <v>45689</v>
      </c>
      <c r="K14" s="16" t="s">
        <v>2229</v>
      </c>
      <c r="L14" s="14" t="s">
        <v>2213</v>
      </c>
      <c r="M14" s="28" t="s">
        <v>2244</v>
      </c>
      <c r="N14" s="14" t="s">
        <v>34</v>
      </c>
      <c r="O14" s="14" t="s">
        <v>34</v>
      </c>
      <c r="P14" s="14" t="s">
        <v>34</v>
      </c>
      <c r="Q14" s="14" t="s">
        <v>34</v>
      </c>
      <c r="R14" s="14" t="s">
        <v>34</v>
      </c>
      <c r="S14" s="14" t="s">
        <v>34</v>
      </c>
      <c r="T14" s="14" t="s">
        <v>34</v>
      </c>
      <c r="U14" s="14" t="s">
        <v>34</v>
      </c>
      <c r="V14" s="14" t="s">
        <v>34</v>
      </c>
      <c r="W14" s="14" t="s">
        <v>34</v>
      </c>
      <c r="X14" s="14" t="s">
        <v>34</v>
      </c>
      <c r="Y14" s="14" t="s">
        <v>34</v>
      </c>
      <c r="Z14" s="14" t="s">
        <v>40</v>
      </c>
      <c r="AA14" s="14" t="s">
        <v>40</v>
      </c>
      <c r="AB14" s="14" t="s">
        <v>40</v>
      </c>
      <c r="AC14" s="14" t="s">
        <v>40</v>
      </c>
      <c r="AD14" s="14" t="s">
        <v>40</v>
      </c>
      <c r="AE14" s="14" t="s">
        <v>40</v>
      </c>
      <c r="AF14" s="14"/>
      <c r="AG14" s="14" t="s">
        <v>40</v>
      </c>
      <c r="AH14" s="14" t="s">
        <v>40</v>
      </c>
      <c r="AI14" s="14" t="s">
        <v>40</v>
      </c>
      <c r="AJ14" s="14" t="s">
        <v>40</v>
      </c>
      <c r="AK14" s="14" t="s">
        <v>40</v>
      </c>
      <c r="AL14" s="29" t="s">
        <v>40</v>
      </c>
      <c r="AM14" s="249" t="s">
        <v>40</v>
      </c>
      <c r="AN14" s="29" t="s">
        <v>48</v>
      </c>
    </row>
    <row r="15" spans="1:40" ht="30.75" hidden="1">
      <c r="A15" s="12" t="s">
        <v>81</v>
      </c>
      <c r="B15" s="13" t="s">
        <v>2201</v>
      </c>
      <c r="C15" s="14">
        <v>112762</v>
      </c>
      <c r="D15" s="14">
        <v>14442</v>
      </c>
      <c r="E15" s="15">
        <v>29471.02</v>
      </c>
      <c r="F15" s="29">
        <v>4004885</v>
      </c>
      <c r="G15" s="29">
        <v>4131474</v>
      </c>
      <c r="H15" s="30" t="s">
        <v>2245</v>
      </c>
      <c r="I15" s="29" t="s">
        <v>2246</v>
      </c>
      <c r="J15" s="16">
        <v>45292</v>
      </c>
      <c r="K15" s="16">
        <v>46022</v>
      </c>
      <c r="L15" s="14" t="s">
        <v>2247</v>
      </c>
      <c r="M15" s="28" t="s">
        <v>2248</v>
      </c>
      <c r="N15" s="14" t="s">
        <v>34</v>
      </c>
      <c r="O15" s="14" t="s">
        <v>34</v>
      </c>
      <c r="P15" s="14" t="s">
        <v>34</v>
      </c>
      <c r="Q15" s="14" t="s">
        <v>34</v>
      </c>
      <c r="R15" s="14" t="s">
        <v>34</v>
      </c>
      <c r="S15" s="14" t="s">
        <v>34</v>
      </c>
      <c r="T15" s="14" t="s">
        <v>34</v>
      </c>
      <c r="U15" s="14" t="s">
        <v>34</v>
      </c>
      <c r="V15" s="14" t="s">
        <v>34</v>
      </c>
      <c r="W15" s="14" t="s">
        <v>34</v>
      </c>
      <c r="X15" s="14" t="s">
        <v>40</v>
      </c>
      <c r="Y15" s="14" t="s">
        <v>40</v>
      </c>
      <c r="Z15" s="14" t="s">
        <v>40</v>
      </c>
      <c r="AA15" s="14" t="s">
        <v>40</v>
      </c>
      <c r="AB15" s="14" t="s">
        <v>40</v>
      </c>
      <c r="AC15" s="14" t="s">
        <v>40</v>
      </c>
      <c r="AD15" s="14" t="s">
        <v>40</v>
      </c>
      <c r="AE15" s="14" t="s">
        <v>40</v>
      </c>
      <c r="AF15" s="14"/>
      <c r="AG15" s="14" t="s">
        <v>40</v>
      </c>
      <c r="AH15" s="14" t="s">
        <v>40</v>
      </c>
      <c r="AI15" s="14" t="s">
        <v>40</v>
      </c>
      <c r="AJ15" s="14" t="s">
        <v>40</v>
      </c>
      <c r="AK15" s="189" t="s">
        <v>40</v>
      </c>
      <c r="AL15" s="14" t="s">
        <v>40</v>
      </c>
      <c r="AM15" s="14" t="s">
        <v>40</v>
      </c>
      <c r="AN15" s="150"/>
    </row>
    <row r="16" spans="1:40" ht="30.75" hidden="1">
      <c r="A16" s="12" t="s">
        <v>91</v>
      </c>
      <c r="B16" s="13" t="s">
        <v>2201</v>
      </c>
      <c r="C16" s="14">
        <v>120411</v>
      </c>
      <c r="D16" s="14">
        <v>16000</v>
      </c>
      <c r="E16" s="31">
        <v>200</v>
      </c>
      <c r="F16" s="14">
        <v>4039778</v>
      </c>
      <c r="G16" s="14">
        <v>4165984</v>
      </c>
      <c r="H16" s="19" t="s">
        <v>2249</v>
      </c>
      <c r="I16" s="14" t="s">
        <v>1456</v>
      </c>
      <c r="J16" s="32">
        <v>45717</v>
      </c>
      <c r="K16" s="16" t="s">
        <v>2229</v>
      </c>
      <c r="L16" s="14" t="s">
        <v>2203</v>
      </c>
      <c r="M16" s="28" t="s">
        <v>2250</v>
      </c>
      <c r="N16" s="14" t="s">
        <v>34</v>
      </c>
      <c r="O16" s="14" t="s">
        <v>34</v>
      </c>
      <c r="P16" s="14" t="s">
        <v>34</v>
      </c>
      <c r="Q16" s="14" t="s">
        <v>34</v>
      </c>
      <c r="R16" s="14" t="s">
        <v>34</v>
      </c>
      <c r="S16" s="14" t="s">
        <v>34</v>
      </c>
      <c r="T16" s="14" t="s">
        <v>34</v>
      </c>
      <c r="U16" s="14" t="s">
        <v>34</v>
      </c>
      <c r="V16" s="14" t="s">
        <v>34</v>
      </c>
      <c r="W16" s="14" t="s">
        <v>34</v>
      </c>
      <c r="X16" s="14" t="s">
        <v>34</v>
      </c>
      <c r="Y16" s="14" t="s">
        <v>34</v>
      </c>
      <c r="Z16" s="14" t="s">
        <v>34</v>
      </c>
      <c r="AA16" s="14" t="s">
        <v>34</v>
      </c>
      <c r="AB16" s="14" t="s">
        <v>34</v>
      </c>
      <c r="AC16" s="14" t="s">
        <v>34</v>
      </c>
      <c r="AD16" s="14" t="s">
        <v>34</v>
      </c>
      <c r="AE16" s="14" t="s">
        <v>34</v>
      </c>
      <c r="AF16" s="14"/>
      <c r="AG16" s="14" t="s">
        <v>34</v>
      </c>
      <c r="AH16" s="14" t="s">
        <v>34</v>
      </c>
      <c r="AI16" s="14" t="s">
        <v>34</v>
      </c>
      <c r="AJ16" s="14" t="s">
        <v>34</v>
      </c>
      <c r="AK16" s="189" t="s">
        <v>34</v>
      </c>
      <c r="AL16" s="246" t="s">
        <v>40</v>
      </c>
      <c r="AM16" s="246" t="s">
        <v>40</v>
      </c>
      <c r="AN16" s="246" t="s">
        <v>40</v>
      </c>
    </row>
    <row r="17" spans="1:40" ht="30.75" hidden="1">
      <c r="A17" s="12" t="s">
        <v>91</v>
      </c>
      <c r="B17" s="13" t="s">
        <v>2201</v>
      </c>
      <c r="C17" s="14">
        <v>120411</v>
      </c>
      <c r="D17" s="14">
        <v>16000</v>
      </c>
      <c r="E17" s="31">
        <v>210</v>
      </c>
      <c r="F17" s="14">
        <v>4039904</v>
      </c>
      <c r="G17" s="14">
        <v>4165989</v>
      </c>
      <c r="H17" s="19" t="s">
        <v>2249</v>
      </c>
      <c r="I17" s="14" t="s">
        <v>1456</v>
      </c>
      <c r="J17" s="32">
        <v>45717</v>
      </c>
      <c r="K17" s="16" t="s">
        <v>2229</v>
      </c>
      <c r="L17" s="14" t="s">
        <v>2203</v>
      </c>
      <c r="M17" s="28" t="s">
        <v>2251</v>
      </c>
      <c r="N17" s="14" t="s">
        <v>34</v>
      </c>
      <c r="O17" s="14" t="s">
        <v>34</v>
      </c>
      <c r="P17" s="14" t="s">
        <v>34</v>
      </c>
      <c r="Q17" s="14" t="s">
        <v>34</v>
      </c>
      <c r="R17" s="14" t="s">
        <v>34</v>
      </c>
      <c r="S17" s="14" t="s">
        <v>34</v>
      </c>
      <c r="T17" s="14" t="s">
        <v>34</v>
      </c>
      <c r="U17" s="14" t="s">
        <v>34</v>
      </c>
      <c r="V17" s="14" t="s">
        <v>34</v>
      </c>
      <c r="W17" s="14" t="s">
        <v>34</v>
      </c>
      <c r="X17" s="14" t="s">
        <v>34</v>
      </c>
      <c r="Y17" s="14" t="s">
        <v>34</v>
      </c>
      <c r="Z17" s="14" t="s">
        <v>34</v>
      </c>
      <c r="AA17" s="14" t="s">
        <v>34</v>
      </c>
      <c r="AB17" s="14" t="s">
        <v>34</v>
      </c>
      <c r="AC17" s="14" t="s">
        <v>34</v>
      </c>
      <c r="AD17" s="14" t="s">
        <v>34</v>
      </c>
      <c r="AE17" s="14" t="s">
        <v>34</v>
      </c>
      <c r="AF17" s="14"/>
      <c r="AG17" s="14" t="s">
        <v>34</v>
      </c>
      <c r="AH17" s="14" t="s">
        <v>34</v>
      </c>
      <c r="AI17" s="14" t="s">
        <v>34</v>
      </c>
      <c r="AJ17" s="14" t="s">
        <v>34</v>
      </c>
      <c r="AK17" s="189" t="s">
        <v>34</v>
      </c>
      <c r="AL17" s="150" t="s">
        <v>40</v>
      </c>
      <c r="AM17" s="150" t="s">
        <v>40</v>
      </c>
      <c r="AN17" s="150" t="s">
        <v>40</v>
      </c>
    </row>
    <row r="18" spans="1:40" ht="30.75" hidden="1">
      <c r="A18" s="12" t="s">
        <v>91</v>
      </c>
      <c r="B18" s="13" t="s">
        <v>2201</v>
      </c>
      <c r="C18" s="14">
        <v>120411</v>
      </c>
      <c r="D18" s="14">
        <v>16000</v>
      </c>
      <c r="E18" s="31">
        <v>290</v>
      </c>
      <c r="F18" s="14">
        <v>4039909</v>
      </c>
      <c r="G18" s="19"/>
      <c r="H18" s="19" t="s">
        <v>2249</v>
      </c>
      <c r="I18" s="14" t="s">
        <v>1456</v>
      </c>
      <c r="J18" s="32">
        <v>45717</v>
      </c>
      <c r="K18" s="16" t="s">
        <v>2229</v>
      </c>
      <c r="L18" s="14" t="s">
        <v>2203</v>
      </c>
      <c r="M18" s="28" t="s">
        <v>2252</v>
      </c>
      <c r="N18" s="14" t="s">
        <v>34</v>
      </c>
      <c r="O18" s="14" t="s">
        <v>34</v>
      </c>
      <c r="P18" s="14" t="s">
        <v>34</v>
      </c>
      <c r="Q18" s="14" t="s">
        <v>34</v>
      </c>
      <c r="R18" s="14" t="s">
        <v>34</v>
      </c>
      <c r="S18" s="14" t="s">
        <v>34</v>
      </c>
      <c r="T18" s="14" t="s">
        <v>34</v>
      </c>
      <c r="U18" s="14" t="s">
        <v>34</v>
      </c>
      <c r="V18" s="14" t="s">
        <v>34</v>
      </c>
      <c r="W18" s="14" t="s">
        <v>34</v>
      </c>
      <c r="X18" s="14" t="s">
        <v>34</v>
      </c>
      <c r="Y18" s="14" t="s">
        <v>34</v>
      </c>
      <c r="Z18" s="14" t="s">
        <v>34</v>
      </c>
      <c r="AA18" s="14" t="s">
        <v>34</v>
      </c>
      <c r="AB18" s="14" t="s">
        <v>34</v>
      </c>
      <c r="AC18" s="14" t="s">
        <v>34</v>
      </c>
      <c r="AD18" s="14" t="s">
        <v>34</v>
      </c>
      <c r="AE18" s="14" t="s">
        <v>34</v>
      </c>
      <c r="AF18" s="14"/>
      <c r="AG18" s="14" t="s">
        <v>34</v>
      </c>
      <c r="AH18" s="14" t="s">
        <v>34</v>
      </c>
      <c r="AI18" s="14" t="s">
        <v>34</v>
      </c>
      <c r="AJ18" s="14" t="s">
        <v>34</v>
      </c>
      <c r="AK18" s="189" t="s">
        <v>34</v>
      </c>
      <c r="AL18" s="150" t="s">
        <v>40</v>
      </c>
      <c r="AM18" s="150" t="s">
        <v>40</v>
      </c>
      <c r="AN18" s="150" t="s">
        <v>40</v>
      </c>
    </row>
    <row r="19" spans="1:40" ht="69" hidden="1" customHeight="1">
      <c r="A19" s="12" t="s">
        <v>2253</v>
      </c>
      <c r="B19" s="13" t="s">
        <v>2201</v>
      </c>
      <c r="C19" s="14">
        <v>121666</v>
      </c>
      <c r="D19" s="14">
        <v>16242</v>
      </c>
      <c r="E19" s="15">
        <v>27196.67</v>
      </c>
      <c r="F19" s="14">
        <v>4083066</v>
      </c>
      <c r="G19" s="33">
        <v>4206828</v>
      </c>
      <c r="H19" s="27">
        <v>1210</v>
      </c>
      <c r="I19" s="14" t="s">
        <v>2241</v>
      </c>
      <c r="J19" s="16">
        <v>45717</v>
      </c>
      <c r="K19" s="16">
        <v>46813</v>
      </c>
      <c r="L19" s="14" t="s">
        <v>2254</v>
      </c>
      <c r="M19" s="28" t="s">
        <v>2255</v>
      </c>
      <c r="N19" s="14" t="s">
        <v>34</v>
      </c>
      <c r="O19" s="14" t="s">
        <v>34</v>
      </c>
      <c r="P19" s="14" t="s">
        <v>34</v>
      </c>
      <c r="Q19" s="14" t="s">
        <v>34</v>
      </c>
      <c r="R19" s="14" t="s">
        <v>34</v>
      </c>
      <c r="S19" s="14" t="s">
        <v>34</v>
      </c>
      <c r="T19" s="14" t="s">
        <v>34</v>
      </c>
      <c r="U19" s="14" t="s">
        <v>34</v>
      </c>
      <c r="V19" s="14" t="s">
        <v>34</v>
      </c>
      <c r="W19" s="14" t="s">
        <v>34</v>
      </c>
      <c r="X19" s="14" t="s">
        <v>34</v>
      </c>
      <c r="Y19" s="14" t="s">
        <v>34</v>
      </c>
      <c r="Z19" s="14" t="s">
        <v>34</v>
      </c>
      <c r="AA19" s="14" t="s">
        <v>34</v>
      </c>
      <c r="AB19" s="14" t="s">
        <v>40</v>
      </c>
      <c r="AC19" s="14" t="s">
        <v>40</v>
      </c>
      <c r="AD19" s="14" t="s">
        <v>40</v>
      </c>
      <c r="AE19" s="14" t="s">
        <v>40</v>
      </c>
      <c r="AF19" s="14"/>
      <c r="AG19" s="14" t="s">
        <v>40</v>
      </c>
      <c r="AH19" s="14" t="s">
        <v>40</v>
      </c>
      <c r="AI19" s="14" t="s">
        <v>40</v>
      </c>
      <c r="AJ19" s="14" t="s">
        <v>40</v>
      </c>
      <c r="AK19" s="14"/>
      <c r="AM19" s="150" t="s">
        <v>40</v>
      </c>
      <c r="AN19" s="150" t="s">
        <v>40</v>
      </c>
    </row>
    <row r="20" spans="1:40" ht="30.75">
      <c r="A20" s="12" t="s">
        <v>2256</v>
      </c>
      <c r="B20" s="13" t="s">
        <v>2201</v>
      </c>
      <c r="C20" s="14">
        <v>122708</v>
      </c>
      <c r="D20" s="14">
        <v>16445</v>
      </c>
      <c r="E20" s="15">
        <v>4550</v>
      </c>
      <c r="F20" s="14">
        <v>4125154</v>
      </c>
      <c r="G20" s="33">
        <v>4245451</v>
      </c>
      <c r="H20" s="19" t="s">
        <v>2249</v>
      </c>
      <c r="I20" s="14" t="s">
        <v>2257</v>
      </c>
      <c r="J20" s="16">
        <v>45805</v>
      </c>
      <c r="K20" s="16" t="s">
        <v>2229</v>
      </c>
      <c r="L20" s="14"/>
      <c r="M20" s="28" t="s">
        <v>2258</v>
      </c>
      <c r="N20" s="14" t="s">
        <v>34</v>
      </c>
      <c r="O20" s="14" t="s">
        <v>34</v>
      </c>
      <c r="P20" s="14" t="s">
        <v>34</v>
      </c>
      <c r="Q20" s="14" t="s">
        <v>34</v>
      </c>
      <c r="R20" s="14" t="s">
        <v>34</v>
      </c>
      <c r="S20" s="14" t="s">
        <v>34</v>
      </c>
      <c r="T20" s="14" t="s">
        <v>34</v>
      </c>
      <c r="U20" s="14" t="s">
        <v>34</v>
      </c>
      <c r="V20" s="14" t="s">
        <v>34</v>
      </c>
      <c r="W20" s="14" t="s">
        <v>34</v>
      </c>
      <c r="X20" s="14" t="s">
        <v>34</v>
      </c>
      <c r="Y20" s="14" t="s">
        <v>34</v>
      </c>
      <c r="Z20" s="14" t="s">
        <v>34</v>
      </c>
      <c r="AA20" s="14" t="s">
        <v>34</v>
      </c>
      <c r="AB20" s="14" t="s">
        <v>34</v>
      </c>
      <c r="AC20" s="14" t="s">
        <v>34</v>
      </c>
      <c r="AD20" s="14" t="s">
        <v>34</v>
      </c>
      <c r="AE20" s="14" t="s">
        <v>34</v>
      </c>
      <c r="AF20" s="14"/>
      <c r="AG20" s="14" t="s">
        <v>34</v>
      </c>
      <c r="AH20" s="14" t="s">
        <v>34</v>
      </c>
      <c r="AI20" s="14" t="s">
        <v>34</v>
      </c>
      <c r="AJ20" s="14" t="s">
        <v>34</v>
      </c>
      <c r="AK20" s="189" t="s">
        <v>34</v>
      </c>
      <c r="AL20" s="14" t="s">
        <v>34</v>
      </c>
      <c r="AM20" s="150" t="s">
        <v>40</v>
      </c>
      <c r="AN20" s="150" t="s">
        <v>40</v>
      </c>
    </row>
    <row r="21" spans="1:40" ht="30.75">
      <c r="A21" s="12" t="s">
        <v>2256</v>
      </c>
      <c r="B21" s="13" t="s">
        <v>2201</v>
      </c>
      <c r="C21" s="14">
        <v>122708</v>
      </c>
      <c r="D21" s="14">
        <v>16445</v>
      </c>
      <c r="E21" s="15">
        <v>6150</v>
      </c>
      <c r="F21" s="14">
        <v>4125189</v>
      </c>
      <c r="G21" s="33">
        <v>4245547</v>
      </c>
      <c r="H21" s="19" t="s">
        <v>2249</v>
      </c>
      <c r="I21" s="14" t="s">
        <v>2257</v>
      </c>
      <c r="J21" s="16">
        <v>45805</v>
      </c>
      <c r="K21" s="16" t="s">
        <v>2229</v>
      </c>
      <c r="L21" s="14"/>
      <c r="M21" s="28" t="s">
        <v>2259</v>
      </c>
      <c r="N21" s="14" t="s">
        <v>34</v>
      </c>
      <c r="O21" s="14" t="s">
        <v>34</v>
      </c>
      <c r="P21" s="14" t="s">
        <v>34</v>
      </c>
      <c r="Q21" s="14" t="s">
        <v>34</v>
      </c>
      <c r="R21" s="14" t="s">
        <v>34</v>
      </c>
      <c r="S21" s="14" t="s">
        <v>34</v>
      </c>
      <c r="T21" s="14" t="s">
        <v>34</v>
      </c>
      <c r="U21" s="14" t="s">
        <v>34</v>
      </c>
      <c r="V21" s="14" t="s">
        <v>34</v>
      </c>
      <c r="W21" s="14" t="s">
        <v>34</v>
      </c>
      <c r="X21" s="14" t="s">
        <v>34</v>
      </c>
      <c r="Y21" s="14" t="s">
        <v>34</v>
      </c>
      <c r="Z21" s="14" t="s">
        <v>34</v>
      </c>
      <c r="AA21" s="14" t="s">
        <v>34</v>
      </c>
      <c r="AB21" s="14" t="s">
        <v>34</v>
      </c>
      <c r="AC21" s="14" t="s">
        <v>34</v>
      </c>
      <c r="AD21" s="14" t="s">
        <v>34</v>
      </c>
      <c r="AE21" s="14" t="s">
        <v>34</v>
      </c>
      <c r="AF21" s="14"/>
      <c r="AG21" s="14" t="s">
        <v>34</v>
      </c>
      <c r="AH21" s="14" t="s">
        <v>34</v>
      </c>
      <c r="AI21" s="14" t="s">
        <v>34</v>
      </c>
      <c r="AJ21" s="14" t="s">
        <v>34</v>
      </c>
      <c r="AK21" s="189" t="s">
        <v>34</v>
      </c>
      <c r="AL21" s="14" t="s">
        <v>34</v>
      </c>
      <c r="AM21" s="150" t="s">
        <v>40</v>
      </c>
      <c r="AN21" s="150" t="s">
        <v>40</v>
      </c>
    </row>
    <row r="22" spans="1:40" ht="137.25">
      <c r="A22" s="12" t="s">
        <v>2256</v>
      </c>
      <c r="B22" s="13" t="s">
        <v>2201</v>
      </c>
      <c r="C22" s="14">
        <v>122708</v>
      </c>
      <c r="D22" s="14">
        <v>16445</v>
      </c>
      <c r="E22" s="34" t="s">
        <v>2260</v>
      </c>
      <c r="F22" s="14">
        <v>4125235</v>
      </c>
      <c r="G22" s="33">
        <v>4245557</v>
      </c>
      <c r="H22" s="19" t="s">
        <v>2249</v>
      </c>
      <c r="I22" s="14" t="s">
        <v>2257</v>
      </c>
      <c r="J22" s="16">
        <v>45805</v>
      </c>
      <c r="K22" s="16" t="s">
        <v>2229</v>
      </c>
      <c r="L22" s="14"/>
      <c r="M22" s="28" t="s">
        <v>2261</v>
      </c>
      <c r="N22" s="14" t="s">
        <v>34</v>
      </c>
      <c r="O22" s="14" t="s">
        <v>34</v>
      </c>
      <c r="P22" s="14" t="s">
        <v>34</v>
      </c>
      <c r="Q22" s="14" t="s">
        <v>34</v>
      </c>
      <c r="R22" s="14" t="s">
        <v>34</v>
      </c>
      <c r="S22" s="14" t="s">
        <v>34</v>
      </c>
      <c r="T22" s="14" t="s">
        <v>34</v>
      </c>
      <c r="U22" s="14" t="s">
        <v>34</v>
      </c>
      <c r="V22" s="14" t="s">
        <v>34</v>
      </c>
      <c r="W22" s="14" t="s">
        <v>34</v>
      </c>
      <c r="X22" s="14" t="s">
        <v>34</v>
      </c>
      <c r="Y22" s="14" t="s">
        <v>34</v>
      </c>
      <c r="Z22" s="14" t="s">
        <v>34</v>
      </c>
      <c r="AA22" s="14" t="s">
        <v>34</v>
      </c>
      <c r="AB22" s="14" t="s">
        <v>34</v>
      </c>
      <c r="AC22" s="14" t="s">
        <v>34</v>
      </c>
      <c r="AD22" s="14" t="s">
        <v>34</v>
      </c>
      <c r="AE22" s="14" t="s">
        <v>34</v>
      </c>
      <c r="AF22" s="14"/>
      <c r="AG22" s="14" t="s">
        <v>34</v>
      </c>
      <c r="AH22" s="14" t="s">
        <v>34</v>
      </c>
      <c r="AI22" s="14" t="s">
        <v>34</v>
      </c>
      <c r="AJ22" s="14" t="s">
        <v>34</v>
      </c>
      <c r="AK22" s="189" t="s">
        <v>34</v>
      </c>
      <c r="AL22" s="14" t="s">
        <v>34</v>
      </c>
      <c r="AM22" s="150" t="s">
        <v>40</v>
      </c>
      <c r="AN22" s="150" t="s">
        <v>40</v>
      </c>
    </row>
    <row r="23" spans="1:40">
      <c r="A23" s="12" t="s">
        <v>2256</v>
      </c>
      <c r="B23" s="13" t="s">
        <v>2201</v>
      </c>
      <c r="C23" s="14">
        <v>122708</v>
      </c>
      <c r="D23" s="14">
        <v>16445</v>
      </c>
      <c r="E23" s="34"/>
      <c r="F23" s="27">
        <v>4168151</v>
      </c>
      <c r="G23" s="33">
        <v>4324442</v>
      </c>
      <c r="H23" s="19" t="s">
        <v>2249</v>
      </c>
      <c r="I23" s="14" t="s">
        <v>2257</v>
      </c>
      <c r="J23" s="16">
        <v>45875</v>
      </c>
      <c r="K23" s="16" t="s">
        <v>2229</v>
      </c>
      <c r="L23" s="14"/>
      <c r="M23" s="287" t="s">
        <v>2262</v>
      </c>
      <c r="N23" s="14" t="s">
        <v>34</v>
      </c>
      <c r="O23" s="14" t="s">
        <v>34</v>
      </c>
      <c r="P23" s="14" t="s">
        <v>34</v>
      </c>
      <c r="Q23" s="14" t="s">
        <v>34</v>
      </c>
      <c r="R23" s="14" t="s">
        <v>34</v>
      </c>
      <c r="S23" s="14" t="s">
        <v>34</v>
      </c>
      <c r="T23" s="14" t="s">
        <v>34</v>
      </c>
      <c r="U23" s="14" t="s">
        <v>34</v>
      </c>
      <c r="V23" s="14" t="s">
        <v>34</v>
      </c>
      <c r="W23" s="14" t="s">
        <v>34</v>
      </c>
      <c r="X23" s="14" t="s">
        <v>34</v>
      </c>
      <c r="Y23" s="14" t="s">
        <v>34</v>
      </c>
      <c r="Z23" s="14" t="s">
        <v>34</v>
      </c>
      <c r="AA23" s="14" t="s">
        <v>34</v>
      </c>
      <c r="AB23" s="14" t="s">
        <v>34</v>
      </c>
      <c r="AC23" s="14" t="s">
        <v>34</v>
      </c>
      <c r="AD23" s="14" t="s">
        <v>34</v>
      </c>
      <c r="AE23" s="14" t="s">
        <v>34</v>
      </c>
      <c r="AF23" s="14"/>
      <c r="AG23" s="14" t="s">
        <v>34</v>
      </c>
      <c r="AH23" s="14" t="s">
        <v>34</v>
      </c>
      <c r="AI23" s="14" t="s">
        <v>34</v>
      </c>
      <c r="AJ23" s="14" t="s">
        <v>34</v>
      </c>
      <c r="AK23" s="189" t="s">
        <v>34</v>
      </c>
      <c r="AL23" s="29" t="s">
        <v>34</v>
      </c>
      <c r="AM23" s="150" t="s">
        <v>40</v>
      </c>
      <c r="AN23" s="150" t="s">
        <v>40</v>
      </c>
    </row>
    <row r="24" spans="1:40" ht="76.5" hidden="1">
      <c r="A24" s="12" t="s">
        <v>2263</v>
      </c>
      <c r="B24" s="13" t="s">
        <v>2201</v>
      </c>
      <c r="C24" s="14">
        <v>128212</v>
      </c>
      <c r="D24" s="14">
        <v>18036</v>
      </c>
      <c r="E24" s="34" t="s">
        <v>2264</v>
      </c>
      <c r="F24" s="14">
        <v>4264873</v>
      </c>
      <c r="G24" s="33">
        <v>4412622</v>
      </c>
      <c r="H24" s="19" t="s">
        <v>2249</v>
      </c>
      <c r="I24" s="14" t="s">
        <v>1456</v>
      </c>
      <c r="J24" s="16">
        <v>45946</v>
      </c>
      <c r="K24" s="16" t="s">
        <v>2229</v>
      </c>
      <c r="L24" s="14" t="s">
        <v>2254</v>
      </c>
      <c r="M24" s="28" t="s">
        <v>2265</v>
      </c>
      <c r="N24" s="14"/>
      <c r="O24" s="14"/>
      <c r="P24" s="14"/>
      <c r="Q24" s="14"/>
      <c r="R24" s="14"/>
      <c r="S24" s="14"/>
      <c r="T24" s="14"/>
      <c r="U24" s="14"/>
      <c r="V24" s="14"/>
      <c r="W24" s="14"/>
      <c r="X24" s="14"/>
      <c r="Y24" s="14"/>
      <c r="Z24" s="14"/>
      <c r="AA24" s="14"/>
      <c r="AB24" s="14"/>
      <c r="AC24" s="14"/>
      <c r="AD24" s="14"/>
      <c r="AE24" s="14" t="s">
        <v>34</v>
      </c>
      <c r="AF24" s="14"/>
      <c r="AG24" s="14" t="s">
        <v>34</v>
      </c>
      <c r="AH24" s="14" t="s">
        <v>34</v>
      </c>
      <c r="AI24" s="14" t="s">
        <v>34</v>
      </c>
      <c r="AJ24" s="14" t="s">
        <v>34</v>
      </c>
      <c r="AK24" s="189" t="s">
        <v>34</v>
      </c>
      <c r="AL24" s="150" t="s">
        <v>40</v>
      </c>
      <c r="AM24" s="150" t="s">
        <v>40</v>
      </c>
      <c r="AN24" s="150" t="s">
        <v>40</v>
      </c>
    </row>
    <row r="27" spans="1:40">
      <c r="AK27" t="s">
        <v>1017</v>
      </c>
    </row>
  </sheetData>
  <autoFilter ref="A1:AK24" xr:uid="{00000000-0009-0000-0000-000003000000}">
    <filterColumn colId="0">
      <filters>
        <filter val="DR AMBIENTAL"/>
      </filters>
    </filterColumn>
  </autoFilter>
  <conditionalFormatting sqref="F23">
    <cfRule type="duplicateValues" dxfId="256"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379"/>
  <sheetViews>
    <sheetView showGridLines="0" workbookViewId="0">
      <pane ySplit="1" topLeftCell="A78" activePane="bottomLeft" state="frozen"/>
      <selection pane="bottomLeft" activeCell="L277" sqref="L277"/>
    </sheetView>
  </sheetViews>
  <sheetFormatPr defaultRowHeight="15"/>
  <cols>
    <col min="1" max="2" width="10.5703125" style="1" customWidth="1"/>
    <col min="3" max="3" width="64" style="61" customWidth="1"/>
    <col min="4" max="4" width="21.42578125" style="1" customWidth="1"/>
    <col min="5" max="5" width="11" style="1" customWidth="1"/>
    <col min="6" max="6" width="13.85546875" style="1" customWidth="1"/>
    <col min="7" max="7" width="11.28515625" style="1" customWidth="1"/>
    <col min="8" max="8" width="15.140625" style="1" customWidth="1"/>
    <col min="9" max="10" width="10.7109375" style="1" customWidth="1"/>
    <col min="11" max="11" width="20.42578125" style="1" customWidth="1"/>
    <col min="12" max="12" width="22.28515625" style="1" customWidth="1"/>
    <col min="13" max="13" width="9.140625" style="1"/>
    <col min="14" max="14" width="16.140625" style="1" customWidth="1"/>
    <col min="15" max="16" width="17.7109375" style="1" customWidth="1"/>
    <col min="17" max="17" width="27.28515625" customWidth="1"/>
  </cols>
  <sheetData>
    <row r="1" spans="1:17" ht="40.5">
      <c r="A1" s="47" t="s">
        <v>17</v>
      </c>
      <c r="B1" s="47" t="s">
        <v>19</v>
      </c>
      <c r="C1" s="47" t="s">
        <v>8</v>
      </c>
      <c r="D1" s="47" t="s">
        <v>2266</v>
      </c>
      <c r="E1" s="47" t="s">
        <v>24</v>
      </c>
      <c r="F1" s="47" t="s">
        <v>2267</v>
      </c>
      <c r="G1" s="48" t="s">
        <v>2268</v>
      </c>
      <c r="H1" s="49" t="s">
        <v>2269</v>
      </c>
      <c r="I1" s="47" t="s">
        <v>2270</v>
      </c>
      <c r="J1" s="47" t="s">
        <v>2271</v>
      </c>
      <c r="K1" s="47" t="s">
        <v>2272</v>
      </c>
      <c r="L1" s="47" t="s">
        <v>2194</v>
      </c>
      <c r="M1" s="47" t="s">
        <v>2273</v>
      </c>
      <c r="N1" s="47" t="s">
        <v>29</v>
      </c>
      <c r="O1" s="47" t="s">
        <v>2274</v>
      </c>
      <c r="P1" s="47" t="s">
        <v>2275</v>
      </c>
      <c r="Q1" s="47" t="s">
        <v>2276</v>
      </c>
    </row>
    <row r="2" spans="1:17" ht="45" hidden="1">
      <c r="A2" s="27">
        <v>3590944</v>
      </c>
      <c r="B2" s="27">
        <v>3738200</v>
      </c>
      <c r="C2" s="25" t="s">
        <v>2277</v>
      </c>
      <c r="D2" s="27" t="s">
        <v>2278</v>
      </c>
      <c r="E2" s="27" t="s">
        <v>48</v>
      </c>
      <c r="F2" s="27" t="s">
        <v>2279</v>
      </c>
      <c r="G2" s="27" t="s">
        <v>44</v>
      </c>
      <c r="H2" s="70">
        <v>3928.66</v>
      </c>
      <c r="I2" s="50">
        <v>45274</v>
      </c>
      <c r="J2" s="50">
        <v>45286</v>
      </c>
      <c r="K2" s="27">
        <v>444542</v>
      </c>
      <c r="L2" s="39" t="s">
        <v>2280</v>
      </c>
      <c r="M2" s="52">
        <v>153</v>
      </c>
      <c r="N2" s="68" t="s">
        <v>2281</v>
      </c>
      <c r="O2" s="27" t="s">
        <v>34</v>
      </c>
      <c r="P2" s="63"/>
    </row>
    <row r="3" spans="1:17" ht="45" hidden="1">
      <c r="A3" s="27">
        <v>3590965</v>
      </c>
      <c r="B3" s="27">
        <v>3738201</v>
      </c>
      <c r="C3" s="25" t="s">
        <v>2277</v>
      </c>
      <c r="D3" s="27" t="s">
        <v>2278</v>
      </c>
      <c r="E3" s="27" t="s">
        <v>48</v>
      </c>
      <c r="F3" s="27" t="s">
        <v>2279</v>
      </c>
      <c r="G3" s="27" t="s">
        <v>44</v>
      </c>
      <c r="H3" s="70">
        <v>3928.66</v>
      </c>
      <c r="I3" s="50">
        <v>45274</v>
      </c>
      <c r="J3" s="50">
        <v>45286</v>
      </c>
      <c r="K3" s="27">
        <v>444520</v>
      </c>
      <c r="L3" s="39" t="s">
        <v>2280</v>
      </c>
      <c r="M3" s="52">
        <v>153</v>
      </c>
      <c r="N3" s="68" t="s">
        <v>2281</v>
      </c>
      <c r="O3" s="27" t="s">
        <v>34</v>
      </c>
      <c r="P3" s="63"/>
    </row>
    <row r="4" spans="1:17" ht="45" hidden="1">
      <c r="A4" s="27">
        <v>3619858</v>
      </c>
      <c r="B4" s="27">
        <v>3766711</v>
      </c>
      <c r="C4" s="25" t="s">
        <v>2277</v>
      </c>
      <c r="D4" s="27" t="s">
        <v>2278</v>
      </c>
      <c r="E4" s="27" t="s">
        <v>48</v>
      </c>
      <c r="F4" s="27" t="s">
        <v>2279</v>
      </c>
      <c r="G4" s="27" t="s">
        <v>44</v>
      </c>
      <c r="H4" s="70">
        <v>3928.66</v>
      </c>
      <c r="I4" s="50">
        <v>45309</v>
      </c>
      <c r="J4" s="50">
        <v>45315</v>
      </c>
      <c r="K4" s="27">
        <v>450446</v>
      </c>
      <c r="L4" s="39" t="s">
        <v>2280</v>
      </c>
      <c r="M4" s="52">
        <v>153</v>
      </c>
      <c r="N4" s="68" t="s">
        <v>2281</v>
      </c>
      <c r="O4" s="27" t="s">
        <v>2282</v>
      </c>
      <c r="P4" s="63"/>
    </row>
    <row r="5" spans="1:17" ht="45" hidden="1">
      <c r="A5" s="27">
        <v>3619858</v>
      </c>
      <c r="B5" s="27">
        <v>3738201</v>
      </c>
      <c r="C5" s="25" t="s">
        <v>2277</v>
      </c>
      <c r="D5" s="27" t="s">
        <v>2278</v>
      </c>
      <c r="E5" s="27" t="s">
        <v>40</v>
      </c>
      <c r="F5" s="27" t="s">
        <v>2279</v>
      </c>
      <c r="G5" s="27" t="s">
        <v>44</v>
      </c>
      <c r="H5" s="70">
        <v>3928.66</v>
      </c>
      <c r="I5" s="50">
        <v>45341</v>
      </c>
      <c r="J5" s="50">
        <v>45343</v>
      </c>
      <c r="K5" s="27">
        <v>456508</v>
      </c>
      <c r="L5" s="39" t="s">
        <v>2280</v>
      </c>
      <c r="M5" s="52">
        <v>153</v>
      </c>
      <c r="N5" s="68" t="s">
        <v>2281</v>
      </c>
      <c r="O5" s="27" t="s">
        <v>2283</v>
      </c>
      <c r="P5" s="63"/>
    </row>
    <row r="6" spans="1:17" ht="45" hidden="1">
      <c r="A6" s="27">
        <v>3619858</v>
      </c>
      <c r="B6" s="27">
        <v>3738201</v>
      </c>
      <c r="C6" s="25" t="s">
        <v>2277</v>
      </c>
      <c r="D6" s="27" t="s">
        <v>2278</v>
      </c>
      <c r="E6" s="27" t="s">
        <v>40</v>
      </c>
      <c r="F6" s="27" t="s">
        <v>2279</v>
      </c>
      <c r="G6" s="27" t="s">
        <v>44</v>
      </c>
      <c r="H6" s="70">
        <v>3928.66</v>
      </c>
      <c r="I6" s="50">
        <v>45369</v>
      </c>
      <c r="J6" s="50">
        <v>45370</v>
      </c>
      <c r="K6" s="27">
        <v>462968</v>
      </c>
      <c r="L6" s="39" t="s">
        <v>2280</v>
      </c>
      <c r="M6" s="52">
        <v>153</v>
      </c>
      <c r="N6" s="68" t="s">
        <v>2281</v>
      </c>
      <c r="O6" s="27" t="s">
        <v>2283</v>
      </c>
      <c r="P6" s="63"/>
    </row>
    <row r="7" spans="1:17" ht="45" hidden="1">
      <c r="A7" s="27">
        <v>3619858</v>
      </c>
      <c r="B7" s="27">
        <v>3738201</v>
      </c>
      <c r="C7" s="25" t="s">
        <v>2277</v>
      </c>
      <c r="D7" s="27" t="s">
        <v>2278</v>
      </c>
      <c r="E7" s="27" t="s">
        <v>40</v>
      </c>
      <c r="F7" s="27" t="s">
        <v>2279</v>
      </c>
      <c r="G7" s="27" t="s">
        <v>44</v>
      </c>
      <c r="H7" s="70">
        <v>3928.66</v>
      </c>
      <c r="I7" s="50">
        <v>45400</v>
      </c>
      <c r="J7" s="50">
        <v>45401</v>
      </c>
      <c r="K7" s="27">
        <v>469114</v>
      </c>
      <c r="L7" s="39" t="s">
        <v>2280</v>
      </c>
      <c r="M7" s="52">
        <v>153</v>
      </c>
      <c r="N7" s="68" t="s">
        <v>2281</v>
      </c>
      <c r="O7" s="27" t="s">
        <v>2283</v>
      </c>
      <c r="P7" s="63"/>
    </row>
    <row r="8" spans="1:17" ht="45" hidden="1">
      <c r="A8" s="27">
        <v>3619858</v>
      </c>
      <c r="B8" s="27">
        <v>3766711</v>
      </c>
      <c r="C8" s="25" t="s">
        <v>2277</v>
      </c>
      <c r="D8" s="27" t="s">
        <v>2278</v>
      </c>
      <c r="E8" s="27" t="s">
        <v>40</v>
      </c>
      <c r="F8" s="27" t="s">
        <v>2279</v>
      </c>
      <c r="G8" s="27" t="s">
        <v>44</v>
      </c>
      <c r="H8" s="70">
        <v>3928.66</v>
      </c>
      <c r="I8" s="50">
        <v>45433</v>
      </c>
      <c r="J8" s="50">
        <v>45433</v>
      </c>
      <c r="K8" s="27">
        <v>475875</v>
      </c>
      <c r="L8" s="39" t="s">
        <v>2280</v>
      </c>
      <c r="M8" s="52">
        <v>153</v>
      </c>
      <c r="N8" s="68" t="s">
        <v>2281</v>
      </c>
      <c r="O8" s="27" t="s">
        <v>2283</v>
      </c>
      <c r="P8" s="63"/>
    </row>
    <row r="9" spans="1:17" ht="45" hidden="1">
      <c r="A9" s="27">
        <v>3619858</v>
      </c>
      <c r="B9" s="27">
        <v>3766711</v>
      </c>
      <c r="C9" s="25" t="s">
        <v>2277</v>
      </c>
      <c r="D9" s="27" t="s">
        <v>2278</v>
      </c>
      <c r="E9" s="27" t="s">
        <v>40</v>
      </c>
      <c r="F9" s="27" t="s">
        <v>2279</v>
      </c>
      <c r="G9" s="27" t="s">
        <v>44</v>
      </c>
      <c r="H9" s="70">
        <v>3928.66</v>
      </c>
      <c r="I9" s="50">
        <v>45460</v>
      </c>
      <c r="J9" s="50">
        <v>45461</v>
      </c>
      <c r="K9" s="27">
        <v>482073</v>
      </c>
      <c r="L9" s="39" t="s">
        <v>2280</v>
      </c>
      <c r="M9" s="52">
        <v>153</v>
      </c>
      <c r="N9" s="68" t="s">
        <v>2281</v>
      </c>
      <c r="O9" s="27" t="s">
        <v>2283</v>
      </c>
      <c r="P9" s="63"/>
    </row>
    <row r="10" spans="1:17" ht="45" hidden="1">
      <c r="A10" s="27">
        <v>3619858</v>
      </c>
      <c r="B10" s="27">
        <v>3766711</v>
      </c>
      <c r="C10" s="25" t="s">
        <v>2277</v>
      </c>
      <c r="D10" s="27" t="s">
        <v>2278</v>
      </c>
      <c r="E10" s="27" t="s">
        <v>40</v>
      </c>
      <c r="F10" s="27" t="s">
        <v>2279</v>
      </c>
      <c r="G10" s="27" t="s">
        <v>44</v>
      </c>
      <c r="H10" s="72">
        <v>3928.66</v>
      </c>
      <c r="I10" s="50">
        <v>45483</v>
      </c>
      <c r="J10" s="50">
        <v>45484</v>
      </c>
      <c r="K10" s="27">
        <v>487246</v>
      </c>
      <c r="L10" s="39" t="s">
        <v>2280</v>
      </c>
      <c r="M10" s="52">
        <v>153</v>
      </c>
      <c r="N10" s="68" t="s">
        <v>2281</v>
      </c>
      <c r="O10" s="27" t="s">
        <v>2283</v>
      </c>
      <c r="P10" s="63"/>
    </row>
    <row r="11" spans="1:17" ht="45" hidden="1">
      <c r="A11" s="27">
        <v>3619858</v>
      </c>
      <c r="B11" s="27">
        <v>3766711</v>
      </c>
      <c r="C11" s="25" t="s">
        <v>2277</v>
      </c>
      <c r="D11" s="27" t="s">
        <v>2278</v>
      </c>
      <c r="E11" s="27" t="s">
        <v>40</v>
      </c>
      <c r="F11" s="27" t="s">
        <v>2279</v>
      </c>
      <c r="G11" s="27" t="s">
        <v>44</v>
      </c>
      <c r="H11" s="72">
        <v>3928.66</v>
      </c>
      <c r="I11" s="50">
        <v>45516</v>
      </c>
      <c r="J11" s="50">
        <v>45519</v>
      </c>
      <c r="K11" s="27">
        <v>494248</v>
      </c>
      <c r="L11" s="39" t="s">
        <v>2280</v>
      </c>
      <c r="M11" s="52">
        <v>153</v>
      </c>
      <c r="N11" s="68" t="s">
        <v>2281</v>
      </c>
      <c r="O11" s="27" t="s">
        <v>2283</v>
      </c>
      <c r="P11" s="63"/>
    </row>
    <row r="12" spans="1:17" ht="45" hidden="1">
      <c r="A12" s="27">
        <v>3619858</v>
      </c>
      <c r="B12" s="27">
        <v>3766711</v>
      </c>
      <c r="C12" s="25" t="s">
        <v>2277</v>
      </c>
      <c r="D12" s="27" t="s">
        <v>2278</v>
      </c>
      <c r="E12" s="27" t="s">
        <v>40</v>
      </c>
      <c r="F12" s="27" t="s">
        <v>2279</v>
      </c>
      <c r="G12" s="27" t="s">
        <v>44</v>
      </c>
      <c r="H12" s="67">
        <v>3928.66</v>
      </c>
      <c r="I12" s="50">
        <v>45545</v>
      </c>
      <c r="J12" s="50">
        <v>45546</v>
      </c>
      <c r="K12" s="27">
        <v>500234</v>
      </c>
      <c r="L12" s="39" t="s">
        <v>2280</v>
      </c>
      <c r="M12" s="52">
        <v>153</v>
      </c>
      <c r="N12" s="71" t="s">
        <v>2281</v>
      </c>
      <c r="O12" s="27" t="s">
        <v>2283</v>
      </c>
      <c r="P12" s="63"/>
    </row>
    <row r="13" spans="1:17" ht="45" hidden="1">
      <c r="A13" s="27">
        <v>3619858</v>
      </c>
      <c r="B13" s="27">
        <v>3766711</v>
      </c>
      <c r="C13" s="25" t="s">
        <v>2277</v>
      </c>
      <c r="D13" s="27" t="s">
        <v>2278</v>
      </c>
      <c r="E13" s="27" t="s">
        <v>40</v>
      </c>
      <c r="F13" s="27" t="s">
        <v>2279</v>
      </c>
      <c r="G13" s="27" t="s">
        <v>44</v>
      </c>
      <c r="H13" s="67">
        <v>4074.44</v>
      </c>
      <c r="I13" s="50">
        <v>45580</v>
      </c>
      <c r="J13" s="50">
        <v>45582</v>
      </c>
      <c r="K13" s="27">
        <v>508739</v>
      </c>
      <c r="L13" s="39" t="s">
        <v>2280</v>
      </c>
      <c r="M13" s="52">
        <v>153</v>
      </c>
      <c r="N13" s="71" t="s">
        <v>2281</v>
      </c>
      <c r="O13" s="52" t="s">
        <v>2283</v>
      </c>
      <c r="P13" s="200"/>
    </row>
    <row r="14" spans="1:17" ht="45" hidden="1">
      <c r="A14" s="27">
        <v>3619858</v>
      </c>
      <c r="B14" s="27">
        <v>3766711</v>
      </c>
      <c r="C14" s="25" t="s">
        <v>2277</v>
      </c>
      <c r="D14" s="27" t="s">
        <v>2278</v>
      </c>
      <c r="E14" s="27" t="s">
        <v>40</v>
      </c>
      <c r="F14" s="27" t="s">
        <v>2279</v>
      </c>
      <c r="G14" s="27" t="s">
        <v>44</v>
      </c>
      <c r="H14" s="67">
        <v>4074.44</v>
      </c>
      <c r="I14" s="50">
        <v>45607</v>
      </c>
      <c r="J14" s="50">
        <v>45608</v>
      </c>
      <c r="K14" s="27">
        <v>514210</v>
      </c>
      <c r="L14" s="39" t="s">
        <v>2280</v>
      </c>
      <c r="M14" s="52">
        <v>153</v>
      </c>
      <c r="N14" s="68" t="s">
        <v>2281</v>
      </c>
      <c r="O14" s="52" t="s">
        <v>2283</v>
      </c>
      <c r="P14" s="200"/>
    </row>
    <row r="15" spans="1:17" ht="45" hidden="1">
      <c r="A15" s="27">
        <v>3619858</v>
      </c>
      <c r="B15" s="27">
        <v>3766711</v>
      </c>
      <c r="C15" s="25" t="s">
        <v>2277</v>
      </c>
      <c r="D15" s="27" t="s">
        <v>2278</v>
      </c>
      <c r="E15" s="27" t="s">
        <v>40</v>
      </c>
      <c r="F15" s="27" t="s">
        <v>2279</v>
      </c>
      <c r="G15" s="27" t="s">
        <v>44</v>
      </c>
      <c r="H15" s="67">
        <v>4074.44</v>
      </c>
      <c r="I15" s="50">
        <v>45636</v>
      </c>
      <c r="J15" s="50">
        <v>45297</v>
      </c>
      <c r="K15" s="27">
        <v>521397</v>
      </c>
      <c r="L15" s="39" t="s">
        <v>2280</v>
      </c>
      <c r="M15" s="52">
        <v>153</v>
      </c>
      <c r="N15" s="71" t="s">
        <v>2281</v>
      </c>
      <c r="O15" s="52" t="s">
        <v>2283</v>
      </c>
      <c r="P15" s="200"/>
    </row>
    <row r="16" spans="1:17" ht="45" hidden="1">
      <c r="A16" s="27">
        <v>3619858</v>
      </c>
      <c r="B16" s="27">
        <v>3766711</v>
      </c>
      <c r="C16" s="25" t="s">
        <v>2277</v>
      </c>
      <c r="D16" s="27" t="s">
        <v>2278</v>
      </c>
      <c r="E16" s="27" t="s">
        <v>40</v>
      </c>
      <c r="F16" s="27" t="s">
        <v>2279</v>
      </c>
      <c r="G16" s="27" t="s">
        <v>44</v>
      </c>
      <c r="H16" s="67">
        <v>4074.44</v>
      </c>
      <c r="I16" s="50">
        <v>45667</v>
      </c>
      <c r="J16" s="50">
        <v>45668</v>
      </c>
      <c r="K16" s="27">
        <v>527919</v>
      </c>
      <c r="L16" s="39" t="s">
        <v>2280</v>
      </c>
      <c r="M16" s="52">
        <v>153</v>
      </c>
      <c r="N16" s="71" t="s">
        <v>2281</v>
      </c>
      <c r="O16" s="52" t="s">
        <v>2283</v>
      </c>
      <c r="P16" s="200"/>
    </row>
    <row r="17" spans="1:16" ht="45" hidden="1">
      <c r="A17" s="27">
        <v>3619858</v>
      </c>
      <c r="B17" s="27">
        <v>3766711</v>
      </c>
      <c r="C17" s="25" t="s">
        <v>2277</v>
      </c>
      <c r="D17" s="27" t="s">
        <v>2278</v>
      </c>
      <c r="E17" s="27" t="s">
        <v>40</v>
      </c>
      <c r="F17" s="27" t="s">
        <v>2279</v>
      </c>
      <c r="G17" s="27" t="s">
        <v>44</v>
      </c>
      <c r="H17" s="67">
        <v>4074.44</v>
      </c>
      <c r="I17" s="50">
        <v>45698</v>
      </c>
      <c r="J17" s="50">
        <v>45699</v>
      </c>
      <c r="K17" s="27">
        <v>534625</v>
      </c>
      <c r="L17" s="39" t="s">
        <v>2280</v>
      </c>
      <c r="M17" s="52">
        <v>153</v>
      </c>
      <c r="N17" s="73" t="s">
        <v>2281</v>
      </c>
      <c r="O17" s="55" t="s">
        <v>2283</v>
      </c>
      <c r="P17" s="201"/>
    </row>
    <row r="18" spans="1:16" ht="45" hidden="1">
      <c r="A18" s="27">
        <v>3619858</v>
      </c>
      <c r="B18" s="27">
        <v>3766711</v>
      </c>
      <c r="C18" s="25" t="s">
        <v>2277</v>
      </c>
      <c r="D18" s="27" t="s">
        <v>2278</v>
      </c>
      <c r="E18" s="27" t="s">
        <v>40</v>
      </c>
      <c r="F18" s="27" t="s">
        <v>2279</v>
      </c>
      <c r="G18" s="27" t="s">
        <v>44</v>
      </c>
      <c r="H18" s="67">
        <v>4074.44</v>
      </c>
      <c r="I18" s="50">
        <v>45726</v>
      </c>
      <c r="J18" s="50">
        <v>45727</v>
      </c>
      <c r="K18" s="27">
        <v>541743</v>
      </c>
      <c r="L18" s="39" t="s">
        <v>2280</v>
      </c>
      <c r="M18" s="52">
        <v>153</v>
      </c>
      <c r="N18" s="73" t="s">
        <v>2281</v>
      </c>
      <c r="O18" s="55" t="s">
        <v>2283</v>
      </c>
      <c r="P18" s="201"/>
    </row>
    <row r="19" spans="1:16" ht="45" hidden="1">
      <c r="A19" s="27">
        <v>3619858</v>
      </c>
      <c r="B19" s="27">
        <v>3766711</v>
      </c>
      <c r="C19" s="25" t="s">
        <v>2277</v>
      </c>
      <c r="D19" s="27" t="s">
        <v>2278</v>
      </c>
      <c r="E19" s="27" t="s">
        <v>40</v>
      </c>
      <c r="F19" s="27" t="s">
        <v>2279</v>
      </c>
      <c r="G19" s="27" t="s">
        <v>44</v>
      </c>
      <c r="H19" s="67">
        <v>4074.44</v>
      </c>
      <c r="I19" s="50">
        <v>45757</v>
      </c>
      <c r="J19" s="50">
        <v>45759</v>
      </c>
      <c r="K19" s="27">
        <v>549420</v>
      </c>
      <c r="L19" s="39" t="s">
        <v>2280</v>
      </c>
      <c r="M19" s="52">
        <v>153</v>
      </c>
      <c r="N19" s="73" t="s">
        <v>2281</v>
      </c>
      <c r="O19" s="55" t="s">
        <v>2283</v>
      </c>
      <c r="P19" s="201"/>
    </row>
    <row r="20" spans="1:16" ht="45" hidden="1">
      <c r="A20" s="27">
        <v>3619858</v>
      </c>
      <c r="B20" s="27">
        <v>3766711</v>
      </c>
      <c r="C20" s="25" t="s">
        <v>2277</v>
      </c>
      <c r="D20" s="27" t="s">
        <v>2278</v>
      </c>
      <c r="E20" s="27" t="s">
        <v>40</v>
      </c>
      <c r="F20" s="27" t="s">
        <v>2279</v>
      </c>
      <c r="G20" s="27" t="s">
        <v>44</v>
      </c>
      <c r="H20" s="67">
        <v>4074.44</v>
      </c>
      <c r="I20" s="50">
        <v>45789</v>
      </c>
      <c r="J20" s="50">
        <v>45790</v>
      </c>
      <c r="K20" s="57">
        <v>555823</v>
      </c>
      <c r="L20" s="39" t="s">
        <v>2280</v>
      </c>
      <c r="M20" s="52">
        <v>153</v>
      </c>
      <c r="N20" s="73" t="s">
        <v>2281</v>
      </c>
      <c r="O20" s="55" t="s">
        <v>2283</v>
      </c>
      <c r="P20" s="201"/>
    </row>
    <row r="21" spans="1:16" ht="45" hidden="1">
      <c r="A21" s="27">
        <v>3619858</v>
      </c>
      <c r="B21" s="27">
        <v>3766711</v>
      </c>
      <c r="C21" s="25" t="s">
        <v>2277</v>
      </c>
      <c r="D21" s="27" t="s">
        <v>2278</v>
      </c>
      <c r="E21" s="27" t="s">
        <v>40</v>
      </c>
      <c r="F21" s="27" t="s">
        <v>2279</v>
      </c>
      <c r="G21" s="27" t="s">
        <v>44</v>
      </c>
      <c r="H21" s="67">
        <v>4074.44</v>
      </c>
      <c r="I21" s="50">
        <v>45818</v>
      </c>
      <c r="J21" s="50">
        <v>45820</v>
      </c>
      <c r="K21" s="57">
        <v>563897</v>
      </c>
      <c r="L21" s="39" t="s">
        <v>2280</v>
      </c>
      <c r="M21" s="52">
        <v>153</v>
      </c>
      <c r="N21" s="73" t="s">
        <v>2281</v>
      </c>
      <c r="O21" s="27" t="s">
        <v>2282</v>
      </c>
      <c r="P21" s="63"/>
    </row>
    <row r="22" spans="1:16" ht="45" hidden="1">
      <c r="A22" s="27">
        <v>3619858</v>
      </c>
      <c r="B22" s="27">
        <v>3766711</v>
      </c>
      <c r="C22" s="25" t="s">
        <v>2277</v>
      </c>
      <c r="D22" s="27" t="s">
        <v>2278</v>
      </c>
      <c r="E22" s="27" t="s">
        <v>40</v>
      </c>
      <c r="F22" s="27" t="s">
        <v>2279</v>
      </c>
      <c r="G22" s="27" t="s">
        <v>44</v>
      </c>
      <c r="H22" s="67">
        <v>4074.44</v>
      </c>
      <c r="I22" s="50">
        <v>45848</v>
      </c>
      <c r="J22" s="50">
        <v>45849</v>
      </c>
      <c r="K22" s="57">
        <v>571072</v>
      </c>
      <c r="L22" s="39" t="s">
        <v>2280</v>
      </c>
      <c r="M22" s="52">
        <v>153</v>
      </c>
      <c r="N22" s="73" t="s">
        <v>2281</v>
      </c>
      <c r="O22" s="55" t="s">
        <v>2283</v>
      </c>
      <c r="P22" s="201"/>
    </row>
    <row r="23" spans="1:16" ht="45" hidden="1">
      <c r="A23" s="27">
        <v>3619858</v>
      </c>
      <c r="B23" s="27">
        <v>3766711</v>
      </c>
      <c r="C23" s="25" t="s">
        <v>2277</v>
      </c>
      <c r="D23" s="27" t="s">
        <v>2278</v>
      </c>
      <c r="E23" s="27" t="s">
        <v>40</v>
      </c>
      <c r="F23" s="27" t="s">
        <v>2279</v>
      </c>
      <c r="G23" s="27" t="s">
        <v>44</v>
      </c>
      <c r="H23" s="67">
        <v>4074.44</v>
      </c>
      <c r="I23" s="50">
        <v>45880</v>
      </c>
      <c r="J23" s="50">
        <v>45881</v>
      </c>
      <c r="K23" s="57">
        <v>577883</v>
      </c>
      <c r="L23" s="39" t="s">
        <v>2280</v>
      </c>
      <c r="M23" s="52">
        <v>153</v>
      </c>
      <c r="N23" s="73" t="s">
        <v>2281</v>
      </c>
      <c r="O23" s="55" t="s">
        <v>2283</v>
      </c>
      <c r="P23" s="201"/>
    </row>
    <row r="24" spans="1:16" ht="45" hidden="1">
      <c r="A24" s="27">
        <v>3619858</v>
      </c>
      <c r="B24" s="27">
        <v>3766711</v>
      </c>
      <c r="C24" s="25" t="s">
        <v>2277</v>
      </c>
      <c r="D24" s="27" t="s">
        <v>2278</v>
      </c>
      <c r="E24" s="27" t="s">
        <v>40</v>
      </c>
      <c r="F24" s="27" t="s">
        <v>2279</v>
      </c>
      <c r="G24" s="27" t="s">
        <v>44</v>
      </c>
      <c r="H24" s="67">
        <v>4074.44</v>
      </c>
      <c r="I24" s="50">
        <v>45910</v>
      </c>
      <c r="J24" s="50">
        <v>45911</v>
      </c>
      <c r="K24" s="57">
        <v>586291</v>
      </c>
      <c r="L24" s="39" t="s">
        <v>2280</v>
      </c>
      <c r="M24" s="52">
        <v>153</v>
      </c>
      <c r="N24" s="73" t="s">
        <v>2281</v>
      </c>
      <c r="O24" s="55" t="s">
        <v>2283</v>
      </c>
      <c r="P24" s="201"/>
    </row>
    <row r="25" spans="1:16" ht="45" hidden="1">
      <c r="A25" s="27">
        <v>3619858</v>
      </c>
      <c r="B25" s="27">
        <v>3766711</v>
      </c>
      <c r="C25" s="25" t="s">
        <v>2277</v>
      </c>
      <c r="D25" s="27" t="s">
        <v>2278</v>
      </c>
      <c r="E25" s="27" t="s">
        <v>40</v>
      </c>
      <c r="F25" s="27" t="s">
        <v>2279</v>
      </c>
      <c r="G25" s="27" t="s">
        <v>44</v>
      </c>
      <c r="H25" s="67">
        <v>4208.75</v>
      </c>
      <c r="I25" s="50">
        <v>45945</v>
      </c>
      <c r="J25" s="50">
        <v>45947</v>
      </c>
      <c r="K25" s="57">
        <v>594916</v>
      </c>
      <c r="L25" s="39" t="s">
        <v>2280</v>
      </c>
      <c r="M25" s="52">
        <v>153</v>
      </c>
      <c r="N25" s="73" t="s">
        <v>2284</v>
      </c>
      <c r="O25" s="55" t="s">
        <v>2283</v>
      </c>
      <c r="P25" s="201"/>
    </row>
    <row r="26" spans="1:16" ht="30.75" hidden="1">
      <c r="A26" s="30">
        <v>3627916</v>
      </c>
      <c r="B26" s="30">
        <v>3773474</v>
      </c>
      <c r="C26" s="25" t="s">
        <v>2285</v>
      </c>
      <c r="D26" s="27" t="s">
        <v>2286</v>
      </c>
      <c r="E26" s="27" t="s">
        <v>40</v>
      </c>
      <c r="F26" s="27" t="s">
        <v>2287</v>
      </c>
      <c r="G26" s="27" t="s">
        <v>44</v>
      </c>
      <c r="H26" s="70">
        <v>1483.71</v>
      </c>
      <c r="I26" s="50">
        <v>45531</v>
      </c>
      <c r="J26" s="50">
        <v>45532</v>
      </c>
      <c r="K26" s="27">
        <v>86976541</v>
      </c>
      <c r="L26" s="39">
        <v>2488</v>
      </c>
      <c r="M26" s="52">
        <v>153</v>
      </c>
      <c r="N26" s="68" t="s">
        <v>2281</v>
      </c>
      <c r="O26" s="27" t="s">
        <v>2282</v>
      </c>
      <c r="P26" s="63"/>
    </row>
    <row r="27" spans="1:16" ht="30.75" hidden="1">
      <c r="A27" s="27">
        <v>3631801</v>
      </c>
      <c r="B27" s="27">
        <v>3776543</v>
      </c>
      <c r="C27" s="25" t="s">
        <v>2288</v>
      </c>
      <c r="D27" s="27" t="s">
        <v>2286</v>
      </c>
      <c r="E27" s="27" t="s">
        <v>40</v>
      </c>
      <c r="F27" s="27" t="s">
        <v>2287</v>
      </c>
      <c r="G27" s="27" t="s">
        <v>44</v>
      </c>
      <c r="H27" s="70">
        <v>485.26</v>
      </c>
      <c r="I27" s="50">
        <v>45536</v>
      </c>
      <c r="J27" s="50">
        <v>45561</v>
      </c>
      <c r="K27" s="27">
        <v>6017</v>
      </c>
      <c r="L27" s="39">
        <v>2488</v>
      </c>
      <c r="M27" s="52">
        <v>242</v>
      </c>
      <c r="N27" s="68" t="s">
        <v>2281</v>
      </c>
      <c r="O27" s="27" t="s">
        <v>2282</v>
      </c>
      <c r="P27" s="63"/>
    </row>
    <row r="28" spans="1:16" ht="30.75" hidden="1">
      <c r="A28" s="30">
        <v>3627916</v>
      </c>
      <c r="B28" s="30">
        <v>3773474</v>
      </c>
      <c r="C28" s="25" t="s">
        <v>2285</v>
      </c>
      <c r="D28" s="27" t="s">
        <v>2286</v>
      </c>
      <c r="E28" s="27" t="s">
        <v>40</v>
      </c>
      <c r="F28" s="27" t="s">
        <v>2287</v>
      </c>
      <c r="G28" s="27" t="s">
        <v>44</v>
      </c>
      <c r="H28" s="70">
        <v>1483.71</v>
      </c>
      <c r="I28" s="50">
        <v>45562</v>
      </c>
      <c r="J28" s="50">
        <v>45563</v>
      </c>
      <c r="K28" s="27">
        <v>87032521</v>
      </c>
      <c r="L28" s="39">
        <v>2488</v>
      </c>
      <c r="M28" s="52">
        <v>153</v>
      </c>
      <c r="N28" s="68" t="s">
        <v>2281</v>
      </c>
      <c r="O28" s="27" t="s">
        <v>2282</v>
      </c>
      <c r="P28" s="63"/>
    </row>
    <row r="29" spans="1:16" ht="30.75" hidden="1">
      <c r="A29" s="27">
        <v>3631801</v>
      </c>
      <c r="B29" s="27">
        <v>3776543</v>
      </c>
      <c r="C29" s="25" t="s">
        <v>2288</v>
      </c>
      <c r="D29" s="27" t="s">
        <v>2286</v>
      </c>
      <c r="E29" s="27" t="s">
        <v>40</v>
      </c>
      <c r="F29" s="27" t="s">
        <v>2287</v>
      </c>
      <c r="G29" s="27" t="s">
        <v>44</v>
      </c>
      <c r="H29" s="70">
        <v>485.26</v>
      </c>
      <c r="I29" s="50">
        <v>45566</v>
      </c>
      <c r="J29" s="50">
        <v>45576</v>
      </c>
      <c r="K29" s="27">
        <v>6056</v>
      </c>
      <c r="L29" s="39">
        <v>2488</v>
      </c>
      <c r="M29" s="52">
        <v>242</v>
      </c>
      <c r="N29" s="68" t="s">
        <v>2281</v>
      </c>
      <c r="O29" s="27" t="s">
        <v>2282</v>
      </c>
      <c r="P29" s="63"/>
    </row>
    <row r="30" spans="1:16" ht="30.75" hidden="1">
      <c r="A30" s="30">
        <v>3627916</v>
      </c>
      <c r="B30" s="30">
        <v>3773474</v>
      </c>
      <c r="C30" s="25" t="s">
        <v>2285</v>
      </c>
      <c r="D30" s="27" t="s">
        <v>2286</v>
      </c>
      <c r="E30" s="27" t="s">
        <v>40</v>
      </c>
      <c r="F30" s="27" t="s">
        <v>2287</v>
      </c>
      <c r="G30" s="27" t="s">
        <v>44</v>
      </c>
      <c r="H30" s="70">
        <v>1483.71</v>
      </c>
      <c r="I30" s="50">
        <v>45592</v>
      </c>
      <c r="J30" s="50">
        <v>45593</v>
      </c>
      <c r="K30" s="27">
        <v>87081242</v>
      </c>
      <c r="L30" s="39">
        <v>2488</v>
      </c>
      <c r="M30" s="52">
        <v>153</v>
      </c>
      <c r="N30" s="68" t="s">
        <v>2281</v>
      </c>
      <c r="O30" s="27" t="s">
        <v>2282</v>
      </c>
      <c r="P30" s="63"/>
    </row>
    <row r="31" spans="1:16" ht="30.75" hidden="1">
      <c r="A31" s="27">
        <v>3631801</v>
      </c>
      <c r="B31" s="27">
        <v>3776543</v>
      </c>
      <c r="C31" s="25" t="s">
        <v>2288</v>
      </c>
      <c r="D31" s="27" t="s">
        <v>2286</v>
      </c>
      <c r="E31" s="27" t="s">
        <v>40</v>
      </c>
      <c r="F31" s="27" t="s">
        <v>2287</v>
      </c>
      <c r="G31" s="27" t="s">
        <v>44</v>
      </c>
      <c r="H31" s="70">
        <v>485.26</v>
      </c>
      <c r="I31" s="50">
        <v>45597</v>
      </c>
      <c r="J31" s="50">
        <v>45600</v>
      </c>
      <c r="K31" s="27">
        <v>6083</v>
      </c>
      <c r="L31" s="39">
        <v>2488</v>
      </c>
      <c r="M31" s="52">
        <v>242</v>
      </c>
      <c r="N31" s="68" t="s">
        <v>2281</v>
      </c>
      <c r="O31" s="27" t="s">
        <v>2282</v>
      </c>
      <c r="P31" s="63"/>
    </row>
    <row r="32" spans="1:16" ht="30.75" hidden="1">
      <c r="A32" s="30">
        <v>3627916</v>
      </c>
      <c r="B32" s="30">
        <v>3773474</v>
      </c>
      <c r="C32" s="25" t="s">
        <v>2285</v>
      </c>
      <c r="D32" s="27" t="s">
        <v>2286</v>
      </c>
      <c r="E32" s="27" t="s">
        <v>40</v>
      </c>
      <c r="F32" s="27" t="s">
        <v>2287</v>
      </c>
      <c r="G32" s="27" t="s">
        <v>44</v>
      </c>
      <c r="H32" s="70">
        <v>1483.71</v>
      </c>
      <c r="I32" s="50">
        <v>45623</v>
      </c>
      <c r="J32" s="50">
        <v>45624</v>
      </c>
      <c r="K32" s="27">
        <v>87133815</v>
      </c>
      <c r="L32" s="39">
        <v>2488</v>
      </c>
      <c r="M32" s="52">
        <v>153</v>
      </c>
      <c r="N32" s="68" t="s">
        <v>2281</v>
      </c>
      <c r="O32" s="27" t="s">
        <v>2282</v>
      </c>
      <c r="P32" s="63"/>
    </row>
    <row r="33" spans="1:16" ht="30.75" hidden="1">
      <c r="A33" s="27">
        <v>3631801</v>
      </c>
      <c r="B33" s="27">
        <v>3776543</v>
      </c>
      <c r="C33" s="25" t="s">
        <v>2288</v>
      </c>
      <c r="D33" s="27" t="s">
        <v>2286</v>
      </c>
      <c r="E33" s="27" t="s">
        <v>48</v>
      </c>
      <c r="F33" s="27" t="s">
        <v>2287</v>
      </c>
      <c r="G33" s="27" t="s">
        <v>44</v>
      </c>
      <c r="H33" s="70">
        <v>485.26</v>
      </c>
      <c r="I33" s="50">
        <v>45627</v>
      </c>
      <c r="J33" s="50">
        <v>45630</v>
      </c>
      <c r="K33" s="27">
        <v>6119</v>
      </c>
      <c r="L33" s="39">
        <v>2488</v>
      </c>
      <c r="M33" s="52">
        <v>242</v>
      </c>
      <c r="N33" s="73" t="s">
        <v>2281</v>
      </c>
      <c r="O33" s="27" t="s">
        <v>2282</v>
      </c>
      <c r="P33" s="63"/>
    </row>
    <row r="34" spans="1:16" ht="30.75" hidden="1">
      <c r="A34" s="30">
        <v>3627916</v>
      </c>
      <c r="B34" s="30">
        <v>3773474</v>
      </c>
      <c r="C34" s="25" t="s">
        <v>2285</v>
      </c>
      <c r="D34" s="27" t="s">
        <v>2286</v>
      </c>
      <c r="E34" s="27" t="s">
        <v>48</v>
      </c>
      <c r="F34" s="27" t="s">
        <v>2287</v>
      </c>
      <c r="G34" s="27" t="s">
        <v>44</v>
      </c>
      <c r="H34" s="70">
        <v>1483.71</v>
      </c>
      <c r="I34" s="50">
        <v>45653</v>
      </c>
      <c r="J34" s="50">
        <v>45654</v>
      </c>
      <c r="K34" s="27">
        <v>87184486</v>
      </c>
      <c r="L34" s="39">
        <v>2488</v>
      </c>
      <c r="M34" s="52">
        <v>153</v>
      </c>
      <c r="N34" s="73" t="s">
        <v>2281</v>
      </c>
      <c r="O34" s="27" t="s">
        <v>1459</v>
      </c>
      <c r="P34" s="63"/>
    </row>
    <row r="35" spans="1:16" ht="30.75" hidden="1">
      <c r="A35" s="27">
        <v>3631801</v>
      </c>
      <c r="B35" s="27">
        <v>3776543</v>
      </c>
      <c r="C35" s="25" t="s">
        <v>2288</v>
      </c>
      <c r="D35" s="27" t="s">
        <v>2286</v>
      </c>
      <c r="E35" s="27" t="s">
        <v>48</v>
      </c>
      <c r="F35" s="27" t="s">
        <v>2287</v>
      </c>
      <c r="G35" s="27" t="s">
        <v>44</v>
      </c>
      <c r="H35" s="70">
        <v>485.26</v>
      </c>
      <c r="I35" s="50">
        <v>45658</v>
      </c>
      <c r="J35" s="50">
        <v>45659</v>
      </c>
      <c r="K35" s="27">
        <v>6140</v>
      </c>
      <c r="L35" s="39">
        <v>2488</v>
      </c>
      <c r="M35" s="52">
        <v>242</v>
      </c>
      <c r="N35" s="73" t="s">
        <v>2281</v>
      </c>
      <c r="O35" s="27" t="s">
        <v>1459</v>
      </c>
      <c r="P35" s="63"/>
    </row>
    <row r="36" spans="1:16" ht="30.75" hidden="1">
      <c r="A36" s="30">
        <v>3627916</v>
      </c>
      <c r="B36" s="30">
        <v>3773474</v>
      </c>
      <c r="C36" s="25" t="s">
        <v>2285</v>
      </c>
      <c r="D36" s="27" t="s">
        <v>2286</v>
      </c>
      <c r="E36" s="27" t="s">
        <v>48</v>
      </c>
      <c r="F36" s="27" t="s">
        <v>2287</v>
      </c>
      <c r="G36" s="27" t="s">
        <v>44</v>
      </c>
      <c r="H36" s="67">
        <v>1483.71</v>
      </c>
      <c r="I36" s="50">
        <v>45684</v>
      </c>
      <c r="J36" s="50">
        <v>45685</v>
      </c>
      <c r="K36" s="27">
        <v>87229572</v>
      </c>
      <c r="L36" s="39">
        <v>2488</v>
      </c>
      <c r="M36" s="52">
        <v>153</v>
      </c>
      <c r="N36" s="73" t="s">
        <v>2281</v>
      </c>
      <c r="O36" s="27" t="s">
        <v>2282</v>
      </c>
      <c r="P36" s="63"/>
    </row>
    <row r="37" spans="1:16" ht="30.75" hidden="1">
      <c r="A37" s="27">
        <v>3631801</v>
      </c>
      <c r="B37" s="27">
        <v>3776543</v>
      </c>
      <c r="C37" s="25" t="s">
        <v>2289</v>
      </c>
      <c r="D37" s="27" t="s">
        <v>2286</v>
      </c>
      <c r="E37" s="27" t="s">
        <v>40</v>
      </c>
      <c r="F37" s="27" t="s">
        <v>2287</v>
      </c>
      <c r="G37" s="27" t="s">
        <v>44</v>
      </c>
      <c r="H37" s="70">
        <v>485.26</v>
      </c>
      <c r="I37" s="50">
        <v>45689</v>
      </c>
      <c r="J37" s="50">
        <v>45692</v>
      </c>
      <c r="K37" s="27">
        <v>6171</v>
      </c>
      <c r="L37" s="39">
        <v>2488</v>
      </c>
      <c r="M37" s="52">
        <v>242</v>
      </c>
      <c r="N37" s="73" t="s">
        <v>2281</v>
      </c>
      <c r="O37" s="27" t="s">
        <v>2282</v>
      </c>
      <c r="P37" s="63"/>
    </row>
    <row r="38" spans="1:16" ht="30.75" hidden="1">
      <c r="A38" s="30">
        <v>3627916</v>
      </c>
      <c r="B38" s="30">
        <v>3773474</v>
      </c>
      <c r="C38" s="25" t="s">
        <v>2285</v>
      </c>
      <c r="D38" s="27" t="s">
        <v>2286</v>
      </c>
      <c r="E38" s="27" t="s">
        <v>40</v>
      </c>
      <c r="F38" s="27" t="s">
        <v>2287</v>
      </c>
      <c r="G38" s="27" t="s">
        <v>44</v>
      </c>
      <c r="H38" s="67">
        <v>1483.71</v>
      </c>
      <c r="I38" s="50">
        <v>45715</v>
      </c>
      <c r="J38" s="50">
        <v>45716</v>
      </c>
      <c r="K38" s="27">
        <v>87282190</v>
      </c>
      <c r="L38" s="39">
        <v>2488</v>
      </c>
      <c r="M38" s="52">
        <v>153</v>
      </c>
      <c r="N38" s="73" t="s">
        <v>2281</v>
      </c>
      <c r="O38" s="27" t="s">
        <v>2282</v>
      </c>
      <c r="P38" s="63"/>
    </row>
    <row r="39" spans="1:16" ht="30.75" hidden="1">
      <c r="A39" s="27">
        <v>3631801</v>
      </c>
      <c r="B39" s="27">
        <v>3776543</v>
      </c>
      <c r="C39" s="25" t="s">
        <v>2289</v>
      </c>
      <c r="D39" s="27" t="s">
        <v>2286</v>
      </c>
      <c r="E39" s="27" t="s">
        <v>40</v>
      </c>
      <c r="F39" s="27" t="s">
        <v>2287</v>
      </c>
      <c r="G39" s="27" t="s">
        <v>44</v>
      </c>
      <c r="H39" s="70">
        <v>485.26</v>
      </c>
      <c r="I39" s="50">
        <v>45717</v>
      </c>
      <c r="J39" s="50">
        <v>45723</v>
      </c>
      <c r="K39" s="27">
        <v>6204</v>
      </c>
      <c r="L39" s="39">
        <v>2488</v>
      </c>
      <c r="M39" s="52">
        <v>242</v>
      </c>
      <c r="N39" s="74" t="s">
        <v>2281</v>
      </c>
      <c r="O39" s="27" t="s">
        <v>2282</v>
      </c>
      <c r="P39" s="63"/>
    </row>
    <row r="40" spans="1:16" ht="30.75" hidden="1">
      <c r="A40" s="30">
        <v>3627916</v>
      </c>
      <c r="B40" s="30">
        <v>3773474</v>
      </c>
      <c r="C40" s="25" t="s">
        <v>2285</v>
      </c>
      <c r="D40" s="27" t="s">
        <v>2286</v>
      </c>
      <c r="E40" s="27" t="s">
        <v>40</v>
      </c>
      <c r="F40" s="27" t="s">
        <v>2287</v>
      </c>
      <c r="G40" s="27" t="s">
        <v>44</v>
      </c>
      <c r="H40" s="67">
        <v>1595.88</v>
      </c>
      <c r="I40" s="50">
        <v>45743</v>
      </c>
      <c r="J40" s="50">
        <v>45744</v>
      </c>
      <c r="K40" s="27">
        <v>87330192</v>
      </c>
      <c r="L40" s="39">
        <v>2488</v>
      </c>
      <c r="M40" s="52">
        <v>153</v>
      </c>
      <c r="N40" s="75" t="s">
        <v>2281</v>
      </c>
      <c r="O40" s="27" t="s">
        <v>2282</v>
      </c>
      <c r="P40" s="63"/>
    </row>
    <row r="41" spans="1:16" ht="30.75" hidden="1">
      <c r="A41" s="27">
        <v>3631801</v>
      </c>
      <c r="B41" s="27">
        <v>3776543</v>
      </c>
      <c r="C41" s="25" t="s">
        <v>2289</v>
      </c>
      <c r="D41" s="27" t="s">
        <v>2286</v>
      </c>
      <c r="E41" s="27" t="s">
        <v>48</v>
      </c>
      <c r="F41" s="27" t="s">
        <v>2287</v>
      </c>
      <c r="G41" s="27" t="s">
        <v>44</v>
      </c>
      <c r="H41" s="67">
        <v>521.95000000000005</v>
      </c>
      <c r="I41" s="50">
        <v>45748</v>
      </c>
      <c r="J41" s="50">
        <v>45749</v>
      </c>
      <c r="K41" s="27">
        <v>6242</v>
      </c>
      <c r="L41" s="39">
        <v>2488</v>
      </c>
      <c r="M41" s="52">
        <v>242</v>
      </c>
      <c r="N41" s="68" t="s">
        <v>2281</v>
      </c>
      <c r="O41" s="27" t="s">
        <v>2282</v>
      </c>
      <c r="P41" s="63"/>
    </row>
    <row r="42" spans="1:16" ht="30.75" hidden="1">
      <c r="A42" s="30">
        <v>3627916</v>
      </c>
      <c r="B42" s="30">
        <v>3773474</v>
      </c>
      <c r="C42" s="25" t="s">
        <v>2285</v>
      </c>
      <c r="D42" s="27" t="s">
        <v>2286</v>
      </c>
      <c r="E42" s="27" t="s">
        <v>40</v>
      </c>
      <c r="F42" s="27" t="s">
        <v>2287</v>
      </c>
      <c r="G42" s="27" t="s">
        <v>44</v>
      </c>
      <c r="H42" s="67">
        <v>1595.88</v>
      </c>
      <c r="I42" s="50">
        <v>45774</v>
      </c>
      <c r="J42" s="50">
        <v>45775</v>
      </c>
      <c r="K42" s="57">
        <v>87377081</v>
      </c>
      <c r="L42" s="39">
        <v>2488</v>
      </c>
      <c r="M42" s="52">
        <v>153</v>
      </c>
      <c r="N42" s="75" t="s">
        <v>2281</v>
      </c>
      <c r="O42" s="27" t="s">
        <v>2282</v>
      </c>
      <c r="P42" s="63"/>
    </row>
    <row r="43" spans="1:16" ht="30.75" hidden="1">
      <c r="A43" s="27">
        <v>3631801</v>
      </c>
      <c r="B43" s="27">
        <v>3776543</v>
      </c>
      <c r="C43" s="25" t="s">
        <v>2289</v>
      </c>
      <c r="D43" s="27" t="s">
        <v>2286</v>
      </c>
      <c r="E43" s="27" t="s">
        <v>40</v>
      </c>
      <c r="F43" s="27" t="s">
        <v>2287</v>
      </c>
      <c r="G43" s="27" t="s">
        <v>44</v>
      </c>
      <c r="H43" s="67">
        <v>521.95000000000005</v>
      </c>
      <c r="I43" s="50">
        <v>45778</v>
      </c>
      <c r="J43" s="50">
        <v>45783</v>
      </c>
      <c r="K43" s="57">
        <v>6278</v>
      </c>
      <c r="L43" s="39">
        <v>2488</v>
      </c>
      <c r="M43" s="52">
        <v>242</v>
      </c>
      <c r="N43" s="68" t="s">
        <v>2281</v>
      </c>
      <c r="O43" s="27" t="s">
        <v>2282</v>
      </c>
      <c r="P43" s="63"/>
    </row>
    <row r="44" spans="1:16" ht="30.75" hidden="1">
      <c r="A44" s="30">
        <v>3627916</v>
      </c>
      <c r="B44" s="30">
        <v>3773474</v>
      </c>
      <c r="C44" s="25" t="s">
        <v>2285</v>
      </c>
      <c r="D44" s="27" t="s">
        <v>2286</v>
      </c>
      <c r="E44" s="27" t="s">
        <v>40</v>
      </c>
      <c r="F44" s="27" t="s">
        <v>2287</v>
      </c>
      <c r="G44" s="27" t="s">
        <v>44</v>
      </c>
      <c r="H44" s="67">
        <v>1595.88</v>
      </c>
      <c r="I44" s="50">
        <v>45804</v>
      </c>
      <c r="J44" s="50">
        <v>45805</v>
      </c>
      <c r="K44" s="57">
        <v>87428900</v>
      </c>
      <c r="L44" s="39">
        <v>2488</v>
      </c>
      <c r="M44" s="52">
        <v>153</v>
      </c>
      <c r="N44" s="75" t="s">
        <v>2281</v>
      </c>
      <c r="O44" s="27" t="s">
        <v>2282</v>
      </c>
      <c r="P44" s="63"/>
    </row>
    <row r="45" spans="1:16" ht="30.75" hidden="1">
      <c r="A45" s="27">
        <v>3631801</v>
      </c>
      <c r="B45" s="27">
        <v>3776543</v>
      </c>
      <c r="C45" s="25" t="s">
        <v>2289</v>
      </c>
      <c r="D45" s="27" t="s">
        <v>2286</v>
      </c>
      <c r="E45" s="27" t="s">
        <v>40</v>
      </c>
      <c r="F45" s="27" t="s">
        <v>2287</v>
      </c>
      <c r="G45" s="27" t="s">
        <v>44</v>
      </c>
      <c r="H45" s="67">
        <v>521.95000000000005</v>
      </c>
      <c r="I45" s="50">
        <v>45809</v>
      </c>
      <c r="J45" s="50">
        <v>45810</v>
      </c>
      <c r="K45" s="57">
        <v>6803</v>
      </c>
      <c r="L45" s="39">
        <v>2488</v>
      </c>
      <c r="M45" s="52">
        <v>242</v>
      </c>
      <c r="N45" s="75" t="s">
        <v>2281</v>
      </c>
      <c r="O45" s="27" t="s">
        <v>2282</v>
      </c>
      <c r="P45" s="63"/>
    </row>
    <row r="46" spans="1:16" ht="30.75" hidden="1">
      <c r="A46" s="30">
        <v>3627916</v>
      </c>
      <c r="B46" s="30">
        <v>3773474</v>
      </c>
      <c r="C46" s="25" t="s">
        <v>2285</v>
      </c>
      <c r="D46" s="27" t="s">
        <v>2286</v>
      </c>
      <c r="E46" s="27" t="s">
        <v>40</v>
      </c>
      <c r="F46" s="27" t="s">
        <v>2287</v>
      </c>
      <c r="G46" s="27" t="s">
        <v>44</v>
      </c>
      <c r="H46" s="67">
        <v>1595.88</v>
      </c>
      <c r="I46" s="50">
        <v>45835</v>
      </c>
      <c r="J46" s="50">
        <v>45836</v>
      </c>
      <c r="K46" s="57">
        <v>87482132</v>
      </c>
      <c r="L46" s="39">
        <v>2488</v>
      </c>
      <c r="M46" s="52">
        <v>153</v>
      </c>
      <c r="N46" s="75" t="s">
        <v>2281</v>
      </c>
      <c r="O46" s="27" t="s">
        <v>2282</v>
      </c>
      <c r="P46" s="63"/>
    </row>
    <row r="47" spans="1:16" ht="30.75" hidden="1">
      <c r="A47" s="27">
        <v>3631801</v>
      </c>
      <c r="B47" s="27">
        <v>3776543</v>
      </c>
      <c r="C47" s="25" t="s">
        <v>2289</v>
      </c>
      <c r="D47" s="27" t="s">
        <v>2286</v>
      </c>
      <c r="E47" s="27" t="s">
        <v>40</v>
      </c>
      <c r="F47" s="27" t="s">
        <v>2287</v>
      </c>
      <c r="G47" s="27" t="s">
        <v>44</v>
      </c>
      <c r="H47" s="67">
        <v>521.95000000000005</v>
      </c>
      <c r="I47" s="50">
        <v>45839</v>
      </c>
      <c r="J47" s="50">
        <v>45841</v>
      </c>
      <c r="K47" s="57">
        <v>6345</v>
      </c>
      <c r="L47" s="39">
        <v>2488</v>
      </c>
      <c r="M47" s="52">
        <v>242</v>
      </c>
      <c r="N47" s="68" t="s">
        <v>2281</v>
      </c>
      <c r="O47" s="27" t="s">
        <v>2282</v>
      </c>
      <c r="P47" s="63"/>
    </row>
    <row r="48" spans="1:16" ht="30.75" hidden="1">
      <c r="A48" s="30">
        <v>3627916</v>
      </c>
      <c r="B48" s="30">
        <v>3773474</v>
      </c>
      <c r="C48" s="25" t="s">
        <v>2285</v>
      </c>
      <c r="D48" s="27" t="s">
        <v>2286</v>
      </c>
      <c r="E48" s="27" t="s">
        <v>40</v>
      </c>
      <c r="F48" s="27" t="s">
        <v>2287</v>
      </c>
      <c r="G48" s="27" t="s">
        <v>44</v>
      </c>
      <c r="H48" s="67">
        <v>1595.88</v>
      </c>
      <c r="I48" s="50">
        <v>45865</v>
      </c>
      <c r="J48" s="50">
        <v>45866</v>
      </c>
      <c r="K48" s="57">
        <v>87532428</v>
      </c>
      <c r="L48" s="39">
        <v>2488</v>
      </c>
      <c r="M48" s="52">
        <v>153</v>
      </c>
      <c r="N48" s="68" t="s">
        <v>2281</v>
      </c>
      <c r="O48" s="27" t="s">
        <v>2282</v>
      </c>
      <c r="P48" s="63"/>
    </row>
    <row r="49" spans="1:16" ht="30.75" hidden="1">
      <c r="A49" s="27">
        <v>3631801</v>
      </c>
      <c r="B49" s="27">
        <v>3776543</v>
      </c>
      <c r="C49" s="25" t="s">
        <v>2289</v>
      </c>
      <c r="D49" s="27" t="s">
        <v>2286</v>
      </c>
      <c r="E49" s="27" t="s">
        <v>40</v>
      </c>
      <c r="F49" s="27" t="s">
        <v>2287</v>
      </c>
      <c r="G49" s="27" t="s">
        <v>44</v>
      </c>
      <c r="H49" s="67">
        <v>521.95000000000005</v>
      </c>
      <c r="I49" s="50">
        <v>45870</v>
      </c>
      <c r="J49" s="50">
        <v>45873</v>
      </c>
      <c r="K49" s="57">
        <v>6382</v>
      </c>
      <c r="L49" s="39">
        <v>2488</v>
      </c>
      <c r="M49" s="52">
        <v>242</v>
      </c>
      <c r="N49" s="68" t="s">
        <v>2281</v>
      </c>
      <c r="O49" s="27" t="s">
        <v>2282</v>
      </c>
      <c r="P49" s="63"/>
    </row>
    <row r="50" spans="1:16" ht="30.75" hidden="1">
      <c r="A50" s="30">
        <v>3627916</v>
      </c>
      <c r="B50" s="30">
        <v>3773474</v>
      </c>
      <c r="C50" s="25" t="s">
        <v>2285</v>
      </c>
      <c r="D50" s="27" t="s">
        <v>2286</v>
      </c>
      <c r="E50" s="27" t="s">
        <v>40</v>
      </c>
      <c r="F50" s="27" t="s">
        <v>2287</v>
      </c>
      <c r="G50" s="27" t="s">
        <v>44</v>
      </c>
      <c r="H50" s="67">
        <v>1595.88</v>
      </c>
      <c r="I50" s="50">
        <v>45896</v>
      </c>
      <c r="J50" s="50">
        <v>45897</v>
      </c>
      <c r="K50" s="57">
        <v>87585582</v>
      </c>
      <c r="L50" s="39">
        <v>2488</v>
      </c>
      <c r="M50" s="52">
        <v>153</v>
      </c>
      <c r="N50" s="68" t="s">
        <v>2281</v>
      </c>
      <c r="O50" s="27" t="s">
        <v>2282</v>
      </c>
      <c r="P50" s="63"/>
    </row>
    <row r="51" spans="1:16" ht="30.75" hidden="1">
      <c r="A51" s="27">
        <v>3631801</v>
      </c>
      <c r="B51" s="27">
        <v>3776543</v>
      </c>
      <c r="C51" s="25" t="s">
        <v>2289</v>
      </c>
      <c r="D51" s="27" t="s">
        <v>2286</v>
      </c>
      <c r="E51" s="27" t="s">
        <v>40</v>
      </c>
      <c r="F51" s="27" t="s">
        <v>2287</v>
      </c>
      <c r="G51" s="27" t="s">
        <v>44</v>
      </c>
      <c r="H51" s="67">
        <v>521.95000000000005</v>
      </c>
      <c r="I51" s="50">
        <v>45902</v>
      </c>
      <c r="J51" s="50">
        <v>45902</v>
      </c>
      <c r="K51" s="57">
        <v>6403</v>
      </c>
      <c r="L51" s="39">
        <v>2488</v>
      </c>
      <c r="M51" s="52">
        <v>242</v>
      </c>
      <c r="N51" s="73" t="s">
        <v>2281</v>
      </c>
      <c r="O51" s="55" t="s">
        <v>2283</v>
      </c>
      <c r="P51" s="201"/>
    </row>
    <row r="52" spans="1:16" ht="30.75" hidden="1">
      <c r="A52" s="30">
        <v>3627916</v>
      </c>
      <c r="B52" s="30">
        <v>3773474</v>
      </c>
      <c r="C52" s="25" t="s">
        <v>2285</v>
      </c>
      <c r="D52" s="27" t="s">
        <v>2286</v>
      </c>
      <c r="E52" s="27" t="s">
        <v>40</v>
      </c>
      <c r="F52" s="27" t="s">
        <v>2287</v>
      </c>
      <c r="G52" s="27" t="s">
        <v>44</v>
      </c>
      <c r="H52" s="67">
        <v>1595.88</v>
      </c>
      <c r="I52" s="50">
        <v>45927</v>
      </c>
      <c r="J52" s="50">
        <v>45929</v>
      </c>
      <c r="K52" s="57">
        <v>87637785</v>
      </c>
      <c r="L52" s="39">
        <v>2488</v>
      </c>
      <c r="M52" s="52">
        <v>153</v>
      </c>
      <c r="N52" s="68" t="s">
        <v>2281</v>
      </c>
      <c r="O52" s="27" t="s">
        <v>2282</v>
      </c>
      <c r="P52" s="63"/>
    </row>
    <row r="53" spans="1:16" ht="30.75" hidden="1">
      <c r="A53" s="27">
        <v>3631801</v>
      </c>
      <c r="B53" s="27">
        <v>3776543</v>
      </c>
      <c r="C53" s="25" t="s">
        <v>2289</v>
      </c>
      <c r="D53" s="27" t="s">
        <v>2286</v>
      </c>
      <c r="E53" s="27" t="s">
        <v>40</v>
      </c>
      <c r="F53" s="27" t="s">
        <v>2287</v>
      </c>
      <c r="G53" s="27" t="s">
        <v>44</v>
      </c>
      <c r="H53" s="67">
        <v>521.95000000000005</v>
      </c>
      <c r="I53" s="50">
        <v>45931</v>
      </c>
      <c r="J53" s="50">
        <v>45933</v>
      </c>
      <c r="K53" s="57">
        <v>6444</v>
      </c>
      <c r="L53" s="39">
        <v>2488</v>
      </c>
      <c r="M53" s="52">
        <v>242</v>
      </c>
      <c r="N53" s="73" t="s">
        <v>2281</v>
      </c>
      <c r="O53" s="27" t="s">
        <v>2282</v>
      </c>
      <c r="P53" s="63"/>
    </row>
    <row r="54" spans="1:16" ht="30.75" hidden="1">
      <c r="A54" s="30">
        <v>3627916</v>
      </c>
      <c r="B54" s="30">
        <v>3773474</v>
      </c>
      <c r="C54" s="25" t="s">
        <v>2285</v>
      </c>
      <c r="D54" s="27" t="s">
        <v>2286</v>
      </c>
      <c r="E54" s="27" t="s">
        <v>40</v>
      </c>
      <c r="F54" s="27" t="s">
        <v>2287</v>
      </c>
      <c r="G54" s="27" t="s">
        <v>44</v>
      </c>
      <c r="H54" s="67">
        <v>1595.88</v>
      </c>
      <c r="I54" s="50">
        <v>45957</v>
      </c>
      <c r="J54" s="50">
        <v>45958</v>
      </c>
      <c r="K54" s="57">
        <v>87688187</v>
      </c>
      <c r="L54" s="39">
        <v>2488</v>
      </c>
      <c r="M54" s="52">
        <v>153</v>
      </c>
      <c r="N54" s="68" t="s">
        <v>2281</v>
      </c>
      <c r="O54" s="27" t="s">
        <v>2282</v>
      </c>
      <c r="P54" s="63"/>
    </row>
    <row r="55" spans="1:16" ht="80.25" hidden="1" customHeight="1">
      <c r="A55" s="27">
        <v>3796459</v>
      </c>
      <c r="B55" s="27">
        <v>3934135</v>
      </c>
      <c r="C55" s="25" t="s">
        <v>2230</v>
      </c>
      <c r="D55" s="27" t="s">
        <v>2290</v>
      </c>
      <c r="E55" s="27" t="s">
        <v>40</v>
      </c>
      <c r="F55" s="27" t="s">
        <v>2291</v>
      </c>
      <c r="G55" s="27" t="s">
        <v>44</v>
      </c>
      <c r="H55" s="67">
        <v>400</v>
      </c>
      <c r="I55" s="50">
        <v>45475</v>
      </c>
      <c r="J55" s="50">
        <v>45506</v>
      </c>
      <c r="K55" s="27">
        <v>47</v>
      </c>
      <c r="L55" s="39" t="s">
        <v>2292</v>
      </c>
      <c r="M55" s="52">
        <v>81</v>
      </c>
      <c r="N55" s="68" t="s">
        <v>2281</v>
      </c>
      <c r="O55" s="27" t="s">
        <v>2282</v>
      </c>
      <c r="P55" s="63"/>
    </row>
    <row r="56" spans="1:16" ht="80.25" hidden="1" customHeight="1">
      <c r="A56" s="27">
        <v>3796459</v>
      </c>
      <c r="B56" s="27">
        <v>3934135</v>
      </c>
      <c r="C56" s="25" t="s">
        <v>2230</v>
      </c>
      <c r="D56" s="27" t="s">
        <v>2290</v>
      </c>
      <c r="E56" s="27" t="s">
        <v>40</v>
      </c>
      <c r="F56" s="27" t="s">
        <v>2291</v>
      </c>
      <c r="G56" s="62" t="s">
        <v>44</v>
      </c>
      <c r="H56" s="67">
        <v>400</v>
      </c>
      <c r="I56" s="50">
        <v>45513</v>
      </c>
      <c r="J56" s="50">
        <v>45516</v>
      </c>
      <c r="K56" s="27">
        <v>269</v>
      </c>
      <c r="L56" s="39" t="s">
        <v>2292</v>
      </c>
      <c r="M56" s="52">
        <v>81</v>
      </c>
      <c r="N56" s="68" t="s">
        <v>2281</v>
      </c>
      <c r="O56" s="27" t="s">
        <v>2282</v>
      </c>
      <c r="P56" s="63"/>
    </row>
    <row r="57" spans="1:16" ht="30.75" hidden="1">
      <c r="A57" s="27">
        <v>3796459</v>
      </c>
      <c r="B57" s="27">
        <v>3934135</v>
      </c>
      <c r="C57" s="25" t="s">
        <v>2230</v>
      </c>
      <c r="D57" s="27" t="s">
        <v>2290</v>
      </c>
      <c r="E57" s="27" t="s">
        <v>40</v>
      </c>
      <c r="F57" s="27" t="s">
        <v>2291</v>
      </c>
      <c r="G57" s="62" t="s">
        <v>44</v>
      </c>
      <c r="H57" s="67">
        <v>400</v>
      </c>
      <c r="I57" s="50">
        <v>45541</v>
      </c>
      <c r="J57" s="50">
        <v>45548</v>
      </c>
      <c r="K57" s="27">
        <v>146</v>
      </c>
      <c r="L57" s="39">
        <v>2054</v>
      </c>
      <c r="M57" s="52" t="s">
        <v>2293</v>
      </c>
      <c r="N57" s="74" t="s">
        <v>2281</v>
      </c>
      <c r="O57" s="27" t="s">
        <v>2282</v>
      </c>
      <c r="P57" s="63"/>
    </row>
    <row r="58" spans="1:16" ht="30.75" hidden="1">
      <c r="A58" s="27">
        <v>3796459</v>
      </c>
      <c r="B58" s="27">
        <v>3934135</v>
      </c>
      <c r="C58" s="25" t="s">
        <v>2230</v>
      </c>
      <c r="D58" s="27" t="s">
        <v>2290</v>
      </c>
      <c r="E58" s="27" t="s">
        <v>40</v>
      </c>
      <c r="F58" s="27" t="s">
        <v>2291</v>
      </c>
      <c r="G58" s="62" t="s">
        <v>44</v>
      </c>
      <c r="H58" s="67">
        <v>400</v>
      </c>
      <c r="I58" s="50">
        <v>45583</v>
      </c>
      <c r="J58" s="50">
        <v>45583</v>
      </c>
      <c r="K58" s="58" t="s">
        <v>2294</v>
      </c>
      <c r="L58" s="39">
        <v>2054</v>
      </c>
      <c r="M58" s="52" t="s">
        <v>2293</v>
      </c>
      <c r="N58" s="73" t="s">
        <v>2281</v>
      </c>
      <c r="O58" s="27" t="s">
        <v>2282</v>
      </c>
      <c r="P58" s="63"/>
    </row>
    <row r="59" spans="1:16" ht="30.75" hidden="1">
      <c r="A59" s="27">
        <v>3796459</v>
      </c>
      <c r="B59" s="27">
        <v>3934135</v>
      </c>
      <c r="C59" s="25" t="s">
        <v>2230</v>
      </c>
      <c r="D59" s="27" t="s">
        <v>2290</v>
      </c>
      <c r="E59" s="27" t="s">
        <v>48</v>
      </c>
      <c r="F59" s="27" t="s">
        <v>2291</v>
      </c>
      <c r="G59" s="62" t="s">
        <v>44</v>
      </c>
      <c r="H59" s="67">
        <v>400</v>
      </c>
      <c r="I59" s="50">
        <v>45604</v>
      </c>
      <c r="J59" s="50">
        <v>45608</v>
      </c>
      <c r="K59" s="27">
        <v>218</v>
      </c>
      <c r="L59" s="39">
        <v>2054</v>
      </c>
      <c r="M59" s="52" t="s">
        <v>2293</v>
      </c>
      <c r="N59" s="73" t="s">
        <v>2281</v>
      </c>
      <c r="O59" s="27" t="s">
        <v>2282</v>
      </c>
      <c r="P59" s="63"/>
    </row>
    <row r="60" spans="1:16" ht="30.75" hidden="1">
      <c r="A60" s="27">
        <v>3796459</v>
      </c>
      <c r="B60" s="27">
        <v>3934135</v>
      </c>
      <c r="C60" s="25" t="s">
        <v>2230</v>
      </c>
      <c r="D60" s="27" t="s">
        <v>2290</v>
      </c>
      <c r="E60" s="27" t="s">
        <v>40</v>
      </c>
      <c r="F60" s="27" t="s">
        <v>2291</v>
      </c>
      <c r="G60" s="62" t="s">
        <v>44</v>
      </c>
      <c r="H60" s="67">
        <v>400</v>
      </c>
      <c r="I60" s="50">
        <v>45632</v>
      </c>
      <c r="J60" s="50">
        <v>45635</v>
      </c>
      <c r="K60" s="27">
        <v>175</v>
      </c>
      <c r="L60" s="39">
        <v>2054</v>
      </c>
      <c r="M60" s="52" t="s">
        <v>2293</v>
      </c>
      <c r="N60" s="73" t="s">
        <v>2281</v>
      </c>
      <c r="O60" s="27" t="s">
        <v>2282</v>
      </c>
      <c r="P60" s="63"/>
    </row>
    <row r="61" spans="1:16" ht="30.75" hidden="1">
      <c r="A61" s="27">
        <v>3796459</v>
      </c>
      <c r="B61" s="27">
        <v>3934135</v>
      </c>
      <c r="C61" s="25" t="s">
        <v>2230</v>
      </c>
      <c r="D61" s="27" t="s">
        <v>2290</v>
      </c>
      <c r="E61" s="27" t="s">
        <v>40</v>
      </c>
      <c r="F61" s="27" t="s">
        <v>2291</v>
      </c>
      <c r="G61" s="27" t="s">
        <v>44</v>
      </c>
      <c r="H61" s="67">
        <v>400</v>
      </c>
      <c r="I61" s="50">
        <v>45664</v>
      </c>
      <c r="J61" s="50">
        <v>45667</v>
      </c>
      <c r="K61" s="27">
        <v>136</v>
      </c>
      <c r="L61" s="39">
        <v>2054</v>
      </c>
      <c r="M61" s="52">
        <v>71</v>
      </c>
      <c r="N61" s="68" t="s">
        <v>2281</v>
      </c>
      <c r="O61" s="27" t="s">
        <v>2282</v>
      </c>
      <c r="P61" s="63"/>
    </row>
    <row r="62" spans="1:16" ht="30.75" hidden="1">
      <c r="A62" s="27">
        <v>3796459</v>
      </c>
      <c r="B62" s="27">
        <v>3934135</v>
      </c>
      <c r="C62" s="25" t="s">
        <v>2230</v>
      </c>
      <c r="D62" s="27" t="s">
        <v>2290</v>
      </c>
      <c r="E62" s="27" t="s">
        <v>40</v>
      </c>
      <c r="F62" s="27" t="s">
        <v>2291</v>
      </c>
      <c r="G62" s="27" t="s">
        <v>44</v>
      </c>
      <c r="H62" s="67">
        <v>400</v>
      </c>
      <c r="I62" s="50">
        <v>45700</v>
      </c>
      <c r="J62" s="50">
        <v>45700</v>
      </c>
      <c r="K62" s="27">
        <v>294</v>
      </c>
      <c r="L62" s="39">
        <v>2054</v>
      </c>
      <c r="M62" s="52">
        <v>71</v>
      </c>
      <c r="N62" s="73" t="s">
        <v>2281</v>
      </c>
      <c r="O62" s="27" t="s">
        <v>2282</v>
      </c>
      <c r="P62" s="63"/>
    </row>
    <row r="63" spans="1:16" ht="30.75" hidden="1">
      <c r="A63" s="27">
        <v>3796459</v>
      </c>
      <c r="B63" s="27">
        <v>3934135</v>
      </c>
      <c r="C63" s="25" t="s">
        <v>2230</v>
      </c>
      <c r="D63" s="27" t="s">
        <v>2290</v>
      </c>
      <c r="E63" s="27" t="s">
        <v>40</v>
      </c>
      <c r="F63" s="27" t="s">
        <v>2291</v>
      </c>
      <c r="G63" s="27" t="s">
        <v>44</v>
      </c>
      <c r="H63" s="67">
        <v>400</v>
      </c>
      <c r="I63" s="50">
        <v>45729</v>
      </c>
      <c r="J63" s="50">
        <v>45729</v>
      </c>
      <c r="K63" s="27">
        <v>232</v>
      </c>
      <c r="L63" s="39">
        <v>2054</v>
      </c>
      <c r="M63" s="52">
        <v>71</v>
      </c>
      <c r="N63" s="68" t="s">
        <v>2281</v>
      </c>
      <c r="O63" s="27" t="s">
        <v>2282</v>
      </c>
      <c r="P63" s="63"/>
    </row>
    <row r="64" spans="1:16" ht="30.75" hidden="1">
      <c r="A64" s="27">
        <v>3796459</v>
      </c>
      <c r="B64" s="27">
        <v>3934135</v>
      </c>
      <c r="C64" s="25" t="s">
        <v>2230</v>
      </c>
      <c r="D64" s="27" t="s">
        <v>2290</v>
      </c>
      <c r="E64" s="27" t="s">
        <v>40</v>
      </c>
      <c r="F64" s="27" t="s">
        <v>2291</v>
      </c>
      <c r="G64" s="27" t="s">
        <v>44</v>
      </c>
      <c r="H64" s="67">
        <v>400</v>
      </c>
      <c r="I64" s="50">
        <v>45758</v>
      </c>
      <c r="J64" s="50">
        <v>45762</v>
      </c>
      <c r="K64" s="27">
        <v>299</v>
      </c>
      <c r="L64" s="39">
        <v>2054</v>
      </c>
      <c r="M64" s="52">
        <v>71</v>
      </c>
      <c r="N64" s="73" t="s">
        <v>2281</v>
      </c>
      <c r="O64" s="27" t="s">
        <v>2282</v>
      </c>
      <c r="P64" s="63"/>
    </row>
    <row r="65" spans="1:16" ht="30.75" hidden="1">
      <c r="A65" s="27">
        <v>3796459</v>
      </c>
      <c r="B65" s="27">
        <v>3934135</v>
      </c>
      <c r="C65" s="25" t="s">
        <v>2230</v>
      </c>
      <c r="D65" s="27" t="s">
        <v>2290</v>
      </c>
      <c r="E65" s="27" t="s">
        <v>40</v>
      </c>
      <c r="F65" s="27" t="s">
        <v>2291</v>
      </c>
      <c r="G65" s="27" t="s">
        <v>44</v>
      </c>
      <c r="H65" s="67">
        <v>395</v>
      </c>
      <c r="I65" s="50">
        <v>45790</v>
      </c>
      <c r="J65" s="50">
        <v>45790</v>
      </c>
      <c r="K65" s="57">
        <v>307</v>
      </c>
      <c r="L65" s="39">
        <v>2054</v>
      </c>
      <c r="M65" s="52">
        <v>71</v>
      </c>
      <c r="N65" s="68" t="s">
        <v>2281</v>
      </c>
      <c r="O65" s="27" t="s">
        <v>2283</v>
      </c>
      <c r="P65" s="63"/>
    </row>
    <row r="66" spans="1:16" ht="30.75" hidden="1">
      <c r="A66" s="27">
        <v>3796459</v>
      </c>
      <c r="B66" s="27">
        <v>3934135</v>
      </c>
      <c r="C66" s="25" t="s">
        <v>2230</v>
      </c>
      <c r="D66" s="27" t="s">
        <v>2290</v>
      </c>
      <c r="E66" s="27" t="s">
        <v>40</v>
      </c>
      <c r="F66" s="27" t="s">
        <v>2291</v>
      </c>
      <c r="G66" s="27" t="s">
        <v>44</v>
      </c>
      <c r="H66" s="67">
        <v>400</v>
      </c>
      <c r="I66" s="50">
        <v>45819</v>
      </c>
      <c r="J66" s="50">
        <v>45820</v>
      </c>
      <c r="K66" s="57">
        <v>194</v>
      </c>
      <c r="L66" s="39">
        <v>2054</v>
      </c>
      <c r="M66" s="52">
        <v>71</v>
      </c>
      <c r="N66" s="73" t="s">
        <v>2281</v>
      </c>
      <c r="O66" s="27" t="s">
        <v>2282</v>
      </c>
      <c r="P66" s="63"/>
    </row>
    <row r="67" spans="1:16" ht="30.75" hidden="1">
      <c r="A67" s="27">
        <v>3796459</v>
      </c>
      <c r="B67" s="27">
        <v>3934135</v>
      </c>
      <c r="C67" s="25" t="s">
        <v>2230</v>
      </c>
      <c r="D67" s="27" t="s">
        <v>2290</v>
      </c>
      <c r="E67" s="27" t="s">
        <v>40</v>
      </c>
      <c r="F67" s="27" t="s">
        <v>2291</v>
      </c>
      <c r="G67" s="27" t="s">
        <v>44</v>
      </c>
      <c r="H67" s="67">
        <v>400</v>
      </c>
      <c r="I67" s="50">
        <v>45849</v>
      </c>
      <c r="J67" s="50">
        <v>45854</v>
      </c>
      <c r="K67" s="57">
        <v>261</v>
      </c>
      <c r="L67" s="39">
        <v>2054</v>
      </c>
      <c r="M67" s="52">
        <v>71</v>
      </c>
      <c r="N67" s="68" t="s">
        <v>2281</v>
      </c>
      <c r="O67" s="27" t="s">
        <v>2282</v>
      </c>
      <c r="P67" s="63"/>
    </row>
    <row r="68" spans="1:16" ht="30.75" hidden="1">
      <c r="A68" s="27">
        <v>3796459</v>
      </c>
      <c r="B68" s="27">
        <v>3934135</v>
      </c>
      <c r="C68" s="25" t="s">
        <v>2230</v>
      </c>
      <c r="D68" s="27" t="s">
        <v>2290</v>
      </c>
      <c r="E68" s="27" t="s">
        <v>48</v>
      </c>
      <c r="F68" s="27" t="s">
        <v>2291</v>
      </c>
      <c r="G68" s="27" t="s">
        <v>44</v>
      </c>
      <c r="H68" s="67">
        <v>400</v>
      </c>
      <c r="I68" s="50">
        <v>45876</v>
      </c>
      <c r="J68" s="50">
        <v>45877</v>
      </c>
      <c r="K68" s="57">
        <v>135</v>
      </c>
      <c r="L68" s="39">
        <v>2054</v>
      </c>
      <c r="M68" s="52">
        <v>71</v>
      </c>
      <c r="N68" s="75" t="s">
        <v>2281</v>
      </c>
      <c r="O68" s="27" t="s">
        <v>2282</v>
      </c>
      <c r="P68" s="63"/>
    </row>
    <row r="69" spans="1:16" ht="30.75" hidden="1">
      <c r="A69" s="27">
        <v>3796459</v>
      </c>
      <c r="B69" s="27">
        <v>3934135</v>
      </c>
      <c r="C69" s="25" t="s">
        <v>2230</v>
      </c>
      <c r="D69" s="27" t="s">
        <v>2290</v>
      </c>
      <c r="E69" s="27" t="s">
        <v>40</v>
      </c>
      <c r="F69" s="27" t="s">
        <v>2291</v>
      </c>
      <c r="G69" s="27" t="s">
        <v>44</v>
      </c>
      <c r="H69" s="67">
        <v>400</v>
      </c>
      <c r="I69" s="50">
        <v>45910</v>
      </c>
      <c r="J69" s="50">
        <v>45910</v>
      </c>
      <c r="K69" s="57">
        <v>213</v>
      </c>
      <c r="L69" s="39">
        <v>2054</v>
      </c>
      <c r="M69" s="52">
        <v>71</v>
      </c>
      <c r="N69" s="73" t="s">
        <v>2281</v>
      </c>
      <c r="O69" s="27" t="s">
        <v>1459</v>
      </c>
      <c r="P69" s="63"/>
    </row>
    <row r="70" spans="1:16" ht="30.75" hidden="1">
      <c r="A70" s="27">
        <v>3796459</v>
      </c>
      <c r="B70" s="27">
        <v>3934135</v>
      </c>
      <c r="C70" s="25" t="s">
        <v>2230</v>
      </c>
      <c r="D70" s="27" t="s">
        <v>2290</v>
      </c>
      <c r="E70" s="27" t="s">
        <v>40</v>
      </c>
      <c r="F70" s="27" t="s">
        <v>2291</v>
      </c>
      <c r="G70" s="27" t="s">
        <v>44</v>
      </c>
      <c r="H70" s="67">
        <v>400</v>
      </c>
      <c r="I70" s="50">
        <v>45938</v>
      </c>
      <c r="J70" s="50">
        <v>45939</v>
      </c>
      <c r="K70" s="57">
        <v>204</v>
      </c>
      <c r="L70" s="39">
        <v>2054</v>
      </c>
      <c r="M70" s="52">
        <v>71</v>
      </c>
      <c r="N70" s="73" t="s">
        <v>2281</v>
      </c>
      <c r="O70" s="27" t="s">
        <v>2282</v>
      </c>
      <c r="P70" s="63"/>
    </row>
    <row r="71" spans="1:16" ht="108.75" hidden="1" customHeight="1">
      <c r="A71" s="27" t="s">
        <v>2295</v>
      </c>
      <c r="B71" s="27">
        <v>3934796</v>
      </c>
      <c r="C71" s="25" t="s">
        <v>2296</v>
      </c>
      <c r="D71" s="27" t="s">
        <v>2297</v>
      </c>
      <c r="E71" s="27" t="s">
        <v>40</v>
      </c>
      <c r="F71" s="27" t="s">
        <v>2298</v>
      </c>
      <c r="G71" s="27" t="s">
        <v>44</v>
      </c>
      <c r="H71" s="76">
        <v>6391.44</v>
      </c>
      <c r="I71" s="50">
        <v>45475</v>
      </c>
      <c r="J71" s="50">
        <v>45489</v>
      </c>
      <c r="K71" s="27">
        <v>1001</v>
      </c>
      <c r="L71" s="39" t="s">
        <v>2299</v>
      </c>
      <c r="M71" s="52">
        <v>262</v>
      </c>
      <c r="N71" s="68" t="s">
        <v>2281</v>
      </c>
      <c r="O71" s="27" t="s">
        <v>2282</v>
      </c>
      <c r="P71" s="63"/>
    </row>
    <row r="72" spans="1:16" ht="108.75" hidden="1" customHeight="1">
      <c r="A72" s="27">
        <v>3796471</v>
      </c>
      <c r="B72" s="27">
        <v>3934127</v>
      </c>
      <c r="C72" s="25" t="s">
        <v>2296</v>
      </c>
      <c r="D72" s="27" t="s">
        <v>2297</v>
      </c>
      <c r="E72" s="27" t="s">
        <v>40</v>
      </c>
      <c r="F72" s="27" t="s">
        <v>2298</v>
      </c>
      <c r="G72" s="62" t="s">
        <v>44</v>
      </c>
      <c r="H72" s="67">
        <v>5810.4</v>
      </c>
      <c r="I72" s="50">
        <v>45513</v>
      </c>
      <c r="J72" s="50">
        <v>45516</v>
      </c>
      <c r="K72" s="27">
        <v>1002</v>
      </c>
      <c r="L72" s="39" t="s">
        <v>2300</v>
      </c>
      <c r="M72" s="52">
        <v>262</v>
      </c>
      <c r="N72" s="68" t="s">
        <v>2281</v>
      </c>
      <c r="O72" s="27" t="s">
        <v>2282</v>
      </c>
      <c r="P72" s="63"/>
    </row>
    <row r="73" spans="1:16" ht="76.5" hidden="1">
      <c r="A73" s="27">
        <v>3796471</v>
      </c>
      <c r="B73" s="27">
        <v>3934127</v>
      </c>
      <c r="C73" s="25" t="s">
        <v>2296</v>
      </c>
      <c r="D73" s="27" t="s">
        <v>2297</v>
      </c>
      <c r="E73" s="27" t="s">
        <v>40</v>
      </c>
      <c r="F73" s="27" t="s">
        <v>2298</v>
      </c>
      <c r="G73" s="62" t="s">
        <v>44</v>
      </c>
      <c r="H73" s="67">
        <v>5810.4</v>
      </c>
      <c r="I73" s="50">
        <v>45541</v>
      </c>
      <c r="J73" s="50">
        <v>45548</v>
      </c>
      <c r="K73" s="27">
        <v>1003</v>
      </c>
      <c r="L73" s="39" t="s">
        <v>2301</v>
      </c>
      <c r="M73" s="52" t="s">
        <v>2302</v>
      </c>
      <c r="N73" s="74" t="s">
        <v>2281</v>
      </c>
      <c r="O73" s="27" t="s">
        <v>2282</v>
      </c>
      <c r="P73" s="63"/>
    </row>
    <row r="74" spans="1:16" ht="76.5" hidden="1">
      <c r="A74" s="27">
        <v>3796471</v>
      </c>
      <c r="B74" s="27">
        <v>3934127</v>
      </c>
      <c r="C74" s="25" t="s">
        <v>2296</v>
      </c>
      <c r="D74" s="27" t="s">
        <v>2297</v>
      </c>
      <c r="E74" s="27" t="s">
        <v>40</v>
      </c>
      <c r="F74" s="27" t="s">
        <v>2298</v>
      </c>
      <c r="G74" s="62" t="s">
        <v>44</v>
      </c>
      <c r="H74" s="67">
        <v>5810.4</v>
      </c>
      <c r="I74" s="50">
        <v>45583</v>
      </c>
      <c r="J74" s="50">
        <v>45583</v>
      </c>
      <c r="K74" s="58" t="s">
        <v>2303</v>
      </c>
      <c r="L74" s="39" t="s">
        <v>2301</v>
      </c>
      <c r="M74" s="52" t="s">
        <v>2302</v>
      </c>
      <c r="N74" s="73" t="s">
        <v>2281</v>
      </c>
      <c r="O74" s="27" t="s">
        <v>2282</v>
      </c>
      <c r="P74" s="63"/>
    </row>
    <row r="75" spans="1:16" ht="76.5" hidden="1">
      <c r="A75" s="27">
        <v>3796471</v>
      </c>
      <c r="B75" s="27">
        <v>3934127</v>
      </c>
      <c r="C75" s="25" t="s">
        <v>2296</v>
      </c>
      <c r="D75" s="27" t="s">
        <v>2297</v>
      </c>
      <c r="E75" s="27" t="s">
        <v>48</v>
      </c>
      <c r="F75" s="27" t="s">
        <v>2298</v>
      </c>
      <c r="G75" s="62" t="s">
        <v>44</v>
      </c>
      <c r="H75" s="67">
        <v>5810.4</v>
      </c>
      <c r="I75" s="50">
        <v>45604</v>
      </c>
      <c r="J75" s="50">
        <v>45608</v>
      </c>
      <c r="K75" s="27">
        <v>1005</v>
      </c>
      <c r="L75" s="39" t="s">
        <v>2301</v>
      </c>
      <c r="M75" s="52" t="s">
        <v>2302</v>
      </c>
      <c r="N75" s="73" t="s">
        <v>2281</v>
      </c>
      <c r="O75" s="27" t="s">
        <v>2282</v>
      </c>
      <c r="P75" s="63"/>
    </row>
    <row r="76" spans="1:16" ht="76.5" hidden="1">
      <c r="A76" s="27">
        <v>3796471</v>
      </c>
      <c r="B76" s="27">
        <v>3934127</v>
      </c>
      <c r="C76" s="25" t="s">
        <v>2296</v>
      </c>
      <c r="D76" s="27" t="s">
        <v>2297</v>
      </c>
      <c r="E76" s="27" t="s">
        <v>40</v>
      </c>
      <c r="F76" s="27" t="s">
        <v>2298</v>
      </c>
      <c r="G76" s="62" t="s">
        <v>44</v>
      </c>
      <c r="H76" s="67">
        <v>5810.4</v>
      </c>
      <c r="I76" s="50">
        <v>45632</v>
      </c>
      <c r="J76" s="50">
        <v>45635</v>
      </c>
      <c r="K76" s="27">
        <v>1006</v>
      </c>
      <c r="L76" s="39" t="s">
        <v>2301</v>
      </c>
      <c r="M76" s="52" t="s">
        <v>2302</v>
      </c>
      <c r="N76" s="73" t="s">
        <v>2281</v>
      </c>
      <c r="O76" s="27" t="s">
        <v>2282</v>
      </c>
      <c r="P76" s="63"/>
    </row>
    <row r="77" spans="1:16" ht="76.5" hidden="1">
      <c r="A77" s="27">
        <v>3796471</v>
      </c>
      <c r="B77" s="27">
        <v>3934127</v>
      </c>
      <c r="C77" s="25" t="s">
        <v>2296</v>
      </c>
      <c r="D77" s="27" t="s">
        <v>2297</v>
      </c>
      <c r="E77" s="27" t="s">
        <v>40</v>
      </c>
      <c r="F77" s="27" t="s">
        <v>2298</v>
      </c>
      <c r="G77" s="27" t="s">
        <v>44</v>
      </c>
      <c r="H77" s="67">
        <v>5810.4</v>
      </c>
      <c r="I77" s="50">
        <v>45664</v>
      </c>
      <c r="J77" s="50">
        <v>45667</v>
      </c>
      <c r="K77" s="27">
        <v>1007</v>
      </c>
      <c r="L77" s="39" t="s">
        <v>2301</v>
      </c>
      <c r="M77" s="52">
        <v>262</v>
      </c>
      <c r="N77" s="68" t="s">
        <v>2281</v>
      </c>
      <c r="O77" s="27" t="s">
        <v>2282</v>
      </c>
      <c r="P77" s="63"/>
    </row>
    <row r="78" spans="1:16" ht="76.5" hidden="1">
      <c r="A78" s="27">
        <v>3796471</v>
      </c>
      <c r="B78" s="27">
        <v>3934127</v>
      </c>
      <c r="C78" s="25" t="s">
        <v>2296</v>
      </c>
      <c r="D78" s="27" t="s">
        <v>2297</v>
      </c>
      <c r="E78" s="27" t="s">
        <v>40</v>
      </c>
      <c r="F78" s="27" t="s">
        <v>2298</v>
      </c>
      <c r="G78" s="27" t="s">
        <v>44</v>
      </c>
      <c r="H78" s="67">
        <v>6087.3</v>
      </c>
      <c r="I78" s="50">
        <v>45700</v>
      </c>
      <c r="J78" s="50">
        <v>45708</v>
      </c>
      <c r="K78" s="57">
        <v>1008</v>
      </c>
      <c r="L78" s="39" t="s">
        <v>2304</v>
      </c>
      <c r="M78" s="52">
        <v>262</v>
      </c>
      <c r="N78" s="73" t="s">
        <v>2281</v>
      </c>
      <c r="O78" s="27" t="s">
        <v>2282</v>
      </c>
      <c r="P78" s="63"/>
    </row>
    <row r="79" spans="1:16" ht="76.5" hidden="1">
      <c r="A79" s="27">
        <v>3796471</v>
      </c>
      <c r="B79" s="27">
        <v>3934127</v>
      </c>
      <c r="C79" s="25" t="s">
        <v>2296</v>
      </c>
      <c r="D79" s="27" t="s">
        <v>2297</v>
      </c>
      <c r="E79" s="27" t="s">
        <v>40</v>
      </c>
      <c r="F79" s="27" t="s">
        <v>2298</v>
      </c>
      <c r="G79" s="27" t="s">
        <v>44</v>
      </c>
      <c r="H79" s="67">
        <v>6087.3</v>
      </c>
      <c r="I79" s="50">
        <v>45729</v>
      </c>
      <c r="J79" s="50">
        <v>45729</v>
      </c>
      <c r="K79" s="27">
        <v>1009</v>
      </c>
      <c r="L79" s="39" t="s">
        <v>2304</v>
      </c>
      <c r="M79" s="288" t="s">
        <v>2305</v>
      </c>
      <c r="N79" s="68" t="s">
        <v>2281</v>
      </c>
      <c r="O79" s="27" t="s">
        <v>2282</v>
      </c>
      <c r="P79" s="63"/>
    </row>
    <row r="80" spans="1:16" ht="76.5" hidden="1">
      <c r="A80" s="27">
        <v>3796471</v>
      </c>
      <c r="B80" s="27">
        <v>3934127</v>
      </c>
      <c r="C80" s="25" t="s">
        <v>2296</v>
      </c>
      <c r="D80" s="27" t="s">
        <v>2297</v>
      </c>
      <c r="E80" s="27" t="s">
        <v>40</v>
      </c>
      <c r="F80" s="27" t="s">
        <v>2298</v>
      </c>
      <c r="G80" s="27" t="s">
        <v>44</v>
      </c>
      <c r="H80" s="67">
        <v>6087.3</v>
      </c>
      <c r="I80" s="50">
        <v>45758</v>
      </c>
      <c r="J80" s="50">
        <v>45762</v>
      </c>
      <c r="K80" s="27">
        <v>1010</v>
      </c>
      <c r="L80" s="39" t="s">
        <v>2304</v>
      </c>
      <c r="M80" s="288" t="s">
        <v>2306</v>
      </c>
      <c r="N80" s="73" t="s">
        <v>2281</v>
      </c>
      <c r="O80" s="27" t="s">
        <v>2282</v>
      </c>
      <c r="P80" s="63"/>
    </row>
    <row r="81" spans="1:16" ht="76.5" hidden="1">
      <c r="A81" s="27">
        <v>3796471</v>
      </c>
      <c r="B81" s="27">
        <v>3934127</v>
      </c>
      <c r="C81" s="25" t="s">
        <v>2296</v>
      </c>
      <c r="D81" s="27" t="s">
        <v>2297</v>
      </c>
      <c r="E81" s="27" t="s">
        <v>40</v>
      </c>
      <c r="F81" s="27" t="s">
        <v>2298</v>
      </c>
      <c r="G81" s="27" t="s">
        <v>44</v>
      </c>
      <c r="H81" s="67">
        <v>6087.3</v>
      </c>
      <c r="I81" s="50">
        <v>45790</v>
      </c>
      <c r="J81" s="50">
        <v>45790</v>
      </c>
      <c r="K81" s="57">
        <v>1011</v>
      </c>
      <c r="L81" s="39" t="s">
        <v>2304</v>
      </c>
      <c r="M81" s="288" t="s">
        <v>2307</v>
      </c>
      <c r="N81" s="68" t="s">
        <v>2281</v>
      </c>
      <c r="O81" s="27" t="s">
        <v>2283</v>
      </c>
      <c r="P81" s="63"/>
    </row>
    <row r="82" spans="1:16" ht="76.5" hidden="1">
      <c r="A82" s="27">
        <v>3796471</v>
      </c>
      <c r="B82" s="27">
        <v>3934127</v>
      </c>
      <c r="C82" s="25" t="s">
        <v>2296</v>
      </c>
      <c r="D82" s="27" t="s">
        <v>2297</v>
      </c>
      <c r="E82" s="27" t="s">
        <v>40</v>
      </c>
      <c r="F82" s="27" t="s">
        <v>2298</v>
      </c>
      <c r="G82" s="27" t="s">
        <v>44</v>
      </c>
      <c r="H82" s="67">
        <v>6087.3</v>
      </c>
      <c r="I82" s="50">
        <v>45820</v>
      </c>
      <c r="J82" s="50">
        <v>45820</v>
      </c>
      <c r="K82" s="57">
        <v>1012</v>
      </c>
      <c r="L82" s="39" t="s">
        <v>2304</v>
      </c>
      <c r="M82" s="288" t="s">
        <v>2307</v>
      </c>
      <c r="N82" s="73" t="s">
        <v>2281</v>
      </c>
      <c r="O82" s="27" t="s">
        <v>2282</v>
      </c>
      <c r="P82" s="63"/>
    </row>
    <row r="83" spans="1:16" ht="76.5" hidden="1">
      <c r="A83" s="27">
        <v>3796471</v>
      </c>
      <c r="B83" s="27">
        <v>3934127</v>
      </c>
      <c r="C83" s="25" t="s">
        <v>2296</v>
      </c>
      <c r="D83" s="27" t="s">
        <v>2297</v>
      </c>
      <c r="E83" s="27" t="s">
        <v>40</v>
      </c>
      <c r="F83" s="27" t="s">
        <v>2298</v>
      </c>
      <c r="G83" s="27" t="s">
        <v>44</v>
      </c>
      <c r="H83" s="67">
        <v>6134.66</v>
      </c>
      <c r="I83" s="50">
        <v>45849</v>
      </c>
      <c r="J83" s="50">
        <v>45863</v>
      </c>
      <c r="K83" s="57">
        <v>1013</v>
      </c>
      <c r="L83" s="39" t="s">
        <v>2304</v>
      </c>
      <c r="M83" s="288" t="s">
        <v>2307</v>
      </c>
      <c r="N83" s="68" t="s">
        <v>2281</v>
      </c>
      <c r="O83" s="27" t="s">
        <v>2282</v>
      </c>
      <c r="P83" s="63"/>
    </row>
    <row r="84" spans="1:16" ht="76.5" hidden="1">
      <c r="A84" s="27">
        <v>3796471</v>
      </c>
      <c r="B84" s="27">
        <v>3934127</v>
      </c>
      <c r="C84" s="25" t="s">
        <v>2296</v>
      </c>
      <c r="D84" s="27" t="s">
        <v>2297</v>
      </c>
      <c r="E84" s="50" t="s">
        <v>48</v>
      </c>
      <c r="F84" s="27" t="s">
        <v>2298</v>
      </c>
      <c r="G84" s="27" t="s">
        <v>44</v>
      </c>
      <c r="H84" s="67">
        <v>6087.3</v>
      </c>
      <c r="I84" s="50">
        <v>45876</v>
      </c>
      <c r="J84" s="50">
        <v>45877</v>
      </c>
      <c r="K84" s="57">
        <v>1014</v>
      </c>
      <c r="L84" s="39" t="s">
        <v>2304</v>
      </c>
      <c r="M84" s="288" t="s">
        <v>2307</v>
      </c>
      <c r="N84" s="75" t="s">
        <v>2281</v>
      </c>
      <c r="O84" s="27" t="s">
        <v>2282</v>
      </c>
      <c r="P84" s="63"/>
    </row>
    <row r="85" spans="1:16" ht="76.5" hidden="1">
      <c r="A85" s="27">
        <v>3796471</v>
      </c>
      <c r="B85" s="27">
        <v>3934127</v>
      </c>
      <c r="C85" s="25" t="s">
        <v>2296</v>
      </c>
      <c r="D85" s="27" t="s">
        <v>2297</v>
      </c>
      <c r="E85" s="50" t="s">
        <v>48</v>
      </c>
      <c r="F85" s="27" t="s">
        <v>2298</v>
      </c>
      <c r="G85" s="27" t="s">
        <v>44</v>
      </c>
      <c r="H85" s="67">
        <v>6087.3</v>
      </c>
      <c r="I85" s="50">
        <v>45910</v>
      </c>
      <c r="J85" s="50">
        <v>45910</v>
      </c>
      <c r="K85" s="57">
        <v>9881001015</v>
      </c>
      <c r="L85" s="39" t="s">
        <v>2304</v>
      </c>
      <c r="M85" s="288" t="s">
        <v>2307</v>
      </c>
      <c r="N85" s="73" t="s">
        <v>2281</v>
      </c>
      <c r="O85" s="27" t="s">
        <v>1459</v>
      </c>
      <c r="P85" s="63"/>
    </row>
    <row r="86" spans="1:16" ht="76.5" hidden="1">
      <c r="A86" s="27">
        <v>3796471</v>
      </c>
      <c r="B86" s="27">
        <v>3934127</v>
      </c>
      <c r="C86" s="25" t="s">
        <v>2296</v>
      </c>
      <c r="D86" s="27" t="s">
        <v>2297</v>
      </c>
      <c r="E86" s="27" t="s">
        <v>40</v>
      </c>
      <c r="F86" s="27" t="s">
        <v>2298</v>
      </c>
      <c r="G86" s="27" t="s">
        <v>44</v>
      </c>
      <c r="H86" s="67">
        <v>6087.3</v>
      </c>
      <c r="I86" s="50">
        <v>45938</v>
      </c>
      <c r="J86" s="50">
        <v>45939</v>
      </c>
      <c r="K86" s="57">
        <v>881001016</v>
      </c>
      <c r="L86" s="39" t="s">
        <v>2304</v>
      </c>
      <c r="M86" s="288" t="s">
        <v>2307</v>
      </c>
      <c r="N86" s="73" t="s">
        <v>2281</v>
      </c>
      <c r="O86" s="27" t="s">
        <v>2282</v>
      </c>
      <c r="P86" s="63"/>
    </row>
    <row r="87" spans="1:16" hidden="1">
      <c r="A87" s="27" t="s">
        <v>34</v>
      </c>
      <c r="B87" s="27" t="s">
        <v>34</v>
      </c>
      <c r="C87" s="25" t="s">
        <v>2236</v>
      </c>
      <c r="D87" s="27"/>
      <c r="E87" s="27" t="s">
        <v>48</v>
      </c>
      <c r="F87" s="27" t="s">
        <v>2308</v>
      </c>
      <c r="G87" s="27" t="s">
        <v>44</v>
      </c>
      <c r="H87" s="67">
        <v>1261.03</v>
      </c>
      <c r="I87" s="50">
        <v>45370</v>
      </c>
      <c r="J87" s="50"/>
      <c r="K87" s="27">
        <v>12925</v>
      </c>
      <c r="L87" s="39">
        <v>1295</v>
      </c>
      <c r="M87" s="52">
        <v>30</v>
      </c>
      <c r="N87" s="68" t="s">
        <v>2281</v>
      </c>
      <c r="O87" s="27" t="s">
        <v>2309</v>
      </c>
      <c r="P87" s="63"/>
    </row>
    <row r="88" spans="1:16" hidden="1">
      <c r="A88" s="27" t="s">
        <v>34</v>
      </c>
      <c r="B88" s="27" t="s">
        <v>34</v>
      </c>
      <c r="C88" s="25" t="s">
        <v>2236</v>
      </c>
      <c r="D88" s="27"/>
      <c r="E88" s="27" t="s">
        <v>48</v>
      </c>
      <c r="F88" s="27" t="s">
        <v>2308</v>
      </c>
      <c r="G88" s="27" t="s">
        <v>44</v>
      </c>
      <c r="H88" s="67">
        <v>1261.03</v>
      </c>
      <c r="I88" s="50">
        <v>45490</v>
      </c>
      <c r="J88" s="50">
        <v>45492</v>
      </c>
      <c r="K88" s="27">
        <v>13267</v>
      </c>
      <c r="L88" s="39">
        <v>1295</v>
      </c>
      <c r="M88" s="52">
        <v>30</v>
      </c>
      <c r="N88" s="68" t="s">
        <v>2281</v>
      </c>
      <c r="O88" s="27" t="s">
        <v>2282</v>
      </c>
      <c r="P88" s="63"/>
    </row>
    <row r="89" spans="1:16" hidden="1">
      <c r="A89" s="27" t="s">
        <v>34</v>
      </c>
      <c r="B89" s="27" t="s">
        <v>34</v>
      </c>
      <c r="C89" s="25" t="s">
        <v>2236</v>
      </c>
      <c r="D89" s="27"/>
      <c r="E89" s="27" t="s">
        <v>48</v>
      </c>
      <c r="F89" s="27" t="s">
        <v>2308</v>
      </c>
      <c r="G89" s="27" t="s">
        <v>44</v>
      </c>
      <c r="H89" s="67">
        <v>1261.03</v>
      </c>
      <c r="I89" s="50">
        <v>45520</v>
      </c>
      <c r="J89" s="50">
        <v>45552</v>
      </c>
      <c r="K89" s="27">
        <v>13356</v>
      </c>
      <c r="L89" s="39">
        <v>1295</v>
      </c>
      <c r="M89" s="52">
        <v>30</v>
      </c>
      <c r="N89" s="68" t="s">
        <v>2281</v>
      </c>
      <c r="O89" s="27" t="s">
        <v>2309</v>
      </c>
      <c r="P89" s="63"/>
    </row>
    <row r="90" spans="1:16" hidden="1">
      <c r="A90" s="27" t="s">
        <v>34</v>
      </c>
      <c r="B90" s="27" t="s">
        <v>34</v>
      </c>
      <c r="C90" s="25" t="s">
        <v>2236</v>
      </c>
      <c r="D90" s="27"/>
      <c r="E90" s="27" t="s">
        <v>40</v>
      </c>
      <c r="F90" s="27" t="s">
        <v>2308</v>
      </c>
      <c r="G90" s="27" t="s">
        <v>44</v>
      </c>
      <c r="H90" s="67">
        <v>1261.03</v>
      </c>
      <c r="I90" s="50">
        <v>45552</v>
      </c>
      <c r="J90" s="50">
        <v>45554</v>
      </c>
      <c r="K90" s="27">
        <v>13469</v>
      </c>
      <c r="L90" s="39">
        <v>1295</v>
      </c>
      <c r="M90" s="52">
        <v>30</v>
      </c>
      <c r="N90" s="68" t="s">
        <v>2281</v>
      </c>
      <c r="O90" s="27" t="s">
        <v>2282</v>
      </c>
      <c r="P90" s="63"/>
    </row>
    <row r="91" spans="1:16" hidden="1">
      <c r="A91" s="27" t="s">
        <v>34</v>
      </c>
      <c r="B91" s="27" t="s">
        <v>34</v>
      </c>
      <c r="C91" s="25" t="s">
        <v>2236</v>
      </c>
      <c r="D91" s="27"/>
      <c r="E91" s="27" t="s">
        <v>40</v>
      </c>
      <c r="F91" s="27" t="s">
        <v>2308</v>
      </c>
      <c r="G91" s="27" t="s">
        <v>44</v>
      </c>
      <c r="H91" s="67">
        <v>1261.03</v>
      </c>
      <c r="I91" s="50">
        <v>45583</v>
      </c>
      <c r="J91" s="50">
        <v>45586</v>
      </c>
      <c r="K91" s="27">
        <v>13582</v>
      </c>
      <c r="L91" s="39">
        <v>1295</v>
      </c>
      <c r="M91" s="52">
        <v>30</v>
      </c>
      <c r="N91" s="68" t="s">
        <v>2281</v>
      </c>
      <c r="O91" s="27" t="s">
        <v>2282</v>
      </c>
      <c r="P91" s="63"/>
    </row>
    <row r="92" spans="1:16" hidden="1">
      <c r="A92" s="27" t="s">
        <v>34</v>
      </c>
      <c r="B92" s="27" t="s">
        <v>34</v>
      </c>
      <c r="C92" s="25" t="s">
        <v>2236</v>
      </c>
      <c r="D92" s="27"/>
      <c r="E92" s="27" t="s">
        <v>40</v>
      </c>
      <c r="F92" s="27" t="s">
        <v>2308</v>
      </c>
      <c r="G92" s="27" t="s">
        <v>44</v>
      </c>
      <c r="H92" s="67">
        <v>1261.03</v>
      </c>
      <c r="I92" s="50">
        <v>45614</v>
      </c>
      <c r="J92" s="50">
        <v>45624</v>
      </c>
      <c r="K92" s="27">
        <v>13627</v>
      </c>
      <c r="L92" s="39">
        <v>1295</v>
      </c>
      <c r="M92" s="52">
        <v>30</v>
      </c>
      <c r="N92" s="68" t="s">
        <v>2281</v>
      </c>
      <c r="O92" s="27" t="s">
        <v>2282</v>
      </c>
      <c r="P92" s="63"/>
    </row>
    <row r="93" spans="1:16" hidden="1">
      <c r="A93" s="27" t="s">
        <v>34</v>
      </c>
      <c r="B93" s="27" t="s">
        <v>34</v>
      </c>
      <c r="C93" s="25" t="s">
        <v>2236</v>
      </c>
      <c r="D93" s="27"/>
      <c r="E93" s="27" t="s">
        <v>48</v>
      </c>
      <c r="F93" s="27" t="s">
        <v>2308</v>
      </c>
      <c r="G93" s="27" t="s">
        <v>44</v>
      </c>
      <c r="H93" s="67">
        <v>1261.03</v>
      </c>
      <c r="I93" s="50">
        <v>45636</v>
      </c>
      <c r="J93" s="50">
        <v>45638</v>
      </c>
      <c r="K93" s="27">
        <v>13698</v>
      </c>
      <c r="L93" s="39">
        <v>1295</v>
      </c>
      <c r="M93" s="52">
        <v>30</v>
      </c>
      <c r="N93" s="73" t="s">
        <v>2281</v>
      </c>
      <c r="O93" s="27" t="s">
        <v>2282</v>
      </c>
      <c r="P93" s="63"/>
    </row>
    <row r="94" spans="1:16" hidden="1">
      <c r="A94" s="27" t="s">
        <v>34</v>
      </c>
      <c r="B94" s="27" t="s">
        <v>34</v>
      </c>
      <c r="C94" s="25" t="s">
        <v>2236</v>
      </c>
      <c r="D94" s="27"/>
      <c r="E94" s="27" t="s">
        <v>48</v>
      </c>
      <c r="F94" s="27" t="s">
        <v>2308</v>
      </c>
      <c r="G94" s="27" t="s">
        <v>44</v>
      </c>
      <c r="H94" s="67">
        <v>1321.15</v>
      </c>
      <c r="I94" s="50">
        <v>45673</v>
      </c>
      <c r="J94" s="50">
        <v>45674</v>
      </c>
      <c r="K94" s="27">
        <v>13781</v>
      </c>
      <c r="L94" s="39">
        <v>1295</v>
      </c>
      <c r="M94" s="52">
        <v>30</v>
      </c>
      <c r="N94" s="75" t="s">
        <v>2281</v>
      </c>
      <c r="O94" s="27" t="s">
        <v>2282</v>
      </c>
      <c r="P94" s="63"/>
    </row>
    <row r="95" spans="1:16" hidden="1">
      <c r="A95" s="27" t="s">
        <v>34</v>
      </c>
      <c r="B95" s="27" t="s">
        <v>34</v>
      </c>
      <c r="C95" s="25" t="s">
        <v>2236</v>
      </c>
      <c r="D95" s="27"/>
      <c r="E95" s="27" t="s">
        <v>40</v>
      </c>
      <c r="F95" s="27" t="s">
        <v>2308</v>
      </c>
      <c r="G95" s="27" t="s">
        <v>44</v>
      </c>
      <c r="H95" s="67">
        <v>1321.15</v>
      </c>
      <c r="I95" s="50">
        <v>45706</v>
      </c>
      <c r="J95" s="50">
        <v>45713</v>
      </c>
      <c r="K95" s="27">
        <v>13870</v>
      </c>
      <c r="L95" s="39">
        <v>1295</v>
      </c>
      <c r="M95" s="52">
        <v>30</v>
      </c>
      <c r="N95" s="75" t="s">
        <v>2281</v>
      </c>
      <c r="O95" s="27" t="s">
        <v>2282</v>
      </c>
      <c r="P95" s="63"/>
    </row>
    <row r="96" spans="1:16" hidden="1">
      <c r="A96" s="27" t="s">
        <v>34</v>
      </c>
      <c r="B96" s="27" t="s">
        <v>34</v>
      </c>
      <c r="C96" s="25" t="s">
        <v>2236</v>
      </c>
      <c r="D96" s="27"/>
      <c r="E96" s="27" t="s">
        <v>40</v>
      </c>
      <c r="F96" s="27" t="s">
        <v>2308</v>
      </c>
      <c r="G96" s="27" t="s">
        <v>44</v>
      </c>
      <c r="H96" s="67">
        <v>1321.15</v>
      </c>
      <c r="I96" s="50">
        <v>45734</v>
      </c>
      <c r="J96" s="50">
        <v>45740</v>
      </c>
      <c r="K96" s="27">
        <v>13981</v>
      </c>
      <c r="L96" s="39">
        <v>1295</v>
      </c>
      <c r="M96" s="52">
        <v>30</v>
      </c>
      <c r="N96" s="68" t="s">
        <v>2281</v>
      </c>
      <c r="O96" s="27" t="s">
        <v>2282</v>
      </c>
      <c r="P96" s="63"/>
    </row>
    <row r="97" spans="1:16" hidden="1">
      <c r="A97" s="27" t="s">
        <v>34</v>
      </c>
      <c r="B97" s="27" t="s">
        <v>34</v>
      </c>
      <c r="C97" s="25" t="s">
        <v>2236</v>
      </c>
      <c r="D97" s="27"/>
      <c r="E97" s="27" t="s">
        <v>40</v>
      </c>
      <c r="F97" s="27" t="s">
        <v>2308</v>
      </c>
      <c r="G97" s="27" t="s">
        <v>44</v>
      </c>
      <c r="H97" s="67">
        <v>1321.15</v>
      </c>
      <c r="I97" s="50">
        <v>45764</v>
      </c>
      <c r="J97" s="50">
        <v>45769</v>
      </c>
      <c r="K97" s="57">
        <v>14054</v>
      </c>
      <c r="L97" s="39">
        <v>1295</v>
      </c>
      <c r="M97" s="52">
        <v>30</v>
      </c>
      <c r="N97" s="73" t="s">
        <v>2281</v>
      </c>
      <c r="O97" s="27" t="s">
        <v>2282</v>
      </c>
      <c r="P97" s="63"/>
    </row>
    <row r="98" spans="1:16" hidden="1">
      <c r="A98" s="27" t="s">
        <v>34</v>
      </c>
      <c r="B98" s="27" t="s">
        <v>34</v>
      </c>
      <c r="C98" s="25" t="s">
        <v>2236</v>
      </c>
      <c r="D98" s="27"/>
      <c r="E98" s="27" t="s">
        <v>40</v>
      </c>
      <c r="F98" s="27" t="s">
        <v>2308</v>
      </c>
      <c r="G98" s="27" t="s">
        <v>44</v>
      </c>
      <c r="H98" s="69">
        <v>1321.15</v>
      </c>
      <c r="I98" s="50">
        <v>45793</v>
      </c>
      <c r="J98" s="50">
        <v>45797</v>
      </c>
      <c r="K98" s="57">
        <v>14141</v>
      </c>
      <c r="L98" s="39">
        <v>1295</v>
      </c>
      <c r="M98" s="52">
        <v>30</v>
      </c>
      <c r="N98" s="75" t="s">
        <v>2281</v>
      </c>
      <c r="O98" s="27" t="s">
        <v>2283</v>
      </c>
      <c r="P98" s="63"/>
    </row>
    <row r="99" spans="1:16" hidden="1">
      <c r="A99" s="27" t="s">
        <v>34</v>
      </c>
      <c r="B99" s="27" t="s">
        <v>34</v>
      </c>
      <c r="C99" s="25" t="s">
        <v>2236</v>
      </c>
      <c r="D99" s="27"/>
      <c r="E99" s="27" t="s">
        <v>40</v>
      </c>
      <c r="F99" s="27" t="s">
        <v>2308</v>
      </c>
      <c r="G99" s="27" t="s">
        <v>44</v>
      </c>
      <c r="H99" s="67">
        <v>1321.15</v>
      </c>
      <c r="I99" s="50">
        <v>45824</v>
      </c>
      <c r="J99" s="50">
        <v>45827</v>
      </c>
      <c r="K99" s="57">
        <v>14200</v>
      </c>
      <c r="L99" s="39">
        <v>1295</v>
      </c>
      <c r="M99" s="52">
        <v>30</v>
      </c>
      <c r="N99" s="73" t="s">
        <v>2281</v>
      </c>
      <c r="O99" s="27" t="s">
        <v>2282</v>
      </c>
      <c r="P99" s="63"/>
    </row>
    <row r="100" spans="1:16" hidden="1">
      <c r="A100" s="27" t="s">
        <v>34</v>
      </c>
      <c r="B100" s="27" t="s">
        <v>34</v>
      </c>
      <c r="C100" s="25" t="s">
        <v>2236</v>
      </c>
      <c r="D100" s="27"/>
      <c r="E100" s="27" t="s">
        <v>40</v>
      </c>
      <c r="F100" s="27" t="s">
        <v>2308</v>
      </c>
      <c r="G100" s="27" t="s">
        <v>44</v>
      </c>
      <c r="H100" s="67">
        <v>1321.15</v>
      </c>
      <c r="I100" s="50">
        <v>45854</v>
      </c>
      <c r="J100" s="50">
        <v>45856</v>
      </c>
      <c r="K100" s="57">
        <v>14288</v>
      </c>
      <c r="L100" s="39">
        <v>1295</v>
      </c>
      <c r="M100" s="52">
        <v>30</v>
      </c>
      <c r="N100" s="68" t="s">
        <v>2281</v>
      </c>
      <c r="O100" s="27" t="s">
        <v>2282</v>
      </c>
      <c r="P100" s="63"/>
    </row>
    <row r="101" spans="1:16" hidden="1">
      <c r="A101" s="27" t="s">
        <v>34</v>
      </c>
      <c r="B101" s="27" t="s">
        <v>34</v>
      </c>
      <c r="C101" s="25" t="s">
        <v>2236</v>
      </c>
      <c r="D101" s="27"/>
      <c r="E101" s="27" t="s">
        <v>40</v>
      </c>
      <c r="F101" s="27" t="s">
        <v>2308</v>
      </c>
      <c r="G101" s="27" t="s">
        <v>44</v>
      </c>
      <c r="H101" s="67">
        <v>1321.15</v>
      </c>
      <c r="I101" s="50">
        <v>45887</v>
      </c>
      <c r="J101" s="50">
        <v>45891</v>
      </c>
      <c r="K101" s="57">
        <v>14371</v>
      </c>
      <c r="L101" s="39">
        <v>1295</v>
      </c>
      <c r="M101" s="52">
        <v>30</v>
      </c>
      <c r="N101" s="68" t="s">
        <v>2281</v>
      </c>
      <c r="O101" s="27" t="s">
        <v>2282</v>
      </c>
      <c r="P101" s="63"/>
    </row>
    <row r="102" spans="1:16" hidden="1">
      <c r="A102" s="27" t="s">
        <v>34</v>
      </c>
      <c r="B102" s="27" t="s">
        <v>34</v>
      </c>
      <c r="C102" s="25" t="s">
        <v>2236</v>
      </c>
      <c r="D102" s="27"/>
      <c r="E102" s="27" t="s">
        <v>40</v>
      </c>
      <c r="F102" s="27" t="s">
        <v>2308</v>
      </c>
      <c r="G102" s="27" t="s">
        <v>44</v>
      </c>
      <c r="H102" s="67">
        <v>1321.15</v>
      </c>
      <c r="I102" s="50">
        <v>45919</v>
      </c>
      <c r="J102" s="50">
        <v>45924</v>
      </c>
      <c r="K102" s="57">
        <v>14473</v>
      </c>
      <c r="L102" s="39">
        <v>1295</v>
      </c>
      <c r="M102" s="52">
        <v>30</v>
      </c>
      <c r="N102" s="68" t="s">
        <v>2281</v>
      </c>
      <c r="O102" s="27" t="s">
        <v>2282</v>
      </c>
      <c r="P102" s="63"/>
    </row>
    <row r="103" spans="1:16" hidden="1">
      <c r="A103" s="27" t="s">
        <v>34</v>
      </c>
      <c r="B103" s="27" t="s">
        <v>34</v>
      </c>
      <c r="C103" s="25" t="s">
        <v>2236</v>
      </c>
      <c r="D103" s="27"/>
      <c r="E103" s="27" t="s">
        <v>40</v>
      </c>
      <c r="F103" s="27" t="s">
        <v>2308</v>
      </c>
      <c r="G103" s="27" t="s">
        <v>44</v>
      </c>
      <c r="H103" s="67">
        <v>1321.15</v>
      </c>
      <c r="I103" s="50">
        <v>45946</v>
      </c>
      <c r="J103" s="50">
        <v>45947</v>
      </c>
      <c r="K103" s="57">
        <v>14596</v>
      </c>
      <c r="L103" s="39">
        <v>1295</v>
      </c>
      <c r="M103" s="52">
        <v>30</v>
      </c>
      <c r="N103" s="73" t="s">
        <v>2281</v>
      </c>
      <c r="O103" s="64" t="s">
        <v>2282</v>
      </c>
      <c r="P103" s="202"/>
    </row>
    <row r="104" spans="1:16" ht="91.5" hidden="1">
      <c r="A104" s="27">
        <v>3977321</v>
      </c>
      <c r="B104" s="27">
        <v>4106352</v>
      </c>
      <c r="C104" s="25" t="s">
        <v>2239</v>
      </c>
      <c r="D104" s="27" t="s">
        <v>2310</v>
      </c>
      <c r="E104" s="27" t="s">
        <v>40</v>
      </c>
      <c r="F104" s="27" t="s">
        <v>2237</v>
      </c>
      <c r="G104" s="27" t="s">
        <v>44</v>
      </c>
      <c r="H104" s="67">
        <v>7500</v>
      </c>
      <c r="I104" s="50">
        <v>45671</v>
      </c>
      <c r="J104" s="50">
        <v>45672</v>
      </c>
      <c r="K104" s="27">
        <v>10490</v>
      </c>
      <c r="L104" s="39">
        <v>1210</v>
      </c>
      <c r="M104" s="52">
        <v>242</v>
      </c>
      <c r="N104" s="73" t="s">
        <v>2281</v>
      </c>
      <c r="O104" s="27" t="s">
        <v>2282</v>
      </c>
      <c r="P104" s="63"/>
    </row>
    <row r="105" spans="1:16" ht="91.5" hidden="1">
      <c r="A105" s="27">
        <v>3977321</v>
      </c>
      <c r="B105" s="27">
        <v>4106352</v>
      </c>
      <c r="C105" s="25" t="s">
        <v>2239</v>
      </c>
      <c r="D105" s="27" t="s">
        <v>2310</v>
      </c>
      <c r="E105" s="27" t="s">
        <v>40</v>
      </c>
      <c r="F105" s="27" t="s">
        <v>2237</v>
      </c>
      <c r="G105" s="27" t="s">
        <v>44</v>
      </c>
      <c r="H105" s="67">
        <v>7500</v>
      </c>
      <c r="I105" s="50">
        <v>45706</v>
      </c>
      <c r="J105" s="50">
        <v>45708</v>
      </c>
      <c r="K105" s="27">
        <v>10651</v>
      </c>
      <c r="L105" s="39">
        <v>1210</v>
      </c>
      <c r="M105" s="52">
        <v>242</v>
      </c>
      <c r="N105" s="73" t="s">
        <v>2281</v>
      </c>
      <c r="O105" s="27" t="s">
        <v>2282</v>
      </c>
      <c r="P105" s="63"/>
    </row>
    <row r="106" spans="1:16" ht="91.5" hidden="1">
      <c r="A106" s="27">
        <v>3977321</v>
      </c>
      <c r="B106" s="27">
        <v>4106352</v>
      </c>
      <c r="C106" s="25" t="s">
        <v>2239</v>
      </c>
      <c r="D106" s="27" t="s">
        <v>2310</v>
      </c>
      <c r="E106" s="27" t="s">
        <v>40</v>
      </c>
      <c r="F106" s="27" t="s">
        <v>2237</v>
      </c>
      <c r="G106" s="27" t="s">
        <v>44</v>
      </c>
      <c r="H106" s="67">
        <v>7500</v>
      </c>
      <c r="I106" s="50">
        <v>45734</v>
      </c>
      <c r="J106" s="50">
        <v>45734</v>
      </c>
      <c r="K106" s="27">
        <v>10808</v>
      </c>
      <c r="L106" s="39">
        <v>1210</v>
      </c>
      <c r="M106" s="52">
        <v>242</v>
      </c>
      <c r="N106" s="73" t="s">
        <v>2281</v>
      </c>
      <c r="O106" s="27" t="s">
        <v>2282</v>
      </c>
      <c r="P106" s="63"/>
    </row>
    <row r="107" spans="1:16" ht="91.5" hidden="1">
      <c r="A107" s="27">
        <v>3977321</v>
      </c>
      <c r="B107" s="27">
        <v>4106352</v>
      </c>
      <c r="C107" s="25" t="s">
        <v>2239</v>
      </c>
      <c r="D107" s="27" t="s">
        <v>2310</v>
      </c>
      <c r="E107" s="27" t="s">
        <v>40</v>
      </c>
      <c r="F107" s="27" t="s">
        <v>2237</v>
      </c>
      <c r="G107" s="27" t="s">
        <v>44</v>
      </c>
      <c r="H107" s="67">
        <v>7500</v>
      </c>
      <c r="I107" s="50">
        <v>45755</v>
      </c>
      <c r="J107" s="50">
        <v>45759</v>
      </c>
      <c r="K107" s="27">
        <v>10922</v>
      </c>
      <c r="L107" s="39">
        <v>1210</v>
      </c>
      <c r="M107" s="52">
        <v>242</v>
      </c>
      <c r="N107" s="68" t="s">
        <v>2281</v>
      </c>
      <c r="O107" s="27" t="s">
        <v>2282</v>
      </c>
      <c r="P107" s="63"/>
    </row>
    <row r="108" spans="1:16" ht="91.5" hidden="1">
      <c r="A108" s="27">
        <v>3977321</v>
      </c>
      <c r="B108" s="27">
        <v>4106352</v>
      </c>
      <c r="C108" s="25" t="s">
        <v>2239</v>
      </c>
      <c r="D108" s="27" t="s">
        <v>2310</v>
      </c>
      <c r="E108" s="27" t="s">
        <v>40</v>
      </c>
      <c r="F108" s="27" t="s">
        <v>2237</v>
      </c>
      <c r="G108" s="27" t="s">
        <v>44</v>
      </c>
      <c r="H108" s="67">
        <v>7500</v>
      </c>
      <c r="I108" s="50">
        <v>45790</v>
      </c>
      <c r="J108" s="50">
        <v>45791</v>
      </c>
      <c r="K108" s="57">
        <v>11102</v>
      </c>
      <c r="L108" s="39">
        <v>1210</v>
      </c>
      <c r="M108" s="52">
        <v>242</v>
      </c>
      <c r="N108" s="71" t="s">
        <v>2281</v>
      </c>
      <c r="O108" s="27" t="s">
        <v>2283</v>
      </c>
      <c r="P108" s="63"/>
    </row>
    <row r="109" spans="1:16" ht="91.5" hidden="1">
      <c r="A109" s="14">
        <v>3977321</v>
      </c>
      <c r="B109" s="14">
        <v>4106352</v>
      </c>
      <c r="C109" s="25" t="s">
        <v>2239</v>
      </c>
      <c r="D109" s="27" t="s">
        <v>2310</v>
      </c>
      <c r="E109" s="27" t="s">
        <v>40</v>
      </c>
      <c r="F109" s="27" t="s">
        <v>2237</v>
      </c>
      <c r="G109" s="27" t="s">
        <v>44</v>
      </c>
      <c r="H109" s="67">
        <v>7500</v>
      </c>
      <c r="I109" s="50">
        <v>45811</v>
      </c>
      <c r="J109" s="50">
        <v>45813</v>
      </c>
      <c r="K109" s="57">
        <v>11198</v>
      </c>
      <c r="L109" s="39">
        <v>1210</v>
      </c>
      <c r="M109" s="52">
        <v>242</v>
      </c>
      <c r="N109" s="73" t="s">
        <v>2281</v>
      </c>
      <c r="O109" s="27" t="s">
        <v>2282</v>
      </c>
      <c r="P109" s="63"/>
    </row>
    <row r="110" spans="1:16" ht="91.5" hidden="1">
      <c r="A110" s="14">
        <v>3977321</v>
      </c>
      <c r="B110" s="14">
        <v>4106352</v>
      </c>
      <c r="C110" s="25" t="s">
        <v>2239</v>
      </c>
      <c r="D110" s="27" t="s">
        <v>2310</v>
      </c>
      <c r="E110" s="27" t="s">
        <v>48</v>
      </c>
      <c r="F110" s="27" t="s">
        <v>2237</v>
      </c>
      <c r="G110" s="27" t="s">
        <v>44</v>
      </c>
      <c r="H110" s="67">
        <v>7500</v>
      </c>
      <c r="I110" s="50">
        <v>45846</v>
      </c>
      <c r="J110" s="50">
        <v>45847</v>
      </c>
      <c r="K110" s="57">
        <v>11352</v>
      </c>
      <c r="L110" s="39">
        <v>1210</v>
      </c>
      <c r="M110" s="52">
        <v>242</v>
      </c>
      <c r="N110" s="75" t="s">
        <v>2281</v>
      </c>
      <c r="O110" s="27" t="s">
        <v>2282</v>
      </c>
      <c r="P110" s="63"/>
    </row>
    <row r="111" spans="1:16" ht="91.5" hidden="1">
      <c r="A111" s="27">
        <v>3977321</v>
      </c>
      <c r="B111" s="27">
        <v>4106352</v>
      </c>
      <c r="C111" s="25" t="s">
        <v>2239</v>
      </c>
      <c r="D111" s="27" t="s">
        <v>2310</v>
      </c>
      <c r="E111" s="27" t="s">
        <v>40</v>
      </c>
      <c r="F111" s="27" t="s">
        <v>2237</v>
      </c>
      <c r="G111" s="27" t="s">
        <v>44</v>
      </c>
      <c r="H111" s="67">
        <v>7500</v>
      </c>
      <c r="I111" s="50">
        <v>45881</v>
      </c>
      <c r="J111" s="50">
        <v>45882</v>
      </c>
      <c r="K111" s="57">
        <v>11520</v>
      </c>
      <c r="L111" s="39">
        <v>1210</v>
      </c>
      <c r="M111" s="52">
        <v>242</v>
      </c>
      <c r="N111" s="75" t="s">
        <v>2281</v>
      </c>
      <c r="O111" s="27" t="s">
        <v>2282</v>
      </c>
      <c r="P111" s="63"/>
    </row>
    <row r="112" spans="1:16" ht="91.5" hidden="1">
      <c r="A112" s="27">
        <v>3977321</v>
      </c>
      <c r="B112" s="27">
        <v>4106352</v>
      </c>
      <c r="C112" s="25" t="s">
        <v>2239</v>
      </c>
      <c r="D112" s="27" t="s">
        <v>2310</v>
      </c>
      <c r="E112" s="27" t="s">
        <v>40</v>
      </c>
      <c r="F112" s="27" t="s">
        <v>2237</v>
      </c>
      <c r="G112" s="27" t="s">
        <v>44</v>
      </c>
      <c r="H112" s="67">
        <v>7500</v>
      </c>
      <c r="I112" s="50">
        <v>45903</v>
      </c>
      <c r="J112" s="50">
        <v>45903</v>
      </c>
      <c r="K112" s="57">
        <v>11638</v>
      </c>
      <c r="L112" s="39">
        <v>1210</v>
      </c>
      <c r="M112" s="52">
        <v>242</v>
      </c>
      <c r="N112" s="75" t="s">
        <v>2281</v>
      </c>
      <c r="O112" s="27" t="s">
        <v>1459</v>
      </c>
      <c r="P112" s="63"/>
    </row>
    <row r="113" spans="1:16" ht="91.5" hidden="1">
      <c r="A113" s="27">
        <v>3977321</v>
      </c>
      <c r="B113" s="27">
        <v>4106352</v>
      </c>
      <c r="C113" s="25" t="s">
        <v>2239</v>
      </c>
      <c r="D113" s="27" t="s">
        <v>2310</v>
      </c>
      <c r="E113" s="27" t="s">
        <v>40</v>
      </c>
      <c r="F113" s="27" t="s">
        <v>2237</v>
      </c>
      <c r="G113" s="27" t="s">
        <v>44</v>
      </c>
      <c r="H113" s="67">
        <v>7500</v>
      </c>
      <c r="I113" s="50">
        <v>45938</v>
      </c>
      <c r="J113" s="50">
        <v>45938</v>
      </c>
      <c r="K113" s="57">
        <v>11805</v>
      </c>
      <c r="L113" s="39">
        <v>1210</v>
      </c>
      <c r="M113" s="52">
        <v>242</v>
      </c>
      <c r="N113" s="73" t="s">
        <v>2281</v>
      </c>
      <c r="O113" s="27" t="s">
        <v>2282</v>
      </c>
      <c r="P113" s="63"/>
    </row>
    <row r="114" spans="1:16" ht="45.75" hidden="1">
      <c r="A114" s="27" t="s">
        <v>2311</v>
      </c>
      <c r="B114" s="27">
        <v>3717366</v>
      </c>
      <c r="C114" s="25"/>
      <c r="D114" s="27"/>
      <c r="E114" s="27"/>
      <c r="F114" s="27" t="s">
        <v>2242</v>
      </c>
      <c r="G114" s="27"/>
      <c r="H114" s="67">
        <v>2800</v>
      </c>
      <c r="I114" s="50">
        <v>45287</v>
      </c>
      <c r="J114" s="50">
        <v>45287</v>
      </c>
      <c r="K114" s="27">
        <v>1156</v>
      </c>
      <c r="L114" s="39">
        <v>2208</v>
      </c>
      <c r="M114" s="27">
        <v>242</v>
      </c>
      <c r="N114" s="68" t="s">
        <v>2281</v>
      </c>
      <c r="O114" s="27" t="s">
        <v>34</v>
      </c>
      <c r="P114" s="63"/>
    </row>
    <row r="115" spans="1:16" ht="60.75" hidden="1">
      <c r="A115" s="27">
        <v>3632413</v>
      </c>
      <c r="B115" s="27">
        <v>3787373</v>
      </c>
      <c r="C115" s="60" t="s">
        <v>2312</v>
      </c>
      <c r="D115" s="27"/>
      <c r="E115" s="27" t="s">
        <v>40</v>
      </c>
      <c r="F115" s="27" t="s">
        <v>2242</v>
      </c>
      <c r="G115" s="27" t="s">
        <v>35</v>
      </c>
      <c r="H115" s="67">
        <v>2800</v>
      </c>
      <c r="I115" s="50">
        <v>45379</v>
      </c>
      <c r="J115" s="27"/>
      <c r="K115" s="27">
        <v>1220</v>
      </c>
      <c r="L115" s="39">
        <v>2208</v>
      </c>
      <c r="M115" s="27">
        <v>242</v>
      </c>
      <c r="N115" s="89" t="s">
        <v>2313</v>
      </c>
      <c r="O115" s="27" t="s">
        <v>2282</v>
      </c>
      <c r="P115" s="63"/>
    </row>
    <row r="116" spans="1:16" ht="60.75" hidden="1">
      <c r="A116" s="27">
        <v>3632413</v>
      </c>
      <c r="B116" s="27">
        <v>3787373</v>
      </c>
      <c r="C116" s="60" t="s">
        <v>2312</v>
      </c>
      <c r="D116" s="27"/>
      <c r="E116" s="27" t="s">
        <v>40</v>
      </c>
      <c r="F116" s="27" t="s">
        <v>2242</v>
      </c>
      <c r="G116" s="27" t="s">
        <v>35</v>
      </c>
      <c r="H116" s="67">
        <v>2800</v>
      </c>
      <c r="I116" s="50">
        <v>45383</v>
      </c>
      <c r="J116" s="50">
        <v>45384</v>
      </c>
      <c r="K116" s="27">
        <v>1221</v>
      </c>
      <c r="L116" s="39">
        <v>2208</v>
      </c>
      <c r="M116" s="27">
        <v>242</v>
      </c>
      <c r="N116" s="68" t="s">
        <v>2281</v>
      </c>
      <c r="O116" s="27" t="s">
        <v>2282</v>
      </c>
      <c r="P116" s="63"/>
    </row>
    <row r="117" spans="1:16" ht="60.75" hidden="1">
      <c r="A117" s="27">
        <v>3632413</v>
      </c>
      <c r="B117" s="27">
        <v>3787373</v>
      </c>
      <c r="C117" s="60" t="s">
        <v>2312</v>
      </c>
      <c r="D117" s="27"/>
      <c r="E117" s="27" t="s">
        <v>48</v>
      </c>
      <c r="F117" s="27" t="s">
        <v>2242</v>
      </c>
      <c r="G117" s="27" t="s">
        <v>35</v>
      </c>
      <c r="H117" s="67">
        <v>2800</v>
      </c>
      <c r="I117" s="50">
        <v>45407</v>
      </c>
      <c r="J117" s="50">
        <v>45408</v>
      </c>
      <c r="K117" s="27">
        <v>1248</v>
      </c>
      <c r="L117" s="39">
        <v>2208</v>
      </c>
      <c r="M117" s="52">
        <v>242</v>
      </c>
      <c r="N117" s="68" t="s">
        <v>2281</v>
      </c>
      <c r="O117" s="27" t="s">
        <v>2282</v>
      </c>
      <c r="P117" s="63"/>
    </row>
    <row r="118" spans="1:16" ht="60.75" hidden="1">
      <c r="A118" s="27">
        <v>3632413</v>
      </c>
      <c r="B118" s="27">
        <v>3787373</v>
      </c>
      <c r="C118" s="60" t="s">
        <v>2312</v>
      </c>
      <c r="D118" s="27"/>
      <c r="E118" s="27" t="s">
        <v>40</v>
      </c>
      <c r="F118" s="27" t="s">
        <v>2242</v>
      </c>
      <c r="G118" s="27" t="s">
        <v>35</v>
      </c>
      <c r="H118" s="67">
        <v>2800</v>
      </c>
      <c r="I118" s="50">
        <v>45434</v>
      </c>
      <c r="J118" s="50">
        <v>45436</v>
      </c>
      <c r="K118" s="27">
        <v>1281</v>
      </c>
      <c r="L118" s="39">
        <v>2208</v>
      </c>
      <c r="M118" s="52">
        <v>242</v>
      </c>
      <c r="N118" s="68" t="s">
        <v>2281</v>
      </c>
      <c r="O118" s="27" t="s">
        <v>2282</v>
      </c>
      <c r="P118" s="63"/>
    </row>
    <row r="119" spans="1:16" ht="60.75" hidden="1">
      <c r="A119" s="27">
        <v>3632413</v>
      </c>
      <c r="B119" s="27">
        <v>3787373</v>
      </c>
      <c r="C119" s="25" t="s">
        <v>2314</v>
      </c>
      <c r="D119" s="27"/>
      <c r="E119" s="27" t="s">
        <v>40</v>
      </c>
      <c r="F119" s="27" t="s">
        <v>2242</v>
      </c>
      <c r="G119" s="27" t="s">
        <v>35</v>
      </c>
      <c r="H119" s="67">
        <v>2800</v>
      </c>
      <c r="I119" s="50">
        <v>45468</v>
      </c>
      <c r="J119" s="50">
        <v>45470</v>
      </c>
      <c r="K119" s="27">
        <v>1310</v>
      </c>
      <c r="L119" s="39">
        <v>2208</v>
      </c>
      <c r="M119" s="52">
        <v>242</v>
      </c>
      <c r="N119" s="68" t="s">
        <v>2281</v>
      </c>
      <c r="O119" s="27" t="s">
        <v>2282</v>
      </c>
      <c r="P119" s="63"/>
    </row>
    <row r="120" spans="1:16" ht="91.5" hidden="1">
      <c r="A120" s="27">
        <v>3632413</v>
      </c>
      <c r="B120" s="1">
        <v>3787373</v>
      </c>
      <c r="C120" s="25" t="s">
        <v>2315</v>
      </c>
      <c r="D120" s="27"/>
      <c r="E120" s="27"/>
      <c r="F120" s="27" t="s">
        <v>2242</v>
      </c>
      <c r="G120" s="27"/>
      <c r="H120" s="67">
        <v>2800</v>
      </c>
      <c r="I120" s="50">
        <v>45503</v>
      </c>
      <c r="J120" s="27"/>
      <c r="K120" s="27">
        <v>1335</v>
      </c>
      <c r="L120" s="39"/>
      <c r="M120" s="27"/>
      <c r="N120" s="89" t="s">
        <v>2316</v>
      </c>
      <c r="O120" s="27" t="s">
        <v>2282</v>
      </c>
      <c r="P120" s="63"/>
    </row>
    <row r="121" spans="1:16" ht="60.75" hidden="1">
      <c r="A121" s="30">
        <v>3632413</v>
      </c>
      <c r="B121" s="27">
        <v>3787373</v>
      </c>
      <c r="C121" s="60" t="s">
        <v>2312</v>
      </c>
      <c r="D121" s="30"/>
      <c r="E121" s="30" t="s">
        <v>48</v>
      </c>
      <c r="F121" s="27" t="s">
        <v>2242</v>
      </c>
      <c r="G121" s="27" t="s">
        <v>35</v>
      </c>
      <c r="H121" s="67">
        <v>2800</v>
      </c>
      <c r="I121" s="50">
        <v>45509</v>
      </c>
      <c r="J121" s="50">
        <v>45510</v>
      </c>
      <c r="K121" s="27">
        <v>1336</v>
      </c>
      <c r="L121" s="39">
        <v>2208</v>
      </c>
      <c r="M121" s="52">
        <v>242</v>
      </c>
      <c r="N121" s="68" t="s">
        <v>2281</v>
      </c>
      <c r="O121" s="27" t="s">
        <v>2282</v>
      </c>
      <c r="P121" s="63"/>
    </row>
    <row r="122" spans="1:16" ht="60.75" hidden="1">
      <c r="A122" s="27">
        <v>3632413</v>
      </c>
      <c r="B122" s="27">
        <v>3787373</v>
      </c>
      <c r="C122" s="25" t="s">
        <v>2314</v>
      </c>
      <c r="D122" s="65"/>
      <c r="E122" s="27" t="s">
        <v>40</v>
      </c>
      <c r="F122" s="27" t="s">
        <v>2242</v>
      </c>
      <c r="G122" s="27" t="s">
        <v>35</v>
      </c>
      <c r="H122" s="67">
        <v>2800</v>
      </c>
      <c r="I122" s="50">
        <v>45541</v>
      </c>
      <c r="J122" s="50">
        <v>45552</v>
      </c>
      <c r="K122" s="27">
        <v>1370</v>
      </c>
      <c r="L122" s="39">
        <v>2208</v>
      </c>
      <c r="M122" s="52">
        <v>242</v>
      </c>
      <c r="N122" s="74" t="s">
        <v>2281</v>
      </c>
      <c r="O122" s="27" t="s">
        <v>2282</v>
      </c>
      <c r="P122" s="63"/>
    </row>
    <row r="123" spans="1:16" ht="91.5" hidden="1">
      <c r="A123" s="27">
        <v>3632413</v>
      </c>
      <c r="B123" s="27">
        <v>3787373</v>
      </c>
      <c r="C123" s="25" t="s">
        <v>2315</v>
      </c>
      <c r="D123" s="27"/>
      <c r="E123" s="27" t="s">
        <v>40</v>
      </c>
      <c r="F123" s="14" t="s">
        <v>2242</v>
      </c>
      <c r="G123" s="63" t="s">
        <v>35</v>
      </c>
      <c r="H123" s="67">
        <v>2800</v>
      </c>
      <c r="I123" s="80">
        <v>45558</v>
      </c>
      <c r="J123" s="50">
        <v>45561</v>
      </c>
      <c r="K123" s="59">
        <v>1382</v>
      </c>
      <c r="L123" s="39">
        <v>2208</v>
      </c>
      <c r="M123" s="52">
        <v>242</v>
      </c>
      <c r="N123" s="68" t="s">
        <v>2281</v>
      </c>
      <c r="O123" s="27" t="s">
        <v>1459</v>
      </c>
      <c r="P123" s="63"/>
    </row>
    <row r="124" spans="1:16" ht="91.5" hidden="1">
      <c r="A124" s="27">
        <v>3632413</v>
      </c>
      <c r="B124" s="27">
        <v>3787373</v>
      </c>
      <c r="C124" s="25" t="s">
        <v>2315</v>
      </c>
      <c r="D124" s="27"/>
      <c r="E124" s="27" t="s">
        <v>40</v>
      </c>
      <c r="F124" s="27" t="s">
        <v>2242</v>
      </c>
      <c r="G124" s="27" t="s">
        <v>35</v>
      </c>
      <c r="H124" s="67">
        <v>2800</v>
      </c>
      <c r="I124" s="50">
        <v>45594</v>
      </c>
      <c r="J124" s="27"/>
      <c r="K124" s="27">
        <v>1407</v>
      </c>
      <c r="L124" s="39"/>
      <c r="M124" s="27"/>
      <c r="N124" s="89" t="s">
        <v>2317</v>
      </c>
      <c r="O124" s="27" t="s">
        <v>2282</v>
      </c>
      <c r="P124" s="63"/>
    </row>
    <row r="125" spans="1:16" ht="60.75" hidden="1">
      <c r="A125" s="27">
        <v>3632413</v>
      </c>
      <c r="B125" s="27">
        <v>3787373</v>
      </c>
      <c r="C125" s="25" t="s">
        <v>2314</v>
      </c>
      <c r="D125" s="27"/>
      <c r="E125" s="27" t="s">
        <v>40</v>
      </c>
      <c r="F125" s="27" t="s">
        <v>2242</v>
      </c>
      <c r="G125" s="27" t="s">
        <v>35</v>
      </c>
      <c r="H125" s="67">
        <v>2800</v>
      </c>
      <c r="I125" s="50">
        <v>45599</v>
      </c>
      <c r="J125" s="50">
        <v>45602</v>
      </c>
      <c r="K125" s="27">
        <v>1413</v>
      </c>
      <c r="L125" s="39">
        <v>2208</v>
      </c>
      <c r="M125" s="52">
        <v>242</v>
      </c>
      <c r="N125" s="73" t="s">
        <v>2281</v>
      </c>
      <c r="O125" s="27" t="s">
        <v>2282</v>
      </c>
      <c r="P125" s="63"/>
    </row>
    <row r="126" spans="1:16" ht="60.75" hidden="1">
      <c r="A126" s="27">
        <v>3632413</v>
      </c>
      <c r="B126" s="27">
        <v>3787373</v>
      </c>
      <c r="C126" s="25" t="s">
        <v>2314</v>
      </c>
      <c r="D126" s="27"/>
      <c r="E126" s="27" t="s">
        <v>48</v>
      </c>
      <c r="F126" s="27" t="s">
        <v>2242</v>
      </c>
      <c r="G126" s="27" t="s">
        <v>35</v>
      </c>
      <c r="H126" s="67">
        <v>2800</v>
      </c>
      <c r="I126" s="50">
        <v>45630</v>
      </c>
      <c r="J126" s="50">
        <v>45631</v>
      </c>
      <c r="K126" s="27">
        <v>1460</v>
      </c>
      <c r="L126" s="39">
        <v>2208</v>
      </c>
      <c r="M126" s="52">
        <v>242</v>
      </c>
      <c r="N126" s="73" t="s">
        <v>2281</v>
      </c>
      <c r="O126" s="27" t="s">
        <v>2282</v>
      </c>
      <c r="P126" s="63"/>
    </row>
    <row r="127" spans="1:16" ht="91.5" hidden="1">
      <c r="A127" s="27">
        <v>3632413</v>
      </c>
      <c r="B127" s="27">
        <v>3787373</v>
      </c>
      <c r="C127" s="25" t="s">
        <v>2315</v>
      </c>
      <c r="D127" s="27"/>
      <c r="E127" s="27" t="s">
        <v>40</v>
      </c>
      <c r="F127" s="27" t="s">
        <v>2242</v>
      </c>
      <c r="G127" s="27" t="s">
        <v>35</v>
      </c>
      <c r="H127" s="67">
        <v>2800</v>
      </c>
      <c r="I127" s="50">
        <v>45660</v>
      </c>
      <c r="J127" s="50">
        <v>45660</v>
      </c>
      <c r="K127" s="27">
        <v>1486</v>
      </c>
      <c r="L127" s="39">
        <v>2208</v>
      </c>
      <c r="M127" s="52">
        <v>242</v>
      </c>
      <c r="N127" s="71" t="s">
        <v>2281</v>
      </c>
      <c r="O127" s="27" t="s">
        <v>2318</v>
      </c>
      <c r="P127" s="63"/>
    </row>
    <row r="128" spans="1:16" ht="409.6" hidden="1">
      <c r="A128" s="27">
        <v>4002793</v>
      </c>
      <c r="B128" s="27">
        <v>4129082</v>
      </c>
      <c r="C128" s="25" t="s">
        <v>2319</v>
      </c>
      <c r="D128" s="27" t="s">
        <v>2320</v>
      </c>
      <c r="E128" s="27" t="s">
        <v>48</v>
      </c>
      <c r="F128" s="27" t="s">
        <v>2242</v>
      </c>
      <c r="G128" s="27" t="s">
        <v>35</v>
      </c>
      <c r="H128" s="67">
        <v>2750</v>
      </c>
      <c r="I128" s="50">
        <v>45735</v>
      </c>
      <c r="J128" s="50">
        <v>45736</v>
      </c>
      <c r="K128" s="58" t="s">
        <v>2321</v>
      </c>
      <c r="L128" s="39" t="s">
        <v>2322</v>
      </c>
      <c r="M128" s="52">
        <v>242</v>
      </c>
      <c r="N128" s="73" t="s">
        <v>2281</v>
      </c>
      <c r="O128" s="27" t="s">
        <v>2282</v>
      </c>
      <c r="P128" s="63"/>
    </row>
    <row r="129" spans="1:16" ht="91.5" hidden="1">
      <c r="A129" s="27" t="s">
        <v>34</v>
      </c>
      <c r="B129" s="27"/>
      <c r="C129" s="25"/>
      <c r="D129" s="27"/>
      <c r="E129" s="27"/>
      <c r="F129" s="27" t="s">
        <v>2242</v>
      </c>
      <c r="G129" s="27"/>
      <c r="H129" s="77"/>
      <c r="I129" s="50"/>
      <c r="J129" s="27"/>
      <c r="K129" s="27">
        <v>1569</v>
      </c>
      <c r="L129" s="39"/>
      <c r="M129" s="27"/>
      <c r="N129" s="89" t="s">
        <v>2323</v>
      </c>
      <c r="O129" s="27" t="s">
        <v>2282</v>
      </c>
      <c r="P129" s="63"/>
    </row>
    <row r="130" spans="1:16" ht="409.6" hidden="1">
      <c r="A130" s="27">
        <v>4002793</v>
      </c>
      <c r="B130" s="27">
        <v>4129082</v>
      </c>
      <c r="C130" s="25" t="s">
        <v>2319</v>
      </c>
      <c r="D130" s="27" t="s">
        <v>2320</v>
      </c>
      <c r="E130" s="27" t="s">
        <v>40</v>
      </c>
      <c r="F130" s="27" t="s">
        <v>2242</v>
      </c>
      <c r="G130" s="27" t="s">
        <v>35</v>
      </c>
      <c r="H130" s="67">
        <v>2750</v>
      </c>
      <c r="I130" s="50">
        <v>45748</v>
      </c>
      <c r="J130" s="50">
        <v>45749</v>
      </c>
      <c r="K130" s="27">
        <v>1571</v>
      </c>
      <c r="L130" s="39" t="s">
        <v>2322</v>
      </c>
      <c r="M130" s="52">
        <v>242</v>
      </c>
      <c r="N130" s="68" t="s">
        <v>2281</v>
      </c>
      <c r="O130" s="27" t="s">
        <v>2282</v>
      </c>
      <c r="P130" s="63"/>
    </row>
    <row r="131" spans="1:16" ht="305.25" hidden="1">
      <c r="A131" s="27">
        <v>4002793</v>
      </c>
      <c r="B131" s="27">
        <v>4129082</v>
      </c>
      <c r="C131" s="25" t="s">
        <v>2319</v>
      </c>
      <c r="D131" s="27" t="s">
        <v>2320</v>
      </c>
      <c r="E131" s="27" t="s">
        <v>40</v>
      </c>
      <c r="F131" s="27" t="s">
        <v>2242</v>
      </c>
      <c r="G131" s="27" t="s">
        <v>35</v>
      </c>
      <c r="H131" s="67">
        <v>2750</v>
      </c>
      <c r="I131" s="50">
        <v>45778</v>
      </c>
      <c r="J131" s="50">
        <v>45785</v>
      </c>
      <c r="K131" s="57">
        <v>1601</v>
      </c>
      <c r="L131" s="39" t="s">
        <v>2324</v>
      </c>
      <c r="M131" s="52">
        <v>242</v>
      </c>
      <c r="N131" s="68" t="s">
        <v>2281</v>
      </c>
      <c r="O131" s="27" t="s">
        <v>2282</v>
      </c>
      <c r="P131" s="63"/>
    </row>
    <row r="132" spans="1:16" ht="305.25" hidden="1">
      <c r="A132" s="27">
        <v>4002793</v>
      </c>
      <c r="B132" s="27">
        <v>4129082</v>
      </c>
      <c r="C132" s="25" t="s">
        <v>2319</v>
      </c>
      <c r="D132" s="27" t="s">
        <v>2320</v>
      </c>
      <c r="E132" s="27" t="s">
        <v>40</v>
      </c>
      <c r="F132" s="27" t="s">
        <v>2242</v>
      </c>
      <c r="G132" s="27" t="s">
        <v>35</v>
      </c>
      <c r="H132" s="67">
        <v>2750</v>
      </c>
      <c r="I132" s="50">
        <v>45812</v>
      </c>
      <c r="J132" s="50">
        <v>45817</v>
      </c>
      <c r="K132" s="57">
        <v>1628</v>
      </c>
      <c r="L132" s="39" t="s">
        <v>2324</v>
      </c>
      <c r="M132" s="52">
        <v>242</v>
      </c>
      <c r="N132" s="73" t="s">
        <v>2281</v>
      </c>
      <c r="O132" s="27" t="s">
        <v>2282</v>
      </c>
      <c r="P132" s="63"/>
    </row>
    <row r="133" spans="1:16" ht="305.25" hidden="1">
      <c r="A133" s="27">
        <v>4002793</v>
      </c>
      <c r="B133" s="27">
        <v>4129082</v>
      </c>
      <c r="C133" s="25" t="s">
        <v>2325</v>
      </c>
      <c r="D133" s="27" t="s">
        <v>2320</v>
      </c>
      <c r="E133" s="27" t="s">
        <v>40</v>
      </c>
      <c r="F133" s="27" t="s">
        <v>2242</v>
      </c>
      <c r="G133" s="27" t="s">
        <v>35</v>
      </c>
      <c r="H133" s="67">
        <v>2750</v>
      </c>
      <c r="I133" s="50">
        <v>45843</v>
      </c>
      <c r="J133" s="50">
        <v>45845</v>
      </c>
      <c r="K133" s="57">
        <v>1673</v>
      </c>
      <c r="L133" s="39" t="s">
        <v>2326</v>
      </c>
      <c r="M133" s="52">
        <v>242</v>
      </c>
      <c r="N133" s="68" t="s">
        <v>2281</v>
      </c>
      <c r="O133" s="27" t="s">
        <v>2282</v>
      </c>
      <c r="P133" s="63"/>
    </row>
    <row r="134" spans="1:16" ht="305.25" hidden="1">
      <c r="A134" s="27">
        <v>4002793</v>
      </c>
      <c r="B134" s="27">
        <v>4129082</v>
      </c>
      <c r="C134" s="25" t="s">
        <v>2327</v>
      </c>
      <c r="D134" s="27" t="s">
        <v>2320</v>
      </c>
      <c r="E134" s="27" t="s">
        <v>40</v>
      </c>
      <c r="F134" s="27" t="s">
        <v>2242</v>
      </c>
      <c r="G134" s="27" t="s">
        <v>35</v>
      </c>
      <c r="H134" s="67">
        <v>2750</v>
      </c>
      <c r="I134" s="50">
        <v>45871</v>
      </c>
      <c r="J134" s="50">
        <v>45873</v>
      </c>
      <c r="K134" s="57">
        <v>1693</v>
      </c>
      <c r="L134" s="39" t="s">
        <v>2326</v>
      </c>
      <c r="M134" s="52">
        <v>242</v>
      </c>
      <c r="N134" s="68" t="s">
        <v>2281</v>
      </c>
      <c r="O134" s="27" t="s">
        <v>2282</v>
      </c>
      <c r="P134" s="63"/>
    </row>
    <row r="135" spans="1:16" ht="305.25" hidden="1">
      <c r="A135" s="14">
        <v>4002793</v>
      </c>
      <c r="B135" s="14">
        <v>4129082</v>
      </c>
      <c r="C135" s="25" t="s">
        <v>2327</v>
      </c>
      <c r="D135" s="27">
        <v>15839</v>
      </c>
      <c r="E135" s="27" t="s">
        <v>40</v>
      </c>
      <c r="F135" s="27" t="s">
        <v>2242</v>
      </c>
      <c r="G135" s="27" t="s">
        <v>35</v>
      </c>
      <c r="H135" s="78">
        <v>2750</v>
      </c>
      <c r="I135" s="50">
        <v>45903</v>
      </c>
      <c r="J135" s="50">
        <v>45905</v>
      </c>
      <c r="K135" s="57">
        <v>1724</v>
      </c>
      <c r="L135" s="39" t="s">
        <v>2326</v>
      </c>
      <c r="M135" s="52">
        <v>242</v>
      </c>
      <c r="N135" s="68" t="s">
        <v>2281</v>
      </c>
      <c r="O135" s="27" t="s">
        <v>1459</v>
      </c>
      <c r="P135" s="63"/>
    </row>
    <row r="136" spans="1:16" ht="167.25" hidden="1">
      <c r="A136" s="14">
        <v>4002793</v>
      </c>
      <c r="B136" s="14">
        <v>4129082</v>
      </c>
      <c r="C136" s="25" t="s">
        <v>2327</v>
      </c>
      <c r="D136" s="27">
        <v>15839</v>
      </c>
      <c r="E136" s="27" t="s">
        <v>40</v>
      </c>
      <c r="F136" s="27" t="s">
        <v>2242</v>
      </c>
      <c r="G136" s="27" t="s">
        <v>35</v>
      </c>
      <c r="H136" s="67">
        <v>2750</v>
      </c>
      <c r="I136" s="50">
        <v>45932</v>
      </c>
      <c r="J136" s="50">
        <v>45933</v>
      </c>
      <c r="K136" s="57">
        <v>1747</v>
      </c>
      <c r="L136" s="39" t="s">
        <v>2328</v>
      </c>
      <c r="M136" s="52">
        <v>242</v>
      </c>
      <c r="N136" s="73" t="s">
        <v>2281</v>
      </c>
      <c r="O136" s="27" t="s">
        <v>2282</v>
      </c>
      <c r="P136" s="63"/>
    </row>
    <row r="137" spans="1:16" ht="30.75" hidden="1">
      <c r="A137" s="27">
        <v>4004885</v>
      </c>
      <c r="B137" s="27">
        <v>4131474</v>
      </c>
      <c r="C137" s="25" t="s">
        <v>2329</v>
      </c>
      <c r="D137" s="27" t="s">
        <v>2330</v>
      </c>
      <c r="E137" s="27" t="s">
        <v>40</v>
      </c>
      <c r="F137" s="27" t="s">
        <v>81</v>
      </c>
      <c r="G137" s="27" t="s">
        <v>44</v>
      </c>
      <c r="H137" s="67">
        <v>29471.02</v>
      </c>
      <c r="I137" s="50">
        <v>45679</v>
      </c>
      <c r="J137" s="50">
        <v>45688</v>
      </c>
      <c r="K137" s="289" t="s">
        <v>2331</v>
      </c>
      <c r="L137" s="39" t="s">
        <v>2245</v>
      </c>
      <c r="M137" s="52">
        <v>242</v>
      </c>
      <c r="N137" s="79" t="s">
        <v>2281</v>
      </c>
      <c r="O137" s="27" t="s">
        <v>2282</v>
      </c>
      <c r="P137" s="63"/>
    </row>
    <row r="138" spans="1:16" ht="30.75" hidden="1">
      <c r="A138" s="27">
        <v>4004885</v>
      </c>
      <c r="B138" s="27">
        <v>4131474</v>
      </c>
      <c r="C138" s="25" t="s">
        <v>2332</v>
      </c>
      <c r="D138" s="27" t="s">
        <v>2330</v>
      </c>
      <c r="E138" s="27" t="s">
        <v>40</v>
      </c>
      <c r="F138" s="27" t="s">
        <v>81</v>
      </c>
      <c r="G138" s="27" t="s">
        <v>44</v>
      </c>
      <c r="H138" s="67">
        <v>29471.02</v>
      </c>
      <c r="I138" s="50">
        <v>45699</v>
      </c>
      <c r="J138" s="50">
        <v>45700</v>
      </c>
      <c r="K138" s="27">
        <v>4323</v>
      </c>
      <c r="L138" s="39" t="s">
        <v>2245</v>
      </c>
      <c r="M138" s="52">
        <v>242</v>
      </c>
      <c r="N138" s="73" t="s">
        <v>2281</v>
      </c>
      <c r="O138" s="27" t="s">
        <v>2282</v>
      </c>
      <c r="P138" s="63"/>
    </row>
    <row r="139" spans="1:16" ht="30.75" hidden="1">
      <c r="A139" s="27">
        <v>4004885</v>
      </c>
      <c r="B139" s="27">
        <v>4131474</v>
      </c>
      <c r="C139" s="25" t="s">
        <v>2333</v>
      </c>
      <c r="D139" s="27" t="s">
        <v>2330</v>
      </c>
      <c r="E139" s="27" t="s">
        <v>40</v>
      </c>
      <c r="F139" s="27" t="s">
        <v>81</v>
      </c>
      <c r="G139" s="27" t="s">
        <v>44</v>
      </c>
      <c r="H139" s="67">
        <v>29471.02</v>
      </c>
      <c r="I139" s="50">
        <v>45726</v>
      </c>
      <c r="J139" s="50">
        <v>45733</v>
      </c>
      <c r="K139" s="27">
        <v>4417</v>
      </c>
      <c r="L139" s="39" t="s">
        <v>2245</v>
      </c>
      <c r="M139" s="52">
        <v>242</v>
      </c>
      <c r="N139" s="73" t="s">
        <v>2281</v>
      </c>
      <c r="O139" s="27" t="s">
        <v>2282</v>
      </c>
      <c r="P139" s="63"/>
    </row>
    <row r="140" spans="1:16" ht="30.75" hidden="1">
      <c r="A140" s="27">
        <v>4004885</v>
      </c>
      <c r="B140" s="27">
        <v>4131474</v>
      </c>
      <c r="C140" s="25" t="s">
        <v>2334</v>
      </c>
      <c r="D140" s="27" t="s">
        <v>2330</v>
      </c>
      <c r="E140" s="27" t="s">
        <v>40</v>
      </c>
      <c r="F140" s="27" t="s">
        <v>81</v>
      </c>
      <c r="G140" s="27" t="s">
        <v>44</v>
      </c>
      <c r="H140" s="67">
        <v>29471.02</v>
      </c>
      <c r="I140" s="50">
        <v>45757</v>
      </c>
      <c r="J140" s="50">
        <v>45764</v>
      </c>
      <c r="K140" s="27">
        <v>4558</v>
      </c>
      <c r="L140" s="39" t="s">
        <v>2245</v>
      </c>
      <c r="M140" s="52">
        <v>242</v>
      </c>
      <c r="N140" s="73" t="s">
        <v>2281</v>
      </c>
      <c r="O140" s="27" t="s">
        <v>2282</v>
      </c>
      <c r="P140" s="63"/>
    </row>
    <row r="141" spans="1:16" ht="30.75" hidden="1">
      <c r="A141" s="27">
        <v>4004885</v>
      </c>
      <c r="B141" s="27">
        <v>4131474</v>
      </c>
      <c r="C141" s="25" t="s">
        <v>2335</v>
      </c>
      <c r="D141" s="27" t="s">
        <v>2330</v>
      </c>
      <c r="E141" s="27" t="s">
        <v>40</v>
      </c>
      <c r="F141" s="27" t="s">
        <v>81</v>
      </c>
      <c r="G141" s="27" t="s">
        <v>44</v>
      </c>
      <c r="H141" s="67">
        <v>29471.02</v>
      </c>
      <c r="I141" s="50">
        <v>45786</v>
      </c>
      <c r="J141" s="50">
        <v>45790</v>
      </c>
      <c r="K141" s="57">
        <v>4678</v>
      </c>
      <c r="L141" s="39" t="s">
        <v>2245</v>
      </c>
      <c r="M141" s="52">
        <v>242</v>
      </c>
      <c r="N141" s="73" t="s">
        <v>2281</v>
      </c>
      <c r="O141" s="55" t="s">
        <v>2283</v>
      </c>
      <c r="P141" s="201"/>
    </row>
    <row r="142" spans="1:16" ht="30.75" hidden="1">
      <c r="A142" s="27">
        <v>4004885</v>
      </c>
      <c r="B142" s="27">
        <v>4131474</v>
      </c>
      <c r="C142" s="25" t="s">
        <v>2336</v>
      </c>
      <c r="D142" s="27" t="s">
        <v>2330</v>
      </c>
      <c r="E142" s="27" t="s">
        <v>40</v>
      </c>
      <c r="F142" s="27" t="s">
        <v>81</v>
      </c>
      <c r="G142" s="27" t="s">
        <v>44</v>
      </c>
      <c r="H142" s="67">
        <v>29471.02</v>
      </c>
      <c r="I142" s="50">
        <v>45820</v>
      </c>
      <c r="J142" s="50">
        <v>45831</v>
      </c>
      <c r="K142" s="57">
        <v>4712</v>
      </c>
      <c r="L142" s="39" t="s">
        <v>2245</v>
      </c>
      <c r="M142" s="52">
        <v>242</v>
      </c>
      <c r="N142" s="73" t="s">
        <v>2281</v>
      </c>
      <c r="O142" s="27" t="s">
        <v>2282</v>
      </c>
      <c r="P142" s="63"/>
    </row>
    <row r="143" spans="1:16" ht="30.75" hidden="1">
      <c r="A143" s="27">
        <v>4004885</v>
      </c>
      <c r="B143" s="27">
        <v>4131474</v>
      </c>
      <c r="C143" s="25" t="s">
        <v>2337</v>
      </c>
      <c r="D143" s="27" t="s">
        <v>2330</v>
      </c>
      <c r="E143" s="27" t="s">
        <v>40</v>
      </c>
      <c r="F143" s="27" t="s">
        <v>81</v>
      </c>
      <c r="G143" s="27" t="s">
        <v>44</v>
      </c>
      <c r="H143" s="67">
        <v>29471.02</v>
      </c>
      <c r="I143" s="50">
        <v>45841</v>
      </c>
      <c r="J143" s="50">
        <v>45845</v>
      </c>
      <c r="K143" s="57">
        <v>4885</v>
      </c>
      <c r="L143" s="39" t="s">
        <v>2245</v>
      </c>
      <c r="M143" s="52">
        <v>242</v>
      </c>
      <c r="N143" s="75" t="s">
        <v>2281</v>
      </c>
      <c r="O143" s="27" t="s">
        <v>2282</v>
      </c>
      <c r="P143" s="63"/>
    </row>
    <row r="144" spans="1:16" ht="30.75" hidden="1">
      <c r="A144" s="27">
        <v>4004885</v>
      </c>
      <c r="B144" s="27">
        <v>4131474</v>
      </c>
      <c r="C144" s="25" t="s">
        <v>2338</v>
      </c>
      <c r="D144" s="27" t="s">
        <v>2330</v>
      </c>
      <c r="E144" s="27" t="s">
        <v>40</v>
      </c>
      <c r="F144" s="27" t="s">
        <v>81</v>
      </c>
      <c r="G144" s="27" t="s">
        <v>44</v>
      </c>
      <c r="H144" s="67">
        <v>29471.02</v>
      </c>
      <c r="I144" s="50">
        <v>45876</v>
      </c>
      <c r="J144" s="50">
        <v>45877</v>
      </c>
      <c r="K144" s="57">
        <v>5006</v>
      </c>
      <c r="L144" s="39" t="s">
        <v>2245</v>
      </c>
      <c r="M144" s="52">
        <v>242</v>
      </c>
      <c r="N144" s="75" t="s">
        <v>2281</v>
      </c>
      <c r="O144" s="27" t="s">
        <v>2282</v>
      </c>
      <c r="P144" s="63"/>
    </row>
    <row r="145" spans="1:16" ht="30.75" hidden="1">
      <c r="A145" s="30">
        <v>4004885</v>
      </c>
      <c r="B145" s="30">
        <v>4131474</v>
      </c>
      <c r="C145" s="60" t="s">
        <v>2339</v>
      </c>
      <c r="D145" s="27" t="s">
        <v>2330</v>
      </c>
      <c r="E145" s="27" t="s">
        <v>40</v>
      </c>
      <c r="F145" s="27" t="s">
        <v>81</v>
      </c>
      <c r="G145" s="27" t="s">
        <v>44</v>
      </c>
      <c r="H145" s="67">
        <v>29471.02</v>
      </c>
      <c r="I145" s="50">
        <v>45905</v>
      </c>
      <c r="J145" s="50">
        <v>45912</v>
      </c>
      <c r="K145" s="57">
        <v>5161</v>
      </c>
      <c r="L145" s="39" t="s">
        <v>2245</v>
      </c>
      <c r="M145" s="52">
        <v>242</v>
      </c>
      <c r="N145" s="75" t="s">
        <v>2281</v>
      </c>
      <c r="O145" s="27" t="s">
        <v>1459</v>
      </c>
      <c r="P145" s="63"/>
    </row>
    <row r="146" spans="1:16" ht="30.75" hidden="1">
      <c r="A146" s="27">
        <v>4004885</v>
      </c>
      <c r="B146" s="27">
        <v>4131474</v>
      </c>
      <c r="C146" s="25" t="s">
        <v>2340</v>
      </c>
      <c r="D146" s="27" t="s">
        <v>2330</v>
      </c>
      <c r="E146" s="27" t="s">
        <v>40</v>
      </c>
      <c r="F146" s="27" t="s">
        <v>81</v>
      </c>
      <c r="G146" s="27" t="s">
        <v>44</v>
      </c>
      <c r="H146" s="67">
        <v>29471.02</v>
      </c>
      <c r="I146" s="50">
        <v>45938</v>
      </c>
      <c r="J146" s="50">
        <v>45940</v>
      </c>
      <c r="K146" s="57">
        <v>5294</v>
      </c>
      <c r="L146" s="39" t="s">
        <v>2341</v>
      </c>
      <c r="M146" s="52">
        <v>242</v>
      </c>
      <c r="N146" s="73" t="s">
        <v>2281</v>
      </c>
      <c r="O146" s="27" t="s">
        <v>2282</v>
      </c>
      <c r="P146" s="63"/>
    </row>
    <row r="147" spans="1:16" ht="30.75" hidden="1">
      <c r="A147" s="27">
        <v>3623588</v>
      </c>
      <c r="B147" s="27">
        <v>3769114</v>
      </c>
      <c r="C147" s="25"/>
      <c r="D147" s="27" t="s">
        <v>2342</v>
      </c>
      <c r="E147" s="27" t="s">
        <v>48</v>
      </c>
      <c r="F147" s="27" t="s">
        <v>81</v>
      </c>
      <c r="G147" s="27" t="s">
        <v>44</v>
      </c>
      <c r="H147" s="70">
        <v>24021.14</v>
      </c>
      <c r="I147" s="50">
        <v>45309</v>
      </c>
      <c r="J147" s="50">
        <v>45317</v>
      </c>
      <c r="K147" s="27">
        <v>2855</v>
      </c>
      <c r="L147" s="39">
        <v>2488</v>
      </c>
      <c r="M147" s="52">
        <v>37</v>
      </c>
      <c r="N147" s="68" t="s">
        <v>2281</v>
      </c>
      <c r="O147" s="27" t="s">
        <v>2282</v>
      </c>
      <c r="P147" s="63"/>
    </row>
    <row r="148" spans="1:16" ht="30.75" hidden="1">
      <c r="A148" s="27">
        <v>3623588</v>
      </c>
      <c r="B148" s="27">
        <v>3769114</v>
      </c>
      <c r="C148" s="25"/>
      <c r="D148" s="27" t="s">
        <v>2342</v>
      </c>
      <c r="E148" s="27" t="s">
        <v>40</v>
      </c>
      <c r="F148" s="27" t="s">
        <v>81</v>
      </c>
      <c r="G148" s="27" t="s">
        <v>44</v>
      </c>
      <c r="H148" s="70">
        <v>23951.16</v>
      </c>
      <c r="I148" s="50">
        <v>45331</v>
      </c>
      <c r="J148" s="50">
        <v>45335</v>
      </c>
      <c r="K148" s="27">
        <v>2913</v>
      </c>
      <c r="L148" s="39">
        <v>2488</v>
      </c>
      <c r="M148" s="52">
        <v>37</v>
      </c>
      <c r="N148" s="68" t="s">
        <v>2281</v>
      </c>
      <c r="O148" s="27" t="s">
        <v>2283</v>
      </c>
      <c r="P148" s="63"/>
    </row>
    <row r="149" spans="1:16" ht="30.75" hidden="1">
      <c r="A149" s="27">
        <v>3623588</v>
      </c>
      <c r="B149" s="27">
        <v>3769114</v>
      </c>
      <c r="C149" s="25"/>
      <c r="D149" s="27" t="s">
        <v>2342</v>
      </c>
      <c r="E149" s="27" t="s">
        <v>40</v>
      </c>
      <c r="F149" s="27" t="s">
        <v>81</v>
      </c>
      <c r="G149" s="27" t="s">
        <v>44</v>
      </c>
      <c r="H149" s="70">
        <v>12070.68</v>
      </c>
      <c r="I149" s="50">
        <v>45358</v>
      </c>
      <c r="J149" s="50"/>
      <c r="K149" s="27">
        <v>3003</v>
      </c>
      <c r="L149" s="39">
        <v>2488</v>
      </c>
      <c r="M149" s="52">
        <v>37</v>
      </c>
      <c r="N149" s="68" t="s">
        <v>2281</v>
      </c>
      <c r="O149" s="27" t="s">
        <v>2343</v>
      </c>
      <c r="P149" s="63"/>
    </row>
    <row r="150" spans="1:16" ht="30.75" hidden="1">
      <c r="A150" s="27">
        <v>3623588</v>
      </c>
      <c r="B150" s="27">
        <v>3769114</v>
      </c>
      <c r="C150" s="25"/>
      <c r="D150" s="27" t="s">
        <v>2342</v>
      </c>
      <c r="E150" s="27" t="s">
        <v>40</v>
      </c>
      <c r="F150" s="27" t="s">
        <v>81</v>
      </c>
      <c r="G150" s="27" t="s">
        <v>44</v>
      </c>
      <c r="H150" s="70">
        <v>24991.5</v>
      </c>
      <c r="I150" s="50">
        <v>45401</v>
      </c>
      <c r="J150" s="50">
        <v>45407</v>
      </c>
      <c r="K150" s="27">
        <v>3192</v>
      </c>
      <c r="L150" s="39">
        <v>2488</v>
      </c>
      <c r="M150" s="52">
        <v>37</v>
      </c>
      <c r="N150" s="68" t="s">
        <v>2281</v>
      </c>
      <c r="O150" s="27" t="s">
        <v>2282</v>
      </c>
      <c r="P150" s="63"/>
    </row>
    <row r="151" spans="1:16" ht="30.75" hidden="1">
      <c r="A151" s="27">
        <v>3623588</v>
      </c>
      <c r="B151" s="27">
        <v>3769114</v>
      </c>
      <c r="C151" s="25"/>
      <c r="D151" s="27" t="s">
        <v>2342</v>
      </c>
      <c r="E151" s="27" t="s">
        <v>40</v>
      </c>
      <c r="F151" s="27" t="s">
        <v>81</v>
      </c>
      <c r="G151" s="27" t="s">
        <v>44</v>
      </c>
      <c r="H151" s="70">
        <v>12495.75</v>
      </c>
      <c r="I151" s="50">
        <v>45420</v>
      </c>
      <c r="J151" s="50"/>
      <c r="K151" s="27">
        <v>3224</v>
      </c>
      <c r="L151" s="39">
        <v>2488</v>
      </c>
      <c r="M151" s="52">
        <v>37</v>
      </c>
      <c r="N151" s="68" t="s">
        <v>2281</v>
      </c>
      <c r="O151" s="27" t="s">
        <v>2283</v>
      </c>
      <c r="P151" s="63"/>
    </row>
    <row r="152" spans="1:16" ht="30.75" hidden="1">
      <c r="A152" s="27">
        <v>3623588</v>
      </c>
      <c r="B152" s="27">
        <v>3769114</v>
      </c>
      <c r="C152" s="25"/>
      <c r="D152" s="27" t="s">
        <v>2342</v>
      </c>
      <c r="E152" s="27" t="s">
        <v>48</v>
      </c>
      <c r="F152" s="27" t="s">
        <v>81</v>
      </c>
      <c r="G152" s="27" t="s">
        <v>44</v>
      </c>
      <c r="H152" s="70">
        <v>12495.75</v>
      </c>
      <c r="I152" s="50">
        <v>45450</v>
      </c>
      <c r="J152" s="50">
        <v>45453</v>
      </c>
      <c r="K152" s="27">
        <v>3385</v>
      </c>
      <c r="L152" s="39">
        <v>2488</v>
      </c>
      <c r="M152" s="52">
        <v>37</v>
      </c>
      <c r="N152" s="68" t="s">
        <v>2281</v>
      </c>
      <c r="O152" s="27" t="s">
        <v>2282</v>
      </c>
      <c r="P152" s="63"/>
    </row>
    <row r="153" spans="1:16" ht="30.75" hidden="1">
      <c r="A153" s="27">
        <v>3623588</v>
      </c>
      <c r="B153" s="27">
        <v>3769114</v>
      </c>
      <c r="C153" s="25"/>
      <c r="D153" s="27" t="s">
        <v>2342</v>
      </c>
      <c r="E153" s="27" t="s">
        <v>40</v>
      </c>
      <c r="F153" s="27" t="s">
        <v>81</v>
      </c>
      <c r="G153" s="27" t="s">
        <v>44</v>
      </c>
      <c r="H153" s="70">
        <v>13300.79</v>
      </c>
      <c r="I153" s="50">
        <v>45481</v>
      </c>
      <c r="J153" s="50">
        <v>45486</v>
      </c>
      <c r="K153" s="27">
        <v>3498</v>
      </c>
      <c r="L153" s="39">
        <v>2488</v>
      </c>
      <c r="M153" s="52">
        <v>37</v>
      </c>
      <c r="N153" s="68" t="s">
        <v>2281</v>
      </c>
      <c r="O153" s="27" t="s">
        <v>2282</v>
      </c>
      <c r="P153" s="63"/>
    </row>
    <row r="154" spans="1:16" ht="30.75" hidden="1">
      <c r="A154" s="27">
        <v>3623588</v>
      </c>
      <c r="B154" s="27">
        <v>3769114</v>
      </c>
      <c r="C154" s="25"/>
      <c r="D154" s="27" t="s">
        <v>2342</v>
      </c>
      <c r="E154" s="27" t="s">
        <v>40</v>
      </c>
      <c r="F154" s="27" t="s">
        <v>81</v>
      </c>
      <c r="G154" s="62" t="s">
        <v>44</v>
      </c>
      <c r="H154" s="67">
        <v>13751.42</v>
      </c>
      <c r="I154" s="50">
        <v>45513</v>
      </c>
      <c r="J154" s="50">
        <v>45516</v>
      </c>
      <c r="K154" s="27">
        <v>3652</v>
      </c>
      <c r="L154" s="39">
        <v>2488</v>
      </c>
      <c r="M154" s="52">
        <v>37</v>
      </c>
      <c r="N154" s="68" t="s">
        <v>2281</v>
      </c>
      <c r="O154" s="27" t="s">
        <v>2282</v>
      </c>
      <c r="P154" s="63"/>
    </row>
    <row r="155" spans="1:16" ht="30.75" hidden="1">
      <c r="A155" s="27">
        <v>3623588</v>
      </c>
      <c r="B155" s="27">
        <v>3769114</v>
      </c>
      <c r="C155" s="25"/>
      <c r="D155" s="27" t="s">
        <v>2342</v>
      </c>
      <c r="E155" s="27" t="s">
        <v>40</v>
      </c>
      <c r="F155" s="27" t="s">
        <v>81</v>
      </c>
      <c r="G155" s="27" t="s">
        <v>44</v>
      </c>
      <c r="H155" s="67">
        <v>13774.08</v>
      </c>
      <c r="I155" s="50">
        <v>45552</v>
      </c>
      <c r="J155" s="50">
        <v>45516</v>
      </c>
      <c r="K155" s="27">
        <v>3801</v>
      </c>
      <c r="L155" s="39">
        <v>2488</v>
      </c>
      <c r="M155" s="52">
        <v>37</v>
      </c>
      <c r="N155" s="68" t="s">
        <v>2281</v>
      </c>
      <c r="O155" s="27" t="s">
        <v>2282</v>
      </c>
      <c r="P155" s="63"/>
    </row>
    <row r="156" spans="1:16" hidden="1">
      <c r="A156" s="27">
        <v>4083066</v>
      </c>
      <c r="B156" s="27">
        <v>4206828</v>
      </c>
      <c r="C156" s="25" t="s">
        <v>2344</v>
      </c>
      <c r="D156" s="27" t="s">
        <v>2345</v>
      </c>
      <c r="E156" s="27" t="s">
        <v>48</v>
      </c>
      <c r="F156" s="27" t="s">
        <v>86</v>
      </c>
      <c r="G156" s="27" t="s">
        <v>44</v>
      </c>
      <c r="H156" s="67">
        <v>27196.67</v>
      </c>
      <c r="I156" s="50">
        <v>45800</v>
      </c>
      <c r="J156" s="50">
        <v>45800</v>
      </c>
      <c r="K156" s="1">
        <v>23214</v>
      </c>
      <c r="L156" s="39">
        <v>1210</v>
      </c>
      <c r="M156" s="52">
        <v>242</v>
      </c>
      <c r="N156" s="73" t="s">
        <v>2281</v>
      </c>
      <c r="O156" s="27" t="s">
        <v>1459</v>
      </c>
      <c r="P156" s="63"/>
    </row>
    <row r="157" spans="1:16" hidden="1">
      <c r="A157" s="27">
        <v>4083066</v>
      </c>
      <c r="B157" s="27">
        <v>4206828</v>
      </c>
      <c r="C157" s="25" t="s">
        <v>2346</v>
      </c>
      <c r="D157" s="27" t="s">
        <v>2345</v>
      </c>
      <c r="E157" s="27" t="s">
        <v>40</v>
      </c>
      <c r="F157" s="27" t="s">
        <v>86</v>
      </c>
      <c r="G157" s="27" t="s">
        <v>44</v>
      </c>
      <c r="H157" s="67">
        <v>27196.67</v>
      </c>
      <c r="I157" s="50">
        <v>45814</v>
      </c>
      <c r="J157" s="50">
        <v>45817</v>
      </c>
      <c r="K157" s="57">
        <v>23325</v>
      </c>
      <c r="L157" s="39">
        <v>1210</v>
      </c>
      <c r="M157" s="52">
        <v>242</v>
      </c>
      <c r="N157" s="73" t="s">
        <v>2281</v>
      </c>
      <c r="O157" s="27" t="s">
        <v>2282</v>
      </c>
      <c r="P157" s="63"/>
    </row>
    <row r="158" spans="1:16" hidden="1">
      <c r="A158" s="27">
        <v>4083066</v>
      </c>
      <c r="B158" s="27">
        <v>4206828</v>
      </c>
      <c r="C158" s="25" t="s">
        <v>2347</v>
      </c>
      <c r="D158" s="27" t="s">
        <v>2345</v>
      </c>
      <c r="E158" s="27" t="s">
        <v>40</v>
      </c>
      <c r="F158" s="27" t="s">
        <v>86</v>
      </c>
      <c r="G158" s="27" t="s">
        <v>44</v>
      </c>
      <c r="H158" s="67">
        <v>27196.67</v>
      </c>
      <c r="I158" s="50">
        <v>45855</v>
      </c>
      <c r="J158" s="50">
        <v>45856</v>
      </c>
      <c r="K158" s="57">
        <v>23648</v>
      </c>
      <c r="L158" s="39">
        <v>1210</v>
      </c>
      <c r="M158" s="52">
        <v>242</v>
      </c>
      <c r="N158" s="68" t="s">
        <v>2281</v>
      </c>
      <c r="O158" s="27" t="s">
        <v>2282</v>
      </c>
      <c r="P158" s="63"/>
    </row>
    <row r="159" spans="1:16" hidden="1">
      <c r="A159" s="27">
        <v>4083066</v>
      </c>
      <c r="B159" s="27">
        <v>4206828</v>
      </c>
      <c r="C159" s="25" t="s">
        <v>2348</v>
      </c>
      <c r="D159" s="27" t="s">
        <v>2345</v>
      </c>
      <c r="E159" s="27" t="s">
        <v>40</v>
      </c>
      <c r="F159" s="27" t="s">
        <v>86</v>
      </c>
      <c r="G159" s="27" t="s">
        <v>44</v>
      </c>
      <c r="H159" s="67">
        <v>27196.67</v>
      </c>
      <c r="I159" s="50">
        <v>45882</v>
      </c>
      <c r="J159" s="50">
        <v>45884</v>
      </c>
      <c r="K159" s="57">
        <v>23802</v>
      </c>
      <c r="L159" s="39">
        <v>1210</v>
      </c>
      <c r="M159" s="52">
        <v>242</v>
      </c>
      <c r="N159" s="75" t="s">
        <v>2281</v>
      </c>
      <c r="O159" s="27" t="s">
        <v>2282</v>
      </c>
      <c r="P159" s="63"/>
    </row>
    <row r="160" spans="1:16" hidden="1">
      <c r="A160" s="27">
        <v>4083066</v>
      </c>
      <c r="B160" s="27">
        <v>4206828</v>
      </c>
      <c r="C160" s="25" t="s">
        <v>2349</v>
      </c>
      <c r="D160" s="27" t="s">
        <v>2345</v>
      </c>
      <c r="E160" s="27" t="s">
        <v>40</v>
      </c>
      <c r="F160" s="27" t="s">
        <v>86</v>
      </c>
      <c r="G160" s="27" t="s">
        <v>44</v>
      </c>
      <c r="H160" s="67">
        <v>27196.67</v>
      </c>
      <c r="I160" s="50">
        <v>45911</v>
      </c>
      <c r="J160" s="50">
        <v>45918</v>
      </c>
      <c r="K160" s="57">
        <v>24070</v>
      </c>
      <c r="L160" s="39">
        <v>1210</v>
      </c>
      <c r="M160" s="52">
        <v>242</v>
      </c>
      <c r="N160" s="73" t="s">
        <v>2281</v>
      </c>
      <c r="O160" s="27" t="s">
        <v>2350</v>
      </c>
      <c r="P160" s="63"/>
    </row>
    <row r="161" spans="1:16" hidden="1">
      <c r="A161" s="27">
        <v>4083066</v>
      </c>
      <c r="B161" s="27">
        <v>4206828</v>
      </c>
      <c r="C161" s="25" t="s">
        <v>2351</v>
      </c>
      <c r="D161" s="27" t="s">
        <v>2345</v>
      </c>
      <c r="E161" s="27" t="s">
        <v>40</v>
      </c>
      <c r="F161" s="27" t="s">
        <v>86</v>
      </c>
      <c r="G161" s="27" t="s">
        <v>44</v>
      </c>
      <c r="H161" s="67">
        <v>27196.67</v>
      </c>
      <c r="I161" s="50">
        <v>45932</v>
      </c>
      <c r="J161" s="50">
        <v>45933</v>
      </c>
      <c r="K161" s="57">
        <v>24177</v>
      </c>
      <c r="L161" s="39">
        <v>1210</v>
      </c>
      <c r="M161" s="52">
        <v>242</v>
      </c>
      <c r="N161" s="73" t="s">
        <v>2281</v>
      </c>
      <c r="O161" s="27" t="s">
        <v>2282</v>
      </c>
      <c r="P161" s="63"/>
    </row>
    <row r="162" spans="1:16" hidden="1">
      <c r="A162" s="28">
        <v>3623537</v>
      </c>
      <c r="B162" s="27">
        <v>3769130</v>
      </c>
      <c r="C162" s="27"/>
      <c r="D162" s="28"/>
      <c r="E162" s="27" t="s">
        <v>40</v>
      </c>
      <c r="F162" s="27" t="s">
        <v>599</v>
      </c>
      <c r="G162" s="27" t="s">
        <v>44</v>
      </c>
      <c r="H162" s="82">
        <v>8342.9</v>
      </c>
      <c r="I162" s="50">
        <v>45307</v>
      </c>
      <c r="J162" s="50">
        <v>45317</v>
      </c>
      <c r="K162" s="27">
        <v>113569</v>
      </c>
      <c r="L162" s="39"/>
      <c r="M162" s="52">
        <v>153</v>
      </c>
      <c r="N162" s="27" t="s">
        <v>2281</v>
      </c>
      <c r="O162" s="27" t="s">
        <v>2282</v>
      </c>
      <c r="P162" s="63"/>
    </row>
    <row r="163" spans="1:16" hidden="1">
      <c r="A163" s="28">
        <v>3623537</v>
      </c>
      <c r="B163" s="27">
        <v>3769130</v>
      </c>
      <c r="C163" s="27"/>
      <c r="D163" s="81"/>
      <c r="E163" s="27" t="s">
        <v>40</v>
      </c>
      <c r="F163" s="27" t="s">
        <v>599</v>
      </c>
      <c r="G163" s="27" t="s">
        <v>44</v>
      </c>
      <c r="H163" s="43">
        <v>73810.649999999994</v>
      </c>
      <c r="I163" s="50">
        <v>45331</v>
      </c>
      <c r="J163" s="50">
        <v>45346</v>
      </c>
      <c r="K163" s="1">
        <v>115268</v>
      </c>
      <c r="L163" s="39"/>
      <c r="M163" s="52">
        <v>153</v>
      </c>
      <c r="N163" s="27" t="s">
        <v>2281</v>
      </c>
      <c r="O163" s="27" t="s">
        <v>2283</v>
      </c>
      <c r="P163" s="63"/>
    </row>
    <row r="164" spans="1:16" hidden="1">
      <c r="A164" s="28">
        <v>3623537</v>
      </c>
      <c r="B164" s="27">
        <v>3769130</v>
      </c>
      <c r="C164" s="27"/>
      <c r="D164" s="28"/>
      <c r="E164" s="27" t="s">
        <v>40</v>
      </c>
      <c r="F164" s="27" t="s">
        <v>599</v>
      </c>
      <c r="G164" s="27" t="s">
        <v>44</v>
      </c>
      <c r="H164" s="82">
        <v>61521</v>
      </c>
      <c r="I164" s="50">
        <v>45331</v>
      </c>
      <c r="J164" s="50">
        <v>45346</v>
      </c>
      <c r="K164" s="27">
        <v>115263</v>
      </c>
      <c r="L164" s="39"/>
      <c r="M164" s="52">
        <v>153</v>
      </c>
      <c r="N164" s="27" t="s">
        <v>2281</v>
      </c>
      <c r="O164" s="27" t="s">
        <v>2283</v>
      </c>
      <c r="P164" s="63"/>
    </row>
    <row r="165" spans="1:16" hidden="1">
      <c r="A165" s="28">
        <v>3623537</v>
      </c>
      <c r="B165" s="27">
        <v>3769130</v>
      </c>
      <c r="C165" s="27"/>
      <c r="D165" s="28"/>
      <c r="E165" s="27" t="s">
        <v>40</v>
      </c>
      <c r="F165" s="27" t="s">
        <v>599</v>
      </c>
      <c r="G165" s="27" t="s">
        <v>44</v>
      </c>
      <c r="H165" s="82">
        <v>79044.87</v>
      </c>
      <c r="I165" s="50">
        <v>45307</v>
      </c>
      <c r="J165" s="50">
        <v>45393</v>
      </c>
      <c r="K165" s="27">
        <v>113568</v>
      </c>
      <c r="L165" s="39"/>
      <c r="M165" s="52">
        <v>153</v>
      </c>
      <c r="N165" s="27" t="s">
        <v>2281</v>
      </c>
      <c r="O165" s="27" t="s">
        <v>2283</v>
      </c>
      <c r="P165" s="63"/>
    </row>
    <row r="166" spans="1:16" hidden="1">
      <c r="A166" s="28">
        <v>3623537</v>
      </c>
      <c r="B166" s="27">
        <v>3769130</v>
      </c>
      <c r="C166" s="27"/>
      <c r="D166" s="28"/>
      <c r="E166" s="27" t="s">
        <v>40</v>
      </c>
      <c r="F166" s="27" t="s">
        <v>599</v>
      </c>
      <c r="G166" s="27" t="s">
        <v>44</v>
      </c>
      <c r="H166" s="82">
        <v>73848.17</v>
      </c>
      <c r="I166" s="50">
        <v>45363</v>
      </c>
      <c r="J166" s="50">
        <v>45378</v>
      </c>
      <c r="K166" s="27">
        <v>117864</v>
      </c>
      <c r="L166" s="39"/>
      <c r="M166" s="52">
        <v>153</v>
      </c>
      <c r="N166" s="27" t="s">
        <v>2281</v>
      </c>
      <c r="O166" s="27" t="s">
        <v>2283</v>
      </c>
      <c r="P166" s="63"/>
    </row>
    <row r="167" spans="1:16" hidden="1">
      <c r="A167" s="28">
        <v>3623537</v>
      </c>
      <c r="B167" s="27">
        <v>3769130</v>
      </c>
      <c r="C167" s="27"/>
      <c r="D167" s="28"/>
      <c r="E167" s="27" t="s">
        <v>40</v>
      </c>
      <c r="F167" s="27" t="s">
        <v>599</v>
      </c>
      <c r="G167" s="27" t="s">
        <v>44</v>
      </c>
      <c r="H167" s="82">
        <v>64310.080000000002</v>
      </c>
      <c r="I167" s="50">
        <v>45377</v>
      </c>
      <c r="J167" s="50">
        <v>45378</v>
      </c>
      <c r="K167" s="27">
        <v>118987</v>
      </c>
      <c r="L167" s="39"/>
      <c r="M167" s="52">
        <v>153</v>
      </c>
      <c r="N167" s="27" t="s">
        <v>2281</v>
      </c>
      <c r="O167" s="27" t="s">
        <v>2283</v>
      </c>
      <c r="P167" s="63"/>
    </row>
    <row r="168" spans="1:16" hidden="1">
      <c r="A168" s="28">
        <v>3623537</v>
      </c>
      <c r="B168" s="27">
        <v>3769130</v>
      </c>
      <c r="C168" s="27"/>
      <c r="D168" s="28"/>
      <c r="E168" s="27" t="s">
        <v>40</v>
      </c>
      <c r="F168" s="27" t="s">
        <v>599</v>
      </c>
      <c r="G168" s="27" t="s">
        <v>44</v>
      </c>
      <c r="H168" s="82">
        <v>61178.14</v>
      </c>
      <c r="I168" s="50">
        <v>45384</v>
      </c>
      <c r="J168" s="50">
        <v>45387</v>
      </c>
      <c r="K168" s="27">
        <v>119537</v>
      </c>
      <c r="L168" s="39"/>
      <c r="M168" s="52">
        <v>153</v>
      </c>
      <c r="N168" s="27" t="s">
        <v>2281</v>
      </c>
      <c r="O168" s="27" t="s">
        <v>2283</v>
      </c>
      <c r="P168" s="63"/>
    </row>
    <row r="169" spans="1:16" hidden="1">
      <c r="A169" s="28">
        <v>3623537</v>
      </c>
      <c r="B169" s="27">
        <v>3769130</v>
      </c>
      <c r="C169" s="27"/>
      <c r="D169" s="28"/>
      <c r="E169" s="27" t="s">
        <v>40</v>
      </c>
      <c r="F169" s="27" t="s">
        <v>599</v>
      </c>
      <c r="G169" s="27" t="s">
        <v>44</v>
      </c>
      <c r="H169" s="82">
        <v>79082.39</v>
      </c>
      <c r="I169" s="50">
        <v>45384</v>
      </c>
      <c r="J169" s="50">
        <v>45387</v>
      </c>
      <c r="K169" s="27">
        <v>119538</v>
      </c>
      <c r="L169" s="39"/>
      <c r="M169" s="52">
        <v>153</v>
      </c>
      <c r="N169" s="27" t="s">
        <v>2281</v>
      </c>
      <c r="O169" s="27" t="s">
        <v>2283</v>
      </c>
      <c r="P169" s="63"/>
    </row>
    <row r="170" spans="1:16" hidden="1">
      <c r="A170" s="28">
        <v>3623537</v>
      </c>
      <c r="B170" s="27">
        <v>3849787</v>
      </c>
      <c r="C170" s="27"/>
      <c r="D170" s="28"/>
      <c r="E170" s="27" t="s">
        <v>40</v>
      </c>
      <c r="F170" s="27" t="s">
        <v>599</v>
      </c>
      <c r="G170" s="27" t="s">
        <v>44</v>
      </c>
      <c r="H170" s="82">
        <v>61941</v>
      </c>
      <c r="I170" s="50">
        <v>45393</v>
      </c>
      <c r="J170" s="50">
        <v>45403</v>
      </c>
      <c r="K170" s="27">
        <v>110395</v>
      </c>
      <c r="L170" s="39"/>
      <c r="M170" s="52">
        <v>153</v>
      </c>
      <c r="N170" s="27" t="s">
        <v>2281</v>
      </c>
      <c r="O170" s="27" t="s">
        <v>2283</v>
      </c>
      <c r="P170" s="63"/>
    </row>
    <row r="171" spans="1:16" hidden="1">
      <c r="A171" s="28">
        <v>3623537</v>
      </c>
      <c r="B171" s="27">
        <v>3848291</v>
      </c>
      <c r="C171" s="27"/>
      <c r="D171" s="28"/>
      <c r="E171" s="27" t="s">
        <v>40</v>
      </c>
      <c r="F171" s="27" t="s">
        <v>599</v>
      </c>
      <c r="G171" s="27" t="s">
        <v>44</v>
      </c>
      <c r="H171" s="82">
        <v>3532.81</v>
      </c>
      <c r="I171" s="50">
        <v>45393</v>
      </c>
      <c r="J171" s="50">
        <v>45394</v>
      </c>
      <c r="K171" s="27">
        <v>111566</v>
      </c>
      <c r="L171" s="39"/>
      <c r="M171" s="52">
        <v>153</v>
      </c>
      <c r="N171" s="27" t="s">
        <v>2281</v>
      </c>
      <c r="O171" s="27" t="s">
        <v>2283</v>
      </c>
      <c r="P171" s="63"/>
    </row>
    <row r="172" spans="1:16" hidden="1">
      <c r="A172" s="28">
        <v>3623537</v>
      </c>
      <c r="B172" s="27">
        <v>3849788</v>
      </c>
      <c r="C172" s="27"/>
      <c r="D172" s="28"/>
      <c r="E172" s="27" t="s">
        <v>40</v>
      </c>
      <c r="F172" s="27" t="s">
        <v>599</v>
      </c>
      <c r="G172" s="27" t="s">
        <v>44</v>
      </c>
      <c r="H172" s="82">
        <v>80698.03</v>
      </c>
      <c r="I172" s="50">
        <v>45393</v>
      </c>
      <c r="J172" s="50">
        <v>45394</v>
      </c>
      <c r="K172" s="27">
        <v>110397</v>
      </c>
      <c r="L172" s="39"/>
      <c r="M172" s="52">
        <v>153</v>
      </c>
      <c r="N172" s="27" t="s">
        <v>2281</v>
      </c>
      <c r="O172" s="27" t="s">
        <v>2283</v>
      </c>
      <c r="P172" s="63"/>
    </row>
    <row r="173" spans="1:16" hidden="1">
      <c r="A173" s="28">
        <v>3623537</v>
      </c>
      <c r="B173" s="27"/>
      <c r="C173" s="27"/>
      <c r="D173" s="28"/>
      <c r="E173" s="27" t="s">
        <v>40</v>
      </c>
      <c r="F173" s="27" t="s">
        <v>599</v>
      </c>
      <c r="G173" s="27" t="s">
        <v>44</v>
      </c>
      <c r="H173" s="82">
        <v>6440.14</v>
      </c>
      <c r="I173" s="50">
        <v>45351</v>
      </c>
      <c r="J173" s="50">
        <v>45400</v>
      </c>
      <c r="K173" s="27">
        <v>116960</v>
      </c>
      <c r="L173" s="39"/>
      <c r="M173" s="52">
        <v>153</v>
      </c>
      <c r="N173" s="27" t="s">
        <v>2281</v>
      </c>
      <c r="O173" s="27" t="s">
        <v>2283</v>
      </c>
      <c r="P173" s="63"/>
    </row>
    <row r="174" spans="1:16" hidden="1">
      <c r="A174" s="28">
        <v>3623537</v>
      </c>
      <c r="B174" s="27"/>
      <c r="C174" s="27"/>
      <c r="D174" s="28"/>
      <c r="E174" s="27" t="s">
        <v>40</v>
      </c>
      <c r="F174" s="27" t="s">
        <v>599</v>
      </c>
      <c r="G174" s="27" t="s">
        <v>44</v>
      </c>
      <c r="H174" s="82">
        <v>61521</v>
      </c>
      <c r="I174" s="50">
        <v>45307</v>
      </c>
      <c r="J174" s="50">
        <v>45400</v>
      </c>
      <c r="K174" s="27">
        <v>113567</v>
      </c>
      <c r="L174" s="39"/>
      <c r="M174" s="52">
        <v>153</v>
      </c>
      <c r="N174" s="27" t="s">
        <v>2281</v>
      </c>
      <c r="O174" s="27" t="s">
        <v>2283</v>
      </c>
      <c r="P174" s="63"/>
    </row>
    <row r="175" spans="1:16" hidden="1">
      <c r="A175" s="28">
        <v>3623537</v>
      </c>
      <c r="B175" s="27">
        <v>3769130</v>
      </c>
      <c r="C175" s="27"/>
      <c r="D175" s="28"/>
      <c r="E175" s="27" t="s">
        <v>40</v>
      </c>
      <c r="F175" s="27" t="s">
        <v>599</v>
      </c>
      <c r="G175" s="27" t="s">
        <v>44</v>
      </c>
      <c r="H175" s="82">
        <v>61178.14</v>
      </c>
      <c r="I175" s="50">
        <v>45418</v>
      </c>
      <c r="J175" s="50">
        <v>45426</v>
      </c>
      <c r="K175" s="27">
        <v>121903</v>
      </c>
      <c r="L175" s="39"/>
      <c r="M175" s="52">
        <v>153</v>
      </c>
      <c r="N175" s="27" t="s">
        <v>2281</v>
      </c>
      <c r="O175" s="27" t="s">
        <v>2283</v>
      </c>
      <c r="P175" s="63"/>
    </row>
    <row r="176" spans="1:16" hidden="1">
      <c r="A176" s="28">
        <v>3623537</v>
      </c>
      <c r="B176" s="27">
        <v>3769130</v>
      </c>
      <c r="C176" s="27"/>
      <c r="D176" s="28"/>
      <c r="E176" s="27" t="s">
        <v>40</v>
      </c>
      <c r="F176" s="27" t="s">
        <v>599</v>
      </c>
      <c r="G176" s="27" t="s">
        <v>44</v>
      </c>
      <c r="H176" s="82">
        <v>79082.39</v>
      </c>
      <c r="I176" s="50">
        <v>45418</v>
      </c>
      <c r="J176" s="50">
        <v>45426</v>
      </c>
      <c r="K176" s="27">
        <v>121904</v>
      </c>
      <c r="L176" s="39"/>
      <c r="M176" s="52">
        <v>153</v>
      </c>
      <c r="N176" s="27" t="s">
        <v>2281</v>
      </c>
      <c r="O176" s="27" t="s">
        <v>2283</v>
      </c>
      <c r="P176" s="63"/>
    </row>
    <row r="177" spans="1:16" hidden="1">
      <c r="A177" s="28">
        <v>3740150</v>
      </c>
      <c r="B177" s="27">
        <v>3878006</v>
      </c>
      <c r="C177" s="27"/>
      <c r="D177" s="28"/>
      <c r="E177" s="27" t="s">
        <v>40</v>
      </c>
      <c r="F177" s="27" t="s">
        <v>599</v>
      </c>
      <c r="G177" s="27" t="s">
        <v>44</v>
      </c>
      <c r="H177" s="82">
        <v>4748.54</v>
      </c>
      <c r="I177" s="50">
        <v>45426</v>
      </c>
      <c r="J177" s="50">
        <v>45429</v>
      </c>
      <c r="K177" s="27">
        <v>4541</v>
      </c>
      <c r="L177" s="39">
        <v>2348</v>
      </c>
      <c r="M177" s="52">
        <v>242</v>
      </c>
      <c r="N177" s="27" t="s">
        <v>2281</v>
      </c>
      <c r="O177" s="27" t="s">
        <v>2283</v>
      </c>
      <c r="P177" s="63"/>
    </row>
    <row r="178" spans="1:16" ht="60.75" hidden="1">
      <c r="A178" s="28">
        <v>3623537</v>
      </c>
      <c r="B178" s="27">
        <v>3769130</v>
      </c>
      <c r="C178" s="27"/>
      <c r="D178" s="28"/>
      <c r="E178" s="27" t="s">
        <v>40</v>
      </c>
      <c r="F178" s="27" t="s">
        <v>599</v>
      </c>
      <c r="G178" s="27" t="s">
        <v>44</v>
      </c>
      <c r="H178" s="82">
        <v>61242.94</v>
      </c>
      <c r="I178" s="50">
        <v>45448</v>
      </c>
      <c r="J178" s="50"/>
      <c r="K178" s="27">
        <v>124306</v>
      </c>
      <c r="L178" s="39" t="s">
        <v>2280</v>
      </c>
      <c r="M178" s="52">
        <v>153</v>
      </c>
      <c r="N178" s="92" t="s">
        <v>2352</v>
      </c>
      <c r="O178" s="27" t="s">
        <v>2283</v>
      </c>
      <c r="P178" s="63"/>
    </row>
    <row r="179" spans="1:16" ht="60.75" hidden="1">
      <c r="A179" s="28">
        <v>3623537</v>
      </c>
      <c r="B179" s="27">
        <v>3769130</v>
      </c>
      <c r="C179" s="27"/>
      <c r="D179" s="28"/>
      <c r="E179" s="27" t="s">
        <v>40</v>
      </c>
      <c r="F179" s="27" t="s">
        <v>599</v>
      </c>
      <c r="G179" s="27" t="s">
        <v>44</v>
      </c>
      <c r="H179" s="82">
        <v>79114.789999999994</v>
      </c>
      <c r="I179" s="50">
        <v>45448</v>
      </c>
      <c r="J179" s="50"/>
      <c r="K179" s="27">
        <v>124307</v>
      </c>
      <c r="L179" s="39" t="s">
        <v>2280</v>
      </c>
      <c r="M179" s="52">
        <v>153</v>
      </c>
      <c r="N179" s="92" t="s">
        <v>2352</v>
      </c>
      <c r="O179" s="27" t="s">
        <v>2283</v>
      </c>
      <c r="P179" s="63"/>
    </row>
    <row r="180" spans="1:16" hidden="1">
      <c r="A180" s="28">
        <v>3623537</v>
      </c>
      <c r="B180" s="27">
        <v>3769130</v>
      </c>
      <c r="C180" s="27"/>
      <c r="D180" s="28"/>
      <c r="E180" s="27" t="s">
        <v>40</v>
      </c>
      <c r="F180" s="27" t="s">
        <v>599</v>
      </c>
      <c r="G180" s="27" t="s">
        <v>44</v>
      </c>
      <c r="H180" s="82">
        <v>61178.14</v>
      </c>
      <c r="I180" s="50">
        <v>45450</v>
      </c>
      <c r="J180" s="51">
        <v>45456</v>
      </c>
      <c r="K180" s="83">
        <v>124404</v>
      </c>
      <c r="L180" s="39" t="s">
        <v>2280</v>
      </c>
      <c r="M180" s="52">
        <v>153</v>
      </c>
      <c r="N180" s="27" t="s">
        <v>2281</v>
      </c>
      <c r="O180" s="27" t="s">
        <v>2283</v>
      </c>
      <c r="P180" s="63"/>
    </row>
    <row r="181" spans="1:16" hidden="1">
      <c r="A181" s="28">
        <v>3623537</v>
      </c>
      <c r="B181" s="27">
        <v>3769130</v>
      </c>
      <c r="C181" s="27"/>
      <c r="D181" s="28"/>
      <c r="E181" s="27" t="s">
        <v>40</v>
      </c>
      <c r="F181" s="27" t="s">
        <v>599</v>
      </c>
      <c r="G181" s="27" t="s">
        <v>44</v>
      </c>
      <c r="H181" s="82">
        <v>76362.13</v>
      </c>
      <c r="I181" s="50">
        <v>45450</v>
      </c>
      <c r="J181" s="51">
        <v>45456</v>
      </c>
      <c r="K181" s="83">
        <v>124405</v>
      </c>
      <c r="L181" s="39" t="s">
        <v>2280</v>
      </c>
      <c r="M181" s="52">
        <v>153</v>
      </c>
      <c r="N181" s="27" t="s">
        <v>2281</v>
      </c>
      <c r="O181" s="27" t="s">
        <v>2283</v>
      </c>
      <c r="P181" s="63"/>
    </row>
    <row r="182" spans="1:16" hidden="1">
      <c r="A182" s="27">
        <v>3623537</v>
      </c>
      <c r="B182" s="27">
        <v>3769130</v>
      </c>
      <c r="C182" s="53"/>
      <c r="D182" s="53"/>
      <c r="E182" s="27" t="s">
        <v>40</v>
      </c>
      <c r="F182" s="27" t="s">
        <v>599</v>
      </c>
      <c r="G182" s="27" t="s">
        <v>44</v>
      </c>
      <c r="H182" s="84">
        <v>61178.14</v>
      </c>
      <c r="I182" s="50">
        <v>45492</v>
      </c>
      <c r="J182" s="51">
        <v>45496</v>
      </c>
      <c r="K182" s="83">
        <v>127180</v>
      </c>
      <c r="L182" s="39" t="s">
        <v>2280</v>
      </c>
      <c r="M182" s="52">
        <v>153</v>
      </c>
      <c r="N182" s="27" t="s">
        <v>2281</v>
      </c>
      <c r="O182" s="27" t="s">
        <v>2283</v>
      </c>
      <c r="P182" s="63"/>
    </row>
    <row r="183" spans="1:16" hidden="1">
      <c r="A183" s="27">
        <v>3623537</v>
      </c>
      <c r="B183" s="27">
        <v>3769130</v>
      </c>
      <c r="C183" s="53"/>
      <c r="D183" s="53"/>
      <c r="E183" s="27" t="s">
        <v>40</v>
      </c>
      <c r="F183" s="27" t="s">
        <v>599</v>
      </c>
      <c r="G183" s="27" t="s">
        <v>44</v>
      </c>
      <c r="H183" s="84">
        <v>78643.03</v>
      </c>
      <c r="I183" s="50">
        <v>45492</v>
      </c>
      <c r="J183" s="51">
        <v>45496</v>
      </c>
      <c r="K183" s="83">
        <v>127181</v>
      </c>
      <c r="L183" s="39" t="s">
        <v>2280</v>
      </c>
      <c r="M183" s="52">
        <v>153</v>
      </c>
      <c r="N183" s="27" t="s">
        <v>2281</v>
      </c>
      <c r="O183" s="27" t="s">
        <v>2283</v>
      </c>
      <c r="P183" s="63"/>
    </row>
    <row r="184" spans="1:16" ht="121.5" hidden="1">
      <c r="A184" s="27">
        <v>3821521</v>
      </c>
      <c r="B184" s="27">
        <v>3954226</v>
      </c>
      <c r="C184" s="53" t="s">
        <v>2353</v>
      </c>
      <c r="D184" s="53"/>
      <c r="E184" s="27" t="s">
        <v>40</v>
      </c>
      <c r="F184" s="27" t="s">
        <v>599</v>
      </c>
      <c r="G184" s="27" t="s">
        <v>44</v>
      </c>
      <c r="H184" s="84">
        <v>105.64</v>
      </c>
      <c r="I184" s="50">
        <v>45495</v>
      </c>
      <c r="J184" s="50">
        <v>45503</v>
      </c>
      <c r="K184" s="27">
        <v>4743</v>
      </c>
      <c r="L184" s="39">
        <v>2089</v>
      </c>
      <c r="M184" s="52">
        <v>242</v>
      </c>
      <c r="N184" s="27" t="s">
        <v>2281</v>
      </c>
      <c r="O184" s="27" t="s">
        <v>2282</v>
      </c>
      <c r="P184" s="63"/>
    </row>
    <row r="185" spans="1:16" ht="91.5" hidden="1">
      <c r="A185" s="27">
        <v>3831951</v>
      </c>
      <c r="B185" s="27">
        <v>3963985</v>
      </c>
      <c r="C185" s="53" t="s">
        <v>2354</v>
      </c>
      <c r="D185" s="53"/>
      <c r="E185" s="27" t="s">
        <v>40</v>
      </c>
      <c r="F185" s="27" t="s">
        <v>599</v>
      </c>
      <c r="G185" s="27" t="s">
        <v>44</v>
      </c>
      <c r="H185" s="56">
        <v>616</v>
      </c>
      <c r="I185" s="50">
        <v>45509</v>
      </c>
      <c r="J185" s="50">
        <v>45512</v>
      </c>
      <c r="K185" s="27">
        <v>4823</v>
      </c>
      <c r="L185" s="39">
        <v>2089</v>
      </c>
      <c r="M185" s="52">
        <v>242</v>
      </c>
      <c r="N185" s="27" t="s">
        <v>2281</v>
      </c>
      <c r="O185" s="27" t="s">
        <v>2282</v>
      </c>
      <c r="P185" s="63"/>
    </row>
    <row r="186" spans="1:16" hidden="1">
      <c r="A186" s="27">
        <v>3623537</v>
      </c>
      <c r="B186" s="27">
        <v>3769130</v>
      </c>
      <c r="C186" s="53" t="s">
        <v>2355</v>
      </c>
      <c r="D186" s="53"/>
      <c r="E186" s="27" t="s">
        <v>40</v>
      </c>
      <c r="F186" s="27" t="s">
        <v>599</v>
      </c>
      <c r="G186" s="27" t="s">
        <v>44</v>
      </c>
      <c r="H186" s="84">
        <v>439.36</v>
      </c>
      <c r="I186" s="50">
        <v>45518</v>
      </c>
      <c r="J186" s="50">
        <v>45524</v>
      </c>
      <c r="K186" s="27">
        <v>129354</v>
      </c>
      <c r="L186" s="39" t="s">
        <v>2280</v>
      </c>
      <c r="M186" s="52">
        <v>153</v>
      </c>
      <c r="N186" s="27" t="s">
        <v>2281</v>
      </c>
      <c r="O186" s="27" t="s">
        <v>2283</v>
      </c>
      <c r="P186" s="63"/>
    </row>
    <row r="187" spans="1:16" hidden="1">
      <c r="A187" s="27">
        <v>3623537</v>
      </c>
      <c r="B187" s="27">
        <v>3769130</v>
      </c>
      <c r="C187" s="53" t="s">
        <v>2355</v>
      </c>
      <c r="D187" s="53"/>
      <c r="E187" s="27" t="s">
        <v>40</v>
      </c>
      <c r="F187" s="27" t="s">
        <v>599</v>
      </c>
      <c r="G187" s="27" t="s">
        <v>44</v>
      </c>
      <c r="H187" s="84">
        <v>78643.03</v>
      </c>
      <c r="I187" s="50">
        <v>45511</v>
      </c>
      <c r="J187" s="50">
        <v>45524</v>
      </c>
      <c r="K187" s="27">
        <v>128574</v>
      </c>
      <c r="L187" s="39" t="s">
        <v>2280</v>
      </c>
      <c r="M187" s="52">
        <v>153</v>
      </c>
      <c r="N187" s="27" t="s">
        <v>2281</v>
      </c>
      <c r="O187" s="27" t="s">
        <v>2283</v>
      </c>
      <c r="P187" s="63"/>
    </row>
    <row r="188" spans="1:16" hidden="1">
      <c r="A188" s="27">
        <v>3623537</v>
      </c>
      <c r="B188" s="27">
        <v>3769130</v>
      </c>
      <c r="C188" s="53" t="s">
        <v>2355</v>
      </c>
      <c r="D188" s="53"/>
      <c r="E188" s="27" t="s">
        <v>40</v>
      </c>
      <c r="F188" s="27" t="s">
        <v>599</v>
      </c>
      <c r="G188" s="27" t="s">
        <v>44</v>
      </c>
      <c r="H188" s="84">
        <v>61617.5</v>
      </c>
      <c r="I188" s="50">
        <v>45517</v>
      </c>
      <c r="J188" s="50">
        <v>45524</v>
      </c>
      <c r="K188" s="27">
        <v>129130</v>
      </c>
      <c r="L188" s="39" t="s">
        <v>2280</v>
      </c>
      <c r="M188" s="52">
        <v>153</v>
      </c>
      <c r="N188" s="27" t="s">
        <v>2281</v>
      </c>
      <c r="O188" s="27" t="s">
        <v>2283</v>
      </c>
      <c r="P188" s="63"/>
    </row>
    <row r="189" spans="1:16" hidden="1">
      <c r="A189" s="27">
        <v>3623537</v>
      </c>
      <c r="B189" s="27">
        <v>3769130</v>
      </c>
      <c r="C189" s="53" t="s">
        <v>2355</v>
      </c>
      <c r="D189" s="53"/>
      <c r="E189" s="27" t="s">
        <v>40</v>
      </c>
      <c r="F189" s="27" t="s">
        <v>599</v>
      </c>
      <c r="G189" s="27" t="s">
        <v>44</v>
      </c>
      <c r="H189" s="84">
        <v>61617.5</v>
      </c>
      <c r="I189" s="50">
        <v>45541</v>
      </c>
      <c r="J189" s="50">
        <v>45546</v>
      </c>
      <c r="K189" s="27">
        <v>130929</v>
      </c>
      <c r="L189" s="39" t="s">
        <v>2280</v>
      </c>
      <c r="M189" s="52">
        <v>153</v>
      </c>
      <c r="N189" s="52" t="s">
        <v>2281</v>
      </c>
      <c r="O189" s="27" t="s">
        <v>2283</v>
      </c>
      <c r="P189" s="63"/>
    </row>
    <row r="190" spans="1:16" hidden="1">
      <c r="A190" s="30">
        <v>3623537</v>
      </c>
      <c r="B190" s="30">
        <v>3769130</v>
      </c>
      <c r="C190" s="53" t="s">
        <v>2355</v>
      </c>
      <c r="D190" s="85"/>
      <c r="E190" s="27" t="s">
        <v>40</v>
      </c>
      <c r="F190" s="27" t="s">
        <v>599</v>
      </c>
      <c r="G190" s="27" t="s">
        <v>44</v>
      </c>
      <c r="H190" s="86">
        <v>78643.03</v>
      </c>
      <c r="I190" s="93">
        <v>45541</v>
      </c>
      <c r="J190" s="93">
        <v>45546</v>
      </c>
      <c r="K190" s="30">
        <v>130927</v>
      </c>
      <c r="L190" s="88" t="s">
        <v>2280</v>
      </c>
      <c r="M190" s="52">
        <v>153</v>
      </c>
      <c r="N190" s="94" t="s">
        <v>2281</v>
      </c>
      <c r="O190" s="30" t="s">
        <v>2283</v>
      </c>
      <c r="P190" s="63"/>
    </row>
    <row r="191" spans="1:16" hidden="1">
      <c r="A191" s="27">
        <v>3623537</v>
      </c>
      <c r="B191" s="27">
        <v>3769130</v>
      </c>
      <c r="C191" s="53" t="s">
        <v>2355</v>
      </c>
      <c r="D191" s="53"/>
      <c r="E191" s="27" t="s">
        <v>40</v>
      </c>
      <c r="F191" s="27" t="s">
        <v>599</v>
      </c>
      <c r="G191" s="27" t="s">
        <v>44</v>
      </c>
      <c r="H191" s="84">
        <v>61617.5</v>
      </c>
      <c r="I191" s="50">
        <v>45573</v>
      </c>
      <c r="J191" s="50">
        <v>45582</v>
      </c>
      <c r="K191" s="27">
        <v>133513</v>
      </c>
      <c r="L191" s="39" t="s">
        <v>2280</v>
      </c>
      <c r="M191" s="52">
        <v>153</v>
      </c>
      <c r="N191" s="27" t="s">
        <v>2281</v>
      </c>
      <c r="O191" s="27" t="s">
        <v>2283</v>
      </c>
      <c r="P191" s="63"/>
    </row>
    <row r="192" spans="1:16" hidden="1">
      <c r="A192" s="30">
        <v>3623537</v>
      </c>
      <c r="B192" s="30">
        <v>3769130</v>
      </c>
      <c r="C192" s="53" t="s">
        <v>2355</v>
      </c>
      <c r="D192" s="85"/>
      <c r="E192" s="27" t="s">
        <v>40</v>
      </c>
      <c r="F192" s="27" t="s">
        <v>599</v>
      </c>
      <c r="G192" s="27" t="s">
        <v>44</v>
      </c>
      <c r="H192" s="86">
        <v>78643.03</v>
      </c>
      <c r="I192" s="50">
        <v>45573</v>
      </c>
      <c r="J192" s="50">
        <v>45582</v>
      </c>
      <c r="K192" s="27">
        <v>133514</v>
      </c>
      <c r="L192" s="39" t="s">
        <v>2280</v>
      </c>
      <c r="M192" s="52">
        <v>153</v>
      </c>
      <c r="N192" s="27" t="s">
        <v>2281</v>
      </c>
      <c r="O192" s="27" t="s">
        <v>2283</v>
      </c>
      <c r="P192" s="63"/>
    </row>
    <row r="193" spans="1:16" hidden="1">
      <c r="A193" s="27">
        <v>3623537</v>
      </c>
      <c r="B193" s="27">
        <v>3769130</v>
      </c>
      <c r="C193" s="53" t="s">
        <v>2355</v>
      </c>
      <c r="D193" s="53"/>
      <c r="E193" s="27" t="s">
        <v>40</v>
      </c>
      <c r="F193" s="27" t="s">
        <v>599</v>
      </c>
      <c r="G193" s="27" t="s">
        <v>44</v>
      </c>
      <c r="H193" s="84">
        <v>9318.27</v>
      </c>
      <c r="I193" s="50">
        <v>45615</v>
      </c>
      <c r="J193" s="50">
        <v>45623</v>
      </c>
      <c r="K193" s="27">
        <v>136706</v>
      </c>
      <c r="L193" s="39" t="s">
        <v>2280</v>
      </c>
      <c r="M193" s="52">
        <v>153</v>
      </c>
      <c r="N193" s="52" t="s">
        <v>2281</v>
      </c>
      <c r="O193" s="52" t="s">
        <v>2283</v>
      </c>
      <c r="P193" s="200"/>
    </row>
    <row r="194" spans="1:16" hidden="1">
      <c r="A194" s="27">
        <v>3623537</v>
      </c>
      <c r="B194" s="27">
        <v>3769130</v>
      </c>
      <c r="C194" s="53" t="s">
        <v>2355</v>
      </c>
      <c r="D194" s="53"/>
      <c r="E194" s="27" t="s">
        <v>40</v>
      </c>
      <c r="F194" s="27" t="s">
        <v>599</v>
      </c>
      <c r="G194" s="27" t="s">
        <v>44</v>
      </c>
      <c r="H194" s="90">
        <v>15921.9</v>
      </c>
      <c r="I194" s="50">
        <v>45615</v>
      </c>
      <c r="J194" s="50">
        <v>45623</v>
      </c>
      <c r="K194" s="27">
        <v>136707</v>
      </c>
      <c r="L194" s="39" t="s">
        <v>2280</v>
      </c>
      <c r="M194" s="52">
        <v>153</v>
      </c>
      <c r="N194" s="52" t="s">
        <v>2281</v>
      </c>
      <c r="O194" s="52" t="s">
        <v>2283</v>
      </c>
      <c r="P194" s="200"/>
    </row>
    <row r="195" spans="1:16" hidden="1">
      <c r="A195" s="27">
        <v>3623537</v>
      </c>
      <c r="B195" s="27">
        <v>3769130</v>
      </c>
      <c r="C195" s="53" t="s">
        <v>2355</v>
      </c>
      <c r="D195" s="53"/>
      <c r="E195" s="27" t="s">
        <v>40</v>
      </c>
      <c r="F195" s="27" t="s">
        <v>599</v>
      </c>
      <c r="G195" s="27" t="s">
        <v>44</v>
      </c>
      <c r="H195" s="90">
        <v>113553.33</v>
      </c>
      <c r="I195" s="50">
        <v>45622</v>
      </c>
      <c r="J195" s="50">
        <v>45623</v>
      </c>
      <c r="K195" s="27">
        <v>137510</v>
      </c>
      <c r="L195" s="39" t="s">
        <v>2280</v>
      </c>
      <c r="M195" s="52">
        <v>153</v>
      </c>
      <c r="N195" s="52" t="s">
        <v>2281</v>
      </c>
      <c r="O195" s="52" t="s">
        <v>2283</v>
      </c>
      <c r="P195" s="200"/>
    </row>
    <row r="196" spans="1:16" hidden="1">
      <c r="A196" s="27">
        <v>3623537</v>
      </c>
      <c r="B196" s="27">
        <v>3769130</v>
      </c>
      <c r="C196" s="53" t="s">
        <v>2355</v>
      </c>
      <c r="D196" s="53"/>
      <c r="E196" s="27" t="s">
        <v>40</v>
      </c>
      <c r="F196" s="27" t="s">
        <v>599</v>
      </c>
      <c r="G196" s="27" t="s">
        <v>44</v>
      </c>
      <c r="H196" s="90">
        <v>16679.78</v>
      </c>
      <c r="I196" s="50">
        <v>45656</v>
      </c>
      <c r="J196" s="50">
        <v>45671</v>
      </c>
      <c r="K196" s="27">
        <v>140338</v>
      </c>
      <c r="L196" s="39" t="s">
        <v>2280</v>
      </c>
      <c r="M196" s="52">
        <v>153</v>
      </c>
      <c r="N196" s="52" t="s">
        <v>2281</v>
      </c>
      <c r="O196" s="52" t="s">
        <v>2283</v>
      </c>
      <c r="P196" s="200"/>
    </row>
    <row r="197" spans="1:16" hidden="1">
      <c r="A197" s="27">
        <v>3623537</v>
      </c>
      <c r="B197" s="27">
        <v>3769130</v>
      </c>
      <c r="C197" s="53" t="s">
        <v>2355</v>
      </c>
      <c r="D197" s="53"/>
      <c r="E197" s="27" t="s">
        <v>40</v>
      </c>
      <c r="F197" s="27" t="s">
        <v>599</v>
      </c>
      <c r="G197" s="27" t="s">
        <v>44</v>
      </c>
      <c r="H197" s="90">
        <v>9761.81</v>
      </c>
      <c r="I197" s="50">
        <v>45656</v>
      </c>
      <c r="J197" s="50">
        <v>45671</v>
      </c>
      <c r="K197" s="27">
        <v>140341</v>
      </c>
      <c r="L197" s="39" t="s">
        <v>2280</v>
      </c>
      <c r="M197" s="52">
        <v>153</v>
      </c>
      <c r="N197" s="54" t="s">
        <v>2281</v>
      </c>
      <c r="O197" s="27" t="s">
        <v>2282</v>
      </c>
      <c r="P197" s="63"/>
    </row>
    <row r="198" spans="1:16" hidden="1">
      <c r="A198" s="27">
        <v>3623537</v>
      </c>
      <c r="B198" s="27">
        <v>3769130</v>
      </c>
      <c r="C198" s="53" t="s">
        <v>2355</v>
      </c>
      <c r="D198" s="53"/>
      <c r="E198" s="27" t="s">
        <v>40</v>
      </c>
      <c r="F198" s="27" t="s">
        <v>599</v>
      </c>
      <c r="G198" s="27" t="s">
        <v>44</v>
      </c>
      <c r="H198" s="90">
        <v>120495.29</v>
      </c>
      <c r="I198" s="50">
        <v>45656</v>
      </c>
      <c r="J198" s="50">
        <v>45671</v>
      </c>
      <c r="K198" s="27">
        <v>140343</v>
      </c>
      <c r="L198" s="39" t="s">
        <v>2280</v>
      </c>
      <c r="M198" s="52">
        <v>153</v>
      </c>
      <c r="N198" s="54" t="s">
        <v>2281</v>
      </c>
      <c r="O198" s="27" t="s">
        <v>2282</v>
      </c>
      <c r="P198" s="63"/>
    </row>
    <row r="199" spans="1:16" hidden="1">
      <c r="A199" s="27">
        <v>3623537</v>
      </c>
      <c r="B199" s="27">
        <v>3769130</v>
      </c>
      <c r="C199" s="53" t="s">
        <v>2355</v>
      </c>
      <c r="D199" s="53"/>
      <c r="E199" s="27" t="s">
        <v>40</v>
      </c>
      <c r="F199" s="27" t="s">
        <v>599</v>
      </c>
      <c r="G199" s="27" t="s">
        <v>44</v>
      </c>
      <c r="H199" s="90">
        <v>9761.81</v>
      </c>
      <c r="I199" s="50">
        <v>45663</v>
      </c>
      <c r="J199" s="50" t="s">
        <v>34</v>
      </c>
      <c r="K199" s="27">
        <v>140671</v>
      </c>
      <c r="L199" s="39" t="s">
        <v>2280</v>
      </c>
      <c r="M199" s="52">
        <v>153</v>
      </c>
      <c r="N199" s="92" t="s">
        <v>2356</v>
      </c>
      <c r="O199" s="27" t="s">
        <v>2283</v>
      </c>
      <c r="P199" s="63"/>
    </row>
    <row r="200" spans="1:16" hidden="1">
      <c r="A200" s="27">
        <v>3623537</v>
      </c>
      <c r="B200" s="27">
        <v>3769130</v>
      </c>
      <c r="C200" s="53" t="s">
        <v>2355</v>
      </c>
      <c r="D200" s="53"/>
      <c r="E200" s="27" t="s">
        <v>40</v>
      </c>
      <c r="F200" s="27" t="s">
        <v>599</v>
      </c>
      <c r="G200" s="27" t="s">
        <v>44</v>
      </c>
      <c r="H200" s="90">
        <v>16679.78</v>
      </c>
      <c r="I200" s="50">
        <v>45663</v>
      </c>
      <c r="J200" s="50">
        <v>45672</v>
      </c>
      <c r="K200" s="27">
        <v>140672</v>
      </c>
      <c r="L200" s="39" t="s">
        <v>2280</v>
      </c>
      <c r="M200" s="52">
        <v>153</v>
      </c>
      <c r="N200" s="54" t="s">
        <v>2281</v>
      </c>
      <c r="O200" s="27" t="s">
        <v>2282</v>
      </c>
      <c r="P200" s="63"/>
    </row>
    <row r="201" spans="1:16" hidden="1">
      <c r="A201" s="27">
        <v>3623537</v>
      </c>
      <c r="B201" s="27">
        <v>3769130</v>
      </c>
      <c r="C201" s="53" t="s">
        <v>2355</v>
      </c>
      <c r="D201" s="53"/>
      <c r="E201" s="27" t="s">
        <v>40</v>
      </c>
      <c r="F201" s="27" t="s">
        <v>599</v>
      </c>
      <c r="G201" s="27" t="s">
        <v>44</v>
      </c>
      <c r="H201" s="90">
        <v>120495.29</v>
      </c>
      <c r="I201" s="50">
        <v>45671</v>
      </c>
      <c r="J201" s="50">
        <v>45672</v>
      </c>
      <c r="K201" s="27">
        <v>141453</v>
      </c>
      <c r="L201" s="39" t="s">
        <v>2280</v>
      </c>
      <c r="M201" s="52">
        <v>153</v>
      </c>
      <c r="N201" s="52" t="s">
        <v>2281</v>
      </c>
      <c r="O201" s="52" t="s">
        <v>2283</v>
      </c>
      <c r="P201" s="200"/>
    </row>
    <row r="202" spans="1:16" hidden="1">
      <c r="A202" s="27">
        <v>3623537</v>
      </c>
      <c r="B202" s="27">
        <v>3769130</v>
      </c>
      <c r="C202" s="53" t="s">
        <v>2355</v>
      </c>
      <c r="D202" s="53"/>
      <c r="E202" s="27" t="s">
        <v>40</v>
      </c>
      <c r="F202" s="27" t="s">
        <v>599</v>
      </c>
      <c r="G202" s="27" t="s">
        <v>44</v>
      </c>
      <c r="H202" s="90">
        <v>9761.82</v>
      </c>
      <c r="I202" s="50">
        <v>45673</v>
      </c>
      <c r="J202" s="50">
        <v>45673</v>
      </c>
      <c r="K202" s="27">
        <v>141733</v>
      </c>
      <c r="L202" s="39" t="s">
        <v>2280</v>
      </c>
      <c r="M202" s="52">
        <v>153</v>
      </c>
      <c r="N202" s="52" t="s">
        <v>2281</v>
      </c>
      <c r="O202" s="52" t="s">
        <v>2283</v>
      </c>
      <c r="P202" s="200"/>
    </row>
    <row r="203" spans="1:16" hidden="1">
      <c r="A203" s="27">
        <v>3623537</v>
      </c>
      <c r="B203" s="27">
        <v>3769130</v>
      </c>
      <c r="C203" s="53" t="s">
        <v>2355</v>
      </c>
      <c r="D203" s="53"/>
      <c r="E203" s="27" t="s">
        <v>40</v>
      </c>
      <c r="F203" s="27" t="s">
        <v>599</v>
      </c>
      <c r="G203" s="27" t="s">
        <v>44</v>
      </c>
      <c r="H203" s="90">
        <v>114706.31</v>
      </c>
      <c r="I203" s="50">
        <v>45621</v>
      </c>
      <c r="J203" s="27"/>
      <c r="K203" s="27">
        <v>137299</v>
      </c>
      <c r="L203" s="39" t="s">
        <v>2280</v>
      </c>
      <c r="M203" s="52">
        <v>153</v>
      </c>
      <c r="N203" s="92" t="s">
        <v>2356</v>
      </c>
      <c r="O203" s="27" t="s">
        <v>2283</v>
      </c>
      <c r="P203" s="63"/>
    </row>
    <row r="204" spans="1:16" hidden="1">
      <c r="A204" s="27">
        <v>3623537</v>
      </c>
      <c r="B204" s="27">
        <v>3769130</v>
      </c>
      <c r="C204" s="53" t="s">
        <v>2355</v>
      </c>
      <c r="D204" s="53"/>
      <c r="E204" s="27" t="s">
        <v>40</v>
      </c>
      <c r="F204" s="27" t="s">
        <v>599</v>
      </c>
      <c r="G204" s="27" t="s">
        <v>44</v>
      </c>
      <c r="H204" s="90">
        <v>16679.78</v>
      </c>
      <c r="I204" s="50">
        <v>45694</v>
      </c>
      <c r="J204" s="50">
        <v>45698</v>
      </c>
      <c r="K204" s="27">
        <v>143200</v>
      </c>
      <c r="L204" s="39" t="s">
        <v>2357</v>
      </c>
      <c r="M204" s="52">
        <v>153</v>
      </c>
      <c r="N204" s="55" t="s">
        <v>2281</v>
      </c>
      <c r="O204" s="55" t="s">
        <v>2283</v>
      </c>
      <c r="P204" s="201"/>
    </row>
    <row r="205" spans="1:16" hidden="1">
      <c r="A205" s="27">
        <v>3623537</v>
      </c>
      <c r="B205" s="27">
        <v>3769130</v>
      </c>
      <c r="C205" s="53" t="s">
        <v>2355</v>
      </c>
      <c r="D205" s="53"/>
      <c r="E205" s="27" t="s">
        <v>40</v>
      </c>
      <c r="F205" s="27" t="s">
        <v>599</v>
      </c>
      <c r="G205" s="27" t="s">
        <v>44</v>
      </c>
      <c r="H205" s="90">
        <v>9761.82</v>
      </c>
      <c r="I205" s="50">
        <v>45694</v>
      </c>
      <c r="J205" s="50">
        <v>45698</v>
      </c>
      <c r="K205" s="27">
        <v>143201</v>
      </c>
      <c r="L205" s="39" t="s">
        <v>2357</v>
      </c>
      <c r="M205" s="52">
        <v>153</v>
      </c>
      <c r="N205" s="55" t="s">
        <v>2281</v>
      </c>
      <c r="O205" s="55" t="s">
        <v>2283</v>
      </c>
      <c r="P205" s="201"/>
    </row>
    <row r="206" spans="1:16" hidden="1">
      <c r="A206" s="27">
        <v>3623537</v>
      </c>
      <c r="B206" s="27">
        <v>3769130</v>
      </c>
      <c r="C206" s="53" t="s">
        <v>2355</v>
      </c>
      <c r="D206" s="53"/>
      <c r="E206" s="27" t="s">
        <v>40</v>
      </c>
      <c r="F206" s="27" t="s">
        <v>599</v>
      </c>
      <c r="G206" s="27" t="s">
        <v>44</v>
      </c>
      <c r="H206" s="90">
        <v>120495.29</v>
      </c>
      <c r="I206" s="50">
        <v>45699</v>
      </c>
      <c r="J206" s="50">
        <v>45700</v>
      </c>
      <c r="K206" s="27">
        <v>143566</v>
      </c>
      <c r="L206" s="39" t="s">
        <v>2280</v>
      </c>
      <c r="M206" s="52">
        <v>153</v>
      </c>
      <c r="N206" s="55" t="s">
        <v>2281</v>
      </c>
      <c r="O206" s="55" t="s">
        <v>2283</v>
      </c>
      <c r="P206" s="201"/>
    </row>
    <row r="207" spans="1:16" hidden="1">
      <c r="A207" s="27">
        <v>3623537</v>
      </c>
      <c r="B207" s="27">
        <v>3769130</v>
      </c>
      <c r="C207" s="53" t="s">
        <v>2355</v>
      </c>
      <c r="D207" s="53"/>
      <c r="E207" s="27" t="s">
        <v>40</v>
      </c>
      <c r="F207" s="27" t="s">
        <v>599</v>
      </c>
      <c r="G207" s="27" t="s">
        <v>44</v>
      </c>
      <c r="H207" s="90">
        <v>9761.82</v>
      </c>
      <c r="I207" s="50">
        <v>45722</v>
      </c>
      <c r="J207" s="50">
        <v>45723</v>
      </c>
      <c r="K207" s="27">
        <v>145447</v>
      </c>
      <c r="L207" s="39" t="s">
        <v>2280</v>
      </c>
      <c r="M207" s="52">
        <v>153</v>
      </c>
      <c r="N207" s="55" t="s">
        <v>2281</v>
      </c>
      <c r="O207" s="55" t="s">
        <v>2283</v>
      </c>
      <c r="P207" s="201"/>
    </row>
    <row r="208" spans="1:16" hidden="1">
      <c r="A208" s="27">
        <v>3623537</v>
      </c>
      <c r="B208" s="27">
        <v>3769130</v>
      </c>
      <c r="C208" s="53" t="s">
        <v>2355</v>
      </c>
      <c r="D208" s="53"/>
      <c r="E208" s="27" t="s">
        <v>40</v>
      </c>
      <c r="F208" s="27" t="s">
        <v>599</v>
      </c>
      <c r="G208" s="27" t="s">
        <v>44</v>
      </c>
      <c r="H208" s="90">
        <v>16679.78</v>
      </c>
      <c r="I208" s="50">
        <v>45722</v>
      </c>
      <c r="J208" s="50">
        <v>45723</v>
      </c>
      <c r="K208" s="27">
        <v>145446</v>
      </c>
      <c r="L208" s="39" t="s">
        <v>2280</v>
      </c>
      <c r="M208" s="52">
        <v>153</v>
      </c>
      <c r="N208" s="55" t="s">
        <v>2281</v>
      </c>
      <c r="O208" s="55" t="s">
        <v>2283</v>
      </c>
      <c r="P208" s="201"/>
    </row>
    <row r="209" spans="1:16" hidden="1">
      <c r="A209" s="27">
        <v>3623537</v>
      </c>
      <c r="B209" s="27">
        <v>3769130</v>
      </c>
      <c r="C209" s="53" t="s">
        <v>2355</v>
      </c>
      <c r="D209" s="53"/>
      <c r="E209" s="27" t="s">
        <v>40</v>
      </c>
      <c r="F209" s="27" t="s">
        <v>599</v>
      </c>
      <c r="G209" s="27" t="s">
        <v>44</v>
      </c>
      <c r="H209" s="90">
        <v>120495.29</v>
      </c>
      <c r="I209" s="50">
        <v>45729</v>
      </c>
      <c r="J209" s="50">
        <v>45730</v>
      </c>
      <c r="K209" s="27">
        <v>145997</v>
      </c>
      <c r="L209" s="39" t="s">
        <v>2280</v>
      </c>
      <c r="M209" s="52">
        <v>153</v>
      </c>
      <c r="N209" s="55" t="s">
        <v>2281</v>
      </c>
      <c r="O209" s="55" t="s">
        <v>2283</v>
      </c>
      <c r="P209" s="201"/>
    </row>
    <row r="210" spans="1:16" hidden="1">
      <c r="A210" s="27">
        <v>3623537</v>
      </c>
      <c r="B210" s="27">
        <v>3769130</v>
      </c>
      <c r="C210" s="53" t="s">
        <v>2355</v>
      </c>
      <c r="D210" s="53"/>
      <c r="E210" s="27" t="s">
        <v>40</v>
      </c>
      <c r="F210" s="27" t="s">
        <v>599</v>
      </c>
      <c r="G210" s="27" t="s">
        <v>44</v>
      </c>
      <c r="H210" s="90">
        <v>64550.48</v>
      </c>
      <c r="I210" s="50">
        <v>45763</v>
      </c>
      <c r="J210" s="50">
        <v>45775</v>
      </c>
      <c r="K210" s="57">
        <v>149309</v>
      </c>
      <c r="L210" s="39" t="s">
        <v>2280</v>
      </c>
      <c r="M210" s="52">
        <v>153</v>
      </c>
      <c r="N210" s="55" t="s">
        <v>2281</v>
      </c>
      <c r="O210" s="55" t="s">
        <v>2283</v>
      </c>
      <c r="P210" s="201"/>
    </row>
    <row r="211" spans="1:16" hidden="1">
      <c r="A211" s="27">
        <v>3623537</v>
      </c>
      <c r="B211" s="27">
        <v>3769130</v>
      </c>
      <c r="C211" s="53" t="s">
        <v>2355</v>
      </c>
      <c r="D211" s="53"/>
      <c r="E211" s="27" t="s">
        <v>40</v>
      </c>
      <c r="F211" s="27" t="s">
        <v>599</v>
      </c>
      <c r="G211" s="27" t="s">
        <v>44</v>
      </c>
      <c r="H211" s="90">
        <v>82386.41</v>
      </c>
      <c r="I211" s="50">
        <v>45763</v>
      </c>
      <c r="J211" s="50">
        <v>45775</v>
      </c>
      <c r="K211" s="57">
        <v>149310</v>
      </c>
      <c r="L211" s="39" t="s">
        <v>2280</v>
      </c>
      <c r="M211" s="52">
        <v>153</v>
      </c>
      <c r="N211" s="55" t="s">
        <v>2281</v>
      </c>
      <c r="O211" s="55" t="s">
        <v>2283</v>
      </c>
      <c r="P211" s="201"/>
    </row>
    <row r="212" spans="1:16" ht="45.75" hidden="1">
      <c r="A212" s="27">
        <v>3623537</v>
      </c>
      <c r="B212" s="27">
        <v>3769130</v>
      </c>
      <c r="C212" s="68" t="s">
        <v>2355</v>
      </c>
      <c r="D212" s="53"/>
      <c r="E212" s="27" t="s">
        <v>40</v>
      </c>
      <c r="F212" s="27" t="s">
        <v>599</v>
      </c>
      <c r="G212" s="27" t="s">
        <v>44</v>
      </c>
      <c r="H212" s="91" t="s">
        <v>2358</v>
      </c>
      <c r="I212" s="50">
        <v>45805</v>
      </c>
      <c r="J212" s="50">
        <v>45805</v>
      </c>
      <c r="K212" s="57">
        <v>152658</v>
      </c>
      <c r="L212" s="39" t="s">
        <v>2280</v>
      </c>
      <c r="M212" s="52">
        <v>153</v>
      </c>
      <c r="N212" s="92" t="s">
        <v>2359</v>
      </c>
      <c r="O212" s="55" t="s">
        <v>2283</v>
      </c>
      <c r="P212" s="201"/>
    </row>
    <row r="213" spans="1:16" ht="45.75" hidden="1">
      <c r="A213" s="27">
        <v>3623537</v>
      </c>
      <c r="B213" s="27">
        <v>3769130</v>
      </c>
      <c r="C213" s="68" t="s">
        <v>2355</v>
      </c>
      <c r="D213" s="53"/>
      <c r="E213" s="27" t="s">
        <v>40</v>
      </c>
      <c r="F213" s="27" t="s">
        <v>599</v>
      </c>
      <c r="G213" s="27" t="s">
        <v>44</v>
      </c>
      <c r="H213" s="91" t="s">
        <v>2358</v>
      </c>
      <c r="I213" s="50">
        <v>45805</v>
      </c>
      <c r="J213" s="50">
        <v>45805</v>
      </c>
      <c r="K213" s="57">
        <v>152659</v>
      </c>
      <c r="L213" s="39" t="s">
        <v>2280</v>
      </c>
      <c r="M213" s="52">
        <v>153</v>
      </c>
      <c r="N213" s="92" t="s">
        <v>2359</v>
      </c>
      <c r="O213" s="55" t="s">
        <v>2283</v>
      </c>
      <c r="P213" s="201"/>
    </row>
    <row r="214" spans="1:16" hidden="1">
      <c r="A214" s="27">
        <v>3623537</v>
      </c>
      <c r="B214" s="27">
        <v>3769130</v>
      </c>
      <c r="C214" s="68" t="s">
        <v>2355</v>
      </c>
      <c r="D214" s="53"/>
      <c r="E214" s="27" t="s">
        <v>40</v>
      </c>
      <c r="F214" s="27" t="s">
        <v>599</v>
      </c>
      <c r="G214" s="27" t="s">
        <v>44</v>
      </c>
      <c r="H214" s="91">
        <v>64550.48</v>
      </c>
      <c r="I214" s="50">
        <v>45805</v>
      </c>
      <c r="J214" s="50">
        <v>45806</v>
      </c>
      <c r="K214" s="57">
        <v>152687</v>
      </c>
      <c r="L214" s="39" t="s">
        <v>2280</v>
      </c>
      <c r="M214" s="52">
        <v>153</v>
      </c>
      <c r="N214" s="55" t="s">
        <v>2281</v>
      </c>
      <c r="O214" s="27" t="s">
        <v>2282</v>
      </c>
      <c r="P214" s="63"/>
    </row>
    <row r="215" spans="1:16" hidden="1">
      <c r="A215" s="27">
        <v>3623537</v>
      </c>
      <c r="B215" s="27">
        <v>3769130</v>
      </c>
      <c r="C215" s="68" t="s">
        <v>2355</v>
      </c>
      <c r="D215" s="53"/>
      <c r="E215" s="27" t="s">
        <v>40</v>
      </c>
      <c r="F215" s="27" t="s">
        <v>599</v>
      </c>
      <c r="G215" s="27" t="s">
        <v>44</v>
      </c>
      <c r="H215" s="91">
        <v>79762.39</v>
      </c>
      <c r="I215" s="50">
        <v>45805</v>
      </c>
      <c r="J215" s="50">
        <v>45806</v>
      </c>
      <c r="K215" s="57">
        <v>152689</v>
      </c>
      <c r="L215" s="39" t="s">
        <v>2280</v>
      </c>
      <c r="M215" s="52">
        <v>153</v>
      </c>
      <c r="N215" s="55" t="s">
        <v>2281</v>
      </c>
      <c r="O215" s="27" t="s">
        <v>2282</v>
      </c>
      <c r="P215" s="63"/>
    </row>
    <row r="216" spans="1:16" ht="45.75" hidden="1">
      <c r="A216" s="27">
        <v>3623537</v>
      </c>
      <c r="B216" s="27">
        <v>3769130</v>
      </c>
      <c r="C216" s="68" t="s">
        <v>2355</v>
      </c>
      <c r="D216" s="53"/>
      <c r="E216" s="27" t="s">
        <v>40</v>
      </c>
      <c r="F216" s="27" t="s">
        <v>599</v>
      </c>
      <c r="G216" s="27" t="s">
        <v>44</v>
      </c>
      <c r="H216" s="91" t="s">
        <v>2358</v>
      </c>
      <c r="I216" s="50">
        <v>45821</v>
      </c>
      <c r="J216" s="27"/>
      <c r="K216" s="57">
        <v>154152</v>
      </c>
      <c r="L216" s="39" t="s">
        <v>2280</v>
      </c>
      <c r="M216" s="52">
        <v>153</v>
      </c>
      <c r="N216" s="92" t="s">
        <v>2359</v>
      </c>
      <c r="O216" s="27" t="s">
        <v>2282</v>
      </c>
      <c r="P216" s="63"/>
    </row>
    <row r="217" spans="1:16" ht="45.75" hidden="1">
      <c r="A217" s="27">
        <v>3623537</v>
      </c>
      <c r="B217" s="27">
        <v>3769130</v>
      </c>
      <c r="C217" s="68" t="s">
        <v>2355</v>
      </c>
      <c r="D217" s="53"/>
      <c r="E217" s="27" t="s">
        <v>40</v>
      </c>
      <c r="F217" s="27" t="s">
        <v>599</v>
      </c>
      <c r="G217" s="27" t="s">
        <v>44</v>
      </c>
      <c r="H217" s="91" t="s">
        <v>2358</v>
      </c>
      <c r="I217" s="50">
        <v>45821</v>
      </c>
      <c r="J217" s="27"/>
      <c r="K217" s="57">
        <v>154153</v>
      </c>
      <c r="L217" s="39" t="s">
        <v>2280</v>
      </c>
      <c r="M217" s="52">
        <v>153</v>
      </c>
      <c r="N217" s="92" t="s">
        <v>2359</v>
      </c>
      <c r="O217" s="27" t="s">
        <v>2282</v>
      </c>
      <c r="P217" s="63"/>
    </row>
    <row r="218" spans="1:16" hidden="1">
      <c r="A218" s="27">
        <v>3623537</v>
      </c>
      <c r="B218" s="27">
        <v>3769130</v>
      </c>
      <c r="C218" s="68" t="s">
        <v>2355</v>
      </c>
      <c r="D218" s="53"/>
      <c r="E218" s="27" t="s">
        <v>40</v>
      </c>
      <c r="F218" s="27" t="s">
        <v>599</v>
      </c>
      <c r="G218" s="27" t="s">
        <v>44</v>
      </c>
      <c r="H218" s="91">
        <v>85203.19</v>
      </c>
      <c r="I218" s="50">
        <v>45833</v>
      </c>
      <c r="J218" s="50">
        <v>45834</v>
      </c>
      <c r="K218" s="57">
        <v>155024</v>
      </c>
      <c r="L218" s="39" t="s">
        <v>2280</v>
      </c>
      <c r="M218" s="52">
        <v>153</v>
      </c>
      <c r="N218" s="55" t="s">
        <v>2281</v>
      </c>
      <c r="O218" s="55" t="s">
        <v>2283</v>
      </c>
      <c r="P218" s="201"/>
    </row>
    <row r="219" spans="1:16" hidden="1">
      <c r="A219" s="27">
        <v>3623537</v>
      </c>
      <c r="B219" s="27">
        <v>3769130</v>
      </c>
      <c r="C219" s="68" t="s">
        <v>2355</v>
      </c>
      <c r="D219" s="53"/>
      <c r="E219" s="27" t="s">
        <v>40</v>
      </c>
      <c r="F219" s="27" t="s">
        <v>599</v>
      </c>
      <c r="G219" s="27" t="s">
        <v>44</v>
      </c>
      <c r="H219" s="91">
        <v>64413.42</v>
      </c>
      <c r="I219" s="50">
        <v>45833</v>
      </c>
      <c r="J219" s="50">
        <v>45834</v>
      </c>
      <c r="K219" s="57">
        <v>155037</v>
      </c>
      <c r="L219" s="39" t="s">
        <v>2280</v>
      </c>
      <c r="M219" s="52">
        <v>153</v>
      </c>
      <c r="N219" s="55" t="s">
        <v>2281</v>
      </c>
      <c r="O219" s="55" t="s">
        <v>2283</v>
      </c>
      <c r="P219" s="201"/>
    </row>
    <row r="220" spans="1:16" hidden="1">
      <c r="A220" s="27">
        <v>3623537</v>
      </c>
      <c r="B220" s="27">
        <v>3769130</v>
      </c>
      <c r="C220" s="66" t="s">
        <v>2355</v>
      </c>
      <c r="D220" s="53"/>
      <c r="E220" s="27" t="s">
        <v>40</v>
      </c>
      <c r="F220" s="27" t="s">
        <v>599</v>
      </c>
      <c r="G220" s="27" t="s">
        <v>44</v>
      </c>
      <c r="H220" s="91">
        <v>66580.179999999993</v>
      </c>
      <c r="I220" s="50">
        <v>45852</v>
      </c>
      <c r="J220" s="27"/>
      <c r="K220" s="57">
        <v>156511</v>
      </c>
      <c r="L220" s="39" t="s">
        <v>2280</v>
      </c>
      <c r="M220" s="52">
        <v>153</v>
      </c>
      <c r="N220" s="92" t="s">
        <v>2360</v>
      </c>
      <c r="O220" s="27" t="s">
        <v>2283</v>
      </c>
      <c r="P220" s="63"/>
    </row>
    <row r="221" spans="1:16" hidden="1">
      <c r="A221" s="27">
        <v>3623537</v>
      </c>
      <c r="B221" s="27">
        <v>3769130</v>
      </c>
      <c r="C221" s="66" t="s">
        <v>2355</v>
      </c>
      <c r="D221" s="53"/>
      <c r="E221" s="27" t="s">
        <v>40</v>
      </c>
      <c r="F221" s="27" t="s">
        <v>599</v>
      </c>
      <c r="G221" s="27" t="s">
        <v>44</v>
      </c>
      <c r="H221" s="91">
        <v>85663.46</v>
      </c>
      <c r="I221" s="50">
        <v>45852</v>
      </c>
      <c r="J221" s="27"/>
      <c r="K221" s="57">
        <v>156513</v>
      </c>
      <c r="L221" s="39" t="s">
        <v>2280</v>
      </c>
      <c r="M221" s="52">
        <v>153</v>
      </c>
      <c r="N221" s="92" t="s">
        <v>2360</v>
      </c>
      <c r="O221" s="27" t="s">
        <v>2283</v>
      </c>
      <c r="P221" s="63"/>
    </row>
    <row r="222" spans="1:16" hidden="1">
      <c r="A222" s="27">
        <v>3623537</v>
      </c>
      <c r="B222" s="27">
        <v>3769130</v>
      </c>
      <c r="C222" s="66" t="s">
        <v>2355</v>
      </c>
      <c r="D222" s="53"/>
      <c r="E222" s="27" t="s">
        <v>40</v>
      </c>
      <c r="F222" s="27" t="s">
        <v>599</v>
      </c>
      <c r="G222" s="27" t="s">
        <v>44</v>
      </c>
      <c r="H222" s="87">
        <v>325.68</v>
      </c>
      <c r="I222" s="50">
        <v>45853</v>
      </c>
      <c r="J222" s="50">
        <v>45856</v>
      </c>
      <c r="K222" s="57">
        <v>156527</v>
      </c>
      <c r="L222" s="39" t="s">
        <v>2361</v>
      </c>
      <c r="M222" s="52">
        <v>153</v>
      </c>
      <c r="N222" s="55" t="s">
        <v>2281</v>
      </c>
      <c r="O222" s="55" t="s">
        <v>2283</v>
      </c>
      <c r="P222" s="201"/>
    </row>
    <row r="223" spans="1:16" hidden="1">
      <c r="A223" s="27">
        <v>3623537</v>
      </c>
      <c r="B223" s="27">
        <v>3769130</v>
      </c>
      <c r="C223" s="66" t="s">
        <v>2355</v>
      </c>
      <c r="D223" s="53"/>
      <c r="E223" s="27" t="s">
        <v>40</v>
      </c>
      <c r="F223" s="27" t="s">
        <v>599</v>
      </c>
      <c r="G223" s="27" t="s">
        <v>44</v>
      </c>
      <c r="H223" s="87">
        <v>64739.1</v>
      </c>
      <c r="I223" s="50">
        <v>45855</v>
      </c>
      <c r="J223" s="50">
        <v>45856</v>
      </c>
      <c r="K223" s="57">
        <v>157037</v>
      </c>
      <c r="L223" s="39" t="s">
        <v>2280</v>
      </c>
      <c r="M223" s="52">
        <v>153</v>
      </c>
      <c r="N223" s="55" t="s">
        <v>2281</v>
      </c>
      <c r="O223" s="55" t="s">
        <v>2283</v>
      </c>
      <c r="P223" s="201"/>
    </row>
    <row r="224" spans="1:16" hidden="1">
      <c r="A224" s="27">
        <v>3623537</v>
      </c>
      <c r="B224" s="27">
        <v>3769130</v>
      </c>
      <c r="C224" s="66" t="s">
        <v>2355</v>
      </c>
      <c r="D224" s="53"/>
      <c r="E224" s="27" t="s">
        <v>40</v>
      </c>
      <c r="F224" s="27" t="s">
        <v>599</v>
      </c>
      <c r="G224" s="27" t="s">
        <v>44</v>
      </c>
      <c r="H224" s="87">
        <v>85203.19</v>
      </c>
      <c r="I224" s="50">
        <v>45856</v>
      </c>
      <c r="J224" s="50">
        <v>45856</v>
      </c>
      <c r="K224" s="57">
        <v>157158</v>
      </c>
      <c r="L224" s="39" t="s">
        <v>2280</v>
      </c>
      <c r="M224" s="52">
        <v>153</v>
      </c>
      <c r="N224" s="55" t="s">
        <v>2281</v>
      </c>
      <c r="O224" s="55" t="s">
        <v>2283</v>
      </c>
      <c r="P224" s="201"/>
    </row>
    <row r="225" spans="1:16" hidden="1">
      <c r="A225" s="27">
        <v>3623537</v>
      </c>
      <c r="B225" s="27">
        <v>3769130</v>
      </c>
      <c r="C225" s="66" t="s">
        <v>2355</v>
      </c>
      <c r="D225" s="53"/>
      <c r="E225" s="27" t="s">
        <v>40</v>
      </c>
      <c r="F225" s="27" t="s">
        <v>599</v>
      </c>
      <c r="G225" s="27" t="s">
        <v>44</v>
      </c>
      <c r="H225" s="87">
        <v>64739.1</v>
      </c>
      <c r="I225" s="50">
        <v>45881</v>
      </c>
      <c r="J225" s="50">
        <v>45882</v>
      </c>
      <c r="K225" s="57">
        <v>158983</v>
      </c>
      <c r="L225" s="39" t="s">
        <v>2280</v>
      </c>
      <c r="M225" s="52">
        <v>153</v>
      </c>
      <c r="N225" s="55" t="s">
        <v>2281</v>
      </c>
      <c r="O225" s="55" t="s">
        <v>2283</v>
      </c>
      <c r="P225" s="201"/>
    </row>
    <row r="226" spans="1:16" hidden="1">
      <c r="A226" s="27">
        <v>3623537</v>
      </c>
      <c r="B226" s="27">
        <v>3769130</v>
      </c>
      <c r="C226" s="66" t="s">
        <v>2355</v>
      </c>
      <c r="D226" s="53"/>
      <c r="E226" s="27" t="s">
        <v>40</v>
      </c>
      <c r="F226" s="27" t="s">
        <v>599</v>
      </c>
      <c r="G226" s="27" t="s">
        <v>44</v>
      </c>
      <c r="H226" s="87">
        <v>85203.19</v>
      </c>
      <c r="I226" s="50">
        <v>45881</v>
      </c>
      <c r="J226" s="50">
        <v>45882</v>
      </c>
      <c r="K226" s="57">
        <v>158987</v>
      </c>
      <c r="L226" s="39" t="s">
        <v>2280</v>
      </c>
      <c r="M226" s="52">
        <v>153</v>
      </c>
      <c r="N226" s="55" t="s">
        <v>2281</v>
      </c>
      <c r="O226" s="55" t="s">
        <v>2283</v>
      </c>
      <c r="P226" s="201"/>
    </row>
    <row r="227" spans="1:16" hidden="1">
      <c r="A227" s="27">
        <v>3623537</v>
      </c>
      <c r="B227" s="27">
        <v>3769130</v>
      </c>
      <c r="C227" s="66" t="s">
        <v>2355</v>
      </c>
      <c r="D227" s="53"/>
      <c r="E227" s="27" t="s">
        <v>40</v>
      </c>
      <c r="F227" s="27" t="s">
        <v>599</v>
      </c>
      <c r="G227" s="27" t="s">
        <v>44</v>
      </c>
      <c r="H227" s="87">
        <v>64115.55</v>
      </c>
      <c r="I227" s="50">
        <v>45915</v>
      </c>
      <c r="J227" s="50">
        <v>45917</v>
      </c>
      <c r="K227" s="57">
        <v>161682</v>
      </c>
      <c r="L227" s="39" t="s">
        <v>2280</v>
      </c>
      <c r="M227" s="52">
        <v>153</v>
      </c>
      <c r="N227" s="55" t="s">
        <v>2281</v>
      </c>
      <c r="O227" s="55" t="s">
        <v>2283</v>
      </c>
      <c r="P227" s="201"/>
    </row>
    <row r="228" spans="1:16" hidden="1">
      <c r="A228" s="27">
        <v>3623537</v>
      </c>
      <c r="B228" s="27">
        <v>3769130</v>
      </c>
      <c r="C228" s="66" t="s">
        <v>2355</v>
      </c>
      <c r="D228" s="53"/>
      <c r="E228" s="27" t="s">
        <v>40</v>
      </c>
      <c r="F228" s="27" t="s">
        <v>599</v>
      </c>
      <c r="G228" s="27" t="s">
        <v>44</v>
      </c>
      <c r="H228" s="87">
        <v>90143.42</v>
      </c>
      <c r="I228" s="50">
        <v>45917</v>
      </c>
      <c r="J228" s="50">
        <v>45917</v>
      </c>
      <c r="K228" s="57">
        <v>162081</v>
      </c>
      <c r="L228" s="39" t="s">
        <v>2280</v>
      </c>
      <c r="M228" s="52">
        <v>153</v>
      </c>
      <c r="N228" s="55" t="s">
        <v>2281</v>
      </c>
      <c r="O228" s="55" t="s">
        <v>2283</v>
      </c>
      <c r="P228" s="201"/>
    </row>
    <row r="229" spans="1:16" hidden="1">
      <c r="A229" s="27">
        <v>3623537</v>
      </c>
      <c r="B229" s="27">
        <v>3769130</v>
      </c>
      <c r="C229" s="66" t="s">
        <v>2355</v>
      </c>
      <c r="D229" s="53"/>
      <c r="E229" s="27" t="s">
        <v>40</v>
      </c>
      <c r="F229" s="27" t="s">
        <v>599</v>
      </c>
      <c r="G229" s="27" t="s">
        <v>44</v>
      </c>
      <c r="H229" s="87">
        <v>90599.22</v>
      </c>
      <c r="I229" s="50">
        <v>45941</v>
      </c>
      <c r="J229" s="50">
        <v>45947</v>
      </c>
      <c r="K229" s="57">
        <v>164180</v>
      </c>
      <c r="L229" s="39" t="s">
        <v>2280</v>
      </c>
      <c r="M229" s="52">
        <v>153</v>
      </c>
      <c r="N229" s="55" t="s">
        <v>2284</v>
      </c>
      <c r="O229" s="55" t="s">
        <v>2283</v>
      </c>
      <c r="P229" s="201"/>
    </row>
    <row r="230" spans="1:16" hidden="1">
      <c r="A230" s="30">
        <v>3623537</v>
      </c>
      <c r="B230" s="30">
        <v>3769130</v>
      </c>
      <c r="C230" s="95" t="s">
        <v>2355</v>
      </c>
      <c r="D230" s="85"/>
      <c r="E230" s="30" t="s">
        <v>40</v>
      </c>
      <c r="F230" s="30" t="s">
        <v>599</v>
      </c>
      <c r="G230" s="30" t="s">
        <v>44</v>
      </c>
      <c r="H230" s="96">
        <v>64739.1</v>
      </c>
      <c r="I230" s="93">
        <v>45941</v>
      </c>
      <c r="J230" s="93">
        <v>45947</v>
      </c>
      <c r="K230" s="97">
        <v>164183</v>
      </c>
      <c r="L230" s="88" t="s">
        <v>2280</v>
      </c>
      <c r="M230" s="94">
        <v>153</v>
      </c>
      <c r="N230" s="98" t="s">
        <v>2281</v>
      </c>
      <c r="O230" s="98" t="s">
        <v>2283</v>
      </c>
      <c r="P230" s="201"/>
    </row>
    <row r="231" spans="1:16" ht="30.75" hidden="1">
      <c r="A231" s="27">
        <v>3631801</v>
      </c>
      <c r="B231" s="27">
        <v>3776543</v>
      </c>
      <c r="C231" s="25" t="s">
        <v>2289</v>
      </c>
      <c r="D231" s="27" t="s">
        <v>2286</v>
      </c>
      <c r="E231" s="27" t="s">
        <v>40</v>
      </c>
      <c r="F231" s="27" t="s">
        <v>2287</v>
      </c>
      <c r="G231" s="27" t="s">
        <v>44</v>
      </c>
      <c r="H231" s="67">
        <v>521.95000000000005</v>
      </c>
      <c r="I231" s="50">
        <v>45962</v>
      </c>
      <c r="J231" s="50">
        <v>45964</v>
      </c>
      <c r="K231" s="57">
        <v>6500</v>
      </c>
      <c r="L231" s="39">
        <v>2488</v>
      </c>
      <c r="M231" s="27">
        <v>242</v>
      </c>
      <c r="N231" s="68" t="s">
        <v>2281</v>
      </c>
      <c r="O231" s="27" t="s">
        <v>1984</v>
      </c>
      <c r="P231" s="63"/>
    </row>
    <row r="232" spans="1:16" hidden="1">
      <c r="A232" s="27">
        <v>4039904</v>
      </c>
      <c r="B232" s="27">
        <v>4165989</v>
      </c>
      <c r="C232" s="66" t="s">
        <v>2362</v>
      </c>
      <c r="D232" s="27">
        <v>120411</v>
      </c>
      <c r="E232" s="27" t="s">
        <v>40</v>
      </c>
      <c r="F232" s="27" t="s">
        <v>91</v>
      </c>
      <c r="G232" s="27" t="s">
        <v>44</v>
      </c>
      <c r="H232" s="193">
        <v>840</v>
      </c>
      <c r="I232" s="50">
        <v>45964</v>
      </c>
      <c r="J232" s="50">
        <v>45965</v>
      </c>
      <c r="K232" s="57">
        <v>2051</v>
      </c>
      <c r="L232" s="39">
        <v>1228</v>
      </c>
      <c r="M232" s="27">
        <v>242</v>
      </c>
      <c r="N232" s="99" t="s">
        <v>2281</v>
      </c>
      <c r="O232" s="27" t="s">
        <v>2283</v>
      </c>
      <c r="P232" s="63"/>
    </row>
    <row r="233" spans="1:16" ht="30.75" hidden="1">
      <c r="A233" s="27">
        <v>4039778</v>
      </c>
      <c r="B233" s="27">
        <v>4165984</v>
      </c>
      <c r="C233" s="66" t="s">
        <v>2363</v>
      </c>
      <c r="D233" s="27">
        <v>120411</v>
      </c>
      <c r="E233" s="27" t="s">
        <v>40</v>
      </c>
      <c r="F233" s="27" t="s">
        <v>91</v>
      </c>
      <c r="G233" s="27" t="s">
        <v>44</v>
      </c>
      <c r="H233" s="193">
        <v>3600</v>
      </c>
      <c r="I233" s="50">
        <v>45964</v>
      </c>
      <c r="J233" s="50">
        <v>45965</v>
      </c>
      <c r="K233" s="57">
        <v>2050</v>
      </c>
      <c r="L233" s="39" t="s">
        <v>2364</v>
      </c>
      <c r="M233" s="27">
        <v>242</v>
      </c>
      <c r="N233" s="99" t="s">
        <v>2281</v>
      </c>
      <c r="O233" s="27" t="s">
        <v>2283</v>
      </c>
      <c r="P233" s="63"/>
    </row>
    <row r="234" spans="1:16" ht="167.25" hidden="1">
      <c r="A234" s="14">
        <v>4002793</v>
      </c>
      <c r="B234" s="14">
        <v>4129082</v>
      </c>
      <c r="C234" s="25" t="s">
        <v>2327</v>
      </c>
      <c r="D234" s="27">
        <v>15839</v>
      </c>
      <c r="E234" s="27" t="s">
        <v>40</v>
      </c>
      <c r="F234" s="27" t="s">
        <v>2242</v>
      </c>
      <c r="G234" s="27" t="s">
        <v>35</v>
      </c>
      <c r="H234" s="67">
        <v>2750</v>
      </c>
      <c r="I234" s="50">
        <v>45965</v>
      </c>
      <c r="J234" s="50">
        <v>45967</v>
      </c>
      <c r="K234" s="57">
        <v>1781</v>
      </c>
      <c r="L234" s="39" t="s">
        <v>2328</v>
      </c>
      <c r="M234" s="27">
        <v>242</v>
      </c>
      <c r="N234" s="73" t="s">
        <v>2281</v>
      </c>
      <c r="O234" s="27" t="s">
        <v>1984</v>
      </c>
      <c r="P234" s="63"/>
    </row>
    <row r="235" spans="1:16" hidden="1">
      <c r="A235" s="27">
        <v>4083066</v>
      </c>
      <c r="B235" s="27">
        <v>4206828</v>
      </c>
      <c r="C235" s="25" t="s">
        <v>2365</v>
      </c>
      <c r="D235" s="27" t="s">
        <v>2345</v>
      </c>
      <c r="E235" s="27" t="s">
        <v>40</v>
      </c>
      <c r="F235" s="27" t="s">
        <v>86</v>
      </c>
      <c r="G235" s="27" t="s">
        <v>44</v>
      </c>
      <c r="H235" s="67">
        <v>27196.67</v>
      </c>
      <c r="I235" s="50">
        <v>45965</v>
      </c>
      <c r="J235" s="50">
        <v>45967</v>
      </c>
      <c r="K235" s="57">
        <v>24439</v>
      </c>
      <c r="L235" s="39">
        <v>1210</v>
      </c>
      <c r="M235" s="52">
        <v>242</v>
      </c>
      <c r="N235" s="73" t="s">
        <v>2281</v>
      </c>
      <c r="O235" s="27" t="s">
        <v>1459</v>
      </c>
      <c r="P235" s="63"/>
    </row>
    <row r="236" spans="1:16" hidden="1">
      <c r="A236" s="27">
        <v>3623537</v>
      </c>
      <c r="B236" s="27">
        <v>3769130</v>
      </c>
      <c r="C236" s="66" t="s">
        <v>2355</v>
      </c>
      <c r="D236" s="53"/>
      <c r="E236" s="27" t="s">
        <v>40</v>
      </c>
      <c r="F236" s="27" t="s">
        <v>599</v>
      </c>
      <c r="G236" s="27" t="s">
        <v>44</v>
      </c>
      <c r="H236" s="91">
        <v>90599.22</v>
      </c>
      <c r="I236" s="50">
        <v>45969</v>
      </c>
      <c r="J236" s="50">
        <v>45971</v>
      </c>
      <c r="K236" s="57">
        <v>166376</v>
      </c>
      <c r="L236" s="39" t="s">
        <v>2280</v>
      </c>
      <c r="M236" s="52">
        <v>153</v>
      </c>
      <c r="N236" s="99" t="s">
        <v>2281</v>
      </c>
      <c r="O236" s="27" t="s">
        <v>2283</v>
      </c>
      <c r="P236" s="63"/>
    </row>
    <row r="237" spans="1:16" hidden="1">
      <c r="A237" s="27">
        <v>3623537</v>
      </c>
      <c r="B237" s="27">
        <v>3769130</v>
      </c>
      <c r="C237" s="66" t="s">
        <v>2355</v>
      </c>
      <c r="D237" s="53"/>
      <c r="E237" s="27" t="s">
        <v>40</v>
      </c>
      <c r="F237" s="27" t="s">
        <v>599</v>
      </c>
      <c r="G237" s="27" t="s">
        <v>44</v>
      </c>
      <c r="H237" s="91">
        <v>64739.1</v>
      </c>
      <c r="I237" s="50">
        <v>45969</v>
      </c>
      <c r="J237" s="50">
        <v>45971</v>
      </c>
      <c r="K237" s="57">
        <v>166374</v>
      </c>
      <c r="L237" s="39" t="s">
        <v>2280</v>
      </c>
      <c r="M237" s="52">
        <v>153</v>
      </c>
      <c r="N237" s="99" t="s">
        <v>2281</v>
      </c>
      <c r="O237" s="27" t="s">
        <v>2283</v>
      </c>
      <c r="P237" s="63"/>
    </row>
    <row r="238" spans="1:16" ht="45" hidden="1">
      <c r="A238" s="27">
        <v>3619858</v>
      </c>
      <c r="B238" s="27">
        <v>3766711</v>
      </c>
      <c r="C238" s="66" t="s">
        <v>2277</v>
      </c>
      <c r="D238" s="53" t="s">
        <v>2278</v>
      </c>
      <c r="E238" s="27" t="s">
        <v>40</v>
      </c>
      <c r="F238" s="27" t="s">
        <v>2279</v>
      </c>
      <c r="G238" s="27" t="s">
        <v>44</v>
      </c>
      <c r="H238" s="91">
        <v>4208.75</v>
      </c>
      <c r="I238" s="50">
        <v>45971</v>
      </c>
      <c r="J238" s="50">
        <v>45972</v>
      </c>
      <c r="K238" s="57">
        <v>600333</v>
      </c>
      <c r="L238" s="39" t="s">
        <v>2280</v>
      </c>
      <c r="M238" s="27">
        <v>153</v>
      </c>
      <c r="N238" s="99" t="s">
        <v>2281</v>
      </c>
      <c r="O238" s="27" t="s">
        <v>2283</v>
      </c>
      <c r="P238" s="63"/>
    </row>
    <row r="239" spans="1:16" ht="91.5" hidden="1">
      <c r="A239" s="27">
        <v>3977321</v>
      </c>
      <c r="B239" s="27">
        <v>4106352</v>
      </c>
      <c r="C239" s="25" t="s">
        <v>2239</v>
      </c>
      <c r="D239" s="27" t="s">
        <v>2310</v>
      </c>
      <c r="E239" s="27" t="s">
        <v>40</v>
      </c>
      <c r="F239" s="27" t="s">
        <v>2237</v>
      </c>
      <c r="G239" s="27" t="s">
        <v>44</v>
      </c>
      <c r="H239" s="67">
        <v>7500</v>
      </c>
      <c r="I239" s="50">
        <v>45972</v>
      </c>
      <c r="J239" s="100">
        <v>45974</v>
      </c>
      <c r="K239" s="57">
        <v>11988</v>
      </c>
      <c r="L239" s="39">
        <v>1210</v>
      </c>
      <c r="M239" s="52">
        <v>242</v>
      </c>
      <c r="N239" s="99" t="s">
        <v>2281</v>
      </c>
      <c r="O239" s="27" t="s">
        <v>854</v>
      </c>
      <c r="P239" s="63"/>
    </row>
    <row r="240" spans="1:16" ht="76.5" hidden="1">
      <c r="A240" s="27">
        <v>3796471</v>
      </c>
      <c r="B240" s="27">
        <v>3934127</v>
      </c>
      <c r="C240" s="25" t="s">
        <v>2296</v>
      </c>
      <c r="D240" s="27" t="s">
        <v>2297</v>
      </c>
      <c r="E240" s="27" t="s">
        <v>40</v>
      </c>
      <c r="F240" s="27" t="s">
        <v>2298</v>
      </c>
      <c r="G240" s="27" t="s">
        <v>44</v>
      </c>
      <c r="H240" s="67">
        <v>6250.23</v>
      </c>
      <c r="I240" s="50">
        <v>45985</v>
      </c>
      <c r="J240" s="50">
        <v>45986</v>
      </c>
      <c r="K240" s="58" t="s">
        <v>2366</v>
      </c>
      <c r="L240" s="39" t="s">
        <v>2367</v>
      </c>
      <c r="M240" s="52" t="s">
        <v>2302</v>
      </c>
      <c r="N240" s="99" t="s">
        <v>2281</v>
      </c>
      <c r="O240" s="27" t="s">
        <v>2368</v>
      </c>
      <c r="P240" s="63"/>
    </row>
    <row r="241" spans="1:16" ht="30.75" hidden="1">
      <c r="A241" s="27">
        <v>3796459</v>
      </c>
      <c r="B241" s="27">
        <v>3934135</v>
      </c>
      <c r="C241" s="25" t="s">
        <v>2230</v>
      </c>
      <c r="D241" s="27" t="s">
        <v>2290</v>
      </c>
      <c r="E241" s="27" t="s">
        <v>40</v>
      </c>
      <c r="F241" s="27" t="s">
        <v>2291</v>
      </c>
      <c r="G241" s="27" t="s">
        <v>44</v>
      </c>
      <c r="H241" s="67">
        <v>415</v>
      </c>
      <c r="I241" s="50">
        <v>45985</v>
      </c>
      <c r="J241" s="50">
        <v>45986</v>
      </c>
      <c r="K241" s="58" t="s">
        <v>2369</v>
      </c>
      <c r="L241" s="39">
        <v>2054</v>
      </c>
      <c r="M241" s="27">
        <v>71</v>
      </c>
      <c r="N241" s="99" t="s">
        <v>2281</v>
      </c>
      <c r="O241" s="27" t="s">
        <v>2368</v>
      </c>
      <c r="P241" s="63"/>
    </row>
    <row r="242" spans="1:16" ht="30.75" hidden="1">
      <c r="A242" s="27">
        <v>4004885</v>
      </c>
      <c r="B242" s="27">
        <v>4131474</v>
      </c>
      <c r="C242" s="25" t="s">
        <v>2370</v>
      </c>
      <c r="D242" s="27" t="s">
        <v>2330</v>
      </c>
      <c r="E242" s="27" t="s">
        <v>40</v>
      </c>
      <c r="F242" s="27" t="s">
        <v>81</v>
      </c>
      <c r="G242" s="27" t="s">
        <v>44</v>
      </c>
      <c r="H242" s="67">
        <v>29471.02</v>
      </c>
      <c r="I242" s="50">
        <v>45974</v>
      </c>
      <c r="J242" s="50">
        <v>45979</v>
      </c>
      <c r="K242" s="57">
        <v>5388</v>
      </c>
      <c r="L242" s="39" t="s">
        <v>2341</v>
      </c>
      <c r="M242" s="52">
        <v>242</v>
      </c>
      <c r="N242" s="73" t="s">
        <v>2281</v>
      </c>
      <c r="O242" s="27" t="s">
        <v>2282</v>
      </c>
      <c r="P242" s="63"/>
    </row>
    <row r="243" spans="1:16" hidden="1">
      <c r="A243" s="27" t="s">
        <v>34</v>
      </c>
      <c r="B243" s="27" t="s">
        <v>34</v>
      </c>
      <c r="C243" s="25" t="s">
        <v>2236</v>
      </c>
      <c r="D243" s="53"/>
      <c r="E243" s="27" t="s">
        <v>40</v>
      </c>
      <c r="F243" s="27" t="s">
        <v>2308</v>
      </c>
      <c r="G243" s="27" t="s">
        <v>44</v>
      </c>
      <c r="H243" s="67">
        <v>1321.15</v>
      </c>
      <c r="I243" s="50">
        <v>45978</v>
      </c>
      <c r="J243" s="50">
        <v>45979</v>
      </c>
      <c r="K243" s="57">
        <v>14685</v>
      </c>
      <c r="L243" s="39">
        <v>1295</v>
      </c>
      <c r="M243" s="52">
        <v>30</v>
      </c>
      <c r="N243" s="73" t="s">
        <v>2281</v>
      </c>
      <c r="O243" s="64" t="s">
        <v>2282</v>
      </c>
      <c r="P243" s="202"/>
    </row>
    <row r="244" spans="1:16" ht="30.75" hidden="1">
      <c r="A244" s="27">
        <v>4039778</v>
      </c>
      <c r="B244" s="29">
        <v>4165984</v>
      </c>
      <c r="C244" s="95" t="s">
        <v>2371</v>
      </c>
      <c r="D244" s="30">
        <v>120411</v>
      </c>
      <c r="E244" s="27" t="s">
        <v>48</v>
      </c>
      <c r="F244" s="27" t="s">
        <v>91</v>
      </c>
      <c r="G244" s="27" t="s">
        <v>44</v>
      </c>
      <c r="H244" s="193">
        <v>1600</v>
      </c>
      <c r="I244" s="50">
        <v>45980</v>
      </c>
      <c r="J244" s="50">
        <v>45981</v>
      </c>
      <c r="K244" s="57">
        <v>2063</v>
      </c>
      <c r="L244" s="39">
        <v>1244</v>
      </c>
      <c r="M244" s="27">
        <v>242</v>
      </c>
      <c r="N244" s="99" t="s">
        <v>2281</v>
      </c>
      <c r="O244" s="27" t="s">
        <v>2283</v>
      </c>
      <c r="P244" s="63"/>
    </row>
    <row r="245" spans="1:16" ht="60.75" hidden="1">
      <c r="A245" s="151">
        <v>4039778</v>
      </c>
      <c r="B245" s="14">
        <v>4165984</v>
      </c>
      <c r="C245" s="53" t="s">
        <v>2372</v>
      </c>
      <c r="D245" s="27">
        <v>120411</v>
      </c>
      <c r="E245" s="65" t="s">
        <v>48</v>
      </c>
      <c r="F245" s="27" t="s">
        <v>91</v>
      </c>
      <c r="G245" s="27" t="s">
        <v>44</v>
      </c>
      <c r="H245" s="193">
        <v>2400</v>
      </c>
      <c r="I245" s="50">
        <v>45980</v>
      </c>
      <c r="J245" s="50">
        <v>45981</v>
      </c>
      <c r="K245" s="57">
        <v>2064</v>
      </c>
      <c r="L245" s="39" t="s">
        <v>2373</v>
      </c>
      <c r="M245" s="27">
        <v>242</v>
      </c>
      <c r="N245" s="99" t="s">
        <v>2281</v>
      </c>
      <c r="O245" s="27" t="s">
        <v>1459</v>
      </c>
      <c r="P245" s="63"/>
    </row>
    <row r="246" spans="1:16" ht="30.75">
      <c r="A246" s="27">
        <v>4168151</v>
      </c>
      <c r="B246" s="152">
        <v>4324442</v>
      </c>
      <c r="C246" s="153" t="s">
        <v>2374</v>
      </c>
      <c r="D246" s="154">
        <v>16445</v>
      </c>
      <c r="E246" s="27" t="s">
        <v>40</v>
      </c>
      <c r="F246" s="27" t="s">
        <v>2256</v>
      </c>
      <c r="G246" s="27" t="s">
        <v>90</v>
      </c>
      <c r="H246" s="91">
        <v>5754.17</v>
      </c>
      <c r="I246" s="50">
        <v>45985</v>
      </c>
      <c r="J246" s="100">
        <v>45986</v>
      </c>
      <c r="K246" s="57">
        <v>6388</v>
      </c>
      <c r="L246" s="39">
        <v>2488</v>
      </c>
      <c r="M246" s="27">
        <v>9</v>
      </c>
      <c r="N246" s="99" t="s">
        <v>2281</v>
      </c>
      <c r="O246" s="27" t="s">
        <v>1459</v>
      </c>
      <c r="P246" s="63"/>
    </row>
    <row r="247" spans="1:16" ht="30.75">
      <c r="A247" s="27">
        <v>4168151</v>
      </c>
      <c r="B247" s="33">
        <v>4324442</v>
      </c>
      <c r="C247" s="66" t="s">
        <v>2375</v>
      </c>
      <c r="D247" s="14">
        <v>16445</v>
      </c>
      <c r="E247" s="27" t="s">
        <v>40</v>
      </c>
      <c r="F247" s="27" t="s">
        <v>2256</v>
      </c>
      <c r="G247" s="27" t="s">
        <v>90</v>
      </c>
      <c r="H247" s="91">
        <v>5018.75</v>
      </c>
      <c r="I247" s="50">
        <v>45985</v>
      </c>
      <c r="J247" s="100">
        <v>45986</v>
      </c>
      <c r="K247" s="57">
        <v>6389</v>
      </c>
      <c r="L247" s="39">
        <v>2224</v>
      </c>
      <c r="M247" s="27">
        <v>9</v>
      </c>
      <c r="N247" s="99" t="s">
        <v>2281</v>
      </c>
      <c r="O247" s="27" t="s">
        <v>1459</v>
      </c>
      <c r="P247" s="63"/>
    </row>
    <row r="248" spans="1:16" ht="30.75" hidden="1">
      <c r="A248" s="30">
        <v>3627916</v>
      </c>
      <c r="B248" s="30">
        <v>3773474</v>
      </c>
      <c r="C248" s="25" t="s">
        <v>2285</v>
      </c>
      <c r="D248" s="27" t="s">
        <v>2286</v>
      </c>
      <c r="E248" s="27" t="s">
        <v>40</v>
      </c>
      <c r="F248" s="27" t="s">
        <v>2287</v>
      </c>
      <c r="G248" s="27" t="s">
        <v>44</v>
      </c>
      <c r="H248" s="67">
        <v>1595.88</v>
      </c>
      <c r="I248" s="50">
        <v>45988</v>
      </c>
      <c r="J248" s="50">
        <v>45989</v>
      </c>
      <c r="K248" s="57">
        <v>87741833</v>
      </c>
      <c r="L248" s="39">
        <v>2488</v>
      </c>
      <c r="M248" s="52">
        <v>153</v>
      </c>
      <c r="N248" s="68" t="s">
        <v>2281</v>
      </c>
      <c r="O248" s="27" t="s">
        <v>2282</v>
      </c>
      <c r="P248" s="63"/>
    </row>
    <row r="249" spans="1:16" ht="91.5" hidden="1">
      <c r="A249" s="27">
        <v>4285976</v>
      </c>
      <c r="B249" s="27">
        <v>4412650</v>
      </c>
      <c r="C249" s="66" t="s">
        <v>2239</v>
      </c>
      <c r="D249" s="53" t="s">
        <v>2376</v>
      </c>
      <c r="E249" s="27" t="s">
        <v>40</v>
      </c>
      <c r="F249" s="27" t="s">
        <v>2377</v>
      </c>
      <c r="G249" s="27" t="s">
        <v>35</v>
      </c>
      <c r="H249" s="67">
        <v>8730</v>
      </c>
      <c r="I249" s="50">
        <v>45993</v>
      </c>
      <c r="J249" s="50">
        <v>45994</v>
      </c>
      <c r="K249" s="57" t="s">
        <v>2378</v>
      </c>
      <c r="L249" s="39">
        <v>1210</v>
      </c>
      <c r="M249" s="52">
        <v>242</v>
      </c>
      <c r="N249" s="68" t="s">
        <v>2281</v>
      </c>
      <c r="O249" s="27" t="s">
        <v>2282</v>
      </c>
      <c r="P249" s="63"/>
    </row>
    <row r="250" spans="1:16" ht="30.75" hidden="1">
      <c r="A250" s="27">
        <v>4004885</v>
      </c>
      <c r="B250" s="27">
        <v>4131474</v>
      </c>
      <c r="C250" s="25" t="s">
        <v>2379</v>
      </c>
      <c r="D250" s="27" t="s">
        <v>2330</v>
      </c>
      <c r="E250" s="27" t="s">
        <v>40</v>
      </c>
      <c r="F250" s="27" t="s">
        <v>81</v>
      </c>
      <c r="G250" s="27" t="s">
        <v>44</v>
      </c>
      <c r="H250" s="67">
        <v>29471.02</v>
      </c>
      <c r="I250" s="50">
        <v>45994</v>
      </c>
      <c r="J250" s="50">
        <v>45995</v>
      </c>
      <c r="K250" s="57">
        <v>5494</v>
      </c>
      <c r="L250" s="39" t="s">
        <v>2341</v>
      </c>
      <c r="M250" s="52">
        <v>242</v>
      </c>
      <c r="N250" s="73" t="s">
        <v>2281</v>
      </c>
      <c r="O250" s="27" t="s">
        <v>2282</v>
      </c>
      <c r="P250" s="63"/>
    </row>
    <row r="251" spans="1:16" ht="152.25" hidden="1">
      <c r="A251" s="14">
        <v>4002793</v>
      </c>
      <c r="B251" s="14">
        <v>4129082</v>
      </c>
      <c r="C251" s="25" t="s">
        <v>2327</v>
      </c>
      <c r="D251" s="27">
        <v>15839</v>
      </c>
      <c r="E251" s="27" t="s">
        <v>40</v>
      </c>
      <c r="F251" s="27" t="s">
        <v>2242</v>
      </c>
      <c r="G251" s="27" t="s">
        <v>35</v>
      </c>
      <c r="H251" s="67">
        <v>2750</v>
      </c>
      <c r="I251" s="50">
        <v>45994</v>
      </c>
      <c r="J251" s="50">
        <v>45996</v>
      </c>
      <c r="K251" s="57">
        <v>1829</v>
      </c>
      <c r="L251" s="39" t="s">
        <v>2380</v>
      </c>
      <c r="M251" s="52">
        <v>242</v>
      </c>
      <c r="N251" s="73" t="s">
        <v>2281</v>
      </c>
      <c r="O251" s="27" t="s">
        <v>2282</v>
      </c>
      <c r="P251" s="63"/>
    </row>
    <row r="252" spans="1:16" hidden="1">
      <c r="A252" s="27">
        <v>3623537</v>
      </c>
      <c r="B252" s="27">
        <v>3769130</v>
      </c>
      <c r="C252" s="66" t="s">
        <v>2355</v>
      </c>
      <c r="D252" s="53"/>
      <c r="E252" s="27" t="s">
        <v>40</v>
      </c>
      <c r="F252" s="27" t="s">
        <v>599</v>
      </c>
      <c r="G252" s="27" t="s">
        <v>44</v>
      </c>
      <c r="H252" s="91">
        <v>64739.1</v>
      </c>
      <c r="I252" s="50">
        <v>46000</v>
      </c>
      <c r="J252" s="50">
        <v>46001</v>
      </c>
      <c r="K252" s="57">
        <v>169466</v>
      </c>
      <c r="L252" s="39" t="s">
        <v>2280</v>
      </c>
      <c r="M252" s="52">
        <v>153</v>
      </c>
      <c r="N252" s="99" t="s">
        <v>2281</v>
      </c>
      <c r="O252" s="27" t="s">
        <v>1459</v>
      </c>
      <c r="P252" s="63"/>
    </row>
    <row r="253" spans="1:16" hidden="1">
      <c r="A253" s="27">
        <v>3623537</v>
      </c>
      <c r="B253" s="30">
        <v>3769130</v>
      </c>
      <c r="C253" s="95" t="s">
        <v>2355</v>
      </c>
      <c r="D253" s="85"/>
      <c r="E253" s="27" t="s">
        <v>40</v>
      </c>
      <c r="F253" s="27" t="s">
        <v>599</v>
      </c>
      <c r="G253" s="27" t="s">
        <v>44</v>
      </c>
      <c r="H253" s="91">
        <v>90599.22</v>
      </c>
      <c r="I253" s="50">
        <v>46000</v>
      </c>
      <c r="J253" s="50">
        <v>46001</v>
      </c>
      <c r="K253" s="57">
        <v>169467</v>
      </c>
      <c r="L253" s="39" t="s">
        <v>2280</v>
      </c>
      <c r="M253" s="52">
        <v>153</v>
      </c>
      <c r="N253" s="99" t="s">
        <v>2281</v>
      </c>
      <c r="O253" s="27" t="s">
        <v>1459</v>
      </c>
      <c r="P253" s="63"/>
    </row>
    <row r="254" spans="1:16" hidden="1">
      <c r="A254" s="151">
        <v>4039904</v>
      </c>
      <c r="B254" s="27">
        <v>4165989</v>
      </c>
      <c r="C254" s="150" t="s">
        <v>2381</v>
      </c>
      <c r="D254" s="27">
        <v>120411</v>
      </c>
      <c r="E254" s="65" t="s">
        <v>40</v>
      </c>
      <c r="F254" s="27" t="s">
        <v>91</v>
      </c>
      <c r="G254" s="27" t="s">
        <v>44</v>
      </c>
      <c r="H254" s="193">
        <v>1260</v>
      </c>
      <c r="I254" s="50">
        <v>46000</v>
      </c>
      <c r="J254" s="50">
        <v>46000</v>
      </c>
      <c r="K254" s="57">
        <v>2072</v>
      </c>
      <c r="L254" s="39">
        <v>1210</v>
      </c>
      <c r="M254" s="27">
        <v>242</v>
      </c>
      <c r="N254" s="99" t="s">
        <v>2281</v>
      </c>
      <c r="O254" s="27" t="s">
        <v>1459</v>
      </c>
      <c r="P254" s="63"/>
    </row>
    <row r="255" spans="1:16" ht="366" hidden="1">
      <c r="A255" s="151">
        <v>4039778</v>
      </c>
      <c r="B255" s="14">
        <v>4165984</v>
      </c>
      <c r="C255" s="66" t="s">
        <v>2382</v>
      </c>
      <c r="D255" s="27">
        <v>120411</v>
      </c>
      <c r="E255" s="65" t="s">
        <v>48</v>
      </c>
      <c r="F255" s="27" t="s">
        <v>91</v>
      </c>
      <c r="G255" s="27" t="s">
        <v>44</v>
      </c>
      <c r="H255" s="193">
        <v>6200</v>
      </c>
      <c r="I255" s="50">
        <v>46000</v>
      </c>
      <c r="J255" s="50">
        <v>46000</v>
      </c>
      <c r="K255" s="57">
        <v>2071</v>
      </c>
      <c r="L255" s="39" t="s">
        <v>2383</v>
      </c>
      <c r="M255" s="27">
        <v>242</v>
      </c>
      <c r="N255" s="99" t="s">
        <v>2281</v>
      </c>
      <c r="O255" s="27" t="s">
        <v>1459</v>
      </c>
      <c r="P255" s="63"/>
    </row>
    <row r="256" spans="1:16" hidden="1">
      <c r="A256" s="27">
        <v>4083066</v>
      </c>
      <c r="B256" s="27">
        <v>4206828</v>
      </c>
      <c r="C256" s="25" t="s">
        <v>2384</v>
      </c>
      <c r="D256" s="27" t="s">
        <v>2345</v>
      </c>
      <c r="E256" s="27" t="s">
        <v>40</v>
      </c>
      <c r="F256" s="27" t="s">
        <v>86</v>
      </c>
      <c r="G256" s="27" t="s">
        <v>44</v>
      </c>
      <c r="H256" s="67">
        <v>27196.67</v>
      </c>
      <c r="I256" s="50">
        <v>46000</v>
      </c>
      <c r="J256" s="50">
        <v>46000</v>
      </c>
      <c r="K256" s="57">
        <v>24758</v>
      </c>
      <c r="L256" s="39">
        <v>1210</v>
      </c>
      <c r="M256" s="52">
        <v>242</v>
      </c>
      <c r="N256" s="73" t="s">
        <v>2281</v>
      </c>
      <c r="O256" s="27" t="s">
        <v>2282</v>
      </c>
      <c r="P256" s="63"/>
    </row>
    <row r="257" spans="1:16" hidden="1">
      <c r="A257" s="27">
        <v>4083066</v>
      </c>
      <c r="B257" s="27">
        <v>4206828</v>
      </c>
      <c r="C257" s="25" t="s">
        <v>2385</v>
      </c>
      <c r="D257" s="27" t="s">
        <v>2345</v>
      </c>
      <c r="E257" s="27" t="s">
        <v>40</v>
      </c>
      <c r="F257" s="27" t="s">
        <v>86</v>
      </c>
      <c r="G257" s="27" t="s">
        <v>44</v>
      </c>
      <c r="H257" s="67">
        <v>27196.67</v>
      </c>
      <c r="I257" s="50">
        <v>46086</v>
      </c>
      <c r="J257" s="50">
        <v>46087</v>
      </c>
      <c r="K257" s="57" t="s">
        <v>2386</v>
      </c>
      <c r="L257" s="39">
        <v>1210</v>
      </c>
      <c r="M257" s="52">
        <v>242</v>
      </c>
      <c r="N257" s="73" t="s">
        <v>2281</v>
      </c>
      <c r="O257" s="27" t="s">
        <v>1575</v>
      </c>
      <c r="P257" s="63"/>
    </row>
    <row r="258" spans="1:16" hidden="1">
      <c r="A258" s="27">
        <v>4083066</v>
      </c>
      <c r="B258" s="27">
        <v>4206828</v>
      </c>
      <c r="C258" s="25" t="s">
        <v>2387</v>
      </c>
      <c r="D258" s="27" t="s">
        <v>2345</v>
      </c>
      <c r="E258" s="27" t="s">
        <v>40</v>
      </c>
      <c r="F258" s="27" t="s">
        <v>86</v>
      </c>
      <c r="G258" s="27" t="s">
        <v>44</v>
      </c>
      <c r="H258" s="67">
        <v>27196.67</v>
      </c>
      <c r="I258" s="50">
        <v>46086</v>
      </c>
      <c r="J258" s="50">
        <v>46087</v>
      </c>
      <c r="K258" s="57" t="s">
        <v>2388</v>
      </c>
      <c r="L258" s="39">
        <v>1210</v>
      </c>
      <c r="M258" s="52">
        <v>242</v>
      </c>
      <c r="N258" s="73" t="s">
        <v>2281</v>
      </c>
      <c r="O258" s="27" t="s">
        <v>1575</v>
      </c>
      <c r="P258" s="63"/>
    </row>
    <row r="259" spans="1:16" hidden="1">
      <c r="A259" s="27">
        <v>4083066</v>
      </c>
      <c r="B259" s="27">
        <v>4206828</v>
      </c>
      <c r="C259" s="25" t="s">
        <v>2389</v>
      </c>
      <c r="D259" s="27" t="s">
        <v>2345</v>
      </c>
      <c r="E259" s="27" t="s">
        <v>40</v>
      </c>
      <c r="F259" s="27" t="s">
        <v>86</v>
      </c>
      <c r="G259" s="27" t="s">
        <v>44</v>
      </c>
      <c r="H259" s="67">
        <v>27196.67</v>
      </c>
      <c r="I259" s="50">
        <v>46118</v>
      </c>
      <c r="J259" s="50">
        <v>46120</v>
      </c>
      <c r="K259" s="57" t="s">
        <v>2390</v>
      </c>
      <c r="L259" s="39">
        <v>1210</v>
      </c>
      <c r="M259" s="52">
        <v>242</v>
      </c>
      <c r="N259" s="73" t="s">
        <v>2281</v>
      </c>
      <c r="O259" s="27" t="s">
        <v>1575</v>
      </c>
      <c r="P259" s="63"/>
    </row>
    <row r="260" spans="1:16" ht="45" hidden="1">
      <c r="A260" s="27">
        <v>3619858</v>
      </c>
      <c r="B260" s="27">
        <v>3766711</v>
      </c>
      <c r="C260" s="66" t="s">
        <v>2277</v>
      </c>
      <c r="D260" s="53" t="s">
        <v>2278</v>
      </c>
      <c r="E260" s="27" t="s">
        <v>40</v>
      </c>
      <c r="F260" s="27" t="s">
        <v>2279</v>
      </c>
      <c r="G260" s="27" t="s">
        <v>44</v>
      </c>
      <c r="H260" s="91">
        <v>3897.91</v>
      </c>
      <c r="I260" s="50">
        <v>46002</v>
      </c>
      <c r="J260" s="50">
        <v>46003</v>
      </c>
      <c r="K260" s="57">
        <v>609732</v>
      </c>
      <c r="L260" s="39" t="s">
        <v>2280</v>
      </c>
      <c r="M260" s="27">
        <v>153</v>
      </c>
      <c r="N260" s="99" t="s">
        <v>2281</v>
      </c>
      <c r="O260" s="27" t="s">
        <v>1459</v>
      </c>
      <c r="P260" s="63"/>
    </row>
    <row r="261" spans="1:16" ht="30.75" hidden="1">
      <c r="A261" s="27">
        <v>3631801</v>
      </c>
      <c r="B261" s="27">
        <v>3776543</v>
      </c>
      <c r="C261" s="25" t="s">
        <v>2289</v>
      </c>
      <c r="D261" s="27" t="s">
        <v>2286</v>
      </c>
      <c r="E261" s="27" t="s">
        <v>40</v>
      </c>
      <c r="F261" s="27" t="s">
        <v>2287</v>
      </c>
      <c r="G261" s="27" t="s">
        <v>44</v>
      </c>
      <c r="H261" s="67">
        <v>521.95000000000005</v>
      </c>
      <c r="I261" s="50">
        <v>45992</v>
      </c>
      <c r="J261" s="50">
        <v>46003</v>
      </c>
      <c r="K261" s="57">
        <v>6543</v>
      </c>
      <c r="L261" s="39">
        <v>2488</v>
      </c>
      <c r="M261" s="52">
        <v>242</v>
      </c>
      <c r="N261" s="73" t="s">
        <v>2281</v>
      </c>
      <c r="O261" s="27" t="s">
        <v>2282</v>
      </c>
      <c r="P261" s="63"/>
    </row>
    <row r="262" spans="1:16" ht="76.5" hidden="1">
      <c r="A262" s="27">
        <v>3796471</v>
      </c>
      <c r="B262" s="27">
        <v>3934127</v>
      </c>
      <c r="C262" s="25" t="s">
        <v>2296</v>
      </c>
      <c r="D262" s="27" t="s">
        <v>2297</v>
      </c>
      <c r="E262" s="27" t="s">
        <v>40</v>
      </c>
      <c r="F262" s="27" t="s">
        <v>2298</v>
      </c>
      <c r="G262" s="27" t="s">
        <v>44</v>
      </c>
      <c r="H262" s="67">
        <v>6250.23</v>
      </c>
      <c r="I262" s="50">
        <v>46006</v>
      </c>
      <c r="J262" s="50">
        <v>46006</v>
      </c>
      <c r="K262" s="57">
        <v>74838</v>
      </c>
      <c r="L262" s="39" t="s">
        <v>2367</v>
      </c>
      <c r="M262" s="52" t="s">
        <v>2302</v>
      </c>
      <c r="N262" s="99" t="s">
        <v>2281</v>
      </c>
      <c r="O262" s="27" t="s">
        <v>2282</v>
      </c>
      <c r="P262" s="63"/>
    </row>
    <row r="263" spans="1:16" ht="30.75" hidden="1">
      <c r="A263" s="27">
        <v>3796459</v>
      </c>
      <c r="B263" s="27">
        <v>3934135</v>
      </c>
      <c r="C263" s="25" t="s">
        <v>2230</v>
      </c>
      <c r="D263" s="27" t="s">
        <v>2290</v>
      </c>
      <c r="E263" s="27" t="s">
        <v>40</v>
      </c>
      <c r="F263" s="27" t="s">
        <v>2291</v>
      </c>
      <c r="G263" s="27" t="s">
        <v>44</v>
      </c>
      <c r="H263" s="67">
        <v>415</v>
      </c>
      <c r="I263" s="50">
        <v>46006</v>
      </c>
      <c r="J263" s="50">
        <v>46006</v>
      </c>
      <c r="K263" s="57">
        <v>1254</v>
      </c>
      <c r="L263" s="39">
        <v>2054</v>
      </c>
      <c r="M263" s="27">
        <v>71</v>
      </c>
      <c r="N263" s="99" t="s">
        <v>2281</v>
      </c>
      <c r="O263" s="27" t="s">
        <v>2282</v>
      </c>
      <c r="P263" s="63"/>
    </row>
    <row r="264" spans="1:16" ht="30.75" hidden="1">
      <c r="A264" s="151">
        <v>4039904</v>
      </c>
      <c r="B264" s="27">
        <v>4165989</v>
      </c>
      <c r="C264" s="66" t="s">
        <v>2391</v>
      </c>
      <c r="D264" s="27">
        <v>120411</v>
      </c>
      <c r="E264" s="27" t="s">
        <v>40</v>
      </c>
      <c r="F264" s="27" t="s">
        <v>91</v>
      </c>
      <c r="G264" s="27" t="s">
        <v>44</v>
      </c>
      <c r="H264" s="193">
        <v>3520</v>
      </c>
      <c r="I264" s="50">
        <v>46013</v>
      </c>
      <c r="J264" s="50">
        <v>46014</v>
      </c>
      <c r="K264" s="57">
        <v>2099</v>
      </c>
      <c r="L264" s="39" t="s">
        <v>2392</v>
      </c>
      <c r="M264" s="27">
        <v>242</v>
      </c>
      <c r="N264" s="99" t="s">
        <v>2281</v>
      </c>
      <c r="O264" s="27" t="s">
        <v>2282</v>
      </c>
      <c r="P264" s="63"/>
    </row>
    <row r="265" spans="1:16" ht="121.5" hidden="1">
      <c r="A265" s="151">
        <v>4039778</v>
      </c>
      <c r="B265" s="14">
        <v>4165984</v>
      </c>
      <c r="C265" s="66" t="s">
        <v>2393</v>
      </c>
      <c r="D265" s="27">
        <v>120411</v>
      </c>
      <c r="E265" s="27" t="s">
        <v>40</v>
      </c>
      <c r="F265" s="27" t="s">
        <v>91</v>
      </c>
      <c r="G265" s="27" t="s">
        <v>44</v>
      </c>
      <c r="H265" s="193">
        <v>8500</v>
      </c>
      <c r="I265" s="50">
        <v>46013</v>
      </c>
      <c r="J265" s="50">
        <v>46015</v>
      </c>
      <c r="K265" s="57">
        <v>2100</v>
      </c>
      <c r="L265" s="158" t="s">
        <v>2394</v>
      </c>
      <c r="M265" s="27">
        <v>242</v>
      </c>
      <c r="N265" s="99" t="s">
        <v>2281</v>
      </c>
      <c r="O265" s="27" t="s">
        <v>2282</v>
      </c>
      <c r="P265" s="63"/>
    </row>
    <row r="266" spans="1:16" hidden="1">
      <c r="A266" s="27" t="s">
        <v>34</v>
      </c>
      <c r="B266" s="27" t="s">
        <v>34</v>
      </c>
      <c r="C266" s="25" t="s">
        <v>2236</v>
      </c>
      <c r="D266" s="53"/>
      <c r="E266" s="27" t="s">
        <v>40</v>
      </c>
      <c r="F266" s="27" t="s">
        <v>2308</v>
      </c>
      <c r="G266" s="27" t="s">
        <v>44</v>
      </c>
      <c r="H266" s="67">
        <v>1321.15</v>
      </c>
      <c r="I266" s="50">
        <v>46006</v>
      </c>
      <c r="J266" s="50">
        <v>46017</v>
      </c>
      <c r="K266" s="57">
        <v>14738</v>
      </c>
      <c r="L266" s="39">
        <v>1295</v>
      </c>
      <c r="M266" s="52">
        <v>30</v>
      </c>
      <c r="N266" s="73" t="s">
        <v>2281</v>
      </c>
      <c r="O266" s="64" t="s">
        <v>2282</v>
      </c>
      <c r="P266" s="202"/>
    </row>
    <row r="267" spans="1:16" ht="30.75" hidden="1">
      <c r="A267" s="30">
        <v>3627916</v>
      </c>
      <c r="B267" s="30">
        <v>3773474</v>
      </c>
      <c r="C267" s="25" t="s">
        <v>2285</v>
      </c>
      <c r="D267" s="27" t="s">
        <v>2286</v>
      </c>
      <c r="E267" s="27" t="s">
        <v>40</v>
      </c>
      <c r="F267" s="27" t="s">
        <v>2287</v>
      </c>
      <c r="G267" s="27" t="s">
        <v>44</v>
      </c>
      <c r="H267" s="67">
        <v>1595.88</v>
      </c>
      <c r="I267" s="50">
        <v>46018</v>
      </c>
      <c r="J267" s="50">
        <v>46020</v>
      </c>
      <c r="K267" s="57">
        <v>87787294</v>
      </c>
      <c r="L267" s="39">
        <v>2488</v>
      </c>
      <c r="M267" s="52">
        <v>153</v>
      </c>
      <c r="N267" s="68" t="s">
        <v>2281</v>
      </c>
      <c r="O267" s="27" t="s">
        <v>2282</v>
      </c>
      <c r="P267" s="63"/>
    </row>
    <row r="268" spans="1:16" ht="152.25" hidden="1">
      <c r="A268" s="14">
        <v>4002793</v>
      </c>
      <c r="B268" s="14">
        <v>4129082</v>
      </c>
      <c r="C268" s="25" t="s">
        <v>2327</v>
      </c>
      <c r="D268" s="27">
        <v>15839</v>
      </c>
      <c r="E268" s="27" t="s">
        <v>40</v>
      </c>
      <c r="F268" s="27" t="s">
        <v>2242</v>
      </c>
      <c r="G268" s="27" t="s">
        <v>35</v>
      </c>
      <c r="H268" s="67">
        <v>2750</v>
      </c>
      <c r="I268" s="50">
        <v>46024</v>
      </c>
      <c r="J268" s="50">
        <v>46029</v>
      </c>
      <c r="K268" s="57">
        <v>1855</v>
      </c>
      <c r="L268" s="39" t="s">
        <v>2380</v>
      </c>
      <c r="M268" s="52">
        <v>242</v>
      </c>
      <c r="N268" s="68" t="s">
        <v>2281</v>
      </c>
      <c r="O268" s="27" t="s">
        <v>2282</v>
      </c>
      <c r="P268" s="63"/>
    </row>
    <row r="269" spans="1:16" ht="30.75">
      <c r="A269" s="27">
        <v>4125235</v>
      </c>
      <c r="B269" s="27">
        <v>4245557</v>
      </c>
      <c r="C269" s="66" t="s">
        <v>2395</v>
      </c>
      <c r="D269" s="53" t="s">
        <v>2396</v>
      </c>
      <c r="E269" s="27" t="s">
        <v>40</v>
      </c>
      <c r="F269" s="27" t="s">
        <v>2256</v>
      </c>
      <c r="G269" s="27" t="s">
        <v>44</v>
      </c>
      <c r="H269" s="91">
        <v>3397.5</v>
      </c>
      <c r="I269" s="50">
        <v>46028</v>
      </c>
      <c r="J269" s="27"/>
      <c r="K269" s="57">
        <v>6490</v>
      </c>
      <c r="L269" s="39">
        <v>2119</v>
      </c>
      <c r="M269" s="27">
        <v>9</v>
      </c>
      <c r="N269" s="99" t="s">
        <v>2281</v>
      </c>
      <c r="O269" s="27" t="s">
        <v>1459</v>
      </c>
      <c r="P269" s="63"/>
    </row>
    <row r="270" spans="1:16" ht="30.75" hidden="1">
      <c r="A270" s="27">
        <v>3631801</v>
      </c>
      <c r="B270" s="27">
        <v>3776543</v>
      </c>
      <c r="C270" s="25" t="s">
        <v>2289</v>
      </c>
      <c r="D270" s="27" t="s">
        <v>2286</v>
      </c>
      <c r="E270" s="27" t="s">
        <v>40</v>
      </c>
      <c r="F270" s="27" t="s">
        <v>2287</v>
      </c>
      <c r="G270" s="27" t="s">
        <v>44</v>
      </c>
      <c r="H270" s="67">
        <v>521.95000000000005</v>
      </c>
      <c r="I270" s="50">
        <v>46030</v>
      </c>
      <c r="J270" s="50">
        <v>46031</v>
      </c>
      <c r="K270" s="57">
        <v>11</v>
      </c>
      <c r="L270" s="39">
        <v>2488</v>
      </c>
      <c r="M270" s="52">
        <v>242</v>
      </c>
      <c r="N270" s="73" t="s">
        <v>2281</v>
      </c>
      <c r="O270" s="27" t="s">
        <v>2282</v>
      </c>
      <c r="P270" s="63"/>
    </row>
    <row r="271" spans="1:16" ht="91.5" hidden="1">
      <c r="A271" s="27">
        <v>4285976</v>
      </c>
      <c r="B271" s="27">
        <v>4412650</v>
      </c>
      <c r="C271" s="66" t="s">
        <v>2239</v>
      </c>
      <c r="D271" s="53" t="s">
        <v>2376</v>
      </c>
      <c r="E271" s="27" t="s">
        <v>40</v>
      </c>
      <c r="F271" s="27" t="s">
        <v>2377</v>
      </c>
      <c r="G271" s="27" t="s">
        <v>35</v>
      </c>
      <c r="H271" s="67">
        <v>8730</v>
      </c>
      <c r="I271" s="50">
        <v>46034</v>
      </c>
      <c r="J271" s="50">
        <v>46034</v>
      </c>
      <c r="K271" s="57">
        <v>765</v>
      </c>
      <c r="L271" s="39">
        <v>1210</v>
      </c>
      <c r="M271" s="52">
        <v>242</v>
      </c>
      <c r="N271" s="99" t="s">
        <v>2281</v>
      </c>
      <c r="O271" s="27" t="s">
        <v>1118</v>
      </c>
      <c r="P271" s="63"/>
    </row>
    <row r="272" spans="1:16" ht="76.5" hidden="1">
      <c r="A272" s="27">
        <v>3796471</v>
      </c>
      <c r="B272" s="27">
        <v>3934127</v>
      </c>
      <c r="C272" s="25" t="s">
        <v>2296</v>
      </c>
      <c r="D272" s="27" t="s">
        <v>2297</v>
      </c>
      <c r="E272" s="27" t="s">
        <v>40</v>
      </c>
      <c r="F272" s="27" t="s">
        <v>2298</v>
      </c>
      <c r="G272" s="27" t="s">
        <v>44</v>
      </c>
      <c r="H272" s="67">
        <v>6250.23</v>
      </c>
      <c r="I272" s="50">
        <v>46035</v>
      </c>
      <c r="J272" s="50">
        <v>46039</v>
      </c>
      <c r="K272" s="57">
        <v>75210</v>
      </c>
      <c r="L272" s="39" t="s">
        <v>2367</v>
      </c>
      <c r="M272" s="52" t="s">
        <v>2302</v>
      </c>
      <c r="N272" s="99" t="s">
        <v>2281</v>
      </c>
      <c r="O272" s="27" t="s">
        <v>2282</v>
      </c>
      <c r="P272" s="63"/>
    </row>
    <row r="273" spans="1:16" ht="30.75" hidden="1">
      <c r="A273" s="27">
        <v>3796459</v>
      </c>
      <c r="B273" s="27">
        <v>3934135</v>
      </c>
      <c r="C273" s="25" t="s">
        <v>2230</v>
      </c>
      <c r="D273" s="27" t="s">
        <v>2290</v>
      </c>
      <c r="E273" s="27" t="s">
        <v>40</v>
      </c>
      <c r="F273" s="27" t="s">
        <v>2291</v>
      </c>
      <c r="G273" s="27" t="s">
        <v>44</v>
      </c>
      <c r="H273" s="67">
        <v>415</v>
      </c>
      <c r="I273" s="50">
        <v>46035</v>
      </c>
      <c r="J273" s="50">
        <v>46039</v>
      </c>
      <c r="K273" s="57">
        <v>1916</v>
      </c>
      <c r="L273" s="39">
        <v>2054</v>
      </c>
      <c r="M273" s="27">
        <v>71</v>
      </c>
      <c r="N273" s="99" t="s">
        <v>2281</v>
      </c>
      <c r="O273" s="27" t="s">
        <v>2282</v>
      </c>
      <c r="P273" s="63"/>
    </row>
    <row r="274" spans="1:16" ht="30.75" hidden="1">
      <c r="A274" s="27">
        <v>3796459</v>
      </c>
      <c r="B274" s="27">
        <v>3934135</v>
      </c>
      <c r="C274" s="25" t="s">
        <v>2230</v>
      </c>
      <c r="D274" s="27" t="s">
        <v>2290</v>
      </c>
      <c r="E274" s="27" t="s">
        <v>40</v>
      </c>
      <c r="F274" s="27" t="s">
        <v>2291</v>
      </c>
      <c r="G274" s="27" t="s">
        <v>44</v>
      </c>
      <c r="H274" s="67">
        <v>415</v>
      </c>
      <c r="I274" s="50">
        <v>46065</v>
      </c>
      <c r="J274" s="50">
        <v>46099</v>
      </c>
      <c r="K274" s="57">
        <v>2745</v>
      </c>
      <c r="L274" s="39">
        <v>2054</v>
      </c>
      <c r="M274" s="27">
        <v>71</v>
      </c>
      <c r="N274" s="99" t="s">
        <v>2281</v>
      </c>
      <c r="O274" s="27" t="s">
        <v>1575</v>
      </c>
      <c r="P274" s="63"/>
    </row>
    <row r="275" spans="1:16" ht="30.75" hidden="1">
      <c r="A275" s="27">
        <v>3796459</v>
      </c>
      <c r="B275" s="27">
        <v>3934135</v>
      </c>
      <c r="C275" s="25" t="s">
        <v>2230</v>
      </c>
      <c r="D275" s="27" t="s">
        <v>2290</v>
      </c>
      <c r="E275" s="27" t="s">
        <v>40</v>
      </c>
      <c r="F275" s="27" t="s">
        <v>2291</v>
      </c>
      <c r="G275" s="27" t="s">
        <v>44</v>
      </c>
      <c r="H275" s="67">
        <v>415</v>
      </c>
      <c r="I275" s="50">
        <v>46105</v>
      </c>
      <c r="J275" s="50">
        <v>46105</v>
      </c>
      <c r="K275" s="57">
        <v>3936</v>
      </c>
      <c r="L275" s="39">
        <v>2054</v>
      </c>
      <c r="M275" s="27">
        <v>71</v>
      </c>
      <c r="N275" s="99" t="s">
        <v>2281</v>
      </c>
      <c r="O275" s="27" t="s">
        <v>1575</v>
      </c>
      <c r="P275" s="63"/>
    </row>
    <row r="276" spans="1:16" ht="30.75" hidden="1">
      <c r="A276" s="27">
        <v>3796459</v>
      </c>
      <c r="B276" s="27">
        <v>3934135</v>
      </c>
      <c r="C276" s="25" t="s">
        <v>2230</v>
      </c>
      <c r="D276" s="27" t="s">
        <v>2290</v>
      </c>
      <c r="E276" s="27" t="s">
        <v>40</v>
      </c>
      <c r="F276" s="27" t="s">
        <v>2291</v>
      </c>
      <c r="G276" s="27" t="s">
        <v>44</v>
      </c>
      <c r="H276" s="67">
        <v>440</v>
      </c>
      <c r="I276" s="50">
        <v>46140</v>
      </c>
      <c r="J276" s="50">
        <v>46142</v>
      </c>
      <c r="K276" s="57">
        <v>4531</v>
      </c>
      <c r="L276" s="39">
        <v>2054</v>
      </c>
      <c r="M276" s="27">
        <v>71</v>
      </c>
      <c r="N276" s="99" t="s">
        <v>2281</v>
      </c>
      <c r="O276" s="27" t="s">
        <v>1575</v>
      </c>
      <c r="P276" s="63"/>
    </row>
    <row r="277" spans="1:16" ht="30.75">
      <c r="A277" s="27">
        <v>3796459</v>
      </c>
      <c r="B277" s="27">
        <v>3934135</v>
      </c>
      <c r="C277" s="25" t="s">
        <v>2230</v>
      </c>
      <c r="D277" s="27" t="s">
        <v>2290</v>
      </c>
      <c r="E277" s="27" t="s">
        <v>40</v>
      </c>
      <c r="F277" s="27" t="s">
        <v>2291</v>
      </c>
      <c r="G277" s="27" t="s">
        <v>44</v>
      </c>
      <c r="H277" s="67">
        <v>440</v>
      </c>
      <c r="I277" s="50">
        <v>46147</v>
      </c>
      <c r="J277" s="50">
        <v>46148</v>
      </c>
      <c r="K277" s="57">
        <v>4640</v>
      </c>
      <c r="L277" s="39">
        <v>2054</v>
      </c>
      <c r="M277" s="27">
        <v>71</v>
      </c>
      <c r="N277" s="99" t="s">
        <v>2281</v>
      </c>
      <c r="O277" s="27" t="s">
        <v>1575</v>
      </c>
      <c r="P277" s="63"/>
    </row>
    <row r="278" spans="1:16" hidden="1">
      <c r="A278" s="207">
        <v>3623537</v>
      </c>
      <c r="B278" s="208">
        <v>3769130</v>
      </c>
      <c r="C278" s="209" t="s">
        <v>2355</v>
      </c>
      <c r="D278" s="210"/>
      <c r="E278" s="207" t="s">
        <v>40</v>
      </c>
      <c r="F278" s="27" t="s">
        <v>599</v>
      </c>
      <c r="G278" s="27" t="s">
        <v>44</v>
      </c>
      <c r="H278" s="91">
        <v>90599.22</v>
      </c>
      <c r="I278" s="50">
        <v>46034</v>
      </c>
      <c r="J278" s="50">
        <v>46037</v>
      </c>
      <c r="K278" s="57">
        <v>171671</v>
      </c>
      <c r="L278" s="39" t="s">
        <v>2280</v>
      </c>
      <c r="M278" s="52">
        <v>153</v>
      </c>
      <c r="N278" s="99" t="s">
        <v>2281</v>
      </c>
      <c r="O278" s="27" t="s">
        <v>1575</v>
      </c>
      <c r="P278" s="63"/>
    </row>
    <row r="279" spans="1:16" hidden="1">
      <c r="A279" s="27">
        <v>3623537</v>
      </c>
      <c r="B279" s="30">
        <v>3769130</v>
      </c>
      <c r="C279" s="95" t="s">
        <v>2355</v>
      </c>
      <c r="D279" s="53"/>
      <c r="E279" s="27" t="s">
        <v>40</v>
      </c>
      <c r="F279" s="27" t="s">
        <v>599</v>
      </c>
      <c r="G279" s="27" t="s">
        <v>44</v>
      </c>
      <c r="H279" s="91">
        <v>64739.1</v>
      </c>
      <c r="I279" s="50">
        <v>46034</v>
      </c>
      <c r="J279" s="50">
        <v>46037</v>
      </c>
      <c r="K279" s="57">
        <v>171670</v>
      </c>
      <c r="L279" s="39" t="s">
        <v>2280</v>
      </c>
      <c r="M279" s="52">
        <v>153</v>
      </c>
      <c r="N279" s="99" t="s">
        <v>2281</v>
      </c>
      <c r="O279" s="27" t="s">
        <v>1575</v>
      </c>
      <c r="P279" s="63"/>
    </row>
    <row r="280" spans="1:16" ht="152.25" hidden="1">
      <c r="A280" s="151">
        <v>4039778</v>
      </c>
      <c r="B280" s="14">
        <v>4165984</v>
      </c>
      <c r="C280" s="66" t="s">
        <v>2397</v>
      </c>
      <c r="D280" s="27">
        <v>120411</v>
      </c>
      <c r="E280" s="27" t="s">
        <v>48</v>
      </c>
      <c r="F280" s="27" t="s">
        <v>91</v>
      </c>
      <c r="G280" s="27" t="s">
        <v>94</v>
      </c>
      <c r="H280" s="193">
        <v>12300</v>
      </c>
      <c r="I280" s="50">
        <v>46037</v>
      </c>
      <c r="J280" s="50">
        <v>46045</v>
      </c>
      <c r="K280" s="57">
        <v>2108</v>
      </c>
      <c r="L280" s="39" t="s">
        <v>2398</v>
      </c>
      <c r="M280" s="27">
        <v>242</v>
      </c>
      <c r="N280" s="99" t="s">
        <v>2281</v>
      </c>
      <c r="O280" s="27" t="s">
        <v>132</v>
      </c>
      <c r="P280" s="63"/>
    </row>
    <row r="281" spans="1:16" ht="30.75" hidden="1">
      <c r="A281" s="27">
        <v>4004885</v>
      </c>
      <c r="B281" s="27">
        <v>4131474</v>
      </c>
      <c r="C281" s="25" t="s">
        <v>2399</v>
      </c>
      <c r="D281" s="27" t="s">
        <v>2330</v>
      </c>
      <c r="E281" s="27" t="s">
        <v>40</v>
      </c>
      <c r="F281" s="27" t="s">
        <v>81</v>
      </c>
      <c r="G281" s="27" t="s">
        <v>44</v>
      </c>
      <c r="H281" s="67">
        <v>34210.04</v>
      </c>
      <c r="I281" s="50">
        <v>46039</v>
      </c>
      <c r="J281" s="50">
        <v>46037</v>
      </c>
      <c r="K281" s="57">
        <v>5687</v>
      </c>
      <c r="L281" s="39" t="s">
        <v>2400</v>
      </c>
      <c r="M281" s="52">
        <v>242</v>
      </c>
      <c r="N281" s="73" t="s">
        <v>2281</v>
      </c>
      <c r="O281" s="27" t="s">
        <v>2282</v>
      </c>
      <c r="P281" s="63"/>
    </row>
    <row r="282" spans="1:16" ht="45" hidden="1">
      <c r="A282" s="27">
        <v>3619858</v>
      </c>
      <c r="B282" s="27">
        <v>3766711</v>
      </c>
      <c r="C282" s="66" t="s">
        <v>2277</v>
      </c>
      <c r="D282" s="53" t="s">
        <v>2278</v>
      </c>
      <c r="E282" s="27" t="s">
        <v>40</v>
      </c>
      <c r="F282" s="27" t="s">
        <v>2279</v>
      </c>
      <c r="G282" s="27" t="s">
        <v>44</v>
      </c>
      <c r="H282" s="91">
        <v>4208.75</v>
      </c>
      <c r="I282" s="50">
        <v>46043</v>
      </c>
      <c r="J282" s="50">
        <v>46044</v>
      </c>
      <c r="K282" s="57">
        <v>617503</v>
      </c>
      <c r="L282" s="39" t="s">
        <v>2280</v>
      </c>
      <c r="M282" s="27">
        <v>153</v>
      </c>
      <c r="N282" s="99" t="s">
        <v>2281</v>
      </c>
      <c r="O282" s="27" t="s">
        <v>1575</v>
      </c>
      <c r="P282" s="63"/>
    </row>
    <row r="283" spans="1:16" ht="60.75" hidden="1">
      <c r="A283" s="151">
        <v>4039778</v>
      </c>
      <c r="B283" s="14">
        <v>4165984</v>
      </c>
      <c r="C283" s="66" t="s">
        <v>2401</v>
      </c>
      <c r="D283" s="27">
        <v>120411</v>
      </c>
      <c r="E283" s="27" t="s">
        <v>48</v>
      </c>
      <c r="F283" s="27" t="s">
        <v>91</v>
      </c>
      <c r="G283" s="27" t="s">
        <v>94</v>
      </c>
      <c r="H283" s="193">
        <v>1680</v>
      </c>
      <c r="I283" s="50">
        <v>46045</v>
      </c>
      <c r="J283" s="50">
        <v>46045</v>
      </c>
      <c r="K283" s="24" t="s">
        <v>2402</v>
      </c>
      <c r="L283" s="39" t="s">
        <v>2403</v>
      </c>
      <c r="M283" s="27">
        <v>242</v>
      </c>
      <c r="N283" s="99" t="s">
        <v>2281</v>
      </c>
      <c r="O283" s="27" t="s">
        <v>132</v>
      </c>
      <c r="P283" s="63"/>
    </row>
    <row r="284" spans="1:16" ht="45.75" hidden="1">
      <c r="A284" s="151">
        <v>4039778</v>
      </c>
      <c r="B284" s="14">
        <v>4165984</v>
      </c>
      <c r="C284" s="66" t="s">
        <v>2404</v>
      </c>
      <c r="D284" s="27">
        <v>120411</v>
      </c>
      <c r="E284" s="27" t="s">
        <v>48</v>
      </c>
      <c r="F284" s="27" t="s">
        <v>91</v>
      </c>
      <c r="G284" s="27" t="s">
        <v>94</v>
      </c>
      <c r="H284" s="193">
        <v>2150</v>
      </c>
      <c r="I284" s="50">
        <v>46045</v>
      </c>
      <c r="J284" s="50">
        <v>46045</v>
      </c>
      <c r="K284" s="57">
        <v>2114</v>
      </c>
      <c r="L284" s="39" t="s">
        <v>2405</v>
      </c>
      <c r="M284" s="27">
        <v>242</v>
      </c>
      <c r="N284" s="99" t="s">
        <v>2281</v>
      </c>
      <c r="O284" s="27" t="s">
        <v>132</v>
      </c>
      <c r="P284" s="63"/>
    </row>
    <row r="285" spans="1:16" ht="30.75" hidden="1">
      <c r="A285" s="30">
        <v>3627916</v>
      </c>
      <c r="B285" s="30">
        <v>3773474</v>
      </c>
      <c r="C285" s="25" t="s">
        <v>2285</v>
      </c>
      <c r="D285" s="27" t="s">
        <v>2286</v>
      </c>
      <c r="E285" s="27" t="s">
        <v>40</v>
      </c>
      <c r="F285" s="27" t="s">
        <v>2287</v>
      </c>
      <c r="G285" s="27" t="s">
        <v>44</v>
      </c>
      <c r="H285" s="67">
        <v>1595.88</v>
      </c>
      <c r="I285" s="50">
        <v>46050</v>
      </c>
      <c r="J285" s="50">
        <v>46050</v>
      </c>
      <c r="K285" s="57">
        <v>87832149</v>
      </c>
      <c r="L285" s="39">
        <v>2488</v>
      </c>
      <c r="M285" s="52">
        <v>153</v>
      </c>
      <c r="N285" s="68" t="s">
        <v>2281</v>
      </c>
      <c r="O285" s="27" t="s">
        <v>1984</v>
      </c>
      <c r="P285" s="63"/>
    </row>
    <row r="286" spans="1:16" ht="30.75" hidden="1">
      <c r="A286" s="27">
        <v>3631801</v>
      </c>
      <c r="B286" s="27">
        <v>3776543</v>
      </c>
      <c r="C286" s="25" t="s">
        <v>2289</v>
      </c>
      <c r="D286" s="27" t="s">
        <v>2286</v>
      </c>
      <c r="E286" s="27" t="s">
        <v>40</v>
      </c>
      <c r="F286" s="27" t="s">
        <v>2287</v>
      </c>
      <c r="G286" s="27" t="s">
        <v>44</v>
      </c>
      <c r="H286" s="67">
        <v>521.95000000000005</v>
      </c>
      <c r="I286" s="50">
        <v>46057</v>
      </c>
      <c r="J286" s="50">
        <v>46057</v>
      </c>
      <c r="K286" s="57">
        <v>46</v>
      </c>
      <c r="L286" s="39">
        <v>2488</v>
      </c>
      <c r="M286" s="52">
        <v>242</v>
      </c>
      <c r="N286" s="73" t="s">
        <v>2281</v>
      </c>
      <c r="O286" s="27" t="s">
        <v>1575</v>
      </c>
      <c r="P286" s="63"/>
    </row>
    <row r="287" spans="1:16" ht="30.75" hidden="1">
      <c r="A287" s="27">
        <v>3627916</v>
      </c>
      <c r="B287" s="27">
        <v>3773474</v>
      </c>
      <c r="C287" s="25" t="s">
        <v>2285</v>
      </c>
      <c r="D287" s="27" t="s">
        <v>2286</v>
      </c>
      <c r="E287" s="27" t="s">
        <v>40</v>
      </c>
      <c r="F287" s="27" t="s">
        <v>2287</v>
      </c>
      <c r="G287" s="27" t="s">
        <v>44</v>
      </c>
      <c r="H287" s="67">
        <v>1595.88</v>
      </c>
      <c r="I287" s="50">
        <v>46080</v>
      </c>
      <c r="J287" s="50">
        <v>46083</v>
      </c>
      <c r="K287" s="57">
        <v>87885102</v>
      </c>
      <c r="L287" s="39">
        <v>2488</v>
      </c>
      <c r="M287" s="52">
        <v>153</v>
      </c>
      <c r="N287" s="73" t="s">
        <v>2281</v>
      </c>
      <c r="O287" s="27" t="s">
        <v>1575</v>
      </c>
      <c r="P287" s="63"/>
    </row>
    <row r="288" spans="1:16" ht="30.75" hidden="1">
      <c r="A288" s="27">
        <v>3631801</v>
      </c>
      <c r="B288" s="27">
        <v>3776543</v>
      </c>
      <c r="C288" s="25" t="s">
        <v>2289</v>
      </c>
      <c r="D288" s="27" t="s">
        <v>2286</v>
      </c>
      <c r="E288" s="27" t="s">
        <v>40</v>
      </c>
      <c r="F288" s="27" t="s">
        <v>2287</v>
      </c>
      <c r="G288" s="27" t="s">
        <v>44</v>
      </c>
      <c r="H288" s="67">
        <v>521.95000000000005</v>
      </c>
      <c r="I288" s="50">
        <v>46082</v>
      </c>
      <c r="J288" s="50">
        <v>46083</v>
      </c>
      <c r="K288" s="57">
        <v>74</v>
      </c>
      <c r="L288" s="39">
        <v>2488</v>
      </c>
      <c r="M288" s="52">
        <v>242</v>
      </c>
      <c r="N288" s="73" t="s">
        <v>2281</v>
      </c>
      <c r="O288" s="27" t="s">
        <v>1575</v>
      </c>
      <c r="P288" s="63"/>
    </row>
    <row r="289" spans="1:16" hidden="1">
      <c r="A289" s="207"/>
      <c r="B289" s="207"/>
      <c r="C289" s="203"/>
      <c r="D289" s="27"/>
      <c r="E289" s="27"/>
      <c r="F289" s="27"/>
      <c r="G289" s="27"/>
      <c r="H289" s="67"/>
      <c r="I289" s="50"/>
      <c r="J289" s="50"/>
      <c r="K289" s="57"/>
      <c r="L289" s="39"/>
      <c r="M289" s="52"/>
      <c r="N289" s="73"/>
      <c r="O289" s="27"/>
      <c r="P289" s="63"/>
    </row>
    <row r="290" spans="1:16" ht="152.25" hidden="1">
      <c r="A290" s="154">
        <v>4002793</v>
      </c>
      <c r="B290" s="154">
        <v>4129082</v>
      </c>
      <c r="C290" s="203" t="s">
        <v>2406</v>
      </c>
      <c r="D290" s="27">
        <v>15839</v>
      </c>
      <c r="E290" s="27" t="s">
        <v>40</v>
      </c>
      <c r="F290" s="27" t="s">
        <v>2242</v>
      </c>
      <c r="G290" s="27" t="s">
        <v>35</v>
      </c>
      <c r="H290" s="67">
        <v>2750</v>
      </c>
      <c r="I290" s="50">
        <v>46057</v>
      </c>
      <c r="J290" s="50">
        <v>46058</v>
      </c>
      <c r="K290" s="57">
        <v>1890</v>
      </c>
      <c r="L290" s="39" t="s">
        <v>2380</v>
      </c>
      <c r="M290" s="52">
        <v>242</v>
      </c>
      <c r="N290" s="68" t="s">
        <v>2281</v>
      </c>
      <c r="O290" s="27" t="s">
        <v>1575</v>
      </c>
      <c r="P290" s="63"/>
    </row>
    <row r="291" spans="1:16" ht="152.25" hidden="1">
      <c r="A291" s="14">
        <v>4002793</v>
      </c>
      <c r="B291" s="14">
        <v>4129082</v>
      </c>
      <c r="C291" s="203" t="s">
        <v>2407</v>
      </c>
      <c r="D291" s="27">
        <v>129081</v>
      </c>
      <c r="E291" s="27" t="s">
        <v>40</v>
      </c>
      <c r="F291" s="27" t="s">
        <v>2242</v>
      </c>
      <c r="G291" s="27" t="s">
        <v>35</v>
      </c>
      <c r="H291" s="67">
        <v>2750</v>
      </c>
      <c r="I291" s="50">
        <v>46084</v>
      </c>
      <c r="J291" s="50">
        <v>46093</v>
      </c>
      <c r="K291" s="57">
        <v>1904</v>
      </c>
      <c r="L291" s="39" t="s">
        <v>2380</v>
      </c>
      <c r="M291" s="52">
        <v>242</v>
      </c>
      <c r="N291" s="68" t="s">
        <v>2281</v>
      </c>
      <c r="O291" s="27" t="s">
        <v>1575</v>
      </c>
      <c r="P291" s="63"/>
    </row>
    <row r="292" spans="1:16" ht="152.25" hidden="1">
      <c r="A292" s="14">
        <v>4002793</v>
      </c>
      <c r="B292" s="14">
        <v>4129082</v>
      </c>
      <c r="C292" s="203" t="s">
        <v>2408</v>
      </c>
      <c r="D292" s="27">
        <v>129081</v>
      </c>
      <c r="E292" s="27" t="s">
        <v>40</v>
      </c>
      <c r="F292" s="27" t="s">
        <v>2242</v>
      </c>
      <c r="G292" s="27" t="s">
        <v>35</v>
      </c>
      <c r="H292" s="67">
        <v>2750</v>
      </c>
      <c r="I292" s="50">
        <v>46114</v>
      </c>
      <c r="J292" s="50">
        <v>46114</v>
      </c>
      <c r="K292" s="57">
        <v>1930</v>
      </c>
      <c r="L292" s="39" t="s">
        <v>2380</v>
      </c>
      <c r="M292" s="52">
        <v>242</v>
      </c>
      <c r="N292" s="68" t="s">
        <v>2281</v>
      </c>
      <c r="O292" s="27" t="s">
        <v>1575</v>
      </c>
      <c r="P292" s="63"/>
    </row>
    <row r="293" spans="1:16" ht="152.25">
      <c r="A293" s="14">
        <v>4002793</v>
      </c>
      <c r="B293" s="14">
        <v>4129082</v>
      </c>
      <c r="C293" s="203" t="s">
        <v>2408</v>
      </c>
      <c r="D293" s="27">
        <v>129081</v>
      </c>
      <c r="E293" s="27" t="s">
        <v>40</v>
      </c>
      <c r="F293" s="27" t="s">
        <v>2242</v>
      </c>
      <c r="G293" s="27" t="s">
        <v>35</v>
      </c>
      <c r="H293" s="67">
        <v>2750</v>
      </c>
      <c r="I293" s="50">
        <v>46147</v>
      </c>
      <c r="J293" s="50">
        <v>46148</v>
      </c>
      <c r="K293" s="57">
        <v>1</v>
      </c>
      <c r="L293" s="39" t="s">
        <v>2380</v>
      </c>
      <c r="M293" s="52">
        <v>242</v>
      </c>
      <c r="N293" s="68" t="s">
        <v>2281</v>
      </c>
      <c r="O293" s="27" t="s">
        <v>1575</v>
      </c>
      <c r="P293" s="63"/>
    </row>
    <row r="294" spans="1:16" hidden="1">
      <c r="A294" s="154"/>
      <c r="B294" s="154"/>
      <c r="C294" s="203"/>
      <c r="D294" s="27"/>
      <c r="E294" s="27"/>
      <c r="F294" s="27"/>
      <c r="G294" s="27"/>
      <c r="H294" s="67"/>
      <c r="I294" s="50"/>
      <c r="J294" s="50"/>
      <c r="K294" s="57"/>
      <c r="L294" s="39"/>
      <c r="M294" s="52"/>
      <c r="N294" s="68"/>
      <c r="O294" s="27"/>
      <c r="P294" s="63"/>
    </row>
    <row r="295" spans="1:16" ht="91.5" hidden="1">
      <c r="A295" s="27">
        <v>4285976</v>
      </c>
      <c r="B295" s="27">
        <v>4412650</v>
      </c>
      <c r="C295" s="66" t="s">
        <v>2239</v>
      </c>
      <c r="D295" s="53" t="s">
        <v>2376</v>
      </c>
      <c r="E295" s="27" t="s">
        <v>40</v>
      </c>
      <c r="F295" s="27" t="s">
        <v>2377</v>
      </c>
      <c r="G295" s="27" t="s">
        <v>35</v>
      </c>
      <c r="H295" s="67">
        <v>8730</v>
      </c>
      <c r="I295" s="50">
        <v>46059</v>
      </c>
      <c r="J295" s="50">
        <v>46062</v>
      </c>
      <c r="K295" s="57">
        <v>813</v>
      </c>
      <c r="L295" s="39">
        <v>1210</v>
      </c>
      <c r="M295" s="52">
        <v>242</v>
      </c>
      <c r="N295" s="99" t="s">
        <v>2281</v>
      </c>
      <c r="O295" s="27" t="s">
        <v>1118</v>
      </c>
      <c r="P295" s="63"/>
    </row>
    <row r="296" spans="1:16" ht="60.75">
      <c r="A296" s="27">
        <v>4125235</v>
      </c>
      <c r="B296" s="27">
        <v>4245557</v>
      </c>
      <c r="C296" s="66" t="s">
        <v>2409</v>
      </c>
      <c r="D296" s="190">
        <v>16445</v>
      </c>
      <c r="E296" s="27" t="s">
        <v>40</v>
      </c>
      <c r="F296" s="27" t="s">
        <v>2256</v>
      </c>
      <c r="G296" s="27" t="s">
        <v>44</v>
      </c>
      <c r="H296" s="91">
        <v>3921.67</v>
      </c>
      <c r="I296" s="50">
        <v>46062</v>
      </c>
      <c r="J296" s="50">
        <v>46062</v>
      </c>
      <c r="K296" s="57">
        <v>6557</v>
      </c>
      <c r="L296" s="39" t="s">
        <v>2410</v>
      </c>
      <c r="M296" s="27">
        <v>9</v>
      </c>
      <c r="N296" s="99" t="s">
        <v>2281</v>
      </c>
      <c r="O296" s="27" t="s">
        <v>1575</v>
      </c>
      <c r="P296" s="63"/>
    </row>
    <row r="297" spans="1:16" ht="91.5" hidden="1">
      <c r="A297" s="27"/>
      <c r="B297" s="27"/>
      <c r="C297" s="66"/>
      <c r="D297" s="53"/>
      <c r="E297" s="27"/>
      <c r="F297" s="27"/>
      <c r="G297" s="27"/>
      <c r="H297" s="91"/>
      <c r="I297" s="50"/>
      <c r="J297" s="27"/>
      <c r="K297" s="57"/>
      <c r="L297" s="39" t="s">
        <v>2411</v>
      </c>
      <c r="M297" s="27"/>
      <c r="N297" s="99"/>
      <c r="O297" s="27"/>
      <c r="P297" s="63"/>
    </row>
    <row r="298" spans="1:16" ht="91.5" hidden="1">
      <c r="A298" s="27">
        <v>3623537</v>
      </c>
      <c r="B298" s="30">
        <v>3769130</v>
      </c>
      <c r="C298" s="95" t="s">
        <v>2355</v>
      </c>
      <c r="D298" s="85"/>
      <c r="E298" s="27" t="s">
        <v>40</v>
      </c>
      <c r="F298" s="27" t="s">
        <v>599</v>
      </c>
      <c r="G298" s="27" t="s">
        <v>44</v>
      </c>
      <c r="H298" s="91">
        <v>90599.22</v>
      </c>
      <c r="I298" s="50">
        <v>46062</v>
      </c>
      <c r="J298" s="50">
        <v>46064</v>
      </c>
      <c r="K298" s="57">
        <v>174210</v>
      </c>
      <c r="L298" s="39" t="s">
        <v>2280</v>
      </c>
      <c r="M298" s="52">
        <v>153</v>
      </c>
      <c r="N298" s="99" t="s">
        <v>2281</v>
      </c>
      <c r="O298" s="27" t="s">
        <v>1575</v>
      </c>
      <c r="P298" s="63"/>
    </row>
    <row r="299" spans="1:16" ht="91.5" hidden="1">
      <c r="A299" s="27">
        <v>3623537</v>
      </c>
      <c r="B299" s="30">
        <v>3769130</v>
      </c>
      <c r="C299" s="95" t="s">
        <v>2355</v>
      </c>
      <c r="D299" s="53"/>
      <c r="E299" s="27" t="s">
        <v>40</v>
      </c>
      <c r="F299" s="27" t="s">
        <v>599</v>
      </c>
      <c r="G299" s="27" t="s">
        <v>44</v>
      </c>
      <c r="H299" s="91">
        <v>64739.1</v>
      </c>
      <c r="I299" s="50">
        <v>46062</v>
      </c>
      <c r="J299" s="50">
        <v>46064</v>
      </c>
      <c r="K299" s="57">
        <v>174208</v>
      </c>
      <c r="L299" s="39" t="s">
        <v>2280</v>
      </c>
      <c r="M299" s="52">
        <v>153</v>
      </c>
      <c r="N299" s="99" t="s">
        <v>2281</v>
      </c>
      <c r="O299" s="27" t="s">
        <v>1575</v>
      </c>
      <c r="P299" s="63"/>
    </row>
    <row r="300" spans="1:16" ht="91.5" hidden="1">
      <c r="A300" s="27">
        <v>3623537</v>
      </c>
      <c r="B300" s="30">
        <v>3769130</v>
      </c>
      <c r="C300" s="95" t="s">
        <v>2355</v>
      </c>
      <c r="D300" s="85"/>
      <c r="E300" s="27" t="s">
        <v>40</v>
      </c>
      <c r="F300" s="27" t="s">
        <v>599</v>
      </c>
      <c r="G300" s="27" t="s">
        <v>44</v>
      </c>
      <c r="H300" s="91">
        <v>90599.22</v>
      </c>
      <c r="I300" s="50">
        <v>46093</v>
      </c>
      <c r="J300" s="50">
        <v>46104</v>
      </c>
      <c r="K300" s="57">
        <v>177681</v>
      </c>
      <c r="L300" s="39" t="s">
        <v>2280</v>
      </c>
      <c r="M300" s="52">
        <v>153</v>
      </c>
      <c r="N300" s="99" t="s">
        <v>2281</v>
      </c>
      <c r="O300" s="27" t="s">
        <v>1575</v>
      </c>
      <c r="P300" s="63"/>
    </row>
    <row r="301" spans="1:16" ht="91.5" hidden="1">
      <c r="A301" s="27">
        <v>3623537</v>
      </c>
      <c r="B301" s="30">
        <v>3769130</v>
      </c>
      <c r="C301" s="95" t="s">
        <v>2355</v>
      </c>
      <c r="D301" s="53"/>
      <c r="E301" s="27" t="s">
        <v>40</v>
      </c>
      <c r="F301" s="27" t="s">
        <v>599</v>
      </c>
      <c r="G301" s="27" t="s">
        <v>44</v>
      </c>
      <c r="H301" s="91">
        <v>64739.1</v>
      </c>
      <c r="I301" s="50">
        <v>46093</v>
      </c>
      <c r="J301" s="50">
        <v>46099</v>
      </c>
      <c r="K301" s="57">
        <v>177112</v>
      </c>
      <c r="L301" s="39" t="s">
        <v>2280</v>
      </c>
      <c r="M301" s="52">
        <v>153</v>
      </c>
      <c r="N301" s="99" t="s">
        <v>2281</v>
      </c>
      <c r="O301" s="27" t="s">
        <v>1575</v>
      </c>
      <c r="P301" s="63"/>
    </row>
    <row r="302" spans="1:16" hidden="1">
      <c r="A302" s="27">
        <v>3623537</v>
      </c>
      <c r="B302" s="27">
        <v>3769130</v>
      </c>
      <c r="C302" s="66" t="s">
        <v>2355</v>
      </c>
      <c r="D302" s="53"/>
      <c r="E302" s="27" t="s">
        <v>40</v>
      </c>
      <c r="F302" s="27" t="s">
        <v>599</v>
      </c>
      <c r="G302" s="27" t="s">
        <v>44</v>
      </c>
      <c r="H302" s="91">
        <v>64739.1</v>
      </c>
      <c r="I302" s="50">
        <v>46125</v>
      </c>
      <c r="J302" s="50">
        <v>46126</v>
      </c>
      <c r="K302" s="57">
        <v>179695</v>
      </c>
      <c r="L302" s="39" t="s">
        <v>2280</v>
      </c>
      <c r="M302" s="52">
        <v>153</v>
      </c>
      <c r="N302" s="99" t="s">
        <v>2281</v>
      </c>
      <c r="O302" s="27" t="s">
        <v>1575</v>
      </c>
      <c r="P302" s="63"/>
    </row>
    <row r="303" spans="1:16" hidden="1">
      <c r="A303" s="27">
        <v>3623537</v>
      </c>
      <c r="B303" s="30">
        <v>3769130</v>
      </c>
      <c r="C303" s="66" t="s">
        <v>2355</v>
      </c>
      <c r="D303" s="53"/>
      <c r="E303" s="27" t="s">
        <v>40</v>
      </c>
      <c r="F303" s="27" t="s">
        <v>599</v>
      </c>
      <c r="G303" s="27" t="s">
        <v>44</v>
      </c>
      <c r="H303" s="91">
        <v>81068.17</v>
      </c>
      <c r="I303" s="50">
        <v>2004</v>
      </c>
      <c r="J303" s="50">
        <v>46134</v>
      </c>
      <c r="K303" s="57">
        <v>180352</v>
      </c>
      <c r="L303" s="39" t="s">
        <v>2280</v>
      </c>
      <c r="M303" s="52">
        <v>153</v>
      </c>
      <c r="N303" s="99" t="s">
        <v>2281</v>
      </c>
      <c r="O303" s="27" t="s">
        <v>1575</v>
      </c>
      <c r="P303" s="63"/>
    </row>
    <row r="304" spans="1:16" ht="30.75">
      <c r="A304" s="27">
        <v>4125235</v>
      </c>
      <c r="B304" s="207">
        <v>4245557</v>
      </c>
      <c r="C304" s="153" t="s">
        <v>2412</v>
      </c>
      <c r="D304" s="220">
        <v>16445</v>
      </c>
      <c r="E304" s="207" t="s">
        <v>40</v>
      </c>
      <c r="F304" s="27" t="s">
        <v>2256</v>
      </c>
      <c r="G304" s="27" t="s">
        <v>44</v>
      </c>
      <c r="H304" s="91">
        <v>4785.83</v>
      </c>
      <c r="I304" s="50">
        <v>46065</v>
      </c>
      <c r="J304" s="50">
        <v>46065</v>
      </c>
      <c r="K304" s="57">
        <v>6564</v>
      </c>
      <c r="L304" s="39">
        <v>1228</v>
      </c>
      <c r="M304" s="27">
        <v>9</v>
      </c>
      <c r="N304" s="99" t="s">
        <v>2281</v>
      </c>
      <c r="O304" s="27" t="s">
        <v>1575</v>
      </c>
      <c r="P304" s="63"/>
    </row>
    <row r="305" spans="1:16" ht="91.5" hidden="1">
      <c r="A305" s="151">
        <v>4039778</v>
      </c>
      <c r="B305" s="14">
        <v>4165984</v>
      </c>
      <c r="C305" s="66" t="s">
        <v>2413</v>
      </c>
      <c r="D305" s="27">
        <v>120411</v>
      </c>
      <c r="E305" s="27" t="s">
        <v>48</v>
      </c>
      <c r="F305" s="27" t="s">
        <v>91</v>
      </c>
      <c r="G305" s="27" t="s">
        <v>94</v>
      </c>
      <c r="H305" s="193">
        <v>5250</v>
      </c>
      <c r="I305" s="50">
        <v>46065</v>
      </c>
      <c r="J305" s="50">
        <v>46066</v>
      </c>
      <c r="K305" s="24" t="s">
        <v>2414</v>
      </c>
      <c r="L305" s="39" t="s">
        <v>2415</v>
      </c>
      <c r="M305" s="27">
        <v>242</v>
      </c>
      <c r="N305" s="99" t="s">
        <v>2281</v>
      </c>
      <c r="O305" s="151" t="s">
        <v>132</v>
      </c>
      <c r="P305" s="27">
        <v>4405966</v>
      </c>
    </row>
    <row r="306" spans="1:16" ht="91.5" hidden="1">
      <c r="A306" s="151">
        <v>4039778</v>
      </c>
      <c r="B306" s="14">
        <v>4165984</v>
      </c>
      <c r="C306" s="66" t="s">
        <v>2416</v>
      </c>
      <c r="D306" s="27">
        <v>120411</v>
      </c>
      <c r="E306" s="27" t="s">
        <v>48</v>
      </c>
      <c r="F306" s="27" t="s">
        <v>91</v>
      </c>
      <c r="G306" s="27" t="s">
        <v>94</v>
      </c>
      <c r="H306" s="193">
        <v>4200</v>
      </c>
      <c r="I306" s="50">
        <v>46065</v>
      </c>
      <c r="J306" s="50">
        <v>46077</v>
      </c>
      <c r="K306" s="58" t="s">
        <v>2417</v>
      </c>
      <c r="L306" s="39" t="s">
        <v>2418</v>
      </c>
      <c r="M306" s="27">
        <v>242</v>
      </c>
      <c r="N306" s="99" t="s">
        <v>2281</v>
      </c>
      <c r="O306" s="151" t="s">
        <v>1118</v>
      </c>
      <c r="P306" s="27">
        <v>4405966</v>
      </c>
    </row>
    <row r="307" spans="1:16" ht="30.75">
      <c r="A307" s="27">
        <v>4168151</v>
      </c>
      <c r="B307" s="33">
        <v>4324442</v>
      </c>
      <c r="C307" s="66" t="s">
        <v>2419</v>
      </c>
      <c r="D307" s="190">
        <v>16445</v>
      </c>
      <c r="E307" s="27" t="s">
        <v>40</v>
      </c>
      <c r="F307" s="27" t="s">
        <v>2256</v>
      </c>
      <c r="G307" s="27" t="s">
        <v>44</v>
      </c>
      <c r="H307" s="193">
        <v>6216.67</v>
      </c>
      <c r="I307" s="50">
        <v>46066</v>
      </c>
      <c r="J307" s="50">
        <v>46066</v>
      </c>
      <c r="K307" s="57">
        <v>6568</v>
      </c>
      <c r="L307" s="39">
        <v>2232</v>
      </c>
      <c r="M307" s="27">
        <v>9</v>
      </c>
      <c r="N307" s="99" t="s">
        <v>2281</v>
      </c>
      <c r="O307" s="27" t="s">
        <v>1575</v>
      </c>
      <c r="P307" s="63"/>
    </row>
    <row r="308" spans="1:16" ht="91.5" hidden="1">
      <c r="A308" s="27">
        <v>3796471</v>
      </c>
      <c r="B308" s="27">
        <v>3934127</v>
      </c>
      <c r="C308" s="25" t="s">
        <v>2296</v>
      </c>
      <c r="D308" s="27" t="s">
        <v>2297</v>
      </c>
      <c r="E308" s="27" t="s">
        <v>40</v>
      </c>
      <c r="F308" s="27" t="s">
        <v>2298</v>
      </c>
      <c r="G308" s="27" t="s">
        <v>44</v>
      </c>
      <c r="H308" s="67">
        <v>6250.23</v>
      </c>
      <c r="I308" s="50">
        <v>46065</v>
      </c>
      <c r="J308" s="50">
        <v>46069</v>
      </c>
      <c r="K308" s="57">
        <v>75639</v>
      </c>
      <c r="L308" s="39" t="s">
        <v>2420</v>
      </c>
      <c r="M308" s="52" t="s">
        <v>2302</v>
      </c>
      <c r="N308" s="99" t="s">
        <v>2281</v>
      </c>
      <c r="O308" s="27" t="s">
        <v>1575</v>
      </c>
      <c r="P308" s="63"/>
    </row>
    <row r="309" spans="1:16" ht="106.5" hidden="1">
      <c r="A309" s="27">
        <v>3796471</v>
      </c>
      <c r="B309" s="27">
        <v>3934127</v>
      </c>
      <c r="C309" s="25" t="s">
        <v>2296</v>
      </c>
      <c r="D309" s="27" t="s">
        <v>2297</v>
      </c>
      <c r="E309" s="27" t="s">
        <v>40</v>
      </c>
      <c r="F309" s="27" t="s">
        <v>2298</v>
      </c>
      <c r="G309" s="27" t="s">
        <v>44</v>
      </c>
      <c r="H309" s="67">
        <v>6250.23</v>
      </c>
      <c r="I309" s="50">
        <v>46105</v>
      </c>
      <c r="J309" s="50">
        <v>46105</v>
      </c>
      <c r="K309" s="57">
        <v>76358</v>
      </c>
      <c r="L309" s="39" t="s">
        <v>2420</v>
      </c>
      <c r="M309" s="52" t="s">
        <v>2302</v>
      </c>
      <c r="N309" s="99" t="s">
        <v>2281</v>
      </c>
      <c r="O309" s="27" t="s">
        <v>1575</v>
      </c>
      <c r="P309" s="63"/>
    </row>
    <row r="310" spans="1:16" ht="106.5" hidden="1">
      <c r="A310" s="27">
        <v>3796471</v>
      </c>
      <c r="B310" s="27">
        <v>3934127</v>
      </c>
      <c r="C310" s="25" t="s">
        <v>2296</v>
      </c>
      <c r="D310" s="27" t="s">
        <v>2297</v>
      </c>
      <c r="E310" s="27" t="s">
        <v>40</v>
      </c>
      <c r="F310" s="27" t="s">
        <v>2298</v>
      </c>
      <c r="G310" s="27" t="s">
        <v>44</v>
      </c>
      <c r="H310" s="67" t="s">
        <v>2421</v>
      </c>
      <c r="I310" s="50">
        <v>46140</v>
      </c>
      <c r="J310" s="50">
        <v>46142</v>
      </c>
      <c r="K310" s="57">
        <v>76603</v>
      </c>
      <c r="L310" s="39" t="s">
        <v>2422</v>
      </c>
      <c r="M310" s="52" t="s">
        <v>2302</v>
      </c>
      <c r="N310" s="99" t="s">
        <v>2281</v>
      </c>
      <c r="O310" s="27" t="s">
        <v>1575</v>
      </c>
      <c r="P310" s="63"/>
    </row>
    <row r="311" spans="1:16" ht="106.5">
      <c r="A311" s="27">
        <v>3796471</v>
      </c>
      <c r="B311" s="27">
        <v>3934127</v>
      </c>
      <c r="C311" s="25" t="s">
        <v>2296</v>
      </c>
      <c r="D311" s="27" t="s">
        <v>2297</v>
      </c>
      <c r="E311" s="27" t="s">
        <v>40</v>
      </c>
      <c r="F311" s="27" t="s">
        <v>2298</v>
      </c>
      <c r="G311" s="27" t="s">
        <v>44</v>
      </c>
      <c r="H311" s="67" t="s">
        <v>2423</v>
      </c>
      <c r="I311" s="50">
        <v>46147</v>
      </c>
      <c r="J311" s="50">
        <v>46148</v>
      </c>
      <c r="K311" s="57">
        <v>76670</v>
      </c>
      <c r="L311" s="39" t="s">
        <v>2424</v>
      </c>
      <c r="M311" s="52" t="s">
        <v>2302</v>
      </c>
      <c r="N311" s="99" t="s">
        <v>2281</v>
      </c>
      <c r="O311" s="27" t="s">
        <v>1575</v>
      </c>
      <c r="P311" s="63"/>
    </row>
    <row r="312" spans="1:16" ht="91.5" hidden="1">
      <c r="A312" s="27"/>
      <c r="B312" s="27"/>
      <c r="C312" s="25"/>
      <c r="D312" s="27"/>
      <c r="E312" s="27"/>
      <c r="F312" s="27"/>
      <c r="G312" s="27"/>
      <c r="H312" s="67"/>
      <c r="I312" s="50"/>
      <c r="J312" s="50"/>
      <c r="K312" s="57"/>
      <c r="L312" s="39"/>
      <c r="M312" s="52"/>
      <c r="N312" s="99"/>
      <c r="O312" s="27"/>
      <c r="P312" s="63"/>
    </row>
    <row r="313" spans="1:16" ht="91.5" hidden="1">
      <c r="A313" s="27">
        <v>4004885</v>
      </c>
      <c r="B313" s="27">
        <v>4131474</v>
      </c>
      <c r="C313" s="66" t="s">
        <v>2425</v>
      </c>
      <c r="D313" s="27" t="s">
        <v>2330</v>
      </c>
      <c r="E313" s="27" t="s">
        <v>40</v>
      </c>
      <c r="F313" s="27" t="s">
        <v>81</v>
      </c>
      <c r="G313" s="27" t="s">
        <v>44</v>
      </c>
      <c r="H313" s="67">
        <v>34210.04</v>
      </c>
      <c r="I313" s="50">
        <v>46065</v>
      </c>
      <c r="J313" s="50">
        <v>46069</v>
      </c>
      <c r="K313" s="57">
        <v>5757</v>
      </c>
      <c r="L313" s="39" t="s">
        <v>2426</v>
      </c>
      <c r="M313" s="27">
        <v>242</v>
      </c>
      <c r="N313" s="73" t="s">
        <v>2281</v>
      </c>
      <c r="O313" s="27" t="s">
        <v>1575</v>
      </c>
      <c r="P313" s="63"/>
    </row>
    <row r="314" spans="1:16" ht="91.5" hidden="1">
      <c r="A314" s="27">
        <v>4004885</v>
      </c>
      <c r="B314" s="27">
        <v>4131474</v>
      </c>
      <c r="C314" s="66" t="s">
        <v>2427</v>
      </c>
      <c r="D314" s="27" t="s">
        <v>2330</v>
      </c>
      <c r="E314" s="27" t="s">
        <v>40</v>
      </c>
      <c r="F314" s="27" t="s">
        <v>81</v>
      </c>
      <c r="G314" s="27" t="s">
        <v>44</v>
      </c>
      <c r="H314" s="67">
        <v>34210.04</v>
      </c>
      <c r="I314" s="50">
        <v>46094</v>
      </c>
      <c r="J314" s="50">
        <v>46097</v>
      </c>
      <c r="K314" s="57">
        <v>5853</v>
      </c>
      <c r="L314" s="39" t="s">
        <v>2245</v>
      </c>
      <c r="M314" s="27">
        <v>242</v>
      </c>
      <c r="N314" s="73" t="s">
        <v>2281</v>
      </c>
      <c r="O314" s="27" t="s">
        <v>1575</v>
      </c>
      <c r="P314" s="63"/>
    </row>
    <row r="315" spans="1:16" ht="30.75" hidden="1">
      <c r="A315" s="27">
        <v>4004885</v>
      </c>
      <c r="B315" s="27">
        <v>4131474</v>
      </c>
      <c r="C315" s="66" t="s">
        <v>2428</v>
      </c>
      <c r="D315" s="27" t="s">
        <v>2330</v>
      </c>
      <c r="E315" s="27" t="s">
        <v>40</v>
      </c>
      <c r="F315" s="27" t="s">
        <v>81</v>
      </c>
      <c r="G315" s="27" t="s">
        <v>44</v>
      </c>
      <c r="H315" s="67">
        <v>34210.04</v>
      </c>
      <c r="I315" s="50">
        <v>46120</v>
      </c>
      <c r="J315" s="50">
        <v>46126</v>
      </c>
      <c r="K315" s="57">
        <v>5962</v>
      </c>
      <c r="L315" s="39" t="s">
        <v>2245</v>
      </c>
      <c r="M315" s="27">
        <v>242</v>
      </c>
      <c r="N315" s="73" t="s">
        <v>2281</v>
      </c>
      <c r="O315" s="27" t="s">
        <v>1575</v>
      </c>
      <c r="P315" s="63"/>
    </row>
    <row r="316" spans="1:16" ht="91.5" hidden="1">
      <c r="A316" s="27" t="s">
        <v>34</v>
      </c>
      <c r="B316" s="27" t="s">
        <v>34</v>
      </c>
      <c r="C316" s="25" t="s">
        <v>2236</v>
      </c>
      <c r="D316" s="53"/>
      <c r="E316" s="27" t="s">
        <v>40</v>
      </c>
      <c r="F316" s="27" t="s">
        <v>2308</v>
      </c>
      <c r="G316" s="27" t="s">
        <v>44</v>
      </c>
      <c r="H316" s="91">
        <v>1372.65</v>
      </c>
      <c r="I316" s="50">
        <v>46044</v>
      </c>
      <c r="J316" s="50">
        <v>46070</v>
      </c>
      <c r="K316" s="57">
        <v>89</v>
      </c>
      <c r="L316" s="39">
        <v>1295</v>
      </c>
      <c r="M316" s="52">
        <v>30</v>
      </c>
      <c r="N316" s="73" t="s">
        <v>2281</v>
      </c>
      <c r="O316" s="27" t="s">
        <v>1575</v>
      </c>
      <c r="P316" s="63"/>
    </row>
    <row r="317" spans="1:16" ht="91.5" hidden="1">
      <c r="A317" s="27" t="s">
        <v>34</v>
      </c>
      <c r="B317" s="27" t="s">
        <v>34</v>
      </c>
      <c r="C317" s="25" t="s">
        <v>2236</v>
      </c>
      <c r="D317" s="53"/>
      <c r="E317" s="27" t="s">
        <v>40</v>
      </c>
      <c r="F317" s="27" t="s">
        <v>2308</v>
      </c>
      <c r="G317" s="27" t="s">
        <v>44</v>
      </c>
      <c r="H317" s="91">
        <v>1372.65</v>
      </c>
      <c r="I317" s="50">
        <v>46076</v>
      </c>
      <c r="J317" s="50">
        <v>46077</v>
      </c>
      <c r="K317" s="57">
        <v>144</v>
      </c>
      <c r="L317" s="39">
        <v>1295</v>
      </c>
      <c r="M317" s="52">
        <v>30</v>
      </c>
      <c r="N317" s="73" t="s">
        <v>2281</v>
      </c>
      <c r="O317" s="27" t="s">
        <v>1575</v>
      </c>
      <c r="P317" s="63"/>
    </row>
    <row r="318" spans="1:16" ht="91.5" hidden="1">
      <c r="A318" s="27" t="s">
        <v>34</v>
      </c>
      <c r="B318" s="27" t="s">
        <v>34</v>
      </c>
      <c r="C318" s="25" t="s">
        <v>2236</v>
      </c>
      <c r="D318" s="53"/>
      <c r="E318" s="27" t="s">
        <v>40</v>
      </c>
      <c r="F318" s="27" t="s">
        <v>2308</v>
      </c>
      <c r="G318" s="27" t="s">
        <v>44</v>
      </c>
      <c r="H318" s="91">
        <v>1372.65</v>
      </c>
      <c r="I318" s="50">
        <v>46099</v>
      </c>
      <c r="J318" s="50">
        <v>46104</v>
      </c>
      <c r="K318" s="57">
        <v>286</v>
      </c>
      <c r="L318" s="39">
        <v>1295</v>
      </c>
      <c r="M318" s="52">
        <v>30</v>
      </c>
      <c r="N318" s="73" t="s">
        <v>2281</v>
      </c>
      <c r="O318" s="27" t="s">
        <v>1575</v>
      </c>
      <c r="P318" s="63"/>
    </row>
    <row r="319" spans="1:16" hidden="1">
      <c r="A319" s="27" t="s">
        <v>34</v>
      </c>
      <c r="B319" s="27" t="s">
        <v>34</v>
      </c>
      <c r="C319" s="25" t="s">
        <v>2236</v>
      </c>
      <c r="D319" s="53"/>
      <c r="E319" s="27" t="s">
        <v>40</v>
      </c>
      <c r="F319" s="27" t="s">
        <v>2308</v>
      </c>
      <c r="G319" s="27" t="s">
        <v>44</v>
      </c>
      <c r="H319" s="91">
        <v>1372.65</v>
      </c>
      <c r="I319" s="50">
        <v>46127</v>
      </c>
      <c r="J319" s="50">
        <v>46132</v>
      </c>
      <c r="K319" s="57">
        <v>319</v>
      </c>
      <c r="L319" s="39">
        <v>1295</v>
      </c>
      <c r="M319" s="52">
        <v>30</v>
      </c>
      <c r="N319" s="73" t="s">
        <v>2281</v>
      </c>
      <c r="O319" s="27" t="s">
        <v>1575</v>
      </c>
      <c r="P319" s="63"/>
    </row>
    <row r="320" spans="1:16" ht="91.5" hidden="1">
      <c r="A320" s="27">
        <v>3619858</v>
      </c>
      <c r="B320" s="27">
        <v>3766711</v>
      </c>
      <c r="C320" s="66" t="s">
        <v>2277</v>
      </c>
      <c r="D320" s="53" t="s">
        <v>2278</v>
      </c>
      <c r="E320" s="27" t="s">
        <v>40</v>
      </c>
      <c r="F320" s="27" t="s">
        <v>2279</v>
      </c>
      <c r="G320" s="27" t="s">
        <v>44</v>
      </c>
      <c r="H320" s="91">
        <v>4019.25</v>
      </c>
      <c r="I320" s="50">
        <v>46071</v>
      </c>
      <c r="J320" s="50">
        <v>46072</v>
      </c>
      <c r="K320" s="57">
        <v>625243</v>
      </c>
      <c r="L320" s="39" t="s">
        <v>2280</v>
      </c>
      <c r="M320" s="27">
        <v>153</v>
      </c>
      <c r="N320" s="99" t="s">
        <v>2281</v>
      </c>
      <c r="O320" s="27" t="s">
        <v>1575</v>
      </c>
      <c r="P320" s="63"/>
    </row>
    <row r="321" spans="1:16" ht="91.5" hidden="1">
      <c r="A321" s="207">
        <v>3619858</v>
      </c>
      <c r="B321" s="207">
        <v>3766711</v>
      </c>
      <c r="C321" s="153" t="s">
        <v>2277</v>
      </c>
      <c r="D321" s="231" t="s">
        <v>2278</v>
      </c>
      <c r="E321" s="207" t="s">
        <v>40</v>
      </c>
      <c r="F321" s="207" t="s">
        <v>2279</v>
      </c>
      <c r="G321" s="207" t="s">
        <v>44</v>
      </c>
      <c r="H321" s="232">
        <v>4208.75</v>
      </c>
      <c r="I321" s="233">
        <v>46094</v>
      </c>
      <c r="J321" s="233">
        <v>46099</v>
      </c>
      <c r="K321" s="234">
        <v>632563</v>
      </c>
      <c r="L321" s="235" t="s">
        <v>2280</v>
      </c>
      <c r="M321" s="207">
        <v>153</v>
      </c>
      <c r="N321" s="236" t="s">
        <v>2281</v>
      </c>
      <c r="O321" s="207" t="s">
        <v>1575</v>
      </c>
      <c r="P321" s="63"/>
    </row>
    <row r="322" spans="1:16" ht="45.75" hidden="1">
      <c r="A322" s="207">
        <v>3619858</v>
      </c>
      <c r="B322" s="207">
        <v>3766711</v>
      </c>
      <c r="C322" s="153" t="s">
        <v>2277</v>
      </c>
      <c r="D322" s="231" t="s">
        <v>2278</v>
      </c>
      <c r="E322" s="207" t="s">
        <v>40</v>
      </c>
      <c r="F322" s="207" t="s">
        <v>2279</v>
      </c>
      <c r="G322" s="207" t="s">
        <v>44</v>
      </c>
      <c r="H322" s="232">
        <v>4208.75</v>
      </c>
      <c r="I322" s="233">
        <v>46122</v>
      </c>
      <c r="J322" s="233">
        <v>46127</v>
      </c>
      <c r="K322" s="234">
        <v>639146</v>
      </c>
      <c r="L322" s="235" t="s">
        <v>2280</v>
      </c>
      <c r="M322" s="207">
        <v>153</v>
      </c>
      <c r="N322" s="236" t="s">
        <v>2281</v>
      </c>
      <c r="O322" s="207" t="s">
        <v>1575</v>
      </c>
      <c r="P322" s="63"/>
    </row>
    <row r="323" spans="1:16" ht="30.75">
      <c r="A323" s="27">
        <v>4168151</v>
      </c>
      <c r="B323" s="27">
        <v>4324442</v>
      </c>
      <c r="C323" s="66" t="s">
        <v>2429</v>
      </c>
      <c r="D323" s="190">
        <v>16445</v>
      </c>
      <c r="E323" s="27" t="s">
        <v>40</v>
      </c>
      <c r="F323" s="27" t="s">
        <v>2256</v>
      </c>
      <c r="G323" s="27" t="s">
        <v>44</v>
      </c>
      <c r="H323" s="91">
        <v>3914.59</v>
      </c>
      <c r="I323" s="50">
        <v>46072</v>
      </c>
      <c r="J323" s="50">
        <v>46072</v>
      </c>
      <c r="K323" s="57">
        <v>6582</v>
      </c>
      <c r="L323" s="39">
        <v>2488</v>
      </c>
      <c r="M323" s="27">
        <v>9</v>
      </c>
      <c r="N323" s="99" t="s">
        <v>2281</v>
      </c>
      <c r="O323" s="27" t="s">
        <v>1575</v>
      </c>
      <c r="P323" s="63"/>
    </row>
    <row r="324" spans="1:16" ht="91.5" hidden="1">
      <c r="A324" s="151">
        <v>4039778</v>
      </c>
      <c r="B324" s="14">
        <v>4165984</v>
      </c>
      <c r="C324" s="66" t="s">
        <v>2430</v>
      </c>
      <c r="D324" s="27">
        <v>120411</v>
      </c>
      <c r="E324" s="27" t="s">
        <v>48</v>
      </c>
      <c r="F324" s="27" t="s">
        <v>91</v>
      </c>
      <c r="G324" s="27" t="s">
        <v>94</v>
      </c>
      <c r="H324" s="193">
        <v>840</v>
      </c>
      <c r="I324" s="50">
        <v>46072</v>
      </c>
      <c r="J324" s="50">
        <v>46076</v>
      </c>
      <c r="K324" s="24" t="s">
        <v>2431</v>
      </c>
      <c r="L324" s="39" t="s">
        <v>2432</v>
      </c>
      <c r="M324" s="27">
        <v>242</v>
      </c>
      <c r="N324" s="99" t="s">
        <v>2281</v>
      </c>
      <c r="O324" s="151" t="s">
        <v>1118</v>
      </c>
      <c r="P324" s="27">
        <v>4405966</v>
      </c>
    </row>
    <row r="325" spans="1:16" s="197" customFormat="1" ht="91.5" hidden="1">
      <c r="A325" s="151">
        <v>4039778</v>
      </c>
      <c r="B325" s="14">
        <v>4165984</v>
      </c>
      <c r="C325" s="25" t="s">
        <v>2433</v>
      </c>
      <c r="D325" s="27">
        <v>120411</v>
      </c>
      <c r="E325" s="27" t="s">
        <v>48</v>
      </c>
      <c r="F325" s="27" t="s">
        <v>91</v>
      </c>
      <c r="G325" s="27" t="s">
        <v>94</v>
      </c>
      <c r="H325" s="193">
        <v>3050</v>
      </c>
      <c r="I325" s="50">
        <v>46072</v>
      </c>
      <c r="J325" s="50">
        <v>46073</v>
      </c>
      <c r="K325" s="24" t="s">
        <v>2434</v>
      </c>
      <c r="L325" s="39" t="s">
        <v>2435</v>
      </c>
      <c r="M325" s="27">
        <v>242</v>
      </c>
      <c r="N325" s="99" t="s">
        <v>2281</v>
      </c>
      <c r="O325" s="27" t="s">
        <v>1118</v>
      </c>
      <c r="P325" s="63"/>
    </row>
    <row r="326" spans="1:16" s="197" customFormat="1" ht="91.5" hidden="1">
      <c r="A326" s="151">
        <v>4406015</v>
      </c>
      <c r="B326" s="14">
        <v>4513796</v>
      </c>
      <c r="C326" s="25" t="s">
        <v>2436</v>
      </c>
      <c r="D326" s="27">
        <v>120411</v>
      </c>
      <c r="E326" s="27" t="s">
        <v>48</v>
      </c>
      <c r="F326" s="27" t="s">
        <v>91</v>
      </c>
      <c r="G326" s="27" t="s">
        <v>94</v>
      </c>
      <c r="H326" s="193">
        <v>2700</v>
      </c>
      <c r="I326" s="50">
        <v>46078</v>
      </c>
      <c r="J326" s="50">
        <v>46085</v>
      </c>
      <c r="K326" s="24">
        <v>2152</v>
      </c>
      <c r="L326" s="39" t="s">
        <v>2437</v>
      </c>
      <c r="M326" s="27">
        <v>242</v>
      </c>
      <c r="N326" s="99" t="s">
        <v>2281</v>
      </c>
      <c r="O326" s="27" t="s">
        <v>1118</v>
      </c>
      <c r="P326" s="63"/>
    </row>
    <row r="327" spans="1:16" s="197" customFormat="1" ht="91.5" hidden="1">
      <c r="A327" s="151">
        <v>4432624</v>
      </c>
      <c r="B327" s="14">
        <v>4537397</v>
      </c>
      <c r="C327" s="25" t="s">
        <v>2438</v>
      </c>
      <c r="D327" s="27">
        <v>120411</v>
      </c>
      <c r="E327" s="27" t="s">
        <v>48</v>
      </c>
      <c r="F327" s="27" t="s">
        <v>91</v>
      </c>
      <c r="G327" s="27" t="s">
        <v>94</v>
      </c>
      <c r="H327" s="193">
        <v>800</v>
      </c>
      <c r="I327" s="50">
        <v>46090</v>
      </c>
      <c r="J327" s="50">
        <v>46093</v>
      </c>
      <c r="K327" s="24">
        <v>2162</v>
      </c>
      <c r="L327" s="39" t="s">
        <v>2439</v>
      </c>
      <c r="M327" s="27">
        <v>242</v>
      </c>
      <c r="N327" s="99" t="s">
        <v>2281</v>
      </c>
      <c r="O327" s="27" t="s">
        <v>1118</v>
      </c>
      <c r="P327" s="63"/>
    </row>
    <row r="328" spans="1:16" s="197" customFormat="1" ht="91.5" hidden="1">
      <c r="A328" s="151">
        <v>4432624</v>
      </c>
      <c r="B328" s="14">
        <v>4537397</v>
      </c>
      <c r="C328" s="25" t="s">
        <v>2440</v>
      </c>
      <c r="D328" s="27">
        <v>120411</v>
      </c>
      <c r="E328" s="27" t="s">
        <v>48</v>
      </c>
      <c r="F328" s="27" t="s">
        <v>91</v>
      </c>
      <c r="G328" s="27" t="s">
        <v>94</v>
      </c>
      <c r="H328" s="193">
        <v>3780</v>
      </c>
      <c r="I328" s="50">
        <v>46090</v>
      </c>
      <c r="J328" s="50">
        <v>46093</v>
      </c>
      <c r="K328" s="24">
        <v>2161</v>
      </c>
      <c r="L328" s="39" t="s">
        <v>2441</v>
      </c>
      <c r="M328" s="27">
        <v>242</v>
      </c>
      <c r="N328" s="99" t="s">
        <v>2281</v>
      </c>
      <c r="O328" s="27" t="s">
        <v>1118</v>
      </c>
      <c r="P328" s="63"/>
    </row>
    <row r="329" spans="1:16" s="197" customFormat="1" ht="244.5" hidden="1">
      <c r="A329" s="151">
        <v>4433292</v>
      </c>
      <c r="B329" s="14">
        <v>4537931</v>
      </c>
      <c r="C329" s="25" t="s">
        <v>2442</v>
      </c>
      <c r="D329" s="27">
        <v>120411</v>
      </c>
      <c r="E329" s="27" t="s">
        <v>48</v>
      </c>
      <c r="F329" s="27" t="s">
        <v>91</v>
      </c>
      <c r="G329" s="27" t="s">
        <v>94</v>
      </c>
      <c r="H329" s="193">
        <v>18450</v>
      </c>
      <c r="I329" s="50">
        <v>46104</v>
      </c>
      <c r="J329" s="50">
        <v>46108</v>
      </c>
      <c r="K329" s="24">
        <v>2167</v>
      </c>
      <c r="L329" s="39" t="s">
        <v>2443</v>
      </c>
      <c r="M329" s="27">
        <v>242</v>
      </c>
      <c r="N329" s="99" t="s">
        <v>2281</v>
      </c>
      <c r="O329" s="27" t="s">
        <v>1118</v>
      </c>
      <c r="P329" s="63"/>
    </row>
    <row r="330" spans="1:16" s="197" customFormat="1" ht="76.5" hidden="1">
      <c r="A330" s="151">
        <v>4433292</v>
      </c>
      <c r="B330" s="14">
        <v>4537931</v>
      </c>
      <c r="C330" s="25" t="s">
        <v>2444</v>
      </c>
      <c r="D330" s="27">
        <v>120411</v>
      </c>
      <c r="E330" s="27" t="s">
        <v>48</v>
      </c>
      <c r="F330" s="27" t="s">
        <v>91</v>
      </c>
      <c r="G330" s="27" t="s">
        <v>94</v>
      </c>
      <c r="H330" s="193">
        <v>4410</v>
      </c>
      <c r="I330" s="50">
        <v>46104</v>
      </c>
      <c r="J330" s="50">
        <v>46108</v>
      </c>
      <c r="K330" s="24">
        <v>2168</v>
      </c>
      <c r="L330" s="39" t="s">
        <v>2445</v>
      </c>
      <c r="M330" s="27">
        <v>242</v>
      </c>
      <c r="N330" s="99" t="s">
        <v>2281</v>
      </c>
      <c r="O330" s="27" t="s">
        <v>1118</v>
      </c>
      <c r="P330" s="63"/>
    </row>
    <row r="331" spans="1:16" s="197" customFormat="1" ht="30.75" hidden="1">
      <c r="A331" s="27">
        <v>4039778</v>
      </c>
      <c r="B331" s="27">
        <v>4165984</v>
      </c>
      <c r="C331" s="25" t="s">
        <v>2446</v>
      </c>
      <c r="D331" s="27">
        <v>120411</v>
      </c>
      <c r="E331" s="27" t="s">
        <v>48</v>
      </c>
      <c r="F331" s="27" t="s">
        <v>91</v>
      </c>
      <c r="G331" s="27" t="s">
        <v>94</v>
      </c>
      <c r="H331" s="193">
        <v>1700</v>
      </c>
      <c r="I331" s="50">
        <v>46114</v>
      </c>
      <c r="J331" s="50">
        <v>46119</v>
      </c>
      <c r="K331" s="24">
        <v>2179</v>
      </c>
      <c r="L331" s="39" t="s">
        <v>2447</v>
      </c>
      <c r="M331" s="27">
        <v>242</v>
      </c>
      <c r="N331" s="99" t="s">
        <v>2281</v>
      </c>
      <c r="O331" s="27" t="s">
        <v>1118</v>
      </c>
      <c r="P331" s="63"/>
    </row>
    <row r="332" spans="1:16" s="197" customFormat="1" ht="137.25" hidden="1">
      <c r="A332" s="151">
        <v>4039904</v>
      </c>
      <c r="B332" s="27">
        <v>4165989</v>
      </c>
      <c r="C332" s="25" t="s">
        <v>2448</v>
      </c>
      <c r="D332" s="27">
        <v>120411</v>
      </c>
      <c r="E332" s="27" t="s">
        <v>48</v>
      </c>
      <c r="F332" s="27" t="s">
        <v>91</v>
      </c>
      <c r="G332" s="27" t="s">
        <v>94</v>
      </c>
      <c r="H332" s="193">
        <v>9082</v>
      </c>
      <c r="I332" s="50">
        <v>46114</v>
      </c>
      <c r="J332" s="50">
        <v>46119</v>
      </c>
      <c r="K332" s="24">
        <v>2178</v>
      </c>
      <c r="L332" s="39" t="s">
        <v>2449</v>
      </c>
      <c r="M332" s="27">
        <v>242</v>
      </c>
      <c r="N332" s="99" t="s">
        <v>2281</v>
      </c>
      <c r="O332" s="27" t="s">
        <v>1118</v>
      </c>
      <c r="P332" s="63"/>
    </row>
    <row r="333" spans="1:16" s="197" customFormat="1" ht="106.5" hidden="1">
      <c r="A333" s="27">
        <v>4039778</v>
      </c>
      <c r="B333" s="27">
        <v>4165984</v>
      </c>
      <c r="C333" s="25" t="s">
        <v>2450</v>
      </c>
      <c r="D333" s="27">
        <v>120411</v>
      </c>
      <c r="E333" s="27" t="s">
        <v>48</v>
      </c>
      <c r="F333" s="27" t="s">
        <v>91</v>
      </c>
      <c r="G333" s="27" t="s">
        <v>94</v>
      </c>
      <c r="H333" s="193">
        <v>8450</v>
      </c>
      <c r="I333" s="50">
        <v>46128</v>
      </c>
      <c r="J333" s="50">
        <v>46134</v>
      </c>
      <c r="K333" s="24">
        <v>2185</v>
      </c>
      <c r="L333" s="39" t="s">
        <v>2451</v>
      </c>
      <c r="M333" s="27">
        <v>242</v>
      </c>
      <c r="N333" s="99" t="s">
        <v>2281</v>
      </c>
      <c r="O333" s="27" t="s">
        <v>1118</v>
      </c>
      <c r="P333" s="63"/>
    </row>
    <row r="334" spans="1:16" s="197" customFormat="1" ht="60.75" hidden="1">
      <c r="A334" s="151">
        <v>4039904</v>
      </c>
      <c r="B334" s="27">
        <v>4165989</v>
      </c>
      <c r="C334" s="25" t="s">
        <v>2452</v>
      </c>
      <c r="D334" s="27">
        <v>120411</v>
      </c>
      <c r="E334" s="27" t="s">
        <v>48</v>
      </c>
      <c r="F334" s="27" t="s">
        <v>91</v>
      </c>
      <c r="G334" s="27" t="s">
        <v>94</v>
      </c>
      <c r="H334" s="193">
        <v>3885</v>
      </c>
      <c r="I334" s="50">
        <v>46128</v>
      </c>
      <c r="J334" s="50">
        <v>46134</v>
      </c>
      <c r="K334" s="24">
        <v>2186</v>
      </c>
      <c r="L334" s="39">
        <v>2488</v>
      </c>
      <c r="M334" s="27">
        <v>242</v>
      </c>
      <c r="N334" s="99" t="s">
        <v>2281</v>
      </c>
      <c r="O334" s="27" t="s">
        <v>1118</v>
      </c>
      <c r="P334" s="63"/>
    </row>
    <row r="335" spans="1:16" s="197" customFormat="1" ht="30.75">
      <c r="A335" s="27">
        <v>4125235</v>
      </c>
      <c r="B335" s="27">
        <v>4245557</v>
      </c>
      <c r="C335" s="25" t="s">
        <v>2453</v>
      </c>
      <c r="D335" s="190">
        <v>16445</v>
      </c>
      <c r="E335" s="27" t="s">
        <v>40</v>
      </c>
      <c r="F335" s="27" t="s">
        <v>2256</v>
      </c>
      <c r="G335" s="27" t="s">
        <v>44</v>
      </c>
      <c r="H335" s="193">
        <v>6150</v>
      </c>
      <c r="I335" s="50">
        <v>46076</v>
      </c>
      <c r="J335" s="50">
        <v>46076</v>
      </c>
      <c r="K335" s="57">
        <v>6595</v>
      </c>
      <c r="L335" s="39" t="s">
        <v>2454</v>
      </c>
      <c r="M335" s="27">
        <v>9</v>
      </c>
      <c r="N335" s="99" t="s">
        <v>2281</v>
      </c>
      <c r="O335" s="27" t="s">
        <v>1118</v>
      </c>
      <c r="P335" s="63"/>
    </row>
    <row r="336" spans="1:16" s="197" customFormat="1" ht="45.75">
      <c r="A336" s="14">
        <v>4125154</v>
      </c>
      <c r="B336" s="206">
        <v>4245451</v>
      </c>
      <c r="C336" s="25" t="s">
        <v>2455</v>
      </c>
      <c r="D336" s="190">
        <v>16445</v>
      </c>
      <c r="E336" s="27" t="s">
        <v>40</v>
      </c>
      <c r="F336" s="27" t="s">
        <v>2256</v>
      </c>
      <c r="G336" s="27" t="s">
        <v>44</v>
      </c>
      <c r="H336" s="193">
        <v>4550</v>
      </c>
      <c r="I336" s="50">
        <v>46085</v>
      </c>
      <c r="J336" s="50">
        <v>46094</v>
      </c>
      <c r="K336" s="57">
        <v>6624</v>
      </c>
      <c r="L336" s="39" t="s">
        <v>2456</v>
      </c>
      <c r="M336" s="27">
        <v>9</v>
      </c>
      <c r="N336" s="99" t="s">
        <v>2281</v>
      </c>
      <c r="O336" s="27" t="s">
        <v>1575</v>
      </c>
      <c r="P336" s="63"/>
    </row>
    <row r="337" spans="1:16" s="197" customFormat="1" ht="30.75">
      <c r="A337" s="27">
        <v>4125235</v>
      </c>
      <c r="B337" s="206">
        <v>4245557</v>
      </c>
      <c r="C337" s="25" t="s">
        <v>2457</v>
      </c>
      <c r="D337" s="190">
        <v>16445</v>
      </c>
      <c r="E337" s="27" t="s">
        <v>40</v>
      </c>
      <c r="F337" s="27" t="s">
        <v>2256</v>
      </c>
      <c r="G337" s="27" t="s">
        <v>44</v>
      </c>
      <c r="H337" s="193">
        <v>2009.17</v>
      </c>
      <c r="I337" s="50">
        <v>46098</v>
      </c>
      <c r="J337" s="50">
        <v>46099</v>
      </c>
      <c r="K337" s="57">
        <v>6651</v>
      </c>
      <c r="L337" s="39">
        <v>2224</v>
      </c>
      <c r="M337" s="27">
        <v>9</v>
      </c>
      <c r="N337" s="99" t="s">
        <v>2281</v>
      </c>
      <c r="O337" s="27" t="s">
        <v>1575</v>
      </c>
      <c r="P337" s="63"/>
    </row>
    <row r="338" spans="1:16" s="197" customFormat="1" ht="30.75">
      <c r="A338" s="27">
        <v>4125235</v>
      </c>
      <c r="B338" s="206">
        <v>4245557</v>
      </c>
      <c r="C338" s="25" t="s">
        <v>2458</v>
      </c>
      <c r="D338" s="190">
        <v>16445</v>
      </c>
      <c r="E338" s="27" t="s">
        <v>40</v>
      </c>
      <c r="F338" s="27" t="s">
        <v>2256</v>
      </c>
      <c r="G338" s="27" t="s">
        <v>44</v>
      </c>
      <c r="H338" s="193">
        <v>2264.17</v>
      </c>
      <c r="I338" s="50">
        <v>46105</v>
      </c>
      <c r="J338" s="50">
        <v>46108</v>
      </c>
      <c r="K338" s="57">
        <v>6659</v>
      </c>
      <c r="L338" s="39">
        <v>2330</v>
      </c>
      <c r="M338" s="27">
        <v>9</v>
      </c>
      <c r="N338" s="99" t="s">
        <v>2281</v>
      </c>
      <c r="O338" s="27" t="s">
        <v>1575</v>
      </c>
      <c r="P338" s="63"/>
    </row>
    <row r="339" spans="1:16" s="197" customFormat="1" ht="30.75">
      <c r="A339" s="27">
        <v>4125235</v>
      </c>
      <c r="B339" s="206">
        <v>4245557</v>
      </c>
      <c r="C339" s="203" t="s">
        <v>2459</v>
      </c>
      <c r="D339" s="190">
        <v>16445</v>
      </c>
      <c r="E339" s="27" t="s">
        <v>40</v>
      </c>
      <c r="F339" s="27" t="s">
        <v>2256</v>
      </c>
      <c r="G339" s="27" t="s">
        <v>44</v>
      </c>
      <c r="H339" s="193">
        <v>4550</v>
      </c>
      <c r="I339" s="50">
        <v>46105</v>
      </c>
      <c r="J339" s="50">
        <v>46106</v>
      </c>
      <c r="K339" s="57">
        <v>6660</v>
      </c>
      <c r="L339" s="39">
        <v>1244</v>
      </c>
      <c r="M339" s="27">
        <v>9</v>
      </c>
      <c r="N339" s="99" t="s">
        <v>2281</v>
      </c>
      <c r="O339" s="27" t="s">
        <v>1575</v>
      </c>
      <c r="P339" s="63"/>
    </row>
    <row r="340" spans="1:16" s="197" customFormat="1" ht="30.75">
      <c r="A340" s="27">
        <v>4125235</v>
      </c>
      <c r="B340" s="206">
        <v>4245557</v>
      </c>
      <c r="C340" s="203" t="s">
        <v>2460</v>
      </c>
      <c r="D340" s="190">
        <v>16445</v>
      </c>
      <c r="E340" s="27" t="s">
        <v>40</v>
      </c>
      <c r="F340" s="27" t="s">
        <v>2256</v>
      </c>
      <c r="G340" s="27" t="s">
        <v>44</v>
      </c>
      <c r="H340" s="193">
        <v>3765.83</v>
      </c>
      <c r="I340" s="50">
        <v>46112</v>
      </c>
      <c r="J340" s="50">
        <v>46112</v>
      </c>
      <c r="K340" s="57">
        <v>6669</v>
      </c>
      <c r="L340" s="39">
        <v>2119</v>
      </c>
      <c r="M340" s="27">
        <v>9</v>
      </c>
      <c r="N340" s="99" t="s">
        <v>2281</v>
      </c>
      <c r="O340" s="27" t="s">
        <v>1575</v>
      </c>
      <c r="P340" s="63"/>
    </row>
    <row r="341" spans="1:16" s="197" customFormat="1" ht="30.75">
      <c r="A341" s="27">
        <v>4125235</v>
      </c>
      <c r="B341" s="206">
        <v>4245557</v>
      </c>
      <c r="C341" s="203" t="s">
        <v>2461</v>
      </c>
      <c r="D341" s="190">
        <v>16445</v>
      </c>
      <c r="E341" s="27" t="s">
        <v>40</v>
      </c>
      <c r="F341" s="27" t="s">
        <v>2256</v>
      </c>
      <c r="G341" s="27" t="s">
        <v>44</v>
      </c>
      <c r="H341" s="193">
        <v>2462.5</v>
      </c>
      <c r="I341" s="50">
        <v>46113</v>
      </c>
      <c r="J341" s="50">
        <v>46114</v>
      </c>
      <c r="K341" s="57">
        <v>6674</v>
      </c>
      <c r="L341" s="39" t="s">
        <v>2462</v>
      </c>
      <c r="M341" s="27">
        <v>9</v>
      </c>
      <c r="N341" s="99" t="s">
        <v>2281</v>
      </c>
      <c r="O341" s="27" t="s">
        <v>1575</v>
      </c>
      <c r="P341" s="63"/>
    </row>
    <row r="342" spans="1:16" s="197" customFormat="1" ht="30.75">
      <c r="A342" s="27">
        <v>4168151</v>
      </c>
      <c r="B342" s="27">
        <v>4324442</v>
      </c>
      <c r="C342" s="203" t="s">
        <v>2463</v>
      </c>
      <c r="D342" s="190">
        <v>16445</v>
      </c>
      <c r="E342" s="27" t="s">
        <v>40</v>
      </c>
      <c r="F342" s="27" t="s">
        <v>2256</v>
      </c>
      <c r="G342" s="27" t="s">
        <v>44</v>
      </c>
      <c r="H342" s="193">
        <v>3665.49</v>
      </c>
      <c r="I342" s="50">
        <v>46132</v>
      </c>
      <c r="J342" s="50">
        <v>46135</v>
      </c>
      <c r="K342" s="57">
        <v>6715</v>
      </c>
      <c r="L342" s="39">
        <v>2330</v>
      </c>
      <c r="M342" s="27">
        <v>9</v>
      </c>
      <c r="N342" s="99" t="s">
        <v>2281</v>
      </c>
      <c r="O342" s="27" t="s">
        <v>1575</v>
      </c>
      <c r="P342" s="63"/>
    </row>
    <row r="343" spans="1:16" s="197" customFormat="1" ht="30.75">
      <c r="A343" s="27">
        <v>4125189</v>
      </c>
      <c r="B343" s="27">
        <v>4245547</v>
      </c>
      <c r="C343" s="203" t="s">
        <v>2464</v>
      </c>
      <c r="D343" s="190">
        <v>16445</v>
      </c>
      <c r="E343" s="27" t="s">
        <v>40</v>
      </c>
      <c r="F343" s="27" t="s">
        <v>2256</v>
      </c>
      <c r="G343" s="27" t="s">
        <v>44</v>
      </c>
      <c r="H343" s="193">
        <v>6150</v>
      </c>
      <c r="I343" s="50">
        <v>46146</v>
      </c>
      <c r="J343" s="50">
        <v>46147</v>
      </c>
      <c r="K343" s="58" t="s">
        <v>2465</v>
      </c>
      <c r="L343" s="39">
        <v>1244</v>
      </c>
      <c r="M343" s="27">
        <v>9</v>
      </c>
      <c r="N343" s="99" t="s">
        <v>2281</v>
      </c>
      <c r="O343" s="27" t="s">
        <v>1575</v>
      </c>
      <c r="P343" s="63"/>
    </row>
    <row r="344" spans="1:16" s="197" customFormat="1" ht="30.75">
      <c r="A344" s="27">
        <v>4168151</v>
      </c>
      <c r="B344" s="27">
        <v>4324442</v>
      </c>
      <c r="C344" s="203" t="s">
        <v>2466</v>
      </c>
      <c r="D344" s="190">
        <v>16445</v>
      </c>
      <c r="E344" s="27" t="s">
        <v>40</v>
      </c>
      <c r="F344" s="27" t="s">
        <v>2256</v>
      </c>
      <c r="G344" s="27" t="s">
        <v>44</v>
      </c>
      <c r="H344" s="193">
        <v>5754.29</v>
      </c>
      <c r="I344" s="50">
        <v>46134</v>
      </c>
      <c r="J344" s="50">
        <v>46135</v>
      </c>
      <c r="K344" s="57">
        <v>6717</v>
      </c>
      <c r="L344" s="39">
        <v>2224</v>
      </c>
      <c r="M344" s="27">
        <v>9</v>
      </c>
      <c r="N344" s="99" t="s">
        <v>2281</v>
      </c>
      <c r="O344" s="27" t="s">
        <v>1575</v>
      </c>
      <c r="P344" s="63"/>
    </row>
    <row r="345" spans="1:16" s="197" customFormat="1" ht="30.75">
      <c r="A345" s="207">
        <v>4125189</v>
      </c>
      <c r="B345" s="206">
        <v>4245547</v>
      </c>
      <c r="C345" s="203" t="s">
        <v>2467</v>
      </c>
      <c r="D345" s="190">
        <v>16445</v>
      </c>
      <c r="E345" s="27" t="s">
        <v>40</v>
      </c>
      <c r="F345" s="27" t="s">
        <v>2256</v>
      </c>
      <c r="G345" s="27" t="s">
        <v>44</v>
      </c>
      <c r="H345" s="193">
        <v>6150</v>
      </c>
      <c r="I345" s="50">
        <v>46035</v>
      </c>
      <c r="J345" s="50">
        <v>46120</v>
      </c>
      <c r="K345" s="57">
        <v>6499</v>
      </c>
      <c r="L345" s="39" t="s">
        <v>2468</v>
      </c>
      <c r="M345" s="27">
        <v>9</v>
      </c>
      <c r="N345" s="99" t="s">
        <v>2281</v>
      </c>
      <c r="O345" s="27" t="s">
        <v>1575</v>
      </c>
      <c r="P345" s="63"/>
    </row>
    <row r="346" spans="1:16" s="197" customFormat="1" ht="30.75">
      <c r="A346" s="27">
        <v>4125235</v>
      </c>
      <c r="B346" s="206">
        <v>4245557</v>
      </c>
      <c r="C346" s="203" t="s">
        <v>2469</v>
      </c>
      <c r="D346" s="190">
        <v>16445</v>
      </c>
      <c r="E346" s="27" t="s">
        <v>40</v>
      </c>
      <c r="F346" s="27" t="s">
        <v>2256</v>
      </c>
      <c r="G346" s="27" t="s">
        <v>44</v>
      </c>
      <c r="H346" s="193">
        <v>4458.16</v>
      </c>
      <c r="I346" s="50"/>
      <c r="J346" s="50"/>
      <c r="K346" s="57">
        <v>6741</v>
      </c>
      <c r="L346" s="39"/>
      <c r="M346" s="27">
        <v>9</v>
      </c>
      <c r="N346" s="99"/>
      <c r="O346" s="27"/>
      <c r="P346" s="63"/>
    </row>
    <row r="347" spans="1:16" s="197" customFormat="1" ht="91.5" hidden="1">
      <c r="A347" s="154">
        <v>4264873</v>
      </c>
      <c r="B347" s="152">
        <v>4412622</v>
      </c>
      <c r="C347" s="203" t="s">
        <v>2470</v>
      </c>
      <c r="D347" s="190">
        <v>128212</v>
      </c>
      <c r="E347" s="27" t="s">
        <v>40</v>
      </c>
      <c r="F347" s="27" t="s">
        <v>2263</v>
      </c>
      <c r="G347" s="27" t="s">
        <v>35</v>
      </c>
      <c r="H347" s="198">
        <v>2890</v>
      </c>
      <c r="I347" s="50">
        <v>46076</v>
      </c>
      <c r="J347" s="50">
        <v>46087</v>
      </c>
      <c r="K347" s="57">
        <v>3380</v>
      </c>
      <c r="L347" s="39" t="s">
        <v>2471</v>
      </c>
      <c r="M347" s="52">
        <v>9</v>
      </c>
      <c r="N347" s="55" t="s">
        <v>2472</v>
      </c>
      <c r="O347" s="27" t="s">
        <v>1575</v>
      </c>
      <c r="P347" s="63"/>
    </row>
    <row r="348" spans="1:16" s="197" customFormat="1" ht="91.5" hidden="1">
      <c r="A348" s="14">
        <v>4264873</v>
      </c>
      <c r="B348" s="152">
        <v>4412622</v>
      </c>
      <c r="C348" s="25" t="s">
        <v>2473</v>
      </c>
      <c r="D348" s="190">
        <v>128212</v>
      </c>
      <c r="E348" s="27" t="s">
        <v>40</v>
      </c>
      <c r="F348" s="27" t="s">
        <v>2263</v>
      </c>
      <c r="G348" s="27" t="s">
        <v>35</v>
      </c>
      <c r="H348" s="193">
        <v>1750</v>
      </c>
      <c r="I348" s="50">
        <v>46105</v>
      </c>
      <c r="J348" s="50">
        <v>46105</v>
      </c>
      <c r="K348" s="57">
        <v>3403</v>
      </c>
      <c r="L348" s="39">
        <v>2321</v>
      </c>
      <c r="M348" s="52">
        <v>9</v>
      </c>
      <c r="N348" s="55" t="s">
        <v>2472</v>
      </c>
      <c r="O348" s="27" t="s">
        <v>1575</v>
      </c>
      <c r="P348" s="63"/>
    </row>
    <row r="349" spans="1:16" s="197" customFormat="1" hidden="1">
      <c r="A349" s="14">
        <v>4264873</v>
      </c>
      <c r="B349" s="152">
        <v>4412622</v>
      </c>
      <c r="C349" s="25" t="s">
        <v>2474</v>
      </c>
      <c r="D349" s="190">
        <v>128212</v>
      </c>
      <c r="E349" s="27" t="s">
        <v>40</v>
      </c>
      <c r="F349" s="27" t="s">
        <v>2263</v>
      </c>
      <c r="G349" s="27" t="s">
        <v>35</v>
      </c>
      <c r="H349" s="198">
        <v>750</v>
      </c>
      <c r="I349" s="50">
        <v>46105</v>
      </c>
      <c r="J349" s="50">
        <v>46105</v>
      </c>
      <c r="K349" s="57">
        <v>3404</v>
      </c>
      <c r="L349" s="39">
        <v>2321</v>
      </c>
      <c r="M349" s="52">
        <v>9</v>
      </c>
      <c r="N349" s="55" t="s">
        <v>2472</v>
      </c>
      <c r="O349" s="27" t="s">
        <v>1575</v>
      </c>
      <c r="P349" s="63"/>
    </row>
    <row r="350" spans="1:16" s="197" customFormat="1" hidden="1">
      <c r="A350" s="14">
        <v>4264873</v>
      </c>
      <c r="B350" s="152">
        <v>4412622</v>
      </c>
      <c r="C350" s="25" t="s">
        <v>2475</v>
      </c>
      <c r="D350" s="190">
        <v>128212</v>
      </c>
      <c r="E350" s="27" t="s">
        <v>40</v>
      </c>
      <c r="F350" s="27" t="s">
        <v>2263</v>
      </c>
      <c r="G350" s="27" t="s">
        <v>35</v>
      </c>
      <c r="H350" s="193">
        <v>780</v>
      </c>
      <c r="I350" s="50">
        <v>46127</v>
      </c>
      <c r="J350" s="50">
        <v>46129</v>
      </c>
      <c r="K350" s="57">
        <v>3426</v>
      </c>
      <c r="L350" s="39">
        <v>1295</v>
      </c>
      <c r="M350" s="52">
        <v>9</v>
      </c>
      <c r="N350" s="55" t="s">
        <v>2472</v>
      </c>
      <c r="O350" s="27" t="s">
        <v>1575</v>
      </c>
      <c r="P350" s="63"/>
    </row>
    <row r="351" spans="1:16" ht="91.5" hidden="1">
      <c r="A351" s="27">
        <v>4285976</v>
      </c>
      <c r="B351" s="27">
        <v>4412650</v>
      </c>
      <c r="C351" s="66" t="s">
        <v>2239</v>
      </c>
      <c r="D351" s="53" t="s">
        <v>2376</v>
      </c>
      <c r="E351" s="27" t="s">
        <v>40</v>
      </c>
      <c r="F351" s="27" t="s">
        <v>2377</v>
      </c>
      <c r="G351" s="27" t="s">
        <v>35</v>
      </c>
      <c r="H351" s="67">
        <v>8730</v>
      </c>
      <c r="I351" s="50">
        <v>46086</v>
      </c>
      <c r="J351" s="50">
        <v>46087</v>
      </c>
      <c r="K351" s="57">
        <v>874</v>
      </c>
      <c r="L351" s="39">
        <v>1210</v>
      </c>
      <c r="M351" s="52">
        <v>242</v>
      </c>
      <c r="N351" s="99" t="s">
        <v>2281</v>
      </c>
      <c r="O351" s="27" t="s">
        <v>1118</v>
      </c>
      <c r="P351" s="63"/>
    </row>
    <row r="352" spans="1:16" ht="91.5" hidden="1">
      <c r="A352" s="27">
        <v>4285976</v>
      </c>
      <c r="B352" s="27">
        <v>4412650</v>
      </c>
      <c r="C352" s="66" t="s">
        <v>2476</v>
      </c>
      <c r="D352" s="53" t="s">
        <v>2376</v>
      </c>
      <c r="E352" s="27" t="s">
        <v>40</v>
      </c>
      <c r="F352" s="27" t="s">
        <v>2377</v>
      </c>
      <c r="G352" s="27" t="s">
        <v>35</v>
      </c>
      <c r="H352" s="67">
        <v>8730</v>
      </c>
      <c r="I352" s="50">
        <v>46118</v>
      </c>
      <c r="J352" s="50">
        <v>46119</v>
      </c>
      <c r="K352" s="57">
        <v>934</v>
      </c>
      <c r="L352" s="39">
        <v>1210</v>
      </c>
      <c r="M352" s="52">
        <v>242</v>
      </c>
      <c r="N352" s="99" t="s">
        <v>2281</v>
      </c>
      <c r="O352" s="27" t="s">
        <v>1118</v>
      </c>
      <c r="P352" s="63"/>
    </row>
    <row r="379" ht="23.25" customHeight="1"/>
  </sheetData>
  <autoFilter ref="A1:Q352" xr:uid="{00000000-0009-0000-0000-000002000000}">
    <filterColumn colId="5">
      <filters>
        <filter val="DR AMBIENTAL"/>
      </filters>
    </filterColumn>
  </autoFilter>
  <conditionalFormatting sqref="A13:A25">
    <cfRule type="duplicateValues" dxfId="255" priority="411"/>
  </conditionalFormatting>
  <conditionalFormatting sqref="A53 A51 A49 A47 A45 A43 A41 A39 A37 A35 A33 A31">
    <cfRule type="duplicateValues" dxfId="254" priority="383"/>
  </conditionalFormatting>
  <conditionalFormatting sqref="A65:A70">
    <cfRule type="duplicateValues" dxfId="253" priority="349"/>
  </conditionalFormatting>
  <conditionalFormatting sqref="A81:A86">
    <cfRule type="duplicateValues" dxfId="252" priority="326"/>
  </conditionalFormatting>
  <conditionalFormatting sqref="A104:A113">
    <cfRule type="duplicateValues" dxfId="251" priority="482"/>
  </conditionalFormatting>
  <conditionalFormatting sqref="A120">
    <cfRule type="duplicateValues" dxfId="250" priority="229"/>
  </conditionalFormatting>
  <conditionalFormatting sqref="A123:A136">
    <cfRule type="duplicateValues" dxfId="249" priority="279"/>
  </conditionalFormatting>
  <conditionalFormatting sqref="A137:A146">
    <cfRule type="duplicateValues" dxfId="248" priority="273"/>
  </conditionalFormatting>
  <conditionalFormatting sqref="A156:A161">
    <cfRule type="duplicateValues" dxfId="247" priority="238"/>
  </conditionalFormatting>
  <conditionalFormatting sqref="A231">
    <cfRule type="duplicateValues" dxfId="246" priority="203"/>
  </conditionalFormatting>
  <conditionalFormatting sqref="A234">
    <cfRule type="duplicateValues" dxfId="245" priority="196"/>
  </conditionalFormatting>
  <conditionalFormatting sqref="A235">
    <cfRule type="duplicateValues" dxfId="244" priority="190"/>
  </conditionalFormatting>
  <conditionalFormatting sqref="A239">
    <cfRule type="duplicateValues" dxfId="243" priority="183"/>
  </conditionalFormatting>
  <conditionalFormatting sqref="A240">
    <cfRule type="duplicateValues" dxfId="242" priority="177"/>
  </conditionalFormatting>
  <conditionalFormatting sqref="A241">
    <cfRule type="duplicateValues" dxfId="241" priority="173"/>
  </conditionalFormatting>
  <conditionalFormatting sqref="A242">
    <cfRule type="duplicateValues" dxfId="240" priority="166"/>
  </conditionalFormatting>
  <conditionalFormatting sqref="A246:A247">
    <cfRule type="duplicateValues" dxfId="239" priority="153"/>
  </conditionalFormatting>
  <conditionalFormatting sqref="A250">
    <cfRule type="duplicateValues" dxfId="238" priority="145"/>
  </conditionalFormatting>
  <conditionalFormatting sqref="A251">
    <cfRule type="duplicateValues" dxfId="237" priority="134"/>
  </conditionalFormatting>
  <conditionalFormatting sqref="A261">
    <cfRule type="duplicateValues" dxfId="236" priority="117"/>
  </conditionalFormatting>
  <conditionalFormatting sqref="A262">
    <cfRule type="duplicateValues" dxfId="235" priority="108"/>
  </conditionalFormatting>
  <conditionalFormatting sqref="A263">
    <cfRule type="duplicateValues" dxfId="234" priority="104"/>
  </conditionalFormatting>
  <conditionalFormatting sqref="A268">
    <cfRule type="duplicateValues" dxfId="233" priority="87"/>
  </conditionalFormatting>
  <conditionalFormatting sqref="A270">
    <cfRule type="duplicateValues" dxfId="232" priority="82"/>
  </conditionalFormatting>
  <conditionalFormatting sqref="A272">
    <cfRule type="duplicateValues" dxfId="231" priority="74"/>
  </conditionalFormatting>
  <conditionalFormatting sqref="A281">
    <cfRule type="duplicateValues" dxfId="230" priority="66"/>
  </conditionalFormatting>
  <conditionalFormatting sqref="B1:B25">
    <cfRule type="duplicateValues" dxfId="229" priority="417"/>
  </conditionalFormatting>
  <conditionalFormatting sqref="B2:B12">
    <cfRule type="duplicateValues" dxfId="228" priority="416"/>
  </conditionalFormatting>
  <conditionalFormatting sqref="B13:B24">
    <cfRule type="duplicateValues" dxfId="227" priority="413"/>
  </conditionalFormatting>
  <conditionalFormatting sqref="B25">
    <cfRule type="duplicateValues" dxfId="226" priority="412"/>
  </conditionalFormatting>
  <conditionalFormatting sqref="B26">
    <cfRule type="duplicateValues" dxfId="225" priority="410"/>
  </conditionalFormatting>
  <conditionalFormatting sqref="B26:B54">
    <cfRule type="duplicateValues" dxfId="224" priority="407"/>
  </conditionalFormatting>
  <conditionalFormatting sqref="B27">
    <cfRule type="duplicateValues" dxfId="223" priority="396"/>
  </conditionalFormatting>
  <conditionalFormatting sqref="B28">
    <cfRule type="duplicateValues" dxfId="222" priority="395"/>
  </conditionalFormatting>
  <conditionalFormatting sqref="B29">
    <cfRule type="duplicateValues" dxfId="221" priority="391"/>
  </conditionalFormatting>
  <conditionalFormatting sqref="B30">
    <cfRule type="duplicateValues" dxfId="220" priority="387"/>
  </conditionalFormatting>
  <conditionalFormatting sqref="B32">
    <cfRule type="duplicateValues" dxfId="219" priority="381"/>
  </conditionalFormatting>
  <conditionalFormatting sqref="B34">
    <cfRule type="duplicateValues" dxfId="218" priority="380"/>
  </conditionalFormatting>
  <conditionalFormatting sqref="B36">
    <cfRule type="duplicateValues" dxfId="217" priority="379"/>
  </conditionalFormatting>
  <conditionalFormatting sqref="B38">
    <cfRule type="duplicateValues" dxfId="216" priority="378"/>
  </conditionalFormatting>
  <conditionalFormatting sqref="B40">
    <cfRule type="duplicateValues" dxfId="215" priority="377"/>
  </conditionalFormatting>
  <conditionalFormatting sqref="B42">
    <cfRule type="duplicateValues" dxfId="214" priority="376"/>
  </conditionalFormatting>
  <conditionalFormatting sqref="B44">
    <cfRule type="duplicateValues" dxfId="213" priority="375"/>
  </conditionalFormatting>
  <conditionalFormatting sqref="B46">
    <cfRule type="duplicateValues" dxfId="212" priority="374"/>
  </conditionalFormatting>
  <conditionalFormatting sqref="B48">
    <cfRule type="duplicateValues" dxfId="211" priority="373"/>
  </conditionalFormatting>
  <conditionalFormatting sqref="B50">
    <cfRule type="duplicateValues" dxfId="210" priority="372"/>
  </conditionalFormatting>
  <conditionalFormatting sqref="B51 B49 B47 B45 B43 B41 B39 B37 B35 B33 B31">
    <cfRule type="duplicateValues" dxfId="209" priority="382"/>
  </conditionalFormatting>
  <conditionalFormatting sqref="B52">
    <cfRule type="duplicateValues" dxfId="208" priority="371"/>
  </conditionalFormatting>
  <conditionalFormatting sqref="B53">
    <cfRule type="duplicateValues" dxfId="207" priority="370"/>
  </conditionalFormatting>
  <conditionalFormatting sqref="B54">
    <cfRule type="duplicateValues" dxfId="206" priority="228"/>
  </conditionalFormatting>
  <conditionalFormatting sqref="B55:B57">
    <cfRule type="duplicateValues" dxfId="205" priority="369"/>
  </conditionalFormatting>
  <conditionalFormatting sqref="B55:B70">
    <cfRule type="duplicateValues" dxfId="204" priority="366"/>
  </conditionalFormatting>
  <conditionalFormatting sqref="B58">
    <cfRule type="duplicateValues" dxfId="203" priority="359"/>
  </conditionalFormatting>
  <conditionalFormatting sqref="B59">
    <cfRule type="duplicateValues" dxfId="202" priority="355"/>
  </conditionalFormatting>
  <conditionalFormatting sqref="B60">
    <cfRule type="duplicateValues" dxfId="201" priority="354"/>
  </conditionalFormatting>
  <conditionalFormatting sqref="B61">
    <cfRule type="duplicateValues" dxfId="200" priority="353"/>
  </conditionalFormatting>
  <conditionalFormatting sqref="B62">
    <cfRule type="duplicateValues" dxfId="199" priority="352"/>
  </conditionalFormatting>
  <conditionalFormatting sqref="B63">
    <cfRule type="duplicateValues" dxfId="198" priority="351"/>
  </conditionalFormatting>
  <conditionalFormatting sqref="B64">
    <cfRule type="duplicateValues" dxfId="197" priority="350"/>
  </conditionalFormatting>
  <conditionalFormatting sqref="B65:B69">
    <cfRule type="duplicateValues" dxfId="196" priority="348"/>
  </conditionalFormatting>
  <conditionalFormatting sqref="B70">
    <cfRule type="duplicateValues" dxfId="195" priority="347"/>
  </conditionalFormatting>
  <conditionalFormatting sqref="B71:B73">
    <cfRule type="duplicateValues" dxfId="194" priority="346"/>
  </conditionalFormatting>
  <conditionalFormatting sqref="B71:B86">
    <cfRule type="duplicateValues" dxfId="193" priority="343"/>
  </conditionalFormatting>
  <conditionalFormatting sqref="B74">
    <cfRule type="duplicateValues" dxfId="192" priority="336"/>
  </conditionalFormatting>
  <conditionalFormatting sqref="B75">
    <cfRule type="duplicateValues" dxfId="191" priority="332"/>
  </conditionalFormatting>
  <conditionalFormatting sqref="B76">
    <cfRule type="duplicateValues" dxfId="190" priority="331"/>
  </conditionalFormatting>
  <conditionalFormatting sqref="B77">
    <cfRule type="duplicateValues" dxfId="189" priority="330"/>
  </conditionalFormatting>
  <conditionalFormatting sqref="B78">
    <cfRule type="duplicateValues" dxfId="188" priority="329"/>
  </conditionalFormatting>
  <conditionalFormatting sqref="B79">
    <cfRule type="duplicateValues" dxfId="187" priority="328"/>
  </conditionalFormatting>
  <conditionalFormatting sqref="B80">
    <cfRule type="duplicateValues" dxfId="186" priority="327"/>
  </conditionalFormatting>
  <conditionalFormatting sqref="B81:B85">
    <cfRule type="duplicateValues" dxfId="185" priority="325"/>
  </conditionalFormatting>
  <conditionalFormatting sqref="B86">
    <cfRule type="duplicateValues" dxfId="184" priority="324"/>
  </conditionalFormatting>
  <conditionalFormatting sqref="B87:B88">
    <cfRule type="duplicateValues" dxfId="183" priority="323"/>
  </conditionalFormatting>
  <conditionalFormatting sqref="B87:B103">
    <cfRule type="duplicateValues" dxfId="182" priority="320"/>
  </conditionalFormatting>
  <conditionalFormatting sqref="B104:B112">
    <cfRule type="duplicateValues" dxfId="181" priority="477"/>
  </conditionalFormatting>
  <conditionalFormatting sqref="B104:B113">
    <cfRule type="duplicateValues" dxfId="180" priority="481"/>
  </conditionalFormatting>
  <conditionalFormatting sqref="B113">
    <cfRule type="duplicateValues" dxfId="179" priority="292"/>
  </conditionalFormatting>
  <conditionalFormatting sqref="B114:B119 B121">
    <cfRule type="duplicateValues" dxfId="178" priority="290"/>
  </conditionalFormatting>
  <conditionalFormatting sqref="B114:B136">
    <cfRule type="duplicateValues" dxfId="177" priority="287"/>
  </conditionalFormatting>
  <conditionalFormatting sqref="B125:B135">
    <cfRule type="duplicateValues" dxfId="176" priority="278"/>
  </conditionalFormatting>
  <conditionalFormatting sqref="B136">
    <cfRule type="duplicateValues" dxfId="175" priority="274"/>
  </conditionalFormatting>
  <conditionalFormatting sqref="B137:B145">
    <cfRule type="duplicateValues" dxfId="174" priority="272"/>
  </conditionalFormatting>
  <conditionalFormatting sqref="B137:B146">
    <cfRule type="duplicateValues" dxfId="173" priority="271"/>
  </conditionalFormatting>
  <conditionalFormatting sqref="B146">
    <cfRule type="duplicateValues" dxfId="172" priority="265"/>
  </conditionalFormatting>
  <conditionalFormatting sqref="B147:B154">
    <cfRule type="duplicateValues" dxfId="171" priority="264"/>
  </conditionalFormatting>
  <conditionalFormatting sqref="B147:B155">
    <cfRule type="duplicateValues" dxfId="170" priority="261"/>
  </conditionalFormatting>
  <conditionalFormatting sqref="B155">
    <cfRule type="duplicateValues" dxfId="169" priority="242"/>
  </conditionalFormatting>
  <conditionalFormatting sqref="B156:B160">
    <cfRule type="duplicateValues" dxfId="168" priority="237"/>
  </conditionalFormatting>
  <conditionalFormatting sqref="B156:B161">
    <cfRule type="duplicateValues" dxfId="167" priority="236"/>
  </conditionalFormatting>
  <conditionalFormatting sqref="B161">
    <cfRule type="duplicateValues" dxfId="166" priority="230"/>
  </conditionalFormatting>
  <conditionalFormatting sqref="B162:B190">
    <cfRule type="duplicateValues" dxfId="165" priority="227"/>
  </conditionalFormatting>
  <conditionalFormatting sqref="B191:B192">
    <cfRule type="duplicateValues" dxfId="164" priority="210"/>
  </conditionalFormatting>
  <conditionalFormatting sqref="B193:B228">
    <cfRule type="duplicateValues" dxfId="163" priority="208"/>
  </conditionalFormatting>
  <conditionalFormatting sqref="B229:B230">
    <cfRule type="duplicateValues" dxfId="162" priority="207"/>
  </conditionalFormatting>
  <conditionalFormatting sqref="B231">
    <cfRule type="duplicateValues" dxfId="161" priority="202"/>
    <cfRule type="duplicateValues" dxfId="160" priority="205"/>
  </conditionalFormatting>
  <conditionalFormatting sqref="B234">
    <cfRule type="duplicateValues" dxfId="159" priority="195"/>
    <cfRule type="duplicateValues" dxfId="158" priority="198"/>
  </conditionalFormatting>
  <conditionalFormatting sqref="B235">
    <cfRule type="duplicateValues" dxfId="157" priority="187"/>
    <cfRule type="duplicateValues" dxfId="156" priority="189"/>
  </conditionalFormatting>
  <conditionalFormatting sqref="B239">
    <cfRule type="duplicateValues" dxfId="155" priority="181"/>
    <cfRule type="duplicateValues" dxfId="154" priority="182"/>
  </conditionalFormatting>
  <conditionalFormatting sqref="B240">
    <cfRule type="duplicateValues" dxfId="153" priority="176"/>
    <cfRule type="duplicateValues" dxfId="152" priority="179"/>
  </conditionalFormatting>
  <conditionalFormatting sqref="B241">
    <cfRule type="duplicateValues" dxfId="151" priority="172"/>
    <cfRule type="duplicateValues" dxfId="150" priority="175"/>
  </conditionalFormatting>
  <conditionalFormatting sqref="B242">
    <cfRule type="duplicateValues" dxfId="149" priority="164"/>
    <cfRule type="duplicateValues" dxfId="148" priority="165"/>
  </conditionalFormatting>
  <conditionalFormatting sqref="B243">
    <cfRule type="duplicateValues" dxfId="147" priority="159"/>
  </conditionalFormatting>
  <conditionalFormatting sqref="B248">
    <cfRule type="duplicateValues" dxfId="146" priority="150"/>
    <cfRule type="duplicateValues" dxfId="145" priority="151"/>
  </conditionalFormatting>
  <conditionalFormatting sqref="B250">
    <cfRule type="duplicateValues" dxfId="144" priority="143"/>
    <cfRule type="duplicateValues" dxfId="143" priority="144"/>
  </conditionalFormatting>
  <conditionalFormatting sqref="B251">
    <cfRule type="duplicateValues" dxfId="142" priority="133"/>
    <cfRule type="duplicateValues" dxfId="141" priority="135"/>
  </conditionalFormatting>
  <conditionalFormatting sqref="B261">
    <cfRule type="duplicateValues" dxfId="140" priority="116"/>
    <cfRule type="duplicateValues" dxfId="139" priority="118"/>
  </conditionalFormatting>
  <conditionalFormatting sqref="B262">
    <cfRule type="duplicateValues" dxfId="138" priority="107"/>
    <cfRule type="duplicateValues" dxfId="137" priority="110"/>
  </conditionalFormatting>
  <conditionalFormatting sqref="B263">
    <cfRule type="duplicateValues" dxfId="136" priority="103"/>
    <cfRule type="duplicateValues" dxfId="135" priority="106"/>
  </conditionalFormatting>
  <conditionalFormatting sqref="B266">
    <cfRule type="duplicateValues" dxfId="134" priority="101"/>
  </conditionalFormatting>
  <conditionalFormatting sqref="B267">
    <cfRule type="duplicateValues" dxfId="133" priority="94"/>
    <cfRule type="duplicateValues" dxfId="132" priority="95"/>
  </conditionalFormatting>
  <conditionalFormatting sqref="B268">
    <cfRule type="duplicateValues" dxfId="131" priority="86"/>
    <cfRule type="duplicateValues" dxfId="130" priority="88"/>
  </conditionalFormatting>
  <conditionalFormatting sqref="B270">
    <cfRule type="duplicateValues" dxfId="129" priority="81"/>
    <cfRule type="duplicateValues" dxfId="128" priority="83"/>
  </conditionalFormatting>
  <conditionalFormatting sqref="B272">
    <cfRule type="duplicateValues" dxfId="127" priority="73"/>
    <cfRule type="duplicateValues" dxfId="126" priority="75"/>
  </conditionalFormatting>
  <conditionalFormatting sqref="B281">
    <cfRule type="duplicateValues" dxfId="125" priority="64"/>
    <cfRule type="duplicateValues" dxfId="124" priority="65"/>
  </conditionalFormatting>
  <conditionalFormatting sqref="B285">
    <cfRule type="duplicateValues" dxfId="123" priority="42"/>
    <cfRule type="duplicateValues" dxfId="122" priority="43"/>
  </conditionalFormatting>
  <conditionalFormatting sqref="G2:G352">
    <cfRule type="containsText" dxfId="121" priority="41" operator="containsText" text="SIM">
      <formula>NOT(ISERROR(SEARCH("SIM",G2)))</formula>
    </cfRule>
  </conditionalFormatting>
  <conditionalFormatting sqref="I1:I9 N1:P9">
    <cfRule type="containsText" dxfId="120" priority="424" operator="containsText" text="Aguardando pedido">
      <formula>NOT(ISERROR(SEARCH("Aguardando pedido",I1)))</formula>
    </cfRule>
  </conditionalFormatting>
  <conditionalFormatting sqref="I26">
    <cfRule type="containsText" dxfId="119" priority="408" operator="containsText" text="Aguardar NF">
      <formula>NOT(ISERROR(SEARCH("Aguardar NF",I26)))</formula>
    </cfRule>
    <cfRule type="containsText" dxfId="118" priority="409" operator="containsText" text="Aguardando pedido">
      <formula>NOT(ISERROR(SEARCH("Aguardando pedido",I26)))</formula>
    </cfRule>
  </conditionalFormatting>
  <conditionalFormatting sqref="I55 N55:P55">
    <cfRule type="containsText" dxfId="117" priority="368" operator="containsText" text="Aguardando pedido">
      <formula>NOT(ISERROR(SEARCH("Aguardando pedido",I55)))</formula>
    </cfRule>
  </conditionalFormatting>
  <conditionalFormatting sqref="I71 N71:P71">
    <cfRule type="containsText" dxfId="116" priority="345" operator="containsText" text="Aguardando pedido">
      <formula>NOT(ISERROR(SEARCH("Aguardando pedido",I71)))</formula>
    </cfRule>
  </conditionalFormatting>
  <conditionalFormatting sqref="I87 N87:P87">
    <cfRule type="containsText" dxfId="115" priority="322" operator="containsText" text="Aguardando pedido">
      <formula>NOT(ISERROR(SEARCH("Aguardando pedido",I87)))</formula>
    </cfRule>
  </conditionalFormatting>
  <conditionalFormatting sqref="I114:I119 N114:P119 N120:N121">
    <cfRule type="containsText" dxfId="114" priority="289" operator="containsText" text="Aguardando pedido">
      <formula>NOT(ISERROR(SEARCH("Aguardando pedido",I114)))</formula>
    </cfRule>
  </conditionalFormatting>
  <conditionalFormatting sqref="I147:I152 N147:P152 N153:N154">
    <cfRule type="containsText" dxfId="113" priority="263" operator="containsText" text="Aguardando pedido">
      <formula>NOT(ISERROR(SEARCH("Aguardando pedido",I147)))</formula>
    </cfRule>
  </conditionalFormatting>
  <conditionalFormatting sqref="I162:I181 N162:P183 N184:N188">
    <cfRule type="containsText" dxfId="112" priority="226" operator="containsText" text="Aguardando pedido">
      <formula>NOT(ISERROR(SEARCH("Aguardando pedido",I162)))</formula>
    </cfRule>
  </conditionalFormatting>
  <conditionalFormatting sqref="L1:L352">
    <cfRule type="cellIs" dxfId="111" priority="40" operator="equal">
      <formula>4502</formula>
    </cfRule>
  </conditionalFormatting>
  <conditionalFormatting sqref="N10:N54 N191:N352">
    <cfRule type="containsText" dxfId="110" priority="397" operator="containsText" text="NF LANÇADA">
      <formula>NOT(ISERROR(SEARCH("NF LANÇADA",N10)))</formula>
    </cfRule>
    <cfRule type="containsText" dxfId="109" priority="400" operator="containsText" text="Aguardar NF">
      <formula>NOT(ISERROR(SEARCH("Aguardar NF",N10)))</formula>
    </cfRule>
    <cfRule type="containsText" dxfId="108" priority="401" operator="containsText" text="Aguardando pedido">
      <formula>NOT(ISERROR(SEARCH("Aguardando pedido",N10)))</formula>
    </cfRule>
  </conditionalFormatting>
  <conditionalFormatting sqref="N56:N70">
    <cfRule type="containsText" dxfId="107" priority="360" operator="containsText" text="NF LANÇADA">
      <formula>NOT(ISERROR(SEARCH("NF LANÇADA",N56)))</formula>
    </cfRule>
    <cfRule type="containsText" dxfId="106" priority="361" operator="containsText" text="Aguardar NF">
      <formula>NOT(ISERROR(SEARCH("Aguardar NF",N56)))</formula>
    </cfRule>
    <cfRule type="containsText" dxfId="105" priority="362" operator="containsText" text="Aguardando pedido">
      <formula>NOT(ISERROR(SEARCH("Aguardando pedido",N56)))</formula>
    </cfRule>
  </conditionalFormatting>
  <conditionalFormatting sqref="N72:N86">
    <cfRule type="containsText" dxfId="104" priority="337" operator="containsText" text="NF LANÇADA">
      <formula>NOT(ISERROR(SEARCH("NF LANÇADA",N72)))</formula>
    </cfRule>
    <cfRule type="containsText" dxfId="103" priority="338" operator="containsText" text="Aguardar NF">
      <formula>NOT(ISERROR(SEARCH("Aguardar NF",N72)))</formula>
    </cfRule>
    <cfRule type="containsText" dxfId="102" priority="339" operator="containsText" text="Aguardando pedido">
      <formula>NOT(ISERROR(SEARCH("Aguardando pedido",N72)))</formula>
    </cfRule>
  </conditionalFormatting>
  <conditionalFormatting sqref="N88:N113">
    <cfRule type="containsText" dxfId="101" priority="302" operator="containsText" text="NF LANÇADA">
      <formula>NOT(ISERROR(SEARCH("NF LANÇADA",N88)))</formula>
    </cfRule>
    <cfRule type="containsText" dxfId="100" priority="303" operator="containsText" text="Aguardar NF">
      <formula>NOT(ISERROR(SEARCH("Aguardar NF",N88)))</formula>
    </cfRule>
    <cfRule type="containsText" dxfId="99" priority="304" operator="containsText" text="Aguardando pedido">
      <formula>NOT(ISERROR(SEARCH("Aguardando pedido",N88)))</formula>
    </cfRule>
  </conditionalFormatting>
  <conditionalFormatting sqref="N119:N121">
    <cfRule type="containsText" dxfId="98" priority="285" operator="containsText" text="NF LANÇADA">
      <formula>NOT(ISERROR(SEARCH("NF LANÇADA",N119)))</formula>
    </cfRule>
  </conditionalFormatting>
  <conditionalFormatting sqref="N123:N146">
    <cfRule type="containsText" dxfId="97" priority="267" operator="containsText" text="NF LANÇADA">
      <formula>NOT(ISERROR(SEARCH("NF LANÇADA",N123)))</formula>
    </cfRule>
    <cfRule type="containsText" dxfId="96" priority="268" operator="containsText" text="Aguardar NF">
      <formula>NOT(ISERROR(SEARCH("Aguardar NF",N123)))</formula>
    </cfRule>
    <cfRule type="containsText" dxfId="95" priority="269" operator="containsText" text="Aguardando pedido">
      <formula>NOT(ISERROR(SEARCH("Aguardando pedido",N123)))</formula>
    </cfRule>
  </conditionalFormatting>
  <conditionalFormatting sqref="N152:N154">
    <cfRule type="containsText" dxfId="94" priority="253" operator="containsText" text="NF LANÇADA">
      <formula>NOT(ISERROR(SEARCH("NF LANÇADA",N152)))</formula>
    </cfRule>
  </conditionalFormatting>
  <conditionalFormatting sqref="N155:N161">
    <cfRule type="containsText" dxfId="93" priority="232" operator="containsText" text="NF LANÇADA">
      <formula>NOT(ISERROR(SEARCH("NF LANÇADA",N155)))</formula>
    </cfRule>
    <cfRule type="containsText" dxfId="92" priority="233" operator="containsText" text="Aguardar NF">
      <formula>NOT(ISERROR(SEARCH("Aguardar NF",N155)))</formula>
    </cfRule>
    <cfRule type="containsText" dxfId="91" priority="234" operator="containsText" text="Aguardando pedido">
      <formula>NOT(ISERROR(SEARCH("Aguardando pedido",N155)))</formula>
    </cfRule>
  </conditionalFormatting>
  <conditionalFormatting sqref="N182:N188 N178:N179 O182:P183">
    <cfRule type="containsText" dxfId="90" priority="222" operator="containsText" text="NF LANÇADA">
      <formula>NOT(ISERROR(SEARCH("NF LANÇADA",N178)))</formula>
    </cfRule>
  </conditionalFormatting>
  <conditionalFormatting sqref="N184">
    <cfRule type="containsText" dxfId="89" priority="214" operator="containsText" text="NF LANÇADA">
      <formula>NOT(ISERROR(SEARCH("NF LANÇADA",N184)))</formula>
    </cfRule>
    <cfRule type="containsText" dxfId="88" priority="217" operator="containsText" text="Aguardar NF">
      <formula>NOT(ISERROR(SEARCH("Aguardar NF",N184)))</formula>
    </cfRule>
    <cfRule type="containsText" dxfId="87" priority="218" operator="containsText" text="Aguardando pedido">
      <formula>NOT(ISERROR(SEARCH("Aguardando pedido",N184)))</formula>
    </cfRule>
  </conditionalFormatting>
  <conditionalFormatting sqref="N1:P9 I1:I9">
    <cfRule type="containsText" dxfId="86" priority="423" operator="containsText" text="Aguardar NF">
      <formula>NOT(ISERROR(SEARCH("Aguardar NF",I1)))</formula>
    </cfRule>
  </conditionalFormatting>
  <conditionalFormatting sqref="N1:P9">
    <cfRule type="containsText" dxfId="85" priority="414" operator="containsText" text="NF LANÇADA">
      <formula>NOT(ISERROR(SEARCH("NF LANÇADA",N1)))</formula>
    </cfRule>
  </conditionalFormatting>
  <conditionalFormatting sqref="N26:P26">
    <cfRule type="containsText" dxfId="84" priority="403" operator="containsText" text="NF LANÇADA">
      <formula>NOT(ISERROR(SEARCH("NF LANÇADA",N26)))</formula>
    </cfRule>
    <cfRule type="containsText" dxfId="83" priority="404" operator="containsText" text="Aguardar NF">
      <formula>NOT(ISERROR(SEARCH("Aguardar NF",N26)))</formula>
    </cfRule>
    <cfRule type="containsText" dxfId="82" priority="405" operator="containsText" text="Aguardando pedido">
      <formula>NOT(ISERROR(SEARCH("Aguardando pedido",N26)))</formula>
    </cfRule>
  </conditionalFormatting>
  <conditionalFormatting sqref="N55:P55 I55">
    <cfRule type="containsText" dxfId="81" priority="367" operator="containsText" text="Aguardar NF">
      <formula>NOT(ISERROR(SEARCH("Aguardar NF",I55)))</formula>
    </cfRule>
  </conditionalFormatting>
  <conditionalFormatting sqref="N55:P55">
    <cfRule type="containsText" dxfId="80" priority="364" operator="containsText" text="NF LANÇADA">
      <formula>NOT(ISERROR(SEARCH("NF LANÇADA",N55)))</formula>
    </cfRule>
  </conditionalFormatting>
  <conditionalFormatting sqref="N71:P71 I71">
    <cfRule type="containsText" dxfId="79" priority="344" operator="containsText" text="Aguardar NF">
      <formula>NOT(ISERROR(SEARCH("Aguardar NF",I71)))</formula>
    </cfRule>
  </conditionalFormatting>
  <conditionalFormatting sqref="N71:P71">
    <cfRule type="containsText" dxfId="78" priority="341" operator="containsText" text="NF LANÇADA">
      <formula>NOT(ISERROR(SEARCH("NF LANÇADA",N71)))</formula>
    </cfRule>
  </conditionalFormatting>
  <conditionalFormatting sqref="N87:P87 I87">
    <cfRule type="containsText" dxfId="77" priority="321" operator="containsText" text="Aguardar NF">
      <formula>NOT(ISERROR(SEARCH("Aguardar NF",I87)))</formula>
    </cfRule>
  </conditionalFormatting>
  <conditionalFormatting sqref="N87:P87">
    <cfRule type="containsText" dxfId="76" priority="318" operator="containsText" text="NF LANÇADA">
      <formula>NOT(ISERROR(SEARCH("NF LANÇADA",N87)))</formula>
    </cfRule>
  </conditionalFormatting>
  <conditionalFormatting sqref="N114:P119 N120:N121 I114:I119">
    <cfRule type="containsText" dxfId="75" priority="288" operator="containsText" text="Aguardar NF">
      <formula>NOT(ISERROR(SEARCH("Aguardar NF",I114)))</formula>
    </cfRule>
  </conditionalFormatting>
  <conditionalFormatting sqref="N114:P119">
    <cfRule type="containsText" dxfId="74" priority="283" operator="containsText" text="NF LANÇADA">
      <formula>NOT(ISERROR(SEARCH("NF LANÇADA",N114)))</formula>
    </cfRule>
  </conditionalFormatting>
  <conditionalFormatting sqref="N121:P122">
    <cfRule type="containsText" dxfId="73" priority="280" operator="containsText" text="NF LANÇADA">
      <formula>NOT(ISERROR(SEARCH("NF LANÇADA",N121)))</formula>
    </cfRule>
    <cfRule type="containsText" dxfId="72" priority="281" operator="containsText" text="Aguardar NF">
      <formula>NOT(ISERROR(SEARCH("Aguardar NF",N121)))</formula>
    </cfRule>
    <cfRule type="containsText" dxfId="71" priority="282" operator="containsText" text="Aguardando pedido">
      <formula>NOT(ISERROR(SEARCH("Aguardando pedido",N121)))</formula>
    </cfRule>
  </conditionalFormatting>
  <conditionalFormatting sqref="N147:P152 N153:N154 I147:I152">
    <cfRule type="containsText" dxfId="70" priority="262" operator="containsText" text="Aguardar NF">
      <formula>NOT(ISERROR(SEARCH("Aguardar NF",I147)))</formula>
    </cfRule>
  </conditionalFormatting>
  <conditionalFormatting sqref="N147:P153">
    <cfRule type="containsText" dxfId="69" priority="243" operator="containsText" text="NF LANÇADA">
      <formula>NOT(ISERROR(SEARCH("NF LANÇADA",N147)))</formula>
    </cfRule>
  </conditionalFormatting>
  <conditionalFormatting sqref="N153:P153">
    <cfRule type="containsText" dxfId="68" priority="248" operator="containsText" text="Aguardar NF">
      <formula>NOT(ISERROR(SEARCH("Aguardar NF",N153)))</formula>
    </cfRule>
    <cfRule type="containsText" dxfId="67" priority="249" operator="containsText" text="Aguardando pedido">
      <formula>NOT(ISERROR(SEARCH("Aguardando pedido",N153)))</formula>
    </cfRule>
  </conditionalFormatting>
  <conditionalFormatting sqref="N162:P181">
    <cfRule type="containsText" dxfId="66" priority="219" operator="containsText" text="NF LANÇADA">
      <formula>NOT(ISERROR(SEARCH("NF LANÇADA",N162)))</formula>
    </cfRule>
  </conditionalFormatting>
  <conditionalFormatting sqref="N162:P183 N184:N188 I162:I181">
    <cfRule type="containsText" dxfId="65" priority="225" operator="containsText" text="Aguardar NF">
      <formula>NOT(ISERROR(SEARCH("Aguardar NF",I162)))</formula>
    </cfRule>
  </conditionalFormatting>
  <conditionalFormatting sqref="O28:P30">
    <cfRule type="containsText" dxfId="64" priority="384" operator="containsText" text="NF LANÇADA">
      <formula>NOT(ISERROR(SEARCH("NF LANÇADA",O28)))</formula>
    </cfRule>
    <cfRule type="containsText" dxfId="63" priority="385" operator="containsText" text="Aguardar NF">
      <formula>NOT(ISERROR(SEARCH("Aguardar NF",O28)))</formula>
    </cfRule>
    <cfRule type="containsText" dxfId="62" priority="386" operator="containsText" text="Aguardando pedido">
      <formula>NOT(ISERROR(SEARCH("Aguardando pedido",O28)))</formula>
    </cfRule>
  </conditionalFormatting>
  <conditionalFormatting sqref="O57:P58">
    <cfRule type="containsText" dxfId="61" priority="356" operator="containsText" text="NF LANÇADA">
      <formula>NOT(ISERROR(SEARCH("NF LANÇADA",O57)))</formula>
    </cfRule>
    <cfRule type="containsText" dxfId="60" priority="357" operator="containsText" text="Aguardar NF">
      <formula>NOT(ISERROR(SEARCH("Aguardar NF",O57)))</formula>
    </cfRule>
    <cfRule type="containsText" dxfId="59" priority="358" operator="containsText" text="Aguardando pedido">
      <formula>NOT(ISERROR(SEARCH("Aguardando pedido",O57)))</formula>
    </cfRule>
  </conditionalFormatting>
  <conditionalFormatting sqref="O73:P74">
    <cfRule type="containsText" dxfId="58" priority="333" operator="containsText" text="NF LANÇADA">
      <formula>NOT(ISERROR(SEARCH("NF LANÇADA",O73)))</formula>
    </cfRule>
    <cfRule type="containsText" dxfId="57" priority="334" operator="containsText" text="Aguardar NF">
      <formula>NOT(ISERROR(SEARCH("Aguardar NF",O73)))</formula>
    </cfRule>
    <cfRule type="containsText" dxfId="56" priority="335" operator="containsText" text="Aguardando pedido">
      <formula>NOT(ISERROR(SEARCH("Aguardando pedido",O73)))</formula>
    </cfRule>
  </conditionalFormatting>
  <conditionalFormatting sqref="O89:P89">
    <cfRule type="containsText" dxfId="55" priority="314" operator="containsText" text="NF LANÇADA">
      <formula>NOT(ISERROR(SEARCH("NF LANÇADA",O89)))</formula>
    </cfRule>
    <cfRule type="containsText" dxfId="54" priority="315" operator="containsText" text="Aguardar NF">
      <formula>NOT(ISERROR(SEARCH("Aguardar NF",O89)))</formula>
    </cfRule>
    <cfRule type="containsText" dxfId="53" priority="316" operator="containsText" text="Aguardando pedido">
      <formula>NOT(ISERROR(SEARCH("Aguardando pedido",O89)))</formula>
    </cfRule>
  </conditionalFormatting>
  <conditionalFormatting sqref="O127:P127">
    <cfRule type="containsText" dxfId="52" priority="275" operator="containsText" text="NF LANÇADA">
      <formula>NOT(ISERROR(SEARCH("NF LANÇADA",O127)))</formula>
    </cfRule>
    <cfRule type="containsText" dxfId="51" priority="276" operator="containsText" text="Aguardar NF">
      <formula>NOT(ISERROR(SEARCH("Aguardar NF",O127)))</formula>
    </cfRule>
    <cfRule type="containsText" dxfId="50" priority="277" operator="containsText" text="Aguardando pedido">
      <formula>NOT(ISERROR(SEARCH("Aguardando pedido",O127)))</formula>
    </cfRule>
  </conditionalFormatting>
  <conditionalFormatting sqref="O149:P149">
    <cfRule type="containsText" dxfId="49" priority="257" operator="containsText" text="NF LANÇADA">
      <formula>NOT(ISERROR(SEARCH("NF LANÇADA",O149)))</formula>
    </cfRule>
  </conditionalFormatting>
  <conditionalFormatting sqref="O185:P188">
    <cfRule type="containsText" dxfId="48" priority="211" operator="containsText" text="NF LANÇADA">
      <formula>NOT(ISERROR(SEARCH("NF LANÇADA",O185)))</formula>
    </cfRule>
    <cfRule type="containsText" dxfId="47" priority="212" operator="containsText" text="Aguardar NF">
      <formula>NOT(ISERROR(SEARCH("Aguardar NF",O185)))</formula>
    </cfRule>
    <cfRule type="containsText" dxfId="46" priority="213" operator="containsText" text="Aguardando pedido">
      <formula>NOT(ISERROR(SEARCH("Aguardando pedido",O185)))</formula>
    </cfRule>
  </conditionalFormatting>
  <conditionalFormatting sqref="Q1">
    <cfRule type="containsText" dxfId="45" priority="418" operator="containsText" text="NF LANÇADA">
      <formula>NOT(ISERROR(SEARCH("NF LANÇADA",Q1)))</formula>
    </cfRule>
    <cfRule type="containsText" dxfId="44" priority="419" operator="containsText" text="Aguardar NF">
      <formula>NOT(ISERROR(SEARCH("Aguardar NF",Q1)))</formula>
    </cfRule>
    <cfRule type="containsText" dxfId="43" priority="420" operator="containsText" text="Aguardando pedido">
      <formula>NOT(ISERROR(SEARCH("Aguardando pedido",Q1)))</formula>
    </cfRule>
  </conditionalFormatting>
  <conditionalFormatting sqref="A286">
    <cfRule type="duplicateValues" dxfId="42" priority="35"/>
  </conditionalFormatting>
  <conditionalFormatting sqref="B286">
    <cfRule type="duplicateValues" dxfId="41" priority="34"/>
    <cfRule type="duplicateValues" dxfId="40" priority="36"/>
  </conditionalFormatting>
  <conditionalFormatting sqref="A290 A294">
    <cfRule type="duplicateValues" dxfId="39" priority="32"/>
  </conditionalFormatting>
  <conditionalFormatting sqref="B290 B294">
    <cfRule type="duplicateValues" dxfId="38" priority="31"/>
    <cfRule type="duplicateValues" dxfId="37" priority="33"/>
  </conditionalFormatting>
  <conditionalFormatting sqref="A307">
    <cfRule type="duplicateValues" dxfId="36" priority="30"/>
  </conditionalFormatting>
  <conditionalFormatting sqref="A308:A312">
    <cfRule type="duplicateValues" dxfId="35" priority="28"/>
  </conditionalFormatting>
  <conditionalFormatting sqref="B308:B312">
    <cfRule type="duplicateValues" dxfId="34" priority="27"/>
    <cfRule type="duplicateValues" dxfId="33" priority="29"/>
  </conditionalFormatting>
  <conditionalFormatting sqref="A313:A315">
    <cfRule type="duplicateValues" dxfId="32" priority="26"/>
  </conditionalFormatting>
  <conditionalFormatting sqref="B313:B315">
    <cfRule type="duplicateValues" dxfId="31" priority="24"/>
    <cfRule type="duplicateValues" dxfId="30" priority="25"/>
  </conditionalFormatting>
  <conditionalFormatting sqref="B316:B319">
    <cfRule type="duplicateValues" dxfId="29" priority="23"/>
  </conditionalFormatting>
  <conditionalFormatting sqref="A323">
    <cfRule type="duplicateValues" dxfId="28" priority="22"/>
  </conditionalFormatting>
  <conditionalFormatting sqref="B287">
    <cfRule type="duplicateValues" dxfId="27" priority="17"/>
    <cfRule type="duplicateValues" dxfId="26" priority="18"/>
  </conditionalFormatting>
  <conditionalFormatting sqref="A288:A289">
    <cfRule type="duplicateValues" dxfId="25" priority="15"/>
  </conditionalFormatting>
  <conditionalFormatting sqref="B288:B289">
    <cfRule type="duplicateValues" dxfId="24" priority="14"/>
    <cfRule type="duplicateValues" dxfId="23" priority="16"/>
  </conditionalFormatting>
  <conditionalFormatting sqref="A337:A341 A345:A346">
    <cfRule type="duplicateValues" dxfId="22" priority="10"/>
  </conditionalFormatting>
  <conditionalFormatting sqref="A292:A293">
    <cfRule type="duplicateValues" dxfId="21" priority="8"/>
  </conditionalFormatting>
  <conditionalFormatting sqref="B292:B293">
    <cfRule type="duplicateValues" dxfId="20" priority="7"/>
    <cfRule type="duplicateValues" dxfId="19" priority="9"/>
  </conditionalFormatting>
  <conditionalFormatting sqref="A291">
    <cfRule type="duplicateValues" dxfId="18" priority="5"/>
  </conditionalFormatting>
  <conditionalFormatting sqref="B291">
    <cfRule type="duplicateValues" dxfId="17" priority="4"/>
    <cfRule type="duplicateValues" dxfId="16" priority="6"/>
  </conditionalFormatting>
  <conditionalFormatting sqref="A351:A352 A193:A230 A232:A233 A236:A238 A244:A245 A249 A252:A255 A260 A264:A265 A269 A271 A278:A280 A282:A284 A295:A306 A320:A322 A324:A335">
    <cfRule type="duplicateValues" dxfId="15" priority="517"/>
  </conditionalFormatting>
  <conditionalFormatting sqref="B351:B352 B260 B162:B230 B232:B233 B236:B238 B244:B245 B249 B252:B255 B264:B265 B269 B271 B278:B280 B282:B284 B295:B306 B320:B335">
    <cfRule type="duplicateValues" dxfId="14" priority="533"/>
  </conditionalFormatting>
  <conditionalFormatting sqref="B351:B352 B260 B232:B233 B236:B238 B244:B245 B249 B252:B255 B264:B265 B269 B271 B278:B280 B282:B284 B295:B306 B320:B335">
    <cfRule type="duplicateValues" dxfId="13" priority="548"/>
  </conditionalFormatting>
  <conditionalFormatting sqref="A256:A259">
    <cfRule type="duplicateValues" dxfId="12" priority="549"/>
  </conditionalFormatting>
  <conditionalFormatting sqref="B256:B259">
    <cfRule type="duplicateValues" dxfId="11" priority="550"/>
    <cfRule type="duplicateValues" dxfId="10" priority="551"/>
  </conditionalFormatting>
  <conditionalFormatting sqref="A342:A344">
    <cfRule type="duplicateValues" dxfId="9" priority="1"/>
  </conditionalFormatting>
  <conditionalFormatting sqref="B342:B344">
    <cfRule type="duplicateValues" dxfId="8" priority="2"/>
  </conditionalFormatting>
  <conditionalFormatting sqref="B342:B344">
    <cfRule type="duplicateValues" dxfId="7" priority="3"/>
  </conditionalFormatting>
  <conditionalFormatting sqref="A273:A277">
    <cfRule type="duplicateValues" dxfId="6" priority="552"/>
  </conditionalFormatting>
  <conditionalFormatting sqref="B273:B277">
    <cfRule type="duplicateValues" dxfId="5" priority="554"/>
    <cfRule type="duplicateValues" dxfId="4" priority="55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showGridLines="0" workbookViewId="0">
      <selection activeCell="C28" sqref="C28"/>
    </sheetView>
  </sheetViews>
  <sheetFormatPr defaultRowHeight="15"/>
  <cols>
    <col min="3" max="3" width="19.85546875" customWidth="1"/>
    <col min="5" max="5" width="14.85546875" customWidth="1"/>
    <col min="8" max="8" width="57.85546875" customWidth="1"/>
    <col min="9" max="9" width="37.7109375" customWidth="1"/>
  </cols>
  <sheetData>
    <row r="1" spans="1:8" ht="24" customHeight="1">
      <c r="A1" s="1"/>
      <c r="B1" s="1"/>
      <c r="C1" s="2" t="s">
        <v>5</v>
      </c>
      <c r="E1" s="3" t="s">
        <v>2477</v>
      </c>
      <c r="H1" s="4" t="s">
        <v>29</v>
      </c>
    </row>
    <row r="2" spans="1:8" ht="14.45" customHeight="1">
      <c r="A2" s="1"/>
      <c r="B2" s="1"/>
      <c r="C2" s="1" t="s">
        <v>32</v>
      </c>
      <c r="E2" t="s">
        <v>95</v>
      </c>
      <c r="H2" s="5" t="s">
        <v>1294</v>
      </c>
    </row>
    <row r="3" spans="1:8" ht="14.45" customHeight="1">
      <c r="A3" s="1"/>
      <c r="B3" s="1"/>
      <c r="C3" s="1" t="s">
        <v>1430</v>
      </c>
      <c r="E3" t="s">
        <v>1118</v>
      </c>
      <c r="H3" s="5" t="s">
        <v>1391</v>
      </c>
    </row>
    <row r="4" spans="1:8" ht="14.45" customHeight="1">
      <c r="A4" s="1"/>
      <c r="B4" s="1"/>
      <c r="C4" s="1" t="s">
        <v>95</v>
      </c>
      <c r="E4" t="s">
        <v>1430</v>
      </c>
      <c r="H4" s="5" t="s">
        <v>1939</v>
      </c>
    </row>
    <row r="5" spans="1:8">
      <c r="A5" s="1"/>
      <c r="B5" s="1"/>
      <c r="C5" s="1" t="s">
        <v>58</v>
      </c>
      <c r="E5" t="s">
        <v>58</v>
      </c>
      <c r="H5" s="5" t="s">
        <v>2048</v>
      </c>
    </row>
    <row r="6" spans="1:8">
      <c r="A6" s="1"/>
      <c r="B6" s="1"/>
      <c r="C6" s="1" t="s">
        <v>51</v>
      </c>
      <c r="E6" t="s">
        <v>70</v>
      </c>
      <c r="H6" s="6" t="s">
        <v>66</v>
      </c>
    </row>
    <row r="7" spans="1:8" ht="14.45" customHeight="1">
      <c r="A7" s="1"/>
      <c r="B7" s="1"/>
      <c r="C7" s="1" t="s">
        <v>810</v>
      </c>
      <c r="E7" t="s">
        <v>46</v>
      </c>
      <c r="H7" s="6" t="s">
        <v>1425</v>
      </c>
    </row>
    <row r="8" spans="1:8" ht="14.45" customHeight="1">
      <c r="A8" s="1"/>
      <c r="B8" s="1"/>
      <c r="C8" s="1" t="s">
        <v>42</v>
      </c>
      <c r="E8" t="s">
        <v>37</v>
      </c>
      <c r="H8" s="6" t="s">
        <v>2478</v>
      </c>
    </row>
    <row r="9" spans="1:8" ht="14.45" customHeight="1">
      <c r="A9" s="1"/>
      <c r="B9" s="1"/>
      <c r="C9" s="1" t="s">
        <v>316</v>
      </c>
      <c r="E9" t="s">
        <v>244</v>
      </c>
      <c r="H9" s="6" t="s">
        <v>2479</v>
      </c>
    </row>
    <row r="10" spans="1:8" ht="14.45" customHeight="1">
      <c r="A10" s="1"/>
      <c r="B10" s="1"/>
      <c r="C10" s="1" t="s">
        <v>70</v>
      </c>
      <c r="E10" t="s">
        <v>285</v>
      </c>
      <c r="H10" s="6" t="s">
        <v>41</v>
      </c>
    </row>
    <row r="11" spans="1:8" ht="14.45" customHeight="1">
      <c r="A11" s="1"/>
      <c r="B11" s="1"/>
      <c r="C11" s="1" t="s">
        <v>75</v>
      </c>
      <c r="H11" s="6" t="s">
        <v>60</v>
      </c>
    </row>
    <row r="12" spans="1:8" ht="14.45" customHeight="1">
      <c r="C12" s="1" t="s">
        <v>224</v>
      </c>
      <c r="H12" s="6" t="s">
        <v>1729</v>
      </c>
    </row>
    <row r="13" spans="1:8">
      <c r="C13" s="1" t="s">
        <v>119</v>
      </c>
      <c r="H13" s="5" t="s">
        <v>54</v>
      </c>
    </row>
    <row r="14" spans="1:8">
      <c r="C14" s="1" t="s">
        <v>291</v>
      </c>
      <c r="H14" s="5" t="s">
        <v>49</v>
      </c>
    </row>
    <row r="15" spans="1:8">
      <c r="C15" s="1" t="s">
        <v>85</v>
      </c>
      <c r="H15" s="5" t="s">
        <v>115</v>
      </c>
    </row>
    <row r="16" spans="1:8">
      <c r="C16" s="1" t="s">
        <v>80</v>
      </c>
    </row>
    <row r="17" spans="3:3">
      <c r="C17" s="1" t="s">
        <v>2480</v>
      </c>
    </row>
    <row r="18" spans="3:3">
      <c r="C18" s="1" t="s">
        <v>279</v>
      </c>
    </row>
    <row r="19" spans="3:3">
      <c r="C19" s="1" t="s">
        <v>137</v>
      </c>
    </row>
    <row r="20" spans="3:3">
      <c r="C20" s="1" t="s">
        <v>282</v>
      </c>
    </row>
    <row r="21" spans="3:3">
      <c r="C21" s="1" t="s">
        <v>61</v>
      </c>
    </row>
    <row r="22" spans="3:3">
      <c r="C22" s="1" t="s">
        <v>183</v>
      </c>
    </row>
    <row r="23" spans="3:3">
      <c r="C23" s="1" t="s">
        <v>1202</v>
      </c>
    </row>
    <row r="24" spans="3:3">
      <c r="C24" s="1" t="s">
        <v>798</v>
      </c>
    </row>
    <row r="25" spans="3:3">
      <c r="C25" s="1" t="s">
        <v>241</v>
      </c>
    </row>
    <row r="26" spans="3:3">
      <c r="C26" s="1" t="s">
        <v>55</v>
      </c>
    </row>
    <row r="27" spans="3:3">
      <c r="C27" s="1" t="s">
        <v>1970</v>
      </c>
    </row>
    <row r="28" spans="3:3">
      <c r="C28" s="1" t="s">
        <v>146</v>
      </c>
    </row>
  </sheetData>
  <autoFilter ref="E1:E10" xr:uid="{00000000-0009-0000-0000-000001000000}">
    <sortState xmlns:xlrd2="http://schemas.microsoft.com/office/spreadsheetml/2017/richdata2" ref="E2:E9">
      <sortCondition ref="E1:E9"/>
    </sortState>
  </autoFilter>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31"/>
  <sheetViews>
    <sheetView showGridLines="0" workbookViewId="0">
      <selection activeCell="M8" sqref="M8"/>
    </sheetView>
  </sheetViews>
  <sheetFormatPr defaultRowHeight="15" customHeight="1"/>
  <cols>
    <col min="2" max="2" width="47.5703125" customWidth="1"/>
    <col min="5" max="6" width="18.42578125" customWidth="1"/>
    <col min="10" max="10" width="29.5703125" customWidth="1"/>
    <col min="12" max="14" width="19" customWidth="1"/>
  </cols>
  <sheetData>
    <row r="1" spans="2:14">
      <c r="D1" s="35"/>
      <c r="F1" s="36"/>
    </row>
    <row r="2" spans="2:14">
      <c r="B2" s="37" t="s">
        <v>2481</v>
      </c>
      <c r="C2" s="35"/>
      <c r="D2" s="35"/>
      <c r="F2" s="36"/>
      <c r="J2" s="37" t="s">
        <v>2481</v>
      </c>
      <c r="K2" s="35"/>
      <c r="L2" s="35"/>
      <c r="N2" s="36"/>
    </row>
    <row r="3" spans="2:14">
      <c r="B3" s="38" t="s">
        <v>2482</v>
      </c>
      <c r="C3" s="35"/>
      <c r="D3" s="35"/>
      <c r="F3" s="36"/>
      <c r="J3" s="38" t="s">
        <v>2482</v>
      </c>
      <c r="K3" s="35"/>
      <c r="L3" s="35"/>
      <c r="N3" s="36"/>
    </row>
    <row r="4" spans="2:14">
      <c r="F4" s="36"/>
      <c r="N4" s="36"/>
    </row>
    <row r="5" spans="2:14" ht="120.75" customHeight="1">
      <c r="B5" s="39" t="s">
        <v>2341</v>
      </c>
      <c r="F5" s="36"/>
      <c r="J5" s="39" t="s">
        <v>865</v>
      </c>
      <c r="N5" s="36"/>
    </row>
    <row r="6" spans="2:14">
      <c r="D6" s="35" t="s">
        <v>2483</v>
      </c>
      <c r="E6" t="s">
        <v>2194</v>
      </c>
      <c r="F6" s="36"/>
      <c r="L6" s="35" t="s">
        <v>2483</v>
      </c>
      <c r="M6" t="s">
        <v>2194</v>
      </c>
      <c r="N6" s="36"/>
    </row>
    <row r="7" spans="2:14" ht="14.45" customHeight="1">
      <c r="B7" t="s">
        <v>2484</v>
      </c>
      <c r="D7" s="40">
        <v>0.25</v>
      </c>
      <c r="E7" s="41">
        <v>2224</v>
      </c>
      <c r="F7" s="42">
        <f>D7*$B$8</f>
        <v>8552.51</v>
      </c>
      <c r="G7" s="36"/>
      <c r="J7" t="s">
        <v>2484</v>
      </c>
      <c r="L7" s="40">
        <f>N7/$J$8</f>
        <v>2.6666666666666665</v>
      </c>
      <c r="M7" s="41">
        <v>2151</v>
      </c>
      <c r="N7" s="42">
        <v>400</v>
      </c>
    </row>
    <row r="8" spans="2:14">
      <c r="B8" s="44">
        <v>34210.04</v>
      </c>
      <c r="D8" s="40">
        <v>0.75</v>
      </c>
      <c r="E8" s="41">
        <v>2488</v>
      </c>
      <c r="F8" s="42">
        <f>D8*$B$8</f>
        <v>25657.53</v>
      </c>
      <c r="G8" s="36"/>
      <c r="J8" s="44">
        <v>150</v>
      </c>
      <c r="L8" s="40">
        <f t="shared" ref="L8:L10" si="0">N8/$J$8</f>
        <v>5</v>
      </c>
      <c r="M8" s="41">
        <v>2054</v>
      </c>
      <c r="N8" s="42">
        <v>750</v>
      </c>
    </row>
    <row r="9" spans="2:14" ht="14.45" customHeight="1">
      <c r="D9" s="40"/>
      <c r="E9" s="41"/>
      <c r="F9" s="42">
        <f>D9*$B$8</f>
        <v>0</v>
      </c>
      <c r="G9" s="36"/>
      <c r="L9" s="40">
        <f t="shared" si="0"/>
        <v>6.1333333333333337</v>
      </c>
      <c r="M9" s="41">
        <v>1759</v>
      </c>
      <c r="N9" s="42">
        <v>920</v>
      </c>
    </row>
    <row r="10" spans="2:14">
      <c r="D10" s="40"/>
      <c r="E10" s="41"/>
      <c r="F10" s="42">
        <f>D10*$B$8</f>
        <v>0</v>
      </c>
      <c r="G10" s="36"/>
      <c r="L10" s="40">
        <f t="shared" si="0"/>
        <v>1.4666666666666666</v>
      </c>
      <c r="M10" s="41">
        <v>2208</v>
      </c>
      <c r="N10" s="42">
        <v>220</v>
      </c>
    </row>
    <row r="11" spans="2:14">
      <c r="D11" s="40"/>
      <c r="E11" s="41"/>
      <c r="F11" s="42">
        <f t="shared" ref="F11:F25" si="1">D11*$B$8</f>
        <v>0</v>
      </c>
      <c r="G11" s="36"/>
      <c r="L11" s="40"/>
      <c r="M11" s="41"/>
      <c r="N11" s="42">
        <f t="shared" ref="N11:N25" si="2">L11*$B$8</f>
        <v>0</v>
      </c>
    </row>
    <row r="12" spans="2:14">
      <c r="B12" s="46" t="s">
        <v>10</v>
      </c>
      <c r="D12" s="40"/>
      <c r="E12" s="41"/>
      <c r="F12" s="42">
        <f t="shared" si="1"/>
        <v>0</v>
      </c>
      <c r="G12" s="36"/>
      <c r="J12" s="46" t="s">
        <v>10</v>
      </c>
      <c r="L12" s="40"/>
      <c r="M12" s="41"/>
      <c r="N12" s="42">
        <f t="shared" si="2"/>
        <v>0</v>
      </c>
    </row>
    <row r="13" spans="2:14" ht="33.75" customHeight="1">
      <c r="B13" s="286">
        <v>262</v>
      </c>
      <c r="D13" s="40"/>
      <c r="E13" s="41"/>
      <c r="F13" s="42">
        <f t="shared" si="1"/>
        <v>0</v>
      </c>
      <c r="G13" s="36"/>
      <c r="J13" s="286">
        <v>262</v>
      </c>
      <c r="L13" s="40"/>
      <c r="M13" s="41"/>
      <c r="N13" s="42">
        <f t="shared" si="2"/>
        <v>0</v>
      </c>
    </row>
    <row r="14" spans="2:14">
      <c r="B14" s="286"/>
      <c r="D14" s="40"/>
      <c r="E14" s="41"/>
      <c r="F14" s="42">
        <f t="shared" si="1"/>
        <v>0</v>
      </c>
      <c r="J14" s="286"/>
      <c r="L14" s="40"/>
      <c r="M14" s="41"/>
      <c r="N14" s="42">
        <f t="shared" si="2"/>
        <v>0</v>
      </c>
    </row>
    <row r="15" spans="2:14">
      <c r="D15" s="40"/>
      <c r="E15" s="41"/>
      <c r="F15" s="42">
        <f t="shared" si="1"/>
        <v>0</v>
      </c>
      <c r="L15" s="40"/>
      <c r="M15" s="41"/>
      <c r="N15" s="42">
        <f t="shared" si="2"/>
        <v>0</v>
      </c>
    </row>
    <row r="16" spans="2:14" ht="15" customHeight="1">
      <c r="D16" s="40"/>
      <c r="E16" s="41"/>
      <c r="F16" s="42">
        <f t="shared" si="1"/>
        <v>0</v>
      </c>
      <c r="L16" s="40"/>
      <c r="M16" s="41"/>
      <c r="N16" s="42">
        <f t="shared" si="2"/>
        <v>0</v>
      </c>
    </row>
    <row r="17" spans="4:14" ht="15" customHeight="1">
      <c r="D17" s="45"/>
      <c r="E17" s="41"/>
      <c r="F17" s="42">
        <f t="shared" si="1"/>
        <v>0</v>
      </c>
      <c r="L17" s="45"/>
      <c r="M17" s="41"/>
      <c r="N17" s="42">
        <f t="shared" si="2"/>
        <v>0</v>
      </c>
    </row>
    <row r="18" spans="4:14">
      <c r="D18" s="45"/>
      <c r="E18" s="41"/>
      <c r="F18" s="42">
        <f t="shared" si="1"/>
        <v>0</v>
      </c>
      <c r="L18" s="45"/>
      <c r="M18" s="41"/>
      <c r="N18" s="42">
        <f t="shared" si="2"/>
        <v>0</v>
      </c>
    </row>
    <row r="19" spans="4:14">
      <c r="D19" s="45"/>
      <c r="E19" s="41"/>
      <c r="F19" s="42">
        <f t="shared" si="1"/>
        <v>0</v>
      </c>
      <c r="L19" s="45"/>
      <c r="M19" s="41"/>
      <c r="N19" s="42">
        <f t="shared" si="2"/>
        <v>0</v>
      </c>
    </row>
    <row r="20" spans="4:14">
      <c r="D20" s="45"/>
      <c r="E20" s="41"/>
      <c r="F20" s="42">
        <f t="shared" si="1"/>
        <v>0</v>
      </c>
      <c r="L20" s="45"/>
      <c r="M20" s="41"/>
      <c r="N20" s="42">
        <f t="shared" si="2"/>
        <v>0</v>
      </c>
    </row>
    <row r="21" spans="4:14">
      <c r="D21" s="45"/>
      <c r="E21" s="41"/>
      <c r="F21" s="42">
        <f t="shared" si="1"/>
        <v>0</v>
      </c>
      <c r="L21" s="45"/>
      <c r="M21" s="41"/>
      <c r="N21" s="42">
        <f t="shared" si="2"/>
        <v>0</v>
      </c>
    </row>
    <row r="22" spans="4:14">
      <c r="D22" s="45"/>
      <c r="E22" s="41"/>
      <c r="F22" s="42">
        <f t="shared" si="1"/>
        <v>0</v>
      </c>
      <c r="L22" s="45"/>
      <c r="M22" s="41"/>
      <c r="N22" s="42">
        <f t="shared" si="2"/>
        <v>0</v>
      </c>
    </row>
    <row r="23" spans="4:14">
      <c r="D23" s="45"/>
      <c r="E23" s="41"/>
      <c r="F23" s="42">
        <f t="shared" si="1"/>
        <v>0</v>
      </c>
      <c r="L23" s="45"/>
      <c r="M23" s="41"/>
      <c r="N23" s="42">
        <f t="shared" si="2"/>
        <v>0</v>
      </c>
    </row>
    <row r="24" spans="4:14">
      <c r="D24" s="45"/>
      <c r="E24" s="41"/>
      <c r="F24" s="42">
        <f t="shared" si="1"/>
        <v>0</v>
      </c>
      <c r="L24" s="45"/>
      <c r="M24" s="41"/>
      <c r="N24" s="42">
        <f t="shared" si="2"/>
        <v>0</v>
      </c>
    </row>
    <row r="25" spans="4:14">
      <c r="D25" s="45"/>
      <c r="E25" s="41"/>
      <c r="F25" s="42">
        <f t="shared" si="1"/>
        <v>0</v>
      </c>
      <c r="L25" s="45"/>
      <c r="M25" s="41"/>
      <c r="N25" s="42">
        <f t="shared" si="2"/>
        <v>0</v>
      </c>
    </row>
    <row r="26" spans="4:14">
      <c r="D26" s="35"/>
      <c r="F26" s="36"/>
      <c r="L26" s="35"/>
      <c r="N26" s="36"/>
    </row>
    <row r="27" spans="4:14">
      <c r="D27" s="35"/>
      <c r="F27" s="42">
        <f>SUM(F7:F25)</f>
        <v>34210.04</v>
      </c>
      <c r="L27" s="35"/>
      <c r="N27" s="42">
        <f>SUM(N7:N25)</f>
        <v>2290</v>
      </c>
    </row>
    <row r="28" spans="4:14">
      <c r="D28" s="35"/>
      <c r="F28" s="36"/>
    </row>
    <row r="29" spans="4:14" ht="14.45" customHeight="1">
      <c r="D29" s="35"/>
      <c r="F29" s="36"/>
    </row>
    <row r="30" spans="4:14" ht="14.45" customHeight="1">
      <c r="D30" s="35"/>
      <c r="F30" s="36"/>
    </row>
    <row r="31" spans="4:14">
      <c r="D31" s="35"/>
      <c r="F31" s="36"/>
    </row>
  </sheetData>
  <mergeCells count="2">
    <mergeCell ref="B13:B14"/>
    <mergeCell ref="J13:J14"/>
  </mergeCells>
  <conditionalFormatting sqref="B5">
    <cfRule type="cellIs" dxfId="3" priority="4" operator="equal">
      <formula>4502</formula>
    </cfRule>
  </conditionalFormatting>
  <conditionalFormatting sqref="B13">
    <cfRule type="cellIs" dxfId="2" priority="3" operator="equal">
      <formula>4502</formula>
    </cfRule>
  </conditionalFormatting>
  <conditionalFormatting sqref="J5">
    <cfRule type="cellIs" dxfId="1" priority="2" operator="equal">
      <formula>4502</formula>
    </cfRule>
  </conditionalFormatting>
  <conditionalFormatting sqref="J13">
    <cfRule type="cellIs" dxfId="0" priority="1" operator="equal">
      <formula>4502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220A11FEA46C4886D3604CC483AD6B" ma:contentTypeVersion="15" ma:contentTypeDescription="Crie um novo documento." ma:contentTypeScope="" ma:versionID="bb07fbe832bfbac930195f44faefcab7">
  <xsd:schema xmlns:xsd="http://www.w3.org/2001/XMLSchema" xmlns:xs="http://www.w3.org/2001/XMLSchema" xmlns:p="http://schemas.microsoft.com/office/2006/metadata/properties" xmlns:ns2="6dbcbc56-3d12-411a-a735-f36ec8e8bfd2" xmlns:ns3="8de5c96d-c68a-4bc1-8ca7-a6766c74fd4d" targetNamespace="http://schemas.microsoft.com/office/2006/metadata/properties" ma:root="true" ma:fieldsID="71ce47b93599878504e7d9a94c5299da" ns2:_="" ns3:_="">
    <xsd:import namespace="6dbcbc56-3d12-411a-a735-f36ec8e8bfd2"/>
    <xsd:import namespace="8de5c96d-c68a-4bc1-8ca7-a6766c74fd4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bcbc56-3d12-411a-a735-f36ec8e8bf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69df8bfc-69f5-472b-bcc3-14f5ad47a7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e5c96d-c68a-4bc1-8ca7-a6766c74fd4d"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bcbc56-3d12-411a-a735-f36ec8e8bfd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6D70E7-DD16-4CA7-972B-BE7A432BAB81}"/>
</file>

<file path=customXml/itemProps2.xml><?xml version="1.0" encoding="utf-8"?>
<ds:datastoreItem xmlns:ds="http://schemas.openxmlformats.org/officeDocument/2006/customXml" ds:itemID="{E6789367-A5F1-4388-8120-DDEDA2FE2BF0}"/>
</file>

<file path=customXml/itemProps3.xml><?xml version="1.0" encoding="utf-8"?>
<ds:datastoreItem xmlns:ds="http://schemas.openxmlformats.org/officeDocument/2006/customXml" ds:itemID="{54650467-4C7D-42B4-91BA-A0E0F8FB5E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Camila Ramos</dc:creator>
  <cp:keywords/>
  <dc:description/>
  <cp:lastModifiedBy>Thais Marcondes Dos Santos</cp:lastModifiedBy>
  <cp:revision/>
  <dcterms:created xsi:type="dcterms:W3CDTF">2025-10-21T18:33:23Z</dcterms:created>
  <dcterms:modified xsi:type="dcterms:W3CDTF">2026-05-07T11:36:26Z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0x01010071220A11FEA46C4886D3604CC483AD6B</vt:lpwstr>
  </property>
  <property fmtid="{D5CDD505-2E9C-101B-9397-08002B2CF9AE}" pid="3" name="MediaServiceImageTags">
    <vt:lpwstr/>
  </property>
</Properties>
</file>