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zeluzjunior\Downloads\"/>
    </mc:Choice>
  </mc:AlternateContent>
  <xr:revisionPtr revIDLastSave="0" documentId="13_ncr:1_{B08111E0-2BB1-49EC-A473-199ED26943AB}" xr6:coauthVersionLast="47" xr6:coauthVersionMax="47" xr10:uidLastSave="{00000000-0000-0000-0000-000000000000}"/>
  <bookViews>
    <workbookView xWindow="-120" yWindow="-120" windowWidth="29040" windowHeight="16440" activeTab="2" xr2:uid="{093689EF-D701-4890-B8A9-8BD8B50DC7E2}"/>
  </bookViews>
  <sheets>
    <sheet name="DADOS" sheetId="2" r:id="rId1"/>
    <sheet name="DASHBOARD" sheetId="3" r:id="rId2"/>
    <sheet name="GASTOS" sheetId="1" r:id="rId3"/>
    <sheet name="Sequencial_Log" sheetId="4" state="veryHidden" r:id="rId4"/>
  </sheets>
  <definedNames>
    <definedName name="_xlnm._FilterDatabase" localSheetId="2" hidden="1">GASTOS!$A$1:$R$17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<sst xmlns="http://schemas.openxmlformats.org/spreadsheetml/2006/main" count="88" uniqueCount="72">
  <si>
    <t>Status</t>
  </si>
  <si>
    <t xml:space="preserve">SETOR </t>
  </si>
  <si>
    <t>USO CONTABIL</t>
  </si>
  <si>
    <t>Mês</t>
  </si>
  <si>
    <t>SERVIÇO CONCLUÍDO</t>
  </si>
  <si>
    <t>NF DE SERVIÇO RECEBIDA</t>
  </si>
  <si>
    <t xml:space="preserve">NF ENVIADA PARA LANÇAMENTO </t>
  </si>
  <si>
    <t>TIPO DE SOLICITAÇÃO</t>
  </si>
  <si>
    <t>1. TURNO A</t>
  </si>
  <si>
    <t>OUTUBRO / 2025</t>
  </si>
  <si>
    <t>SIM</t>
  </si>
  <si>
    <t>2. TURNO B</t>
  </si>
  <si>
    <t>NOVEMBRO / 2025</t>
  </si>
  <si>
    <t>NÃO</t>
  </si>
  <si>
    <t>3. TURNO C</t>
  </si>
  <si>
    <t>DEZEMBRO / 2025</t>
  </si>
  <si>
    <t>INDEFINIDO</t>
  </si>
  <si>
    <t>4. EXTERNA</t>
  </si>
  <si>
    <t>JANEIRO / 2026</t>
  </si>
  <si>
    <t>5. UTILIDADES</t>
  </si>
  <si>
    <t>FEVEREIRO / 2026</t>
  </si>
  <si>
    <t>6. ETA / ETE / BIO</t>
  </si>
  <si>
    <t>MARÇO / 2026</t>
  </si>
  <si>
    <t xml:space="preserve">7. AUTOMAÇÃO </t>
  </si>
  <si>
    <t>ABRIL / 2026</t>
  </si>
  <si>
    <t>8. PROJETOS</t>
  </si>
  <si>
    <t>MAIO / 2026</t>
  </si>
  <si>
    <t>9. PCM</t>
  </si>
  <si>
    <t>JUNHO / 2026</t>
  </si>
  <si>
    <t>10. INDEFINIDO</t>
  </si>
  <si>
    <t>JULHO / 2026</t>
  </si>
  <si>
    <t>AGOSTO / 2026</t>
  </si>
  <si>
    <t>SETEMBRO / 2026</t>
  </si>
  <si>
    <t>OUTUBRO / 2026</t>
  </si>
  <si>
    <t>NOVEMBRO / 2026</t>
  </si>
  <si>
    <t>DEZEMBRO / 2026</t>
  </si>
  <si>
    <t>SEM PREVISÃO</t>
  </si>
  <si>
    <t>Rótulos de Linha</t>
  </si>
  <si>
    <t>Soma de VALOR TOTAL</t>
  </si>
  <si>
    <t>-</t>
  </si>
  <si>
    <t>(vazio)</t>
  </si>
  <si>
    <t>Total Geral</t>
  </si>
  <si>
    <t>ID</t>
  </si>
  <si>
    <t>SOLICITANTE</t>
  </si>
  <si>
    <t>DESCRIÇÃO DO SERVIÇO</t>
  </si>
  <si>
    <t>VALOR TOTAL</t>
  </si>
  <si>
    <t>PREVISÃO 
P/ EXECUÇÃO</t>
  </si>
  <si>
    <t>USO 
CONTÁBIL</t>
  </si>
  <si>
    <t>ORDEM 
DE SERVIÇO</t>
  </si>
  <si>
    <t>DATA DE ABERTURA 
DA REQUISIÇÃO</t>
  </si>
  <si>
    <t>FORNECEDOR
CNPJ</t>
  </si>
  <si>
    <t>NF DE SERVIÇO
 RECEBIDA</t>
  </si>
  <si>
    <t xml:space="preserve">NF ENVIADA
 PARA LANÇAMENTO </t>
  </si>
  <si>
    <t>OBSERVAÇÕES</t>
  </si>
  <si>
    <t>ID02</t>
  </si>
  <si>
    <t>ID03</t>
  </si>
  <si>
    <t>ID06</t>
  </si>
  <si>
    <t>FORNECEDOR</t>
  </si>
  <si>
    <t>NF: SERVIÇO OU MATERIAL</t>
  </si>
  <si>
    <t>TIPO DE GASTO</t>
  </si>
  <si>
    <t>ID07</t>
  </si>
  <si>
    <t>ID08</t>
  </si>
  <si>
    <t>PEDIDO DE COMPRA</t>
  </si>
  <si>
    <t>REQUISIÇÃO 
DE COMPRA</t>
  </si>
  <si>
    <t>ID01</t>
  </si>
  <si>
    <t>ID04</t>
  </si>
  <si>
    <t>ID05</t>
  </si>
  <si>
    <t>ID09</t>
  </si>
  <si>
    <t>ID10</t>
  </si>
  <si>
    <t>MATERIAL DE SERVIÇO</t>
  </si>
  <si>
    <t>SERVIÇO EXTERNO</t>
  </si>
  <si>
    <t>REQ. DE MATERIAL DO ALMOXARIFADO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</si>
</sst>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[$R$-416]\ * #,##0.00_-;\-[$R$-416]\ * #,##0.00_-;_-[$R$-416]\ * &quot;-&quot;??_-;_-@_-"/>
    <numFmt numFmtId="165" formatCode="[$R$-416]\ 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name val="Arial"/>
    </font>
    <font>
      <sz val="10"/>
      <color theme="1"/>
      <name val="Arial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name val="Arial"/>
      <family val="2"/>
    </font>
    <font>
      <sz val="11"/>
      <name val="Aptos Narrow"/>
      <family val="2"/>
      <scheme val="minor"/>
    </font>
    <font>
      <strike/>
      <sz val="11"/>
      <color rgb="FFFF0000"/>
      <name val="Aptos Narrow"/>
      <family val="2"/>
      <scheme val="minor"/>
    </font>
    <font>
      <sz val="10"/>
      <color rgb="FF000000"/>
      <name val="Arial"/>
      <family val="2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4" fillId="0" borderId="0" applyNumberFormat="0"/>
  </cellStyleXfs>
  <cellXfs count="101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0" fillId="4" borderId="0" xfId="0" applyFill="1"/>
    <xf numFmtId="0" fontId="0" fillId="2" borderId="0" xfId="0" applyFill="1"/>
    <xf numFmtId="164" fontId="0" fillId="2" borderId="0" xfId="0" applyNumberFormat="1" applyFill="1"/>
    <xf numFmtId="0" fontId="0" fillId="0" borderId="0" xfId="0" applyProtection="1">
      <protection locked="0"/>
    </xf>
    <xf numFmtId="0" fontId="0" fillId="0" borderId="1" xfId="0" applyBorder="1" applyAlignment="1">
      <alignment horizontal="left"/>
    </xf>
    <xf numFmtId="165" fontId="0" fillId="0" borderId="1" xfId="0" applyNumberFormat="1" applyBorder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wrapText="1"/>
      <protection locked="0"/>
    </xf>
    <xf numFmtId="164" fontId="1" fillId="0" borderId="1" xfId="1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7" fillId="5" borderId="1" xfId="0" applyFont="1" applyFill="1" applyBorder="1" applyAlignment="1" applyProtection="1">
      <alignment horizontal="center" wrapText="1"/>
      <protection locked="0"/>
    </xf>
    <xf numFmtId="0" fontId="9" fillId="0" borderId="0" xfId="0" applyFont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6" xfId="0" applyFont="1" applyBorder="1" applyAlignment="1" applyProtection="1">
      <alignment wrapText="1"/>
      <protection locked="0"/>
    </xf>
    <xf numFmtId="164" fontId="5" fillId="0" borderId="10" xfId="0" applyNumberFormat="1" applyFont="1" applyBorder="1" applyAlignment="1" applyProtection="1">
      <alignment horizontal="center" vertical="center" wrapText="1"/>
      <protection locked="0"/>
    </xf>
    <xf numFmtId="17" fontId="5" fillId="0" borderId="10" xfId="0" applyNumberFormat="1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11" fillId="0" borderId="4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>
      <alignment horizontal="center" wrapText="1"/>
    </xf>
    <xf numFmtId="0" fontId="14" fillId="0" borderId="1" xfId="0" applyFont="1" applyBorder="1" applyAlignment="1">
      <alignment horizontal="center" wrapText="1"/>
    </xf>
    <xf numFmtId="14" fontId="14" fillId="0" borderId="2" xfId="0" applyNumberFormat="1" applyFont="1" applyBorder="1" applyAlignment="1">
      <alignment horizontal="center" wrapText="1"/>
    </xf>
    <xf numFmtId="0" fontId="11" fillId="0" borderId="4" xfId="0" applyFont="1" applyBorder="1" applyAlignment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Protection="1">
      <protection locked="0"/>
    </xf>
    <xf numFmtId="0" fontId="14" fillId="0" borderId="2" xfId="0" applyFont="1" applyBorder="1" applyAlignment="1" applyProtection="1">
      <alignment wrapText="1"/>
      <protection locked="0"/>
    </xf>
    <xf numFmtId="164" fontId="5" fillId="0" borderId="1" xfId="0" applyNumberFormat="1" applyFont="1" applyBorder="1" applyAlignment="1" applyProtection="1">
      <alignment horizontal="center" vertical="center" wrapText="1"/>
      <protection locked="0"/>
    </xf>
    <xf numFmtId="17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1" fillId="0" borderId="4" xfId="0" applyFont="1" applyBorder="1" applyAlignment="1" applyProtection="1">
      <alignment horizontal="center" wrapText="1"/>
      <protection locked="0"/>
    </xf>
    <xf numFmtId="0" fontId="11" fillId="0" borderId="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wrapText="1"/>
    </xf>
    <xf numFmtId="14" fontId="14" fillId="0" borderId="6" xfId="0" applyNumberFormat="1" applyFont="1" applyBorder="1" applyAlignment="1">
      <alignment horizontal="center" wrapText="1"/>
    </xf>
    <xf numFmtId="0" fontId="5" fillId="0" borderId="6" xfId="0" applyFont="1" applyBorder="1" applyAlignment="1" applyProtection="1">
      <alignment wrapText="1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14" fontId="14" fillId="0" borderId="1" xfId="0" applyNumberFormat="1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 wrapText="1"/>
      <protection locked="0"/>
    </xf>
    <xf numFmtId="14" fontId="15" fillId="0" borderId="1" xfId="0" applyNumberFormat="1" applyFont="1" applyBorder="1" applyAlignment="1">
      <alignment horizontal="center" vertical="center" wrapText="1"/>
    </xf>
    <xf numFmtId="0" fontId="5" fillId="0" borderId="7" xfId="0" applyFont="1" applyBorder="1" applyAlignment="1" applyProtection="1">
      <alignment wrapText="1"/>
      <protection locked="0"/>
    </xf>
    <xf numFmtId="164" fontId="5" fillId="0" borderId="8" xfId="0" applyNumberFormat="1" applyFont="1" applyBorder="1" applyAlignment="1" applyProtection="1">
      <alignment horizontal="center" vertical="center" wrapText="1"/>
      <protection locked="0"/>
    </xf>
    <xf numFmtId="17" fontId="5" fillId="0" borderId="8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64" fontId="1" fillId="0" borderId="1" xfId="1" applyNumberFormat="1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4" fontId="15" fillId="0" borderId="1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7" fillId="0" borderId="4" xfId="0" applyFont="1" applyBorder="1" applyAlignment="1" applyProtection="1">
      <alignment horizontal="center" vertical="center"/>
      <protection locked="0"/>
    </xf>
    <xf numFmtId="0" fontId="17" fillId="0" borderId="5" xfId="0" applyFont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4" fontId="11" fillId="0" borderId="1" xfId="0" applyNumberFormat="1" applyFont="1" applyBorder="1" applyAlignment="1" applyProtection="1">
      <alignment horizontal="center" indent="1"/>
      <protection locked="0"/>
    </xf>
    <xf numFmtId="0" fontId="13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14" fontId="16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4" fontId="12" fillId="0" borderId="1" xfId="0" applyNumberFormat="1" applyFont="1" applyBorder="1" applyAlignment="1">
      <alignment horizontal="center" vertical="center" wrapText="1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 wrapText="1"/>
    </xf>
    <xf numFmtId="14" fontId="15" fillId="0" borderId="1" xfId="0" applyNumberFormat="1" applyFont="1" applyBorder="1" applyAlignment="1" applyProtection="1">
      <alignment horizontal="center" vertical="center" wrapText="1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</cellXfs>
  <cellStyles count="3">
    <cellStyle name="Moeda" xfId="1" builtinId="4"/>
    <cellStyle name="Normal" xfId="0" builtinId="0"/>
    <cellStyle name="normal 2" xfId="2" xr:uid="{5F3565CC-B7E1-4600-8CE0-2FF16F9B60ED}"/>
  </cellStyles>
  <dxfs count="1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R$-416]\ 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_-[$R$-416]\ * #,##0.00_-;\-[$R$-416]\ * #,##0.00_-;_-[$R$-416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- Previsão de Gastos 2025 e 2026.xlsm]DASHBOARD!Tabela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PREVISÃO</a:t>
            </a:r>
            <a:r>
              <a:rPr lang="en-US" baseline="0"/>
              <a:t> DE GASTOS - SETOR 1. MANUTENÇÃO TURNO A</a:t>
            </a:r>
          </a:p>
        </c:rich>
      </c:tx>
      <c:layout>
        <c:manualLayout>
          <c:xMode val="edge"/>
          <c:yMode val="edge"/>
          <c:x val="0.34935973311051216"/>
          <c:y val="7.1895774932895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DASHBOARD!$C$4:$C$12</c:f>
              <c:strCache>
                <c:ptCount val="8"/>
                <c:pt idx="0">
                  <c:v>-</c:v>
                </c:pt>
                <c:pt idx="1">
                  <c:v>DEZEMBRO / 2025</c:v>
                </c:pt>
                <c:pt idx="2">
                  <c:v>FEVEREIRO / 2026</c:v>
                </c:pt>
                <c:pt idx="3">
                  <c:v>JANEIRO / 2026</c:v>
                </c:pt>
                <c:pt idx="4">
                  <c:v>MARÇO / 2026</c:v>
                </c:pt>
                <c:pt idx="5">
                  <c:v>(vazio)</c:v>
                </c:pt>
                <c:pt idx="6">
                  <c:v>SEM PREVISÃO</c:v>
                </c:pt>
                <c:pt idx="7">
                  <c:v>ABRIL / 2026</c:v>
                </c:pt>
              </c:strCache>
            </c:strRef>
          </c:cat>
          <c:val>
            <c:numRef>
              <c:f>DASHBOARD!$D$4:$D$12</c:f>
              <c:numCache>
                <c:formatCode>[$R$-416]\ #,##0.00</c:formatCode>
                <c:ptCount val="8"/>
                <c:pt idx="0">
                  <c:v>0</c:v>
                </c:pt>
                <c:pt idx="1">
                  <c:v>38804.79</c:v>
                </c:pt>
                <c:pt idx="2">
                  <c:v>483172.23000000004</c:v>
                </c:pt>
                <c:pt idx="3">
                  <c:v>0</c:v>
                </c:pt>
                <c:pt idx="4">
                  <c:v>391442.98000000004</c:v>
                </c:pt>
                <c:pt idx="6">
                  <c:v>257814.19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C-415A-9CE7-1277D53E1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212575"/>
        <c:axId val="511213535"/>
      </c:barChart>
      <c:catAx>
        <c:axId val="51121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3535"/>
        <c:crosses val="autoZero"/>
        <c:auto val="1"/>
        <c:lblAlgn val="ctr"/>
        <c:lblOffset val="100"/>
        <c:noMultiLvlLbl val="0"/>
      </c:catAx>
      <c:valAx>
        <c:axId val="51121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R$-416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923925</xdr:colOff>
      <xdr:row>17</xdr:row>
      <xdr:rowOff>19050</xdr:rowOff>
    </xdr:from>
    <xdr:to>
      <xdr:col>18</xdr:col>
      <xdr:colOff>361950</xdr:colOff>
      <xdr:row>38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8B3026C-9652-4D1F-A187-52F15AD4DAE3}"/>
            </a:ext>
          </a:extLst>
        </xdr:cNvPr>
        <xdr:cNvSpPr/>
      </xdr:nvSpPr>
      <xdr:spPr>
        <a:xfrm>
          <a:off x="6115050" y="3429000"/>
          <a:ext cx="10610850" cy="40290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2</xdr:row>
          <xdr:rowOff>19050</xdr:rowOff>
        </xdr:from>
        <xdr:to>
          <xdr:col>10</xdr:col>
          <xdr:colOff>504825</xdr:colOff>
          <xdr:row>5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19049</xdr:rowOff>
    </xdr:from>
    <xdr:to>
      <xdr:col>25</xdr:col>
      <xdr:colOff>481853</xdr:colOff>
      <xdr:row>26</xdr:row>
      <xdr:rowOff>22412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8ED26DE-F351-6AF3-6828-FAD1612CF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0</xdr:row>
          <xdr:rowOff>171450</xdr:rowOff>
        </xdr:from>
        <xdr:to>
          <xdr:col>1</xdr:col>
          <xdr:colOff>4514850</xdr:colOff>
          <xdr:row>0</xdr:row>
          <xdr:rowOff>476250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Congelar Colunas de Dados Opcionais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76200</xdr:rowOff>
        </xdr:from>
        <xdr:to>
          <xdr:col>18</xdr:col>
          <xdr:colOff>657225</xdr:colOff>
          <xdr:row>0</xdr:row>
          <xdr:rowOff>257175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Ids dos Serviços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luzjunior" refreshedDate="46066.535406597221" createdVersion="8" refreshedVersion="8" minRefreshableVersion="3" recordCount="501" xr:uid="{56332D3B-67C9-4FD9-B762-5A17C06DD789}">
  <cacheSource type="worksheet">
    <worksheetSource ref="A1:Q1048576" sheet="GASTOS"/>
  </cacheSource>
  <cacheFields count="17">
    <cacheField name="SETOR " numFmtId="0">
      <sharedItems containsBlank="1"/>
    </cacheField>
    <cacheField name="SOLICITANTE" numFmtId="0">
      <sharedItems containsBlank="1" count="7">
        <s v="CLEITON"/>
        <s v="RHUAN"/>
        <s v="JOSÉ"/>
        <s v="CLEITON "/>
        <m/>
        <s v="-"/>
        <s v="EDER-BUENO" u="1"/>
      </sharedItems>
    </cacheField>
    <cacheField name="FORNECEDOR_x000a_NOME FANTASIA" numFmtId="0">
      <sharedItems containsBlank="1"/>
    </cacheField>
    <cacheField name="DESCRIÇÃO DO SERVIÇO" numFmtId="0">
      <sharedItems containsBlank="1"/>
    </cacheField>
    <cacheField name="VALOR TOTAL" numFmtId="0">
      <sharedItems containsBlank="1" containsMixedTypes="1" containsNumber="1" minValue="0" maxValue="150000"/>
    </cacheField>
    <cacheField name="PREVISÃO _x000a_P/ EXECUÇÃO" numFmtId="0">
      <sharedItems containsBlank="1" count="11">
        <m/>
        <s v="DEZEMBRO / 2025"/>
        <s v="FEVEREIRO / 2026"/>
        <s v="MARÇO / 2026"/>
        <s v="ABRIL / 2026"/>
        <s v="JANEIRO / 2026"/>
        <s v="SEM PREVISÃO"/>
        <s v="-"/>
        <s v="FEVEREIO / 2026" u="1"/>
        <s v="OUTUBRO / 2025" u="1"/>
        <s v="NOVEMBRO / 2025" u="1"/>
      </sharedItems>
    </cacheField>
    <cacheField name="USO _x000a_CONTÁBIL" numFmtId="0">
      <sharedItems containsBlank="1" containsMixedTypes="1" containsNumber="1" containsInteger="1" minValue="242" maxValue="242"/>
    </cacheField>
    <cacheField name="NÚMERO DA _x000a_NOTA FISCAL" numFmtId="0">
      <sharedItems containsBlank="1" containsMixedTypes="1" containsNumber="1" containsInteger="1" minValue="338" maxValue="7104"/>
    </cacheField>
    <cacheField name="TIPO DE _x000a_SOLICITAÇÃO" numFmtId="0">
      <sharedItems containsBlank="1"/>
    </cacheField>
    <cacheField name="ORDEM _x000a_DE SERVIÇO" numFmtId="0">
      <sharedItems containsBlank="1" containsMixedTypes="1" containsNumber="1" containsInteger="1" minValue="77410" maxValue="101907"/>
    </cacheField>
    <cacheField name="DATA DE ABERTURA _x000a_DA REQUISIÇÃO" numFmtId="0">
      <sharedItems containsDate="1" containsBlank="1" containsMixedTypes="1" minDate="2025-08-18T00:00:00" maxDate="2423-04-13T00:00:00"/>
    </cacheField>
    <cacheField name="FORNECEDOR_x000a_CNPJ" numFmtId="0">
      <sharedItems containsBlank="1"/>
    </cacheField>
    <cacheField name="NÚEMRO DA REQUISIÇÃO _x000a_DE COMPRA" numFmtId="0">
      <sharedItems containsBlank="1" containsMixedTypes="1" containsNumber="1" containsInteger="1" minValue="4214651" maxValue="4388731"/>
    </cacheField>
    <cacheField name="NÚMERO DO _x000a_PEDIDO DE COMPRA" numFmtId="0">
      <sharedItems containsBlank="1" containsMixedTypes="1" containsNumber="1" containsInteger="1" minValue="4336280" maxValue="4488525"/>
    </cacheField>
    <cacheField name="SERVIÇO CONCLUÍDO" numFmtId="0">
      <sharedItems containsBlank="1"/>
    </cacheField>
    <cacheField name="NF DE SERVIÇO_x000a_ RECEBIDA" numFmtId="0">
      <sharedItems containsBlank="1"/>
    </cacheField>
    <cacheField name="NF ENVIADA_x000a_ PARA LANÇAMENTO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s v="9. PCM"/>
    <x v="0"/>
    <s v="MULT-TEC"/>
    <s v="MANUTENÇÃO NOS BLOCOS DE VACUO DA R145 DO CURADOS "/>
    <m/>
    <x v="0"/>
    <n v="242"/>
    <m/>
    <m/>
    <n v="88639"/>
    <d v="2025-10-29T00:00:00"/>
    <m/>
    <n v="4285510"/>
    <n v="4408524"/>
    <s v="-"/>
    <s v="-"/>
    <s v="-"/>
  </r>
  <r>
    <s v="9. PCM"/>
    <x v="0"/>
    <s v="MULT-TEC"/>
    <s v="REVISAO DAS PLACAS DA BASE DA R535 DA PRESUNTARIA "/>
    <m/>
    <x v="0"/>
    <n v="242"/>
    <m/>
    <m/>
    <n v="86826"/>
    <d v="2025-10-14T00:00:00"/>
    <m/>
    <n v="4274405"/>
    <n v="4399765"/>
    <s v="SIM"/>
    <s v="SIM"/>
    <s v="SIM"/>
  </r>
  <r>
    <s v="9. PCM"/>
    <x v="0"/>
    <s v="MULT-TEC"/>
    <s v="CABO SENSOR DE SEGURANÇA DE 6 METROS "/>
    <m/>
    <x v="0"/>
    <n v="242"/>
    <m/>
    <m/>
    <n v="87008"/>
    <d v="2025-10-15T00:00:00"/>
    <m/>
    <n v="4274431"/>
    <n v="4399761"/>
    <s v="SIM"/>
    <s v="SIM"/>
    <s v="SIM"/>
  </r>
  <r>
    <s v="9. PCM"/>
    <x v="0"/>
    <s v="MULT-TEC"/>
    <s v="REVISÃO DOS PISTOES DA ELEVAÇÃO DAS GRELHAS DE ALIMENTAÇÃO DA R535 PRESENTARIA "/>
    <m/>
    <x v="0"/>
    <n v="242"/>
    <m/>
    <m/>
    <n v="86824"/>
    <d v="2025-10-14T00:00:00"/>
    <m/>
    <n v="4271140"/>
    <n v="4390655"/>
    <s v="SIM"/>
    <s v="SIM"/>
    <s v="SIM"/>
  </r>
  <r>
    <s v="9. PCM"/>
    <x v="0"/>
    <s v="MULT-TEC"/>
    <s v="SERVIÇO PARA REALIZAR BECKUP DO SISTEMA DAS TERMOFORMADORAS "/>
    <m/>
    <x v="0"/>
    <n v="242"/>
    <m/>
    <m/>
    <n v="86833"/>
    <d v="2025-10-14T00:00:00"/>
    <m/>
    <n v="4271154"/>
    <n v="4390653"/>
    <s v="SIM"/>
    <s v="SIM"/>
    <s v="SIM"/>
  </r>
  <r>
    <s v="9. PCM"/>
    <x v="0"/>
    <s v="USICASTRO "/>
    <s v="SERVIÇO PARA RECUPERAR CAIXA DE SELAGEM DA PRESUNTARIA "/>
    <m/>
    <x v="0"/>
    <n v="242"/>
    <m/>
    <m/>
    <n v="87782"/>
    <d v="2025-10-22T00:00:00"/>
    <m/>
    <n v="4282004"/>
    <n v="4399466"/>
    <s v="SIM"/>
    <s v="SIM"/>
    <s v="SIM"/>
  </r>
  <r>
    <s v="9. PCM"/>
    <x v="1"/>
    <s v="USICASTRO (PHDS)"/>
    <s v="SERVIÇO USINAGEM EM BUCHA DO EIXO DO MOEDOR FRESCAL"/>
    <m/>
    <x v="0"/>
    <m/>
    <n v="404"/>
    <m/>
    <s v="91702 "/>
    <m/>
    <m/>
    <n v="4302330"/>
    <n v="4417893"/>
    <s v="SIM"/>
    <s v="SIM"/>
    <s v="SIM"/>
  </r>
  <r>
    <s v="9. PCM"/>
    <x v="0"/>
    <s v="MULT-TEC"/>
    <s v="VISITA TÉCNICA PARA MANUTENÇÃO E ACOMPANHAMENTO NOS EQUIPAMENTOS"/>
    <m/>
    <x v="0"/>
    <m/>
    <n v="338"/>
    <m/>
    <n v="90496"/>
    <m/>
    <m/>
    <n v="4296561"/>
    <n v="4413697"/>
    <s v="SIM"/>
    <s v="SIM"/>
    <s v="NAO "/>
  </r>
  <r>
    <s v="9. PCM"/>
    <x v="2"/>
    <s v="PESO EXATO"/>
    <s v="CALIBRAÇÃO DE BALANÇAS RODOVIÁRIAS (FATURAMENTO E RECEPÇÃO)"/>
    <n v="11000"/>
    <x v="1"/>
    <n v="242"/>
    <s v="-"/>
    <m/>
    <s v="-"/>
    <s v="-"/>
    <m/>
    <s v="-"/>
    <s v="-"/>
    <s v="-"/>
    <s v="-"/>
    <s v="-"/>
  </r>
  <r>
    <s v="9. PCM"/>
    <x v="1"/>
    <s v="USICASTRO (PHDS)"/>
    <s v="CONFECÇÃO DE CAVALETE PARA REVISÃO DE REDUTORES DE DIGESTORES"/>
    <n v="7500"/>
    <x v="1"/>
    <n v="242"/>
    <n v="433"/>
    <m/>
    <n v="78710"/>
    <d v="2025-08-29T00:00:00"/>
    <m/>
    <n v="4225517"/>
    <n v="4350050"/>
    <s v="SIM"/>
    <s v="SIM"/>
    <s v="SIM"/>
  </r>
  <r>
    <s v="9. PCM"/>
    <x v="1"/>
    <s v="VELOTANO"/>
    <s v="SERVICO TORNO COM DIVISAO / SERVIÇO DE USINAGEM EM KIT ENGRENAGEM SKINNER"/>
    <n v="3480"/>
    <x v="1"/>
    <n v="242"/>
    <s v="-"/>
    <m/>
    <n v="91597"/>
    <d v="2025-11-13T00:00:00"/>
    <m/>
    <n v="4300441"/>
    <n v="4416482"/>
    <s v="-"/>
    <s v="-"/>
    <s v="-"/>
  </r>
  <r>
    <s v="9. PCM"/>
    <x v="1"/>
    <s v="USIMEC"/>
    <s v="SERVIÇO DE MÃO DE OBRA PARA REVISÃO DO EXAUSTOR DO CHAMUSCADOR"/>
    <n v="3800"/>
    <x v="1"/>
    <n v="242"/>
    <s v="-"/>
    <m/>
    <s v="91312 "/>
    <d v="2025-11-12T00:00:00"/>
    <m/>
    <n v="4299409"/>
    <n v="4419988"/>
    <s v="-"/>
    <s v="-"/>
    <s v="-"/>
  </r>
  <r>
    <s v="9. PCM"/>
    <x v="1"/>
    <s v="VELOTANO"/>
    <s v="SERVIÇO DE USINAGEM EM EIXOS DO REDUTOR DA PRENSA EXPELLER"/>
    <n v="2050"/>
    <x v="1"/>
    <n v="242"/>
    <n v="3195"/>
    <m/>
    <s v="91288 "/>
    <d v="2025-11-12T00:00:00"/>
    <m/>
    <n v="4299199"/>
    <n v="4413962"/>
    <s v="SIM"/>
    <s v="SIM"/>
    <s v="SIM"/>
  </r>
  <r>
    <s v="9. PCM"/>
    <x v="1"/>
    <s v="USICASTRO (PHDS)"/>
    <s v="SERVIÇO DE USINAGEM EM POLIA DE ALUMINIO DA NÓRIA DE MÍUDOS"/>
    <n v="765"/>
    <x v="1"/>
    <n v="242"/>
    <n v="432"/>
    <m/>
    <n v="91709"/>
    <d v="2025-11-17T00:00:00"/>
    <m/>
    <n v="4303272"/>
    <n v="4424780"/>
    <s v="SIM"/>
    <s v="SIM"/>
    <s v="SIM"/>
  </r>
  <r>
    <s v="9. PCM"/>
    <x v="2"/>
    <s v="FOSS"/>
    <s v="SERVIÇO DE MANUTENÇÃO PREVENTIVA E CALIBRAÇÃO - EQUIPAMENTO FOODSCAN (CURADOS)"/>
    <n v="5500"/>
    <x v="1"/>
    <n v="242"/>
    <s v="-"/>
    <m/>
    <s v="-"/>
    <s v="-"/>
    <m/>
    <s v="-"/>
    <s v="-"/>
    <s v="-"/>
    <s v="-"/>
    <s v="-"/>
  </r>
  <r>
    <s v="9. PCM"/>
    <x v="1"/>
    <s v="MAREL"/>
    <s v="SERVIÇO DE TERCEIRO PARA: MÃO DE OBRA PARA DIA EXTRA DE ACOMPANHAMENTO DE UM TÉCNICO DA MAREL, PARA O EQUIPAMENTO V-CUT 240"/>
    <n v="4709.79"/>
    <x v="1"/>
    <n v="242"/>
    <s v="-"/>
    <m/>
    <s v="97841 "/>
    <d v="2025-12-23T00:00:00"/>
    <m/>
    <n v="4340072"/>
    <s v="-"/>
    <s v="-"/>
    <s v="-"/>
    <s v="-"/>
  </r>
  <r>
    <s v="9. PCM"/>
    <x v="0"/>
    <s v="MULT-TEC"/>
    <s v="RFORMA F200 EMBALAGEM "/>
    <n v="150000"/>
    <x v="2"/>
    <n v="242"/>
    <m/>
    <m/>
    <n v="91042"/>
    <d v="2025-11-11T00:00:00"/>
    <m/>
    <n v="4298167"/>
    <n v="4417448"/>
    <m/>
    <m/>
    <m/>
  </r>
  <r>
    <s v="9. PCM"/>
    <x v="1"/>
    <s v="PCR ARTEFATOS DE BORRACHA"/>
    <s v="SERVIÇO DE MATERIAL E MÃO DE OBRA PARA REFORMA DE CILINDROS DO EQUIPAMENTO MÁQUINA DE TRIPAS"/>
    <n v="20706"/>
    <x v="2"/>
    <n v="242"/>
    <m/>
    <m/>
    <n v="100100"/>
    <d v="2026-01-14T00:00:00"/>
    <m/>
    <n v="4359906"/>
    <s v="-"/>
    <m/>
    <m/>
    <m/>
  </r>
  <r>
    <s v="9. PCM"/>
    <x v="1"/>
    <s v="SERPONTES COMERCIO DE PEÇAS LTDA"/>
    <s v="OS 101907 - SERVIÇO TERCEIRO: MATERIAL E MÃO DE OBRA PARA CONSERTO DE FURADEIRA DE IMPACTO BOSCH."/>
    <n v="406.9"/>
    <x v="2"/>
    <n v="242"/>
    <m/>
    <m/>
    <n v="101907"/>
    <d v="2026-01-28T00:00:00"/>
    <m/>
    <n v="4373587"/>
    <n v="4488525"/>
    <m/>
    <m/>
    <m/>
  </r>
  <r>
    <s v="9. PCM"/>
    <x v="1"/>
    <s v="SERPONTES COMERCIO DE PEÇAS LTDA"/>
    <s v="OS 101859 - SERVIÇO TERCEIRO: MATERIAL E MÃO DE OBRA PARA CONSERTO DE ESMIRILHADEIRA BOSCH."/>
    <n v="555.12"/>
    <x v="2"/>
    <n v="242"/>
    <m/>
    <m/>
    <n v="101859"/>
    <d v="2026-01-28T00:00:00"/>
    <m/>
    <s v="4373606 "/>
    <n v="4488524"/>
    <m/>
    <m/>
    <m/>
  </r>
  <r>
    <s v="9. PCM"/>
    <x v="1"/>
    <s v="FAST"/>
    <s v="SERVIÇO DE MATERIAL E MÃO DE OBRA PARA REVISÃO PREVENTIVA DA CENTRIFUGA TRIDECANTER DCT SATURNO 3 (N° 3019)"/>
    <n v="44500"/>
    <x v="2"/>
    <n v="242"/>
    <m/>
    <m/>
    <n v="96044"/>
    <d v="2025-12-16T00:00:00"/>
    <m/>
    <n v="4331892"/>
    <n v="4462966"/>
    <m/>
    <m/>
    <m/>
  </r>
  <r>
    <s v="9. PCM"/>
    <x v="3"/>
    <s v="MULTIVAC"/>
    <s v="REFORMA F200 EMBALGEM "/>
    <n v="90"/>
    <x v="2"/>
    <n v="242"/>
    <m/>
    <m/>
    <m/>
    <d v="2395-11-25T00:00:00"/>
    <m/>
    <n v="4304053"/>
    <m/>
    <m/>
    <m/>
    <m/>
  </r>
  <r>
    <s v="9. PCM"/>
    <x v="3"/>
    <s v="MULTIVAC "/>
    <s v="TROCA DA IHM DO PRESUNTO"/>
    <n v="75000"/>
    <x v="2"/>
    <n v="242"/>
    <m/>
    <m/>
    <m/>
    <d v="2423-04-12T00:00:00"/>
    <m/>
    <n v="4305416"/>
    <m/>
    <m/>
    <m/>
    <m/>
  </r>
  <r>
    <s v="9. PCM"/>
    <x v="3"/>
    <s v="USINOX "/>
    <s v="VISITA TECNICO USINOX PARA TREINAMENTO E LEVANTAMENTO DE PEÇAS DAS DUAS USINOX "/>
    <n v="12900"/>
    <x v="2"/>
    <n v="242"/>
    <m/>
    <m/>
    <n v="90443"/>
    <d v="2025-11-07T00:00:00"/>
    <m/>
    <n v="4294295"/>
    <m/>
    <m/>
    <m/>
    <m/>
  </r>
  <r>
    <s v="9. PCM"/>
    <x v="3"/>
    <s v="POLYCLIP"/>
    <s v="VISITA TECNICO POLYCLIP PARA REVISÃO NA ICA8700 DO LOG  "/>
    <n v="21984.21"/>
    <x v="2"/>
    <n v="242"/>
    <m/>
    <m/>
    <n v="100069"/>
    <d v="2026-01-12T00:00:00"/>
    <m/>
    <n v="4361017"/>
    <m/>
    <m/>
    <m/>
    <m/>
  </r>
  <r>
    <s v="9. PCM"/>
    <x v="3"/>
    <s v="METALQUIMIA"/>
    <s v="TROCA ROLAMENTO TUMBLER "/>
    <n v="150000"/>
    <x v="2"/>
    <n v="242"/>
    <m/>
    <m/>
    <m/>
    <d v="2026-12-10T00:00:00"/>
    <m/>
    <m/>
    <m/>
    <m/>
    <m/>
    <m/>
  </r>
  <r>
    <s v="9. PCM"/>
    <x v="0"/>
    <s v="MULT-TEC"/>
    <s v="RFORMA F200 EMBALAGEM "/>
    <n v="150000"/>
    <x v="3"/>
    <n v="242"/>
    <m/>
    <m/>
    <n v="91042"/>
    <d v="2025-11-11T00:00:00"/>
    <m/>
    <n v="4298167"/>
    <n v="4417448"/>
    <m/>
    <m/>
    <m/>
  </r>
  <r>
    <s v="9. PCM"/>
    <x v="0"/>
    <s v="METALMARC"/>
    <s v="TROCA CORPO EMBUTIDEIRA PRESUNTO "/>
    <n v="120000"/>
    <x v="3"/>
    <n v="242"/>
    <m/>
    <m/>
    <n v="77410"/>
    <d v="2025-08-18T00:00:00"/>
    <m/>
    <n v="4214651"/>
    <n v="4336280"/>
    <m/>
    <m/>
    <m/>
  </r>
  <r>
    <s v="9. PCM"/>
    <x v="1"/>
    <s v="FAST"/>
    <s v="SERVIÇO DE MATERIAL E MÃO DE OBRA PARA REVISÃO PREVENTIVA DA CENTRIFUGA DECANTER DC MARTE 3 (N° 3019"/>
    <n v="19885"/>
    <x v="3"/>
    <n v="242"/>
    <m/>
    <m/>
    <n v="96040"/>
    <d v="2025-12-16T00:00:00"/>
    <m/>
    <n v="4331901"/>
    <n v="4462967"/>
    <m/>
    <m/>
    <m/>
  </r>
  <r>
    <s v="9. PCM"/>
    <x v="1"/>
    <s v="GRATT"/>
    <s v="SERVIÇO DE TERCEIRO: MATERIAL E MÃO DE OBRA PARA REVISÃO PREVENTIVA DA CENTRIFUGA DECANTER GRATT MODELO GMT 230S N/S D230S 61A (REDUTOR 301)."/>
    <n v="37363.58"/>
    <x v="3"/>
    <n v="242"/>
    <m/>
    <m/>
    <n v="100524"/>
    <d v="2026-01-15T00:00:00"/>
    <m/>
    <s v="4361035 - SERÁ FEITO OUTRA"/>
    <s v="-"/>
    <m/>
    <m/>
    <m/>
  </r>
  <r>
    <s v="9. PCM"/>
    <x v="1"/>
    <s v="GRATT"/>
    <s v="SERVIÇO DE TERCEIRO: MATERIAL E MÃO DE OBRA PARA REVISÃO PREVENTIVA DA CENTRIFUGA DECANTER GRATT MODELO GMT 230S N/S D230S 61A (REDUTOR 301)."/>
    <n v="64194.400000000001"/>
    <x v="3"/>
    <n v="242"/>
    <m/>
    <m/>
    <n v="100524"/>
    <m/>
    <m/>
    <m/>
    <s v="-"/>
    <m/>
    <m/>
    <m/>
  </r>
  <r>
    <s v="9. PCM"/>
    <x v="1"/>
    <s v="MAREL"/>
    <s v="SERVIÇO TERCEIRO: MATERIAL E MÃO DE OBRA PARA REVISÃO DO EQUIPAMENTO SERRA AUTOMÁTICA SPLITTER MSP6040"/>
    <s v="EUR 43.675,85 (R$ 274.000,00)"/>
    <x v="3"/>
    <n v="242"/>
    <m/>
    <m/>
    <n v="100300"/>
    <d v="2026-01-13T00:00:00"/>
    <m/>
    <s v="4358231 "/>
    <s v="-"/>
    <m/>
    <m/>
    <m/>
  </r>
  <r>
    <s v="9. PCM"/>
    <x v="1"/>
    <s v="MAREL"/>
    <s v="SERVIÇO TERCEIRO: MATERIAL E MÃO DE OBRA PARA REVISÃO DO EQUIPAMENTO DEBOFLEX LINHA 1."/>
    <s v="EUR 7.484,31 (R$ 46.285,23)"/>
    <x v="4"/>
    <n v="242"/>
    <m/>
    <m/>
    <s v="105171 "/>
    <d v="2026-02-11T00:00:00"/>
    <m/>
    <n v="4388731"/>
    <m/>
    <m/>
    <m/>
    <m/>
  </r>
  <r>
    <s v="9. PCM"/>
    <x v="1"/>
    <s v="FLUXO"/>
    <s v="SERVIÇO DE CONSERTO EM MODULO CONTROLADOR INSENSIBILIZADOR DE CHOQUE MANUAL"/>
    <n v="7030"/>
    <x v="2"/>
    <n v="242"/>
    <n v="7104"/>
    <m/>
    <n v="100105"/>
    <d v="2026-01-14T00:00:00"/>
    <m/>
    <n v="4359896"/>
    <n v="4478325"/>
    <m/>
    <m/>
    <m/>
  </r>
  <r>
    <s v="9. PCM"/>
    <x v="1"/>
    <s v="AUTRON"/>
    <s v="SERVIÇO DE CONSERTO EM SERVOMOTOR DE ACIONAMENTO PORTA V-CUT"/>
    <n v="0"/>
    <x v="5"/>
    <n v="242"/>
    <m/>
    <m/>
    <m/>
    <m/>
    <m/>
    <m/>
    <m/>
    <m/>
    <m/>
    <m/>
  </r>
  <r>
    <s v="9. PCM"/>
    <x v="1"/>
    <s v="FPN - CONTROLE E AUTOMACAO INDUSTRIAL"/>
    <s v="SERVIÇO DE CONSERTO EM INVERSOR LENZE E84AVSCE7514SB0   - PEDIDO DEVOLUÇÃO DEVIDO ALTO VALOR"/>
    <n v="0"/>
    <x v="5"/>
    <n v="242"/>
    <m/>
    <m/>
    <m/>
    <m/>
    <m/>
    <m/>
    <m/>
    <m/>
    <m/>
    <m/>
  </r>
  <r>
    <s v="9. PCM"/>
    <x v="1"/>
    <s v="DHEYTÉCNICA"/>
    <s v="SERVIÇO DE TERCEIRO: MATERIAL E MÃO DE OBRA PARA REVISÃO PREVENTIVA DA CENTRIFUGA DECANTER Centrífugo 3501D. NS974903."/>
    <m/>
    <x v="6"/>
    <n v="242"/>
    <m/>
    <m/>
    <m/>
    <m/>
    <m/>
    <m/>
    <m/>
    <m/>
    <m/>
    <m/>
  </r>
  <r>
    <s v="9. PCM"/>
    <x v="1"/>
    <s v="EQUIPARE"/>
    <s v="REVISÃO PREVENTIVA TRITURADOR DE OSSOS GRX - MATERIAL + MÃO DE OBRA"/>
    <n v="111534.19"/>
    <x v="6"/>
    <n v="242"/>
    <m/>
    <m/>
    <m/>
    <m/>
    <m/>
    <m/>
    <m/>
    <m/>
    <m/>
    <m/>
  </r>
  <r>
    <s v="9. PCM"/>
    <x v="1"/>
    <s v="EQUIPARE"/>
    <s v="REVISÃO PREVENTIVA PRENSA EXPELLER 3000 FFG - MATERIAL + MÃO DE OBRA"/>
    <n v="146280"/>
    <x v="6"/>
    <n v="242"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s v="-"/>
    <x v="5"/>
    <s v="-"/>
    <s v="-"/>
    <s v="-"/>
    <x v="7"/>
    <s v="-"/>
    <s v="-"/>
    <s v="-"/>
    <s v="-"/>
    <s v="-"/>
    <s v="-"/>
    <s v="-"/>
    <s v="-"/>
    <s v="-"/>
    <s v="-"/>
    <s v="-"/>
  </r>
  <r>
    <m/>
    <x v="4"/>
    <m/>
    <m/>
    <m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62E1A-D9A7-4B7F-87EB-71919FB939AC}" name="Tabela dinâmica1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>
  <location ref="C3:D12" firstHeaderRow="1" firstDataRow="1" firstDataCol="1"/>
  <pivotFields count="17">
    <pivotField showAll="0"/>
    <pivotField showAll="0">
      <items count="8">
        <item x="5"/>
        <item x="0"/>
        <item x="2"/>
        <item x="1"/>
        <item x="4"/>
        <item m="1" x="6"/>
        <item x="3"/>
        <item t="default"/>
      </items>
    </pivotField>
    <pivotField showAll="0"/>
    <pivotField showAll="0"/>
    <pivotField dataField="1" showAll="0"/>
    <pivotField axis="axisRow" showAll="0">
      <items count="12">
        <item x="7"/>
        <item x="1"/>
        <item x="2"/>
        <item x="5"/>
        <item x="3"/>
        <item m="1" x="10"/>
        <item m="1" x="9"/>
        <item x="0"/>
        <item x="6"/>
        <item m="1" x="8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10"/>
    </i>
    <i t="grand">
      <x/>
    </i>
  </rowItems>
  <colItems count="1">
    <i/>
  </colItems>
  <dataFields count="1">
    <dataField name="Soma de VALOR TOTAL" fld="4" baseField="0" baseItem="0" numFmtId="165"/>
  </dataFields>
  <formats count="18">
    <format dxfId="17">
      <pivotArea grandRow="1"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/>
    </format>
    <format dxfId="13">
      <pivotArea dataOnly="0" labelOnly="1" grandRow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5" count="0"/>
        </references>
      </pivotArea>
    </format>
    <format dxfId="9">
      <pivotArea dataOnly="0" labelOnly="1" grandRow="1" outline="0" fieldPosition="0"/>
    </format>
    <format dxfId="8">
      <pivotArea outline="0" collapsedLevelsAreSubtotals="1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5" type="button" dataOnly="0" labelOnly="1" outline="0" axis="axisRow" fieldPosition="0"/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9D9C-E791-48E2-AC72-7D0345E1E97F}">
  <sheetPr codeName="Planilha1"/>
  <dimension ref="A1:S17"/>
  <sheetViews>
    <sheetView workbookViewId="0">
      <selection activeCell="L5" sqref="L5"/>
    </sheetView>
  </sheetViews>
  <sheetFormatPr defaultRowHeight="15" x14ac:dyDescent="0.25"/>
  <cols>
    <col min="1" max="1" width="11" style="3" customWidth="1"/>
    <col min="2" max="2" width="23.5703125" style="3" customWidth="1"/>
    <col min="3" max="3" width="19.42578125" style="3" customWidth="1"/>
    <col min="4" max="4" width="23.85546875" style="3" customWidth="1"/>
    <col min="5" max="5" width="17.28515625" style="3" customWidth="1"/>
    <col min="6" max="6" width="20.28515625" style="3" customWidth="1"/>
    <col min="7" max="7" width="22.42578125" style="3" customWidth="1"/>
    <col min="8" max="8" width="26.5703125" style="9" customWidth="1"/>
    <col min="9" max="9" width="9" style="1"/>
  </cols>
  <sheetData>
    <row r="1" spans="1:19" s="7" customFormat="1" ht="28.5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6"/>
    </row>
    <row r="2" spans="1:19" x14ac:dyDescent="0.25">
      <c r="A2" s="2"/>
      <c r="B2" s="2" t="s">
        <v>8</v>
      </c>
      <c r="C2" s="2">
        <v>5</v>
      </c>
      <c r="D2" s="5" t="s">
        <v>9</v>
      </c>
      <c r="E2" s="2" t="s">
        <v>10</v>
      </c>
      <c r="F2" s="2" t="s">
        <v>10</v>
      </c>
      <c r="G2" s="10" t="s">
        <v>10</v>
      </c>
      <c r="H2" s="5" t="s">
        <v>70</v>
      </c>
      <c r="S2" t="s">
        <v>64</v>
      </c>
    </row>
    <row r="3" spans="1:19" ht="28.5" x14ac:dyDescent="0.25">
      <c r="A3" s="2"/>
      <c r="B3" s="2" t="s">
        <v>11</v>
      </c>
      <c r="C3" s="2">
        <v>242</v>
      </c>
      <c r="D3" s="5" t="s">
        <v>12</v>
      </c>
      <c r="E3" s="2" t="s">
        <v>13</v>
      </c>
      <c r="F3" s="2" t="s">
        <v>13</v>
      </c>
      <c r="G3" s="10" t="s">
        <v>13</v>
      </c>
      <c r="H3" s="5" t="s">
        <v>71</v>
      </c>
      <c r="S3" t="s">
        <v>54</v>
      </c>
    </row>
    <row r="4" spans="1:19" x14ac:dyDescent="0.25">
      <c r="A4" s="2"/>
      <c r="B4" s="2" t="s">
        <v>14</v>
      </c>
      <c r="C4" s="2">
        <v>170</v>
      </c>
      <c r="D4" s="4" t="s">
        <v>15</v>
      </c>
      <c r="E4" s="2" t="s">
        <v>16</v>
      </c>
      <c r="F4" s="2" t="s">
        <v>16</v>
      </c>
      <c r="G4" s="10" t="s">
        <v>16</v>
      </c>
      <c r="H4" s="5" t="s">
        <v>69</v>
      </c>
      <c r="S4" t="s">
        <v>55</v>
      </c>
    </row>
    <row r="5" spans="1:19" x14ac:dyDescent="0.25">
      <c r="A5" s="2"/>
      <c r="B5" s="2" t="s">
        <v>17</v>
      </c>
      <c r="C5" s="2" t="s">
        <v>16</v>
      </c>
      <c r="D5" s="4" t="s">
        <v>18</v>
      </c>
      <c r="E5" s="2"/>
      <c r="F5" s="2"/>
      <c r="G5" s="10"/>
      <c r="H5" s="5" t="s">
        <v>16</v>
      </c>
      <c r="S5" t="s">
        <v>65</v>
      </c>
    </row>
    <row r="6" spans="1:19" x14ac:dyDescent="0.25">
      <c r="A6" s="2"/>
      <c r="B6" s="2" t="s">
        <v>19</v>
      </c>
      <c r="C6" s="2"/>
      <c r="D6" s="4" t="s">
        <v>20</v>
      </c>
      <c r="E6" s="2"/>
      <c r="F6" s="2"/>
      <c r="G6" s="10"/>
      <c r="H6" s="5"/>
      <c r="S6" t="s">
        <v>66</v>
      </c>
    </row>
    <row r="7" spans="1:19" x14ac:dyDescent="0.25">
      <c r="A7" s="2"/>
      <c r="B7" s="2" t="s">
        <v>21</v>
      </c>
      <c r="C7" s="2"/>
      <c r="D7" s="4" t="s">
        <v>22</v>
      </c>
      <c r="E7" s="2"/>
      <c r="F7" s="2"/>
      <c r="G7" s="10"/>
      <c r="H7" s="5"/>
      <c r="S7" t="s">
        <v>56</v>
      </c>
    </row>
    <row r="8" spans="1:19" x14ac:dyDescent="0.25">
      <c r="A8" s="2"/>
      <c r="B8" s="2" t="s">
        <v>23</v>
      </c>
      <c r="C8" s="2"/>
      <c r="D8" s="4" t="s">
        <v>24</v>
      </c>
      <c r="E8" s="2"/>
      <c r="F8" s="2"/>
      <c r="G8" s="10"/>
      <c r="H8" s="5"/>
      <c r="S8" t="s">
        <v>60</v>
      </c>
    </row>
    <row r="9" spans="1:19" x14ac:dyDescent="0.25">
      <c r="A9" s="2"/>
      <c r="B9" s="2" t="s">
        <v>25</v>
      </c>
      <c r="C9" s="2"/>
      <c r="D9" s="4" t="s">
        <v>26</v>
      </c>
      <c r="E9" s="2"/>
      <c r="F9" s="2"/>
      <c r="G9" s="10"/>
      <c r="H9" s="5"/>
      <c r="S9" t="s">
        <v>61</v>
      </c>
    </row>
    <row r="10" spans="1:19" x14ac:dyDescent="0.25">
      <c r="A10" s="2"/>
      <c r="B10" s="2" t="s">
        <v>27</v>
      </c>
      <c r="C10" s="2"/>
      <c r="D10" s="4" t="s">
        <v>28</v>
      </c>
      <c r="E10" s="2"/>
      <c r="F10" s="2"/>
      <c r="G10" s="10"/>
      <c r="H10" s="5"/>
      <c r="S10" t="s">
        <v>67</v>
      </c>
    </row>
    <row r="11" spans="1:19" x14ac:dyDescent="0.25">
      <c r="A11" s="2"/>
      <c r="B11" s="2" t="s">
        <v>29</v>
      </c>
      <c r="C11" s="2"/>
      <c r="D11" s="4" t="s">
        <v>30</v>
      </c>
      <c r="E11" s="2"/>
      <c r="F11" s="2"/>
      <c r="G11" s="10"/>
      <c r="H11" s="5"/>
      <c r="S11" t="s">
        <v>68</v>
      </c>
    </row>
    <row r="12" spans="1:19" x14ac:dyDescent="0.25">
      <c r="A12" s="2"/>
      <c r="B12" s="2"/>
      <c r="C12" s="2"/>
      <c r="D12" s="4" t="s">
        <v>31</v>
      </c>
      <c r="E12" s="2"/>
      <c r="F12" s="2"/>
      <c r="G12" s="10"/>
      <c r="H12" s="5"/>
    </row>
    <row r="13" spans="1:19" x14ac:dyDescent="0.25">
      <c r="A13" s="2"/>
      <c r="B13" s="2"/>
      <c r="C13" s="2"/>
      <c r="D13" s="4" t="s">
        <v>32</v>
      </c>
      <c r="E13" s="2"/>
      <c r="F13" s="2"/>
      <c r="G13" s="10"/>
      <c r="H13" s="5"/>
    </row>
    <row r="14" spans="1:19" x14ac:dyDescent="0.25">
      <c r="A14" s="2"/>
      <c r="B14" s="2"/>
      <c r="C14" s="2"/>
      <c r="D14" s="4" t="s">
        <v>33</v>
      </c>
      <c r="E14" s="2"/>
      <c r="F14" s="2"/>
      <c r="G14" s="10"/>
      <c r="H14" s="5"/>
    </row>
    <row r="15" spans="1:19" x14ac:dyDescent="0.25">
      <c r="A15" s="2"/>
      <c r="B15" s="2"/>
      <c r="C15" s="2"/>
      <c r="D15" s="4" t="s">
        <v>34</v>
      </c>
      <c r="E15" s="2"/>
      <c r="F15" s="2"/>
      <c r="G15" s="10"/>
      <c r="H15" s="5"/>
    </row>
    <row r="16" spans="1:19" x14ac:dyDescent="0.25">
      <c r="D16" s="4" t="s">
        <v>35</v>
      </c>
      <c r="H16" s="5"/>
    </row>
    <row r="17" spans="4:8" x14ac:dyDescent="0.25">
      <c r="D17" s="4" t="s">
        <v>36</v>
      </c>
      <c r="H17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setarContadorID.ResetarContadorID">
                <anchor moveWithCells="1" sizeWithCells="1">
                  <from>
                    <xdr:col>8</xdr:col>
                    <xdr:colOff>466725</xdr:colOff>
                    <xdr:row>2</xdr:row>
                    <xdr:rowOff>19050</xdr:rowOff>
                  </from>
                  <to>
                    <xdr:col>10</xdr:col>
                    <xdr:colOff>504825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6FC4B-CBAA-4EA2-9E15-76188666193F}">
  <sheetPr codeName="Planilha2"/>
  <dimension ref="A1:AL48"/>
  <sheetViews>
    <sheetView zoomScale="85" zoomScaleNormal="85" workbookViewId="0">
      <selection activeCell="AA9" sqref="AA9"/>
    </sheetView>
  </sheetViews>
  <sheetFormatPr defaultRowHeight="15" x14ac:dyDescent="0.25"/>
  <cols>
    <col min="1" max="1" width="3.28515625" style="8" customWidth="1"/>
    <col min="2" max="2" width="2.7109375" style="8" customWidth="1"/>
    <col min="3" max="3" width="18.42578125" style="8" bestFit="1" customWidth="1"/>
    <col min="4" max="4" width="25.5703125" style="8" customWidth="1"/>
    <col min="5" max="5" width="3" style="8" customWidth="1"/>
    <col min="6" max="7" width="11.42578125" style="8" customWidth="1"/>
    <col min="8" max="38" width="9.140625" style="8"/>
  </cols>
  <sheetData>
    <row r="1" spans="1:35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5">
      <c r="A2" s="11"/>
      <c r="B2" s="12"/>
      <c r="C2" s="12"/>
      <c r="D2" s="12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5">
      <c r="A3" s="11"/>
      <c r="B3" s="12"/>
      <c r="C3" t="s">
        <v>37</v>
      </c>
      <c r="D3" t="s">
        <v>38</v>
      </c>
      <c r="E3" s="12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5">
      <c r="A4" s="11"/>
      <c r="B4" s="12"/>
      <c r="C4" s="15" t="s">
        <v>39</v>
      </c>
      <c r="D4" s="16">
        <v>0</v>
      </c>
      <c r="E4" s="13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5">
      <c r="A5" s="11"/>
      <c r="B5" s="12"/>
      <c r="C5" s="15" t="s">
        <v>15</v>
      </c>
      <c r="D5" s="16">
        <v>38804.79</v>
      </c>
      <c r="E5" s="13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5">
      <c r="A6" s="11"/>
      <c r="B6" s="12"/>
      <c r="C6" s="15" t="s">
        <v>20</v>
      </c>
      <c r="D6" s="16">
        <v>483172.23000000004</v>
      </c>
      <c r="E6" s="13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2"/>
      <c r="C7" s="15" t="s">
        <v>18</v>
      </c>
      <c r="D7" s="16">
        <v>0</v>
      </c>
      <c r="E7" s="13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5">
      <c r="A8" s="11"/>
      <c r="B8" s="12"/>
      <c r="C8" s="15" t="s">
        <v>22</v>
      </c>
      <c r="D8" s="16">
        <v>391442.98000000004</v>
      </c>
      <c r="E8" s="13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5">
      <c r="A9" s="11"/>
      <c r="B9" s="12"/>
      <c r="C9" s="15" t="s">
        <v>40</v>
      </c>
      <c r="D9" s="16"/>
      <c r="E9" s="13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5">
      <c r="A10" s="11"/>
      <c r="B10" s="12"/>
      <c r="C10" s="15" t="s">
        <v>36</v>
      </c>
      <c r="D10" s="16">
        <v>257814.19</v>
      </c>
      <c r="E10" s="13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5">
      <c r="A11" s="11"/>
      <c r="B11" s="12"/>
      <c r="C11" s="15" t="s">
        <v>24</v>
      </c>
      <c r="D11" s="16">
        <v>0</v>
      </c>
      <c r="E11" s="13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5">
      <c r="A12" s="11"/>
      <c r="B12" s="12"/>
      <c r="C12" s="15" t="s">
        <v>41</v>
      </c>
      <c r="D12" s="16">
        <v>1171234.19</v>
      </c>
      <c r="E12" s="13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2"/>
      <c r="C13"/>
      <c r="D13"/>
      <c r="E13" s="13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2"/>
      <c r="C14"/>
      <c r="D14"/>
      <c r="E14" s="13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2"/>
      <c r="C15"/>
      <c r="D15"/>
      <c r="E15" s="13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2"/>
      <c r="C16"/>
      <c r="D16"/>
      <c r="E16" s="13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2"/>
      <c r="C17"/>
      <c r="D17"/>
      <c r="E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2"/>
      <c r="C18"/>
      <c r="D18"/>
      <c r="E18" s="13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2"/>
      <c r="C19"/>
      <c r="D19"/>
      <c r="E19" s="13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5">
      <c r="A20" s="11"/>
      <c r="B20" s="12"/>
      <c r="C20"/>
      <c r="D20"/>
      <c r="E20" s="12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2"/>
      <c r="C21"/>
      <c r="D21"/>
      <c r="E21" s="13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2"/>
      <c r="C22"/>
      <c r="D22"/>
      <c r="E22" s="12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5">
      <c r="A23" s="11"/>
      <c r="B23" s="12"/>
      <c r="C23"/>
      <c r="D23"/>
      <c r="E23" s="12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12"/>
      <c r="C24"/>
      <c r="D24"/>
      <c r="E24" s="1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12"/>
      <c r="C25"/>
      <c r="D25"/>
      <c r="E25" s="12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5">
      <c r="A26" s="11"/>
      <c r="B26" s="12"/>
      <c r="C26" s="12"/>
      <c r="D26" s="12"/>
      <c r="E26" s="12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ED07C-DAA3-4D41-A63E-9156D961F4A2}">
  <sheetPr codeName="Planilha3"/>
  <dimension ref="A1:S190"/>
  <sheetViews>
    <sheetView tabSelected="1" zoomScaleNormal="100" workbookViewId="0">
      <pane ySplit="1" topLeftCell="A5" activePane="bottomLeft" state="frozen"/>
      <selection pane="bottomLeft" activeCell="A2" sqref="A2:XFD2"/>
    </sheetView>
  </sheetViews>
  <sheetFormatPr defaultRowHeight="15" x14ac:dyDescent="0.25"/>
  <cols>
    <col min="1" max="1" width="19.85546875" style="17" customWidth="1"/>
    <col min="2" max="2" width="71.5703125" style="18" customWidth="1"/>
    <col min="3" max="3" width="20.140625" style="19" customWidth="1"/>
    <col min="4" max="4" width="23" style="2" customWidth="1"/>
    <col min="5" max="5" width="13.42578125" style="24" customWidth="1"/>
    <col min="6" max="6" width="19" style="21" customWidth="1"/>
    <col min="7" max="7" width="20.5703125" style="25" customWidth="1"/>
    <col min="8" max="8" width="16" style="21" customWidth="1"/>
    <col min="9" max="9" width="14.7109375" style="21" customWidth="1"/>
    <col min="10" max="10" width="12.85546875" style="2" customWidth="1"/>
    <col min="11" max="11" width="19" style="20" customWidth="1"/>
    <col min="12" max="12" width="17.5703125" style="20" customWidth="1"/>
    <col min="13" max="13" width="18.5703125" style="21" customWidth="1"/>
    <col min="14" max="14" width="25.28515625" style="20" customWidth="1"/>
    <col min="15" max="15" width="14.140625" style="24" customWidth="1"/>
    <col min="16" max="16" width="16.28515625" style="24" customWidth="1"/>
    <col min="17" max="17" width="20.5703125" style="24" customWidth="1"/>
    <col min="18" max="18" width="40.85546875" style="21" customWidth="1"/>
    <col min="19" max="19" width="13" style="30" customWidth="1"/>
    <col min="20" max="16384" width="9.140625" style="14"/>
  </cols>
  <sheetData>
    <row r="1" spans="1:19" s="23" customFormat="1" ht="93.75" customHeight="1" x14ac:dyDescent="0.25">
      <c r="A1" s="26" t="s">
        <v>57</v>
      </c>
      <c r="B1" s="22" t="s">
        <v>44</v>
      </c>
      <c r="C1" s="26" t="s">
        <v>45</v>
      </c>
      <c r="D1" s="26" t="s">
        <v>46</v>
      </c>
      <c r="E1" s="26" t="s">
        <v>47</v>
      </c>
      <c r="F1" s="26" t="s">
        <v>58</v>
      </c>
      <c r="G1" s="27" t="s">
        <v>59</v>
      </c>
      <c r="H1" s="28" t="s">
        <v>63</v>
      </c>
      <c r="I1" s="28" t="s">
        <v>62</v>
      </c>
      <c r="J1" s="29" t="s">
        <v>1</v>
      </c>
      <c r="K1" s="28" t="s">
        <v>43</v>
      </c>
      <c r="L1" s="28" t="s">
        <v>48</v>
      </c>
      <c r="M1" s="28" t="s">
        <v>49</v>
      </c>
      <c r="N1" s="28" t="s">
        <v>50</v>
      </c>
      <c r="O1" s="29" t="s">
        <v>4</v>
      </c>
      <c r="P1" s="29" t="s">
        <v>51</v>
      </c>
      <c r="Q1" s="29" t="s">
        <v>52</v>
      </c>
      <c r="R1" s="28" t="s">
        <v>53</v>
      </c>
      <c r="S1" s="28" t="s">
        <v>42</v>
      </c>
    </row>
    <row r="2" spans="1:19" s="43" customFormat="1" ht="14.25" x14ac:dyDescent="0.2">
      <c r="A2" s="31"/>
      <c r="B2" s="32"/>
      <c r="C2" s="33"/>
      <c r="D2" s="34"/>
      <c r="E2" s="35"/>
      <c r="F2" s="36"/>
      <c r="G2" s="25"/>
      <c r="H2" s="37"/>
      <c r="I2" s="37"/>
      <c r="J2" s="2"/>
      <c r="K2" s="38"/>
      <c r="L2" s="31"/>
      <c r="M2" s="39"/>
      <c r="N2" s="20"/>
      <c r="O2" s="40"/>
      <c r="P2" s="40"/>
      <c r="Q2" s="40"/>
      <c r="R2" s="41"/>
      <c r="S2" s="42"/>
    </row>
    <row r="3" spans="1:19" s="43" customFormat="1" ht="14.25" x14ac:dyDescent="0.2">
      <c r="A3" s="31"/>
      <c r="B3" s="44"/>
      <c r="C3" s="45"/>
      <c r="D3" s="46"/>
      <c r="E3" s="47"/>
      <c r="F3" s="48"/>
      <c r="G3" s="25"/>
      <c r="H3" s="37"/>
      <c r="I3" s="37"/>
      <c r="J3" s="2"/>
      <c r="K3" s="38"/>
      <c r="L3" s="31"/>
      <c r="M3" s="39"/>
      <c r="N3" s="20"/>
      <c r="O3" s="40"/>
      <c r="P3" s="40"/>
      <c r="Q3" s="40"/>
      <c r="R3" s="41"/>
      <c r="S3" s="49"/>
    </row>
    <row r="4" spans="1:19" s="43" customFormat="1" ht="14.25" x14ac:dyDescent="0.2">
      <c r="A4" s="50"/>
      <c r="B4" s="32"/>
      <c r="C4" s="45"/>
      <c r="D4" s="46"/>
      <c r="E4" s="47"/>
      <c r="F4" s="36"/>
      <c r="G4" s="25"/>
      <c r="H4" s="51"/>
      <c r="I4" s="51"/>
      <c r="J4" s="2"/>
      <c r="K4" s="38"/>
      <c r="L4" s="50"/>
      <c r="M4" s="52"/>
      <c r="N4" s="20"/>
      <c r="O4" s="40"/>
      <c r="P4" s="40"/>
      <c r="Q4" s="40"/>
      <c r="R4" s="41"/>
      <c r="S4" s="42"/>
    </row>
    <row r="5" spans="1:19" s="43" customFormat="1" ht="14.25" x14ac:dyDescent="0.2">
      <c r="A5" s="50"/>
      <c r="B5" s="53"/>
      <c r="C5" s="45"/>
      <c r="D5" s="46"/>
      <c r="E5" s="47"/>
      <c r="F5" s="36"/>
      <c r="G5" s="25"/>
      <c r="H5" s="51"/>
      <c r="I5" s="51"/>
      <c r="J5" s="2"/>
      <c r="K5" s="38"/>
      <c r="L5" s="50"/>
      <c r="M5" s="52"/>
      <c r="N5" s="20"/>
      <c r="O5" s="40"/>
      <c r="P5" s="40"/>
      <c r="Q5" s="40"/>
      <c r="R5" s="41"/>
      <c r="S5" s="49"/>
    </row>
    <row r="6" spans="1:19" s="43" customFormat="1" ht="14.25" x14ac:dyDescent="0.2">
      <c r="A6" s="50"/>
      <c r="B6" s="53"/>
      <c r="C6" s="45"/>
      <c r="D6" s="46"/>
      <c r="E6" s="47"/>
      <c r="F6" s="54"/>
      <c r="G6" s="25"/>
      <c r="H6" s="51"/>
      <c r="I6" s="51"/>
      <c r="J6" s="2"/>
      <c r="K6" s="38"/>
      <c r="L6" s="50"/>
      <c r="M6" s="52"/>
      <c r="N6" s="20"/>
      <c r="O6" s="40"/>
      <c r="P6" s="40"/>
      <c r="Q6" s="40"/>
      <c r="R6" s="41"/>
      <c r="S6" s="49"/>
    </row>
    <row r="7" spans="1:19" s="43" customFormat="1" ht="14.25" x14ac:dyDescent="0.2">
      <c r="A7" s="50"/>
      <c r="B7" s="53"/>
      <c r="C7" s="45"/>
      <c r="D7" s="46"/>
      <c r="E7" s="47"/>
      <c r="F7" s="36"/>
      <c r="G7" s="25"/>
      <c r="H7" s="51"/>
      <c r="I7" s="51"/>
      <c r="J7" s="2"/>
      <c r="K7" s="38"/>
      <c r="L7" s="50"/>
      <c r="M7" s="52"/>
      <c r="N7" s="20"/>
      <c r="O7" s="40"/>
      <c r="P7" s="40"/>
      <c r="Q7" s="40"/>
      <c r="R7" s="41"/>
      <c r="S7" s="49"/>
    </row>
    <row r="8" spans="1:19" s="43" customFormat="1" x14ac:dyDescent="0.2">
      <c r="A8" s="55"/>
      <c r="B8" s="53"/>
      <c r="C8" s="45"/>
      <c r="D8" s="46"/>
      <c r="E8" s="47"/>
      <c r="F8" s="56"/>
      <c r="G8" s="25"/>
      <c r="H8" s="55"/>
      <c r="I8" s="57"/>
      <c r="J8" s="2"/>
      <c r="K8" s="58"/>
      <c r="L8" s="55"/>
      <c r="M8" s="55"/>
      <c r="N8" s="20"/>
      <c r="O8" s="56"/>
      <c r="P8" s="56"/>
      <c r="Q8" s="56"/>
      <c r="R8" s="41"/>
      <c r="S8" s="49"/>
    </row>
    <row r="9" spans="1:19" s="43" customFormat="1" ht="14.25" x14ac:dyDescent="0.2">
      <c r="A9" s="59"/>
      <c r="B9" s="53"/>
      <c r="C9" s="45"/>
      <c r="D9" s="46"/>
      <c r="E9" s="47"/>
      <c r="F9" s="40"/>
      <c r="G9" s="25"/>
      <c r="H9" s="60"/>
      <c r="I9" s="61"/>
      <c r="J9" s="2"/>
      <c r="K9" s="38"/>
      <c r="L9" s="59"/>
      <c r="M9" s="62"/>
      <c r="N9" s="20"/>
      <c r="O9" s="63"/>
      <c r="P9" s="40"/>
      <c r="Q9" s="40"/>
      <c r="R9" s="41"/>
      <c r="S9" s="49"/>
    </row>
    <row r="10" spans="1:19" s="43" customFormat="1" x14ac:dyDescent="0.2">
      <c r="A10" s="55"/>
      <c r="B10" s="53"/>
      <c r="C10" s="45"/>
      <c r="D10" s="46"/>
      <c r="E10" s="47"/>
      <c r="F10" s="56"/>
      <c r="G10" s="25"/>
      <c r="H10" s="55"/>
      <c r="I10" s="64"/>
      <c r="J10" s="2"/>
      <c r="K10" s="65"/>
      <c r="L10" s="55"/>
      <c r="M10" s="55"/>
      <c r="N10" s="20"/>
      <c r="O10" s="56"/>
      <c r="P10" s="56"/>
      <c r="Q10" s="56"/>
      <c r="R10" s="41"/>
      <c r="S10" s="42"/>
    </row>
    <row r="11" spans="1:19" s="43" customFormat="1" x14ac:dyDescent="0.2">
      <c r="A11" s="55"/>
      <c r="B11" s="53"/>
      <c r="C11" s="45"/>
      <c r="D11" s="46"/>
      <c r="E11" s="47"/>
      <c r="F11" s="56"/>
      <c r="G11" s="25"/>
      <c r="H11" s="55"/>
      <c r="I11" s="55"/>
      <c r="J11" s="2"/>
      <c r="K11" s="58"/>
      <c r="L11" s="55"/>
      <c r="M11" s="66"/>
      <c r="N11" s="20"/>
      <c r="O11" s="56"/>
      <c r="P11" s="56"/>
      <c r="Q11" s="56"/>
      <c r="R11" s="41"/>
      <c r="S11" s="49"/>
    </row>
    <row r="12" spans="1:19" s="43" customFormat="1" x14ac:dyDescent="0.2">
      <c r="A12" s="55"/>
      <c r="B12" s="53"/>
      <c r="C12" s="45"/>
      <c r="D12" s="46"/>
      <c r="E12" s="47"/>
      <c r="F12" s="56"/>
      <c r="G12" s="25"/>
      <c r="H12" s="55"/>
      <c r="I12" s="55"/>
      <c r="J12" s="2"/>
      <c r="K12" s="58"/>
      <c r="L12" s="55"/>
      <c r="M12" s="66"/>
      <c r="N12" s="20"/>
      <c r="O12" s="56"/>
      <c r="P12" s="56"/>
      <c r="Q12" s="56"/>
      <c r="R12" s="41"/>
      <c r="S12" s="49"/>
    </row>
    <row r="13" spans="1:19" s="43" customFormat="1" x14ac:dyDescent="0.2">
      <c r="A13" s="55"/>
      <c r="B13" s="53"/>
      <c r="C13" s="45"/>
      <c r="D13" s="46"/>
      <c r="E13" s="47"/>
      <c r="F13" s="56"/>
      <c r="G13" s="25"/>
      <c r="H13" s="55"/>
      <c r="I13" s="55"/>
      <c r="J13" s="2"/>
      <c r="K13" s="58"/>
      <c r="L13" s="55"/>
      <c r="M13" s="66"/>
      <c r="N13" s="20"/>
      <c r="O13" s="56"/>
      <c r="P13" s="56"/>
      <c r="Q13" s="56"/>
      <c r="R13" s="41"/>
      <c r="S13" s="42"/>
    </row>
    <row r="14" spans="1:19" s="43" customFormat="1" x14ac:dyDescent="0.2">
      <c r="A14" s="55"/>
      <c r="B14" s="53"/>
      <c r="C14" s="45"/>
      <c r="D14" s="46"/>
      <c r="E14" s="47"/>
      <c r="F14" s="56"/>
      <c r="G14" s="25"/>
      <c r="H14" s="55"/>
      <c r="I14" s="55"/>
      <c r="J14" s="2"/>
      <c r="K14" s="58"/>
      <c r="L14" s="55"/>
      <c r="M14" s="66"/>
      <c r="N14" s="20"/>
      <c r="O14" s="56"/>
      <c r="P14" s="56"/>
      <c r="Q14" s="56"/>
      <c r="R14" s="41"/>
      <c r="S14" s="42"/>
    </row>
    <row r="15" spans="1:19" s="43" customFormat="1" x14ac:dyDescent="0.2">
      <c r="A15" s="55"/>
      <c r="B15" s="53"/>
      <c r="C15" s="45"/>
      <c r="D15" s="46"/>
      <c r="E15" s="47"/>
      <c r="F15" s="56"/>
      <c r="G15" s="25"/>
      <c r="H15" s="55"/>
      <c r="I15" s="55"/>
      <c r="J15" s="2"/>
      <c r="K15" s="58"/>
      <c r="L15" s="55"/>
      <c r="M15" s="66"/>
      <c r="N15" s="20"/>
      <c r="O15" s="56"/>
      <c r="P15" s="56"/>
      <c r="Q15" s="56"/>
      <c r="R15" s="41"/>
      <c r="S15" s="49"/>
    </row>
    <row r="16" spans="1:19" s="43" customFormat="1" x14ac:dyDescent="0.2">
      <c r="A16" s="55"/>
      <c r="B16" s="67"/>
      <c r="C16" s="68"/>
      <c r="D16" s="69"/>
      <c r="E16" s="70"/>
      <c r="F16" s="56"/>
      <c r="G16" s="25"/>
      <c r="H16" s="55"/>
      <c r="I16" s="55"/>
      <c r="J16" s="2"/>
      <c r="K16" s="65"/>
      <c r="L16" s="55"/>
      <c r="M16" s="55"/>
      <c r="N16" s="20"/>
      <c r="O16" s="56"/>
      <c r="P16" s="56"/>
      <c r="Q16" s="56"/>
      <c r="R16" s="71"/>
      <c r="S16" s="49"/>
    </row>
    <row r="17" spans="1:19" s="43" customFormat="1" x14ac:dyDescent="0.2">
      <c r="A17" s="55"/>
      <c r="B17" s="72"/>
      <c r="C17" s="45"/>
      <c r="D17" s="46"/>
      <c r="E17" s="47"/>
      <c r="F17" s="56"/>
      <c r="G17" s="25"/>
      <c r="H17" s="55"/>
      <c r="I17" s="57"/>
      <c r="J17" s="2"/>
      <c r="K17" s="58"/>
      <c r="L17" s="55"/>
      <c r="M17" s="66"/>
      <c r="N17" s="20"/>
      <c r="O17" s="56"/>
      <c r="P17" s="56"/>
      <c r="Q17" s="56"/>
      <c r="R17" s="73"/>
      <c r="S17" s="49"/>
    </row>
    <row r="18" spans="1:19" x14ac:dyDescent="0.25">
      <c r="A18" s="59"/>
      <c r="C18" s="74"/>
      <c r="F18" s="36"/>
      <c r="H18" s="60"/>
      <c r="I18" s="61"/>
      <c r="K18" s="38"/>
      <c r="L18" s="59"/>
      <c r="M18" s="62"/>
      <c r="O18" s="75"/>
      <c r="P18" s="76"/>
      <c r="Q18" s="76"/>
      <c r="S18" s="49"/>
    </row>
    <row r="19" spans="1:19" s="43" customFormat="1" x14ac:dyDescent="0.2">
      <c r="A19" s="55"/>
      <c r="B19" s="72"/>
      <c r="C19" s="45"/>
      <c r="D19" s="46"/>
      <c r="E19" s="47"/>
      <c r="F19" s="77"/>
      <c r="G19" s="25"/>
      <c r="H19" s="55"/>
      <c r="I19" s="78"/>
      <c r="J19" s="2"/>
      <c r="K19" s="58"/>
      <c r="L19" s="55"/>
      <c r="M19" s="66"/>
      <c r="N19" s="20"/>
      <c r="O19" s="20"/>
      <c r="P19" s="20"/>
      <c r="Q19" s="20"/>
      <c r="R19" s="73"/>
      <c r="S19" s="49"/>
    </row>
    <row r="20" spans="1:19" x14ac:dyDescent="0.25">
      <c r="A20" s="55"/>
      <c r="C20" s="74"/>
      <c r="F20" s="77"/>
      <c r="H20" s="55"/>
      <c r="I20" s="55"/>
      <c r="K20" s="58"/>
      <c r="L20" s="55"/>
      <c r="M20" s="66"/>
      <c r="O20" s="20"/>
      <c r="P20" s="20"/>
      <c r="Q20" s="20"/>
      <c r="S20" s="49"/>
    </row>
    <row r="21" spans="1:19" x14ac:dyDescent="0.25">
      <c r="A21" s="55"/>
      <c r="C21" s="74"/>
      <c r="F21" s="77"/>
      <c r="H21" s="55"/>
      <c r="I21" s="55"/>
      <c r="K21" s="58"/>
      <c r="L21" s="55"/>
      <c r="M21" s="66"/>
      <c r="O21" s="20"/>
      <c r="P21" s="20"/>
      <c r="Q21" s="20"/>
      <c r="S21" s="49"/>
    </row>
    <row r="22" spans="1:19" x14ac:dyDescent="0.25">
      <c r="A22" s="55"/>
      <c r="C22" s="74"/>
      <c r="F22" s="77"/>
      <c r="H22" s="55"/>
      <c r="I22" s="55"/>
      <c r="K22" s="58"/>
      <c r="L22" s="55"/>
      <c r="M22" s="66"/>
      <c r="O22" s="20"/>
      <c r="P22" s="20"/>
      <c r="Q22" s="20"/>
      <c r="S22" s="49"/>
    </row>
    <row r="23" spans="1:19" x14ac:dyDescent="0.25">
      <c r="A23" s="59"/>
      <c r="C23" s="74"/>
      <c r="F23" s="36"/>
      <c r="H23" s="59"/>
      <c r="I23" s="59"/>
      <c r="K23" s="38"/>
      <c r="L23" s="59"/>
      <c r="M23" s="62"/>
      <c r="O23" s="76"/>
      <c r="P23" s="76"/>
      <c r="Q23" s="76"/>
      <c r="S23" s="49"/>
    </row>
    <row r="24" spans="1:19" x14ac:dyDescent="0.25">
      <c r="A24" s="59"/>
      <c r="C24" s="74"/>
      <c r="F24" s="36"/>
      <c r="H24" s="79"/>
      <c r="I24" s="59"/>
      <c r="K24" s="38"/>
      <c r="L24" s="80"/>
      <c r="M24" s="62"/>
      <c r="O24" s="76"/>
      <c r="P24" s="76"/>
      <c r="Q24" s="76"/>
      <c r="S24" s="49"/>
    </row>
    <row r="25" spans="1:19" x14ac:dyDescent="0.25">
      <c r="A25" s="59"/>
      <c r="C25" s="74"/>
      <c r="F25" s="81"/>
      <c r="H25" s="82"/>
      <c r="I25" s="31"/>
      <c r="K25" s="38"/>
      <c r="L25" s="83"/>
      <c r="M25" s="84"/>
      <c r="O25" s="76"/>
      <c r="P25" s="76"/>
      <c r="Q25" s="76"/>
      <c r="S25" s="49"/>
    </row>
    <row r="26" spans="1:19" x14ac:dyDescent="0.25">
      <c r="A26" s="59"/>
      <c r="C26" s="74"/>
      <c r="F26" s="81"/>
      <c r="H26" s="85"/>
      <c r="I26" s="59"/>
      <c r="K26" s="38"/>
      <c r="L26" s="83"/>
      <c r="M26" s="84"/>
      <c r="O26" s="76"/>
      <c r="P26" s="76"/>
      <c r="Q26" s="76"/>
    </row>
    <row r="27" spans="1:19" x14ac:dyDescent="0.25">
      <c r="A27" s="59"/>
      <c r="C27" s="74"/>
      <c r="F27" s="86"/>
      <c r="H27" s="59"/>
      <c r="I27" s="59"/>
      <c r="K27" s="38"/>
      <c r="L27" s="59"/>
      <c r="M27" s="62"/>
      <c r="O27" s="76"/>
      <c r="P27" s="76"/>
      <c r="Q27" s="76"/>
    </row>
    <row r="28" spans="1:19" x14ac:dyDescent="0.25">
      <c r="A28" s="59"/>
      <c r="C28" s="74"/>
      <c r="F28" s="86"/>
      <c r="H28" s="59"/>
      <c r="I28" s="59"/>
      <c r="K28" s="38"/>
      <c r="L28" s="59"/>
      <c r="M28" s="62"/>
      <c r="O28" s="76"/>
      <c r="P28" s="76"/>
      <c r="Q28" s="76"/>
    </row>
    <row r="29" spans="1:19" x14ac:dyDescent="0.25">
      <c r="A29" s="31"/>
      <c r="C29" s="74"/>
      <c r="F29" s="86"/>
      <c r="H29" s="59"/>
      <c r="I29" s="59"/>
      <c r="K29" s="38"/>
      <c r="L29" s="59"/>
      <c r="M29" s="62"/>
      <c r="O29" s="76"/>
      <c r="P29" s="76"/>
      <c r="Q29" s="76"/>
    </row>
    <row r="30" spans="1:19" x14ac:dyDescent="0.25">
      <c r="A30" s="55"/>
      <c r="C30" s="74"/>
      <c r="F30" s="65"/>
      <c r="H30" s="55"/>
      <c r="I30" s="55"/>
      <c r="K30" s="58"/>
      <c r="L30" s="55"/>
      <c r="M30" s="66"/>
      <c r="O30" s="20"/>
      <c r="P30" s="20"/>
      <c r="Q30" s="20"/>
    </row>
    <row r="31" spans="1:19" x14ac:dyDescent="0.25">
      <c r="A31" s="87"/>
      <c r="C31" s="74"/>
      <c r="F31" s="88"/>
      <c r="H31" s="76"/>
      <c r="I31" s="89"/>
      <c r="K31" s="38"/>
      <c r="L31" s="76"/>
      <c r="M31" s="90"/>
      <c r="O31" s="88"/>
      <c r="P31" s="88"/>
      <c r="Q31" s="88"/>
    </row>
    <row r="32" spans="1:19" x14ac:dyDescent="0.25">
      <c r="A32" s="91"/>
      <c r="C32" s="74"/>
      <c r="F32" s="65"/>
      <c r="H32" s="91"/>
      <c r="I32" s="91"/>
      <c r="K32" s="92"/>
      <c r="L32" s="93"/>
      <c r="M32" s="94"/>
      <c r="O32" s="20"/>
      <c r="P32" s="20"/>
      <c r="Q32" s="20"/>
    </row>
    <row r="33" spans="1:17" x14ac:dyDescent="0.25">
      <c r="A33" s="55"/>
      <c r="C33" s="74"/>
      <c r="F33" s="65"/>
      <c r="H33" s="95"/>
      <c r="I33" s="55"/>
      <c r="K33" s="58"/>
      <c r="L33" s="55"/>
      <c r="M33" s="96"/>
      <c r="O33" s="20"/>
      <c r="P33" s="20"/>
      <c r="Q33" s="20"/>
    </row>
    <row r="34" spans="1:17" x14ac:dyDescent="0.25">
      <c r="A34" s="55"/>
      <c r="C34" s="74"/>
      <c r="F34" s="65"/>
      <c r="H34" s="55"/>
      <c r="I34" s="55"/>
      <c r="K34" s="58"/>
      <c r="L34" s="55"/>
      <c r="M34" s="66"/>
      <c r="O34" s="20"/>
      <c r="P34" s="20"/>
      <c r="Q34" s="20"/>
    </row>
    <row r="35" spans="1:17" x14ac:dyDescent="0.25">
      <c r="A35" s="55"/>
      <c r="C35" s="74"/>
      <c r="F35" s="97"/>
      <c r="H35" s="55"/>
      <c r="I35" s="65"/>
      <c r="K35" s="58"/>
      <c r="L35" s="55"/>
      <c r="M35" s="66"/>
      <c r="O35" s="20"/>
      <c r="P35" s="20"/>
      <c r="Q35" s="20"/>
    </row>
    <row r="36" spans="1:17" x14ac:dyDescent="0.25">
      <c r="A36" s="55"/>
      <c r="C36" s="74"/>
      <c r="F36" s="98"/>
      <c r="H36" s="55"/>
      <c r="I36" s="55"/>
      <c r="K36" s="58"/>
      <c r="L36" s="55"/>
      <c r="M36" s="66"/>
      <c r="O36" s="20"/>
      <c r="P36" s="20"/>
      <c r="Q36" s="20"/>
    </row>
    <row r="37" spans="1:17" x14ac:dyDescent="0.25">
      <c r="A37" s="55"/>
      <c r="C37" s="74"/>
      <c r="F37" s="65"/>
      <c r="H37" s="65"/>
      <c r="I37" s="65"/>
      <c r="K37" s="58"/>
      <c r="L37" s="55"/>
      <c r="M37" s="99"/>
      <c r="O37" s="20"/>
      <c r="P37" s="20"/>
      <c r="Q37" s="20"/>
    </row>
    <row r="38" spans="1:17" x14ac:dyDescent="0.25">
      <c r="A38" s="55"/>
      <c r="C38" s="74"/>
      <c r="F38" s="65"/>
      <c r="H38" s="65"/>
      <c r="I38" s="65"/>
      <c r="K38" s="58"/>
      <c r="L38" s="55"/>
      <c r="M38" s="99"/>
      <c r="O38" s="20"/>
      <c r="P38" s="20"/>
      <c r="Q38" s="20"/>
    </row>
    <row r="39" spans="1:17" x14ac:dyDescent="0.25">
      <c r="A39" s="55"/>
      <c r="C39" s="74"/>
      <c r="F39" s="65"/>
      <c r="H39" s="65"/>
      <c r="I39" s="65"/>
      <c r="K39" s="58"/>
      <c r="L39" s="55"/>
      <c r="M39" s="99"/>
      <c r="O39" s="20"/>
      <c r="P39" s="20"/>
      <c r="Q39" s="20"/>
    </row>
    <row r="40" spans="1:17" x14ac:dyDescent="0.25">
      <c r="A40" s="55"/>
      <c r="C40" s="74"/>
      <c r="F40" s="65"/>
      <c r="H40" s="65"/>
      <c r="I40" s="65"/>
      <c r="K40" s="58"/>
      <c r="L40" s="55"/>
      <c r="M40" s="99"/>
      <c r="O40" s="20"/>
      <c r="P40" s="20"/>
      <c r="Q40" s="20"/>
    </row>
    <row r="41" spans="1:17" x14ac:dyDescent="0.25">
      <c r="A41" s="55"/>
      <c r="C41" s="74"/>
      <c r="F41" s="65"/>
      <c r="H41" s="65"/>
      <c r="I41" s="65"/>
      <c r="K41" s="58"/>
      <c r="L41" s="55"/>
      <c r="M41" s="99"/>
      <c r="O41" s="20"/>
      <c r="P41" s="20"/>
      <c r="Q41" s="20"/>
    </row>
    <row r="42" spans="1:17" x14ac:dyDescent="0.25">
      <c r="A42" s="65"/>
      <c r="C42" s="74"/>
      <c r="F42" s="65"/>
      <c r="H42" s="65"/>
      <c r="I42" s="65"/>
      <c r="K42" s="65"/>
      <c r="L42" s="55"/>
      <c r="M42" s="99"/>
      <c r="O42" s="20"/>
      <c r="P42" s="20"/>
      <c r="Q42" s="20"/>
    </row>
    <row r="43" spans="1:17" x14ac:dyDescent="0.25">
      <c r="A43" s="65"/>
      <c r="C43" s="74"/>
      <c r="F43" s="65"/>
      <c r="H43" s="65"/>
      <c r="I43" s="65"/>
      <c r="K43" s="65"/>
      <c r="L43" s="55"/>
      <c r="M43" s="99"/>
      <c r="O43" s="20"/>
      <c r="P43" s="20"/>
      <c r="Q43" s="20"/>
    </row>
    <row r="44" spans="1:17" x14ac:dyDescent="0.25">
      <c r="A44" s="65"/>
      <c r="C44" s="74"/>
      <c r="F44" s="65"/>
      <c r="H44" s="65"/>
      <c r="I44" s="65"/>
      <c r="K44" s="65"/>
      <c r="L44" s="55"/>
      <c r="M44" s="99"/>
      <c r="O44" s="20"/>
      <c r="P44" s="20"/>
      <c r="Q44" s="20"/>
    </row>
    <row r="45" spans="1:17" x14ac:dyDescent="0.25">
      <c r="A45" s="65"/>
      <c r="C45" s="74"/>
      <c r="F45" s="65"/>
      <c r="H45" s="65"/>
      <c r="I45" s="65"/>
      <c r="K45" s="65"/>
      <c r="L45" s="55"/>
      <c r="M45" s="99"/>
      <c r="O45" s="20"/>
      <c r="P45" s="20"/>
      <c r="Q45" s="20"/>
    </row>
    <row r="46" spans="1:17" x14ac:dyDescent="0.25">
      <c r="A46" s="65"/>
      <c r="C46" s="74"/>
      <c r="F46" s="65"/>
      <c r="H46" s="65"/>
      <c r="I46" s="65"/>
      <c r="K46" s="65"/>
      <c r="L46" s="55"/>
      <c r="M46" s="99"/>
      <c r="O46" s="20"/>
      <c r="P46" s="20"/>
      <c r="Q46" s="20"/>
    </row>
    <row r="47" spans="1:17" x14ac:dyDescent="0.25">
      <c r="A47" s="65"/>
      <c r="C47" s="74"/>
      <c r="F47" s="65"/>
      <c r="H47" s="65"/>
      <c r="I47" s="65"/>
      <c r="K47" s="65"/>
      <c r="L47" s="55"/>
      <c r="M47" s="99"/>
      <c r="O47" s="20"/>
      <c r="P47" s="20"/>
      <c r="Q47" s="20"/>
    </row>
    <row r="48" spans="1:17" x14ac:dyDescent="0.25">
      <c r="A48" s="65"/>
      <c r="C48" s="74"/>
      <c r="F48" s="65"/>
      <c r="H48" s="65"/>
      <c r="I48" s="65"/>
      <c r="K48" s="65"/>
      <c r="L48" s="55"/>
      <c r="M48" s="99"/>
      <c r="O48" s="20"/>
      <c r="P48" s="20"/>
      <c r="Q48" s="20"/>
    </row>
    <row r="49" spans="1:17" x14ac:dyDescent="0.25">
      <c r="A49" s="65"/>
      <c r="C49" s="74"/>
      <c r="F49" s="65"/>
      <c r="H49" s="65"/>
      <c r="I49" s="65"/>
      <c r="K49" s="65"/>
      <c r="L49" s="55"/>
      <c r="M49" s="99"/>
      <c r="O49" s="20"/>
      <c r="P49" s="20"/>
      <c r="Q49" s="20"/>
    </row>
    <row r="50" spans="1:17" x14ac:dyDescent="0.25">
      <c r="A50" s="65"/>
      <c r="C50" s="74"/>
      <c r="H50" s="65"/>
      <c r="I50" s="65"/>
      <c r="K50" s="65"/>
      <c r="L50" s="55"/>
      <c r="M50" s="99"/>
      <c r="O50" s="20"/>
      <c r="P50" s="20"/>
      <c r="Q50" s="20"/>
    </row>
    <row r="51" spans="1:17" x14ac:dyDescent="0.25">
      <c r="A51" s="65"/>
      <c r="C51" s="74"/>
      <c r="H51" s="65"/>
      <c r="I51" s="65"/>
      <c r="K51" s="65"/>
      <c r="L51" s="55"/>
      <c r="M51" s="99"/>
      <c r="O51" s="20"/>
      <c r="P51" s="20"/>
      <c r="Q51" s="20"/>
    </row>
    <row r="52" spans="1:17" x14ac:dyDescent="0.25">
      <c r="A52" s="65"/>
      <c r="C52" s="74"/>
      <c r="H52" s="65"/>
      <c r="I52" s="65"/>
      <c r="K52" s="65"/>
      <c r="L52" s="55"/>
      <c r="M52" s="99"/>
      <c r="O52" s="20"/>
      <c r="P52" s="20"/>
      <c r="Q52" s="20"/>
    </row>
    <row r="53" spans="1:17" x14ac:dyDescent="0.25">
      <c r="A53" s="65"/>
      <c r="C53" s="74"/>
      <c r="H53" s="65"/>
      <c r="I53" s="65"/>
      <c r="K53" s="65"/>
      <c r="L53" s="55"/>
      <c r="M53" s="99"/>
      <c r="O53" s="20"/>
      <c r="P53" s="20"/>
      <c r="Q53" s="20"/>
    </row>
    <row r="54" spans="1:17" x14ac:dyDescent="0.25">
      <c r="A54" s="65"/>
      <c r="C54" s="74"/>
      <c r="H54" s="65"/>
      <c r="I54" s="65"/>
      <c r="K54" s="65"/>
      <c r="L54" s="55"/>
      <c r="M54" s="99"/>
      <c r="O54" s="20"/>
      <c r="P54" s="20"/>
      <c r="Q54" s="20"/>
    </row>
    <row r="55" spans="1:17" x14ac:dyDescent="0.25">
      <c r="A55" s="65"/>
      <c r="C55" s="74"/>
      <c r="H55" s="65"/>
      <c r="I55" s="65"/>
      <c r="K55" s="65"/>
      <c r="L55" s="55"/>
      <c r="M55" s="99"/>
      <c r="O55" s="20"/>
      <c r="P55" s="20"/>
      <c r="Q55" s="20"/>
    </row>
    <row r="56" spans="1:17" x14ac:dyDescent="0.25">
      <c r="A56" s="65"/>
      <c r="C56" s="74"/>
      <c r="H56" s="65"/>
      <c r="I56" s="65"/>
      <c r="K56" s="65"/>
      <c r="L56" s="55"/>
      <c r="M56" s="99"/>
      <c r="O56" s="20"/>
      <c r="P56" s="20"/>
      <c r="Q56" s="20"/>
    </row>
    <row r="57" spans="1:17" x14ac:dyDescent="0.25">
      <c r="A57" s="65"/>
      <c r="C57" s="74"/>
      <c r="H57" s="65"/>
      <c r="I57" s="65"/>
      <c r="K57" s="65"/>
      <c r="L57" s="55"/>
      <c r="M57" s="99"/>
      <c r="O57" s="20"/>
      <c r="P57" s="20"/>
      <c r="Q57" s="20"/>
    </row>
    <row r="58" spans="1:17" x14ac:dyDescent="0.25">
      <c r="A58" s="65"/>
      <c r="C58" s="74"/>
      <c r="H58" s="65"/>
      <c r="I58" s="65"/>
      <c r="K58" s="65"/>
      <c r="L58" s="99"/>
      <c r="M58" s="99"/>
      <c r="O58" s="20"/>
      <c r="P58" s="20"/>
      <c r="Q58" s="20"/>
    </row>
    <row r="59" spans="1:17" x14ac:dyDescent="0.25">
      <c r="A59" s="65"/>
      <c r="C59" s="74"/>
      <c r="H59" s="65"/>
      <c r="I59" s="65"/>
      <c r="K59" s="65"/>
      <c r="L59" s="99"/>
      <c r="M59" s="99"/>
      <c r="O59" s="20"/>
      <c r="P59" s="20"/>
      <c r="Q59" s="20"/>
    </row>
    <row r="60" spans="1:17" x14ac:dyDescent="0.25">
      <c r="A60" s="65"/>
      <c r="C60" s="74"/>
      <c r="H60" s="65"/>
      <c r="I60" s="65"/>
      <c r="K60" s="65"/>
      <c r="L60" s="99"/>
      <c r="M60" s="99"/>
      <c r="O60" s="20"/>
      <c r="P60" s="20"/>
      <c r="Q60" s="20"/>
    </row>
    <row r="61" spans="1:17" x14ac:dyDescent="0.25">
      <c r="A61" s="65"/>
      <c r="C61" s="74"/>
      <c r="H61" s="99"/>
      <c r="I61" s="99"/>
      <c r="K61" s="65"/>
      <c r="L61" s="99"/>
      <c r="M61" s="99"/>
      <c r="O61" s="20"/>
      <c r="P61" s="20"/>
      <c r="Q61" s="20"/>
    </row>
    <row r="62" spans="1:17" x14ac:dyDescent="0.25">
      <c r="A62" s="65"/>
      <c r="C62" s="74"/>
      <c r="H62" s="99"/>
      <c r="I62" s="99"/>
      <c r="K62" s="65"/>
      <c r="L62" s="99"/>
      <c r="M62" s="99"/>
      <c r="O62" s="20"/>
      <c r="P62" s="20"/>
      <c r="Q62" s="20"/>
    </row>
    <row r="63" spans="1:17" x14ac:dyDescent="0.25">
      <c r="A63" s="65"/>
      <c r="C63" s="74"/>
      <c r="H63" s="65"/>
      <c r="I63" s="65"/>
      <c r="K63" s="65"/>
      <c r="L63" s="99"/>
      <c r="M63" s="99"/>
      <c r="O63" s="20"/>
      <c r="P63" s="20"/>
      <c r="Q63" s="20"/>
    </row>
    <row r="64" spans="1:17" x14ac:dyDescent="0.25">
      <c r="A64" s="65"/>
      <c r="C64" s="74"/>
      <c r="H64" s="65"/>
      <c r="I64" s="65"/>
      <c r="K64" s="65"/>
      <c r="L64" s="99"/>
      <c r="M64" s="99"/>
      <c r="O64" s="20"/>
      <c r="P64" s="20"/>
      <c r="Q64" s="20"/>
    </row>
    <row r="65" spans="1:17" x14ac:dyDescent="0.25">
      <c r="A65" s="65"/>
      <c r="C65" s="74"/>
      <c r="H65" s="65"/>
      <c r="I65" s="65"/>
      <c r="K65" s="65"/>
      <c r="L65" s="99"/>
      <c r="M65" s="99"/>
      <c r="O65" s="20"/>
      <c r="P65" s="20"/>
      <c r="Q65" s="20"/>
    </row>
    <row r="66" spans="1:17" x14ac:dyDescent="0.25">
      <c r="A66" s="65"/>
      <c r="C66" s="74"/>
      <c r="H66" s="20"/>
      <c r="I66" s="20"/>
      <c r="K66" s="65"/>
      <c r="M66" s="20"/>
      <c r="O66" s="20"/>
      <c r="P66" s="20"/>
      <c r="Q66" s="20"/>
    </row>
    <row r="67" spans="1:17" x14ac:dyDescent="0.25">
      <c r="A67" s="65"/>
      <c r="C67" s="74"/>
      <c r="H67" s="20"/>
      <c r="I67" s="20"/>
      <c r="K67" s="65"/>
      <c r="M67" s="20"/>
      <c r="O67" s="20"/>
      <c r="P67" s="20"/>
      <c r="Q67" s="20"/>
    </row>
    <row r="68" spans="1:17" x14ac:dyDescent="0.25">
      <c r="A68" s="65"/>
      <c r="C68" s="74"/>
      <c r="H68" s="20"/>
      <c r="I68" s="20"/>
      <c r="K68" s="65"/>
      <c r="M68" s="20"/>
      <c r="O68" s="20"/>
      <c r="P68" s="20"/>
      <c r="Q68" s="20"/>
    </row>
    <row r="69" spans="1:17" x14ac:dyDescent="0.25">
      <c r="A69" s="65"/>
      <c r="C69" s="74"/>
      <c r="H69" s="20"/>
      <c r="I69" s="20"/>
      <c r="K69" s="65"/>
      <c r="M69" s="20"/>
      <c r="O69" s="20"/>
      <c r="P69" s="20"/>
      <c r="Q69" s="20"/>
    </row>
    <row r="70" spans="1:17" x14ac:dyDescent="0.25">
      <c r="A70" s="65"/>
      <c r="C70" s="74"/>
      <c r="H70" s="20"/>
      <c r="I70" s="20"/>
      <c r="K70" s="65"/>
      <c r="M70" s="20"/>
      <c r="O70" s="20"/>
      <c r="P70" s="20"/>
      <c r="Q70" s="20"/>
    </row>
    <row r="71" spans="1:17" x14ac:dyDescent="0.25">
      <c r="A71" s="65"/>
      <c r="C71" s="74"/>
      <c r="H71" s="20"/>
      <c r="I71" s="20"/>
      <c r="K71" s="65"/>
      <c r="M71" s="20"/>
      <c r="O71" s="20"/>
      <c r="P71" s="20"/>
      <c r="Q71" s="20"/>
    </row>
    <row r="72" spans="1:17" x14ac:dyDescent="0.25">
      <c r="A72" s="65"/>
      <c r="C72" s="74"/>
      <c r="H72" s="20"/>
      <c r="I72" s="20"/>
      <c r="K72" s="65"/>
      <c r="M72" s="20"/>
      <c r="O72" s="20"/>
      <c r="P72" s="20"/>
      <c r="Q72" s="20"/>
    </row>
    <row r="73" spans="1:17" x14ac:dyDescent="0.25">
      <c r="A73" s="65"/>
      <c r="C73" s="74"/>
      <c r="H73" s="20"/>
      <c r="I73" s="20"/>
      <c r="K73" s="65"/>
      <c r="M73" s="20"/>
      <c r="O73" s="20"/>
      <c r="P73" s="20"/>
      <c r="Q73" s="20"/>
    </row>
    <row r="74" spans="1:17" x14ac:dyDescent="0.25">
      <c r="A74" s="65"/>
      <c r="C74" s="74"/>
      <c r="H74" s="20"/>
      <c r="I74" s="20"/>
      <c r="K74" s="65"/>
      <c r="M74" s="20"/>
      <c r="O74" s="20"/>
      <c r="P74" s="20"/>
      <c r="Q74" s="20"/>
    </row>
    <row r="75" spans="1:17" x14ac:dyDescent="0.25">
      <c r="A75" s="65"/>
      <c r="C75" s="74"/>
      <c r="H75" s="20"/>
      <c r="I75" s="20"/>
      <c r="K75" s="65"/>
      <c r="M75" s="20"/>
      <c r="O75" s="20"/>
      <c r="P75" s="20"/>
      <c r="Q75" s="20"/>
    </row>
    <row r="76" spans="1:17" x14ac:dyDescent="0.25">
      <c r="C76" s="74"/>
      <c r="H76" s="20"/>
      <c r="I76" s="20"/>
      <c r="K76" s="65"/>
      <c r="M76" s="20"/>
      <c r="O76" s="20"/>
      <c r="P76" s="20"/>
      <c r="Q76" s="20"/>
    </row>
    <row r="77" spans="1:17" x14ac:dyDescent="0.25">
      <c r="C77" s="74"/>
      <c r="H77" s="20"/>
      <c r="I77" s="20"/>
      <c r="K77" s="65"/>
      <c r="M77" s="20"/>
      <c r="O77" s="20"/>
      <c r="P77" s="20"/>
      <c r="Q77" s="20"/>
    </row>
    <row r="78" spans="1:17" x14ac:dyDescent="0.25">
      <c r="C78" s="74"/>
      <c r="H78" s="20"/>
      <c r="I78" s="20"/>
      <c r="K78" s="65"/>
      <c r="M78" s="20"/>
      <c r="O78" s="20"/>
      <c r="P78" s="20"/>
      <c r="Q78" s="20"/>
    </row>
    <row r="79" spans="1:17" x14ac:dyDescent="0.25">
      <c r="A79" s="65"/>
      <c r="C79" s="74"/>
      <c r="H79" s="20"/>
      <c r="I79" s="20"/>
      <c r="K79" s="65"/>
      <c r="M79" s="20"/>
      <c r="O79" s="20"/>
      <c r="P79" s="20"/>
      <c r="Q79" s="20"/>
    </row>
    <row r="80" spans="1:17" x14ac:dyDescent="0.25">
      <c r="C80" s="74"/>
      <c r="H80" s="20"/>
      <c r="I80" s="20"/>
      <c r="M80" s="100"/>
      <c r="O80" s="20"/>
      <c r="P80" s="20"/>
      <c r="Q80" s="20"/>
    </row>
    <row r="81" spans="3:17" x14ac:dyDescent="0.25">
      <c r="C81" s="74"/>
      <c r="H81" s="20"/>
      <c r="I81" s="20"/>
      <c r="M81" s="20"/>
      <c r="O81" s="20"/>
      <c r="P81" s="20"/>
      <c r="Q81" s="20"/>
    </row>
    <row r="82" spans="3:17" x14ac:dyDescent="0.25">
      <c r="C82" s="74"/>
      <c r="H82" s="20"/>
      <c r="I82" s="20"/>
      <c r="M82" s="20"/>
      <c r="O82" s="20"/>
      <c r="P82" s="20"/>
      <c r="Q82" s="20"/>
    </row>
    <row r="83" spans="3:17" x14ac:dyDescent="0.25">
      <c r="C83" s="74"/>
      <c r="H83" s="20"/>
      <c r="I83" s="20"/>
      <c r="M83" s="20"/>
      <c r="O83" s="20"/>
      <c r="P83" s="20"/>
      <c r="Q83" s="20"/>
    </row>
    <row r="84" spans="3:17" x14ac:dyDescent="0.25">
      <c r="C84" s="74"/>
      <c r="O84" s="20"/>
      <c r="P84" s="20"/>
      <c r="Q84" s="20"/>
    </row>
    <row r="85" spans="3:17" x14ac:dyDescent="0.25">
      <c r="C85" s="74"/>
      <c r="O85" s="20"/>
      <c r="P85" s="20"/>
      <c r="Q85" s="20"/>
    </row>
    <row r="86" spans="3:17" x14ac:dyDescent="0.25">
      <c r="C86" s="74"/>
      <c r="O86" s="20"/>
      <c r="P86" s="20"/>
      <c r="Q86" s="20"/>
    </row>
    <row r="87" spans="3:17" x14ac:dyDescent="0.25">
      <c r="O87" s="20"/>
      <c r="P87" s="20"/>
      <c r="Q87" s="20"/>
    </row>
    <row r="88" spans="3:17" x14ac:dyDescent="0.25">
      <c r="O88" s="20"/>
      <c r="P88" s="20"/>
      <c r="Q88" s="20"/>
    </row>
    <row r="89" spans="3:17" x14ac:dyDescent="0.25">
      <c r="O89" s="20"/>
      <c r="P89" s="20"/>
      <c r="Q89" s="20"/>
    </row>
    <row r="90" spans="3:17" x14ac:dyDescent="0.25">
      <c r="O90" s="20"/>
      <c r="P90" s="20"/>
      <c r="Q90" s="20"/>
    </row>
    <row r="91" spans="3:17" x14ac:dyDescent="0.25">
      <c r="O91" s="20"/>
      <c r="P91" s="20"/>
      <c r="Q91" s="20"/>
    </row>
    <row r="92" spans="3:17" x14ac:dyDescent="0.25">
      <c r="O92" s="20"/>
      <c r="P92" s="20"/>
      <c r="Q92" s="20"/>
    </row>
    <row r="93" spans="3:17" x14ac:dyDescent="0.25">
      <c r="O93" s="20"/>
      <c r="P93" s="20"/>
      <c r="Q93" s="20"/>
    </row>
    <row r="94" spans="3:17" x14ac:dyDescent="0.25">
      <c r="O94" s="20"/>
      <c r="P94" s="20"/>
      <c r="Q94" s="20"/>
    </row>
    <row r="95" spans="3:17" x14ac:dyDescent="0.25">
      <c r="O95" s="20"/>
      <c r="P95" s="20"/>
      <c r="Q95" s="20"/>
    </row>
    <row r="96" spans="3:17" x14ac:dyDescent="0.25">
      <c r="O96" s="20"/>
      <c r="P96" s="20"/>
      <c r="Q96" s="20"/>
    </row>
    <row r="97" spans="15:17" x14ac:dyDescent="0.25">
      <c r="O97" s="20"/>
      <c r="P97" s="20"/>
      <c r="Q97" s="20"/>
    </row>
    <row r="98" spans="15:17" x14ac:dyDescent="0.25">
      <c r="O98" s="20"/>
      <c r="P98" s="20"/>
      <c r="Q98" s="20"/>
    </row>
    <row r="99" spans="15:17" x14ac:dyDescent="0.25">
      <c r="O99" s="20"/>
      <c r="P99" s="20"/>
      <c r="Q99" s="20"/>
    </row>
    <row r="100" spans="15:17" x14ac:dyDescent="0.25">
      <c r="O100" s="20"/>
      <c r="P100" s="20"/>
      <c r="Q100" s="20"/>
    </row>
    <row r="101" spans="15:17" x14ac:dyDescent="0.25">
      <c r="O101" s="20"/>
      <c r="P101" s="20"/>
      <c r="Q101" s="20"/>
    </row>
    <row r="102" spans="15:17" x14ac:dyDescent="0.25">
      <c r="O102" s="20"/>
      <c r="P102" s="20"/>
      <c r="Q102" s="20"/>
    </row>
    <row r="103" spans="15:17" x14ac:dyDescent="0.25">
      <c r="O103" s="20"/>
      <c r="P103" s="20"/>
      <c r="Q103" s="20"/>
    </row>
    <row r="104" spans="15:17" x14ac:dyDescent="0.25">
      <c r="O104" s="20"/>
      <c r="P104" s="20"/>
      <c r="Q104" s="20"/>
    </row>
    <row r="105" spans="15:17" x14ac:dyDescent="0.25">
      <c r="O105" s="20"/>
      <c r="P105" s="20"/>
      <c r="Q105" s="20"/>
    </row>
    <row r="106" spans="15:17" x14ac:dyDescent="0.25">
      <c r="O106" s="20"/>
      <c r="P106" s="20"/>
      <c r="Q106" s="20"/>
    </row>
    <row r="107" spans="15:17" x14ac:dyDescent="0.25">
      <c r="O107" s="20"/>
      <c r="P107" s="20"/>
      <c r="Q107" s="20"/>
    </row>
    <row r="108" spans="15:17" x14ac:dyDescent="0.25">
      <c r="O108" s="20"/>
      <c r="P108" s="20"/>
      <c r="Q108" s="20"/>
    </row>
    <row r="109" spans="15:17" x14ac:dyDescent="0.25">
      <c r="O109" s="20"/>
      <c r="P109" s="20"/>
      <c r="Q109" s="20"/>
    </row>
    <row r="110" spans="15:17" x14ac:dyDescent="0.25">
      <c r="O110" s="20"/>
      <c r="P110" s="20"/>
      <c r="Q110" s="20"/>
    </row>
    <row r="111" spans="15:17" x14ac:dyDescent="0.25">
      <c r="O111" s="20"/>
      <c r="P111" s="20"/>
      <c r="Q111" s="20"/>
    </row>
    <row r="112" spans="15:17" x14ac:dyDescent="0.25">
      <c r="O112" s="20"/>
      <c r="P112" s="20"/>
      <c r="Q112" s="20"/>
    </row>
    <row r="113" spans="15:17" x14ac:dyDescent="0.25">
      <c r="O113" s="20"/>
      <c r="P113" s="20"/>
      <c r="Q113" s="20"/>
    </row>
    <row r="114" spans="15:17" x14ac:dyDescent="0.25">
      <c r="O114" s="20"/>
      <c r="P114" s="20"/>
      <c r="Q114" s="20"/>
    </row>
    <row r="115" spans="15:17" x14ac:dyDescent="0.25">
      <c r="O115" s="20"/>
      <c r="P115" s="20"/>
      <c r="Q115" s="20"/>
    </row>
    <row r="116" spans="15:17" x14ac:dyDescent="0.25">
      <c r="O116" s="20"/>
      <c r="P116" s="20"/>
      <c r="Q116" s="20"/>
    </row>
    <row r="117" spans="15:17" x14ac:dyDescent="0.25">
      <c r="O117" s="20"/>
      <c r="P117" s="20"/>
      <c r="Q117" s="20"/>
    </row>
    <row r="118" spans="15:17" x14ac:dyDescent="0.25">
      <c r="O118" s="20"/>
      <c r="P118" s="20"/>
      <c r="Q118" s="20"/>
    </row>
    <row r="119" spans="15:17" x14ac:dyDescent="0.25">
      <c r="O119" s="20"/>
      <c r="P119" s="20"/>
      <c r="Q119" s="20"/>
    </row>
    <row r="120" spans="15:17" x14ac:dyDescent="0.25">
      <c r="O120" s="20"/>
      <c r="P120" s="20"/>
      <c r="Q120" s="20"/>
    </row>
    <row r="121" spans="15:17" x14ac:dyDescent="0.25">
      <c r="O121" s="20"/>
      <c r="P121" s="20"/>
      <c r="Q121" s="20"/>
    </row>
    <row r="122" spans="15:17" x14ac:dyDescent="0.25">
      <c r="O122" s="20"/>
      <c r="P122" s="20"/>
      <c r="Q122" s="20"/>
    </row>
    <row r="123" spans="15:17" x14ac:dyDescent="0.25">
      <c r="O123" s="20"/>
      <c r="P123" s="20"/>
      <c r="Q123" s="20"/>
    </row>
    <row r="124" spans="15:17" x14ac:dyDescent="0.25">
      <c r="O124" s="20"/>
      <c r="P124" s="20"/>
      <c r="Q124" s="20"/>
    </row>
    <row r="125" spans="15:17" x14ac:dyDescent="0.25">
      <c r="O125" s="20"/>
      <c r="P125" s="20"/>
      <c r="Q125" s="20"/>
    </row>
    <row r="126" spans="15:17" x14ac:dyDescent="0.25">
      <c r="O126" s="20"/>
      <c r="P126" s="20"/>
      <c r="Q126" s="20"/>
    </row>
    <row r="127" spans="15:17" x14ac:dyDescent="0.25">
      <c r="O127" s="20"/>
      <c r="P127" s="20"/>
      <c r="Q127" s="20"/>
    </row>
    <row r="128" spans="15:17" x14ac:dyDescent="0.25">
      <c r="O128" s="20"/>
      <c r="P128" s="20"/>
      <c r="Q128" s="20"/>
    </row>
    <row r="129" spans="15:17" x14ac:dyDescent="0.25">
      <c r="O129" s="20"/>
      <c r="P129" s="20"/>
      <c r="Q129" s="20"/>
    </row>
    <row r="130" spans="15:17" x14ac:dyDescent="0.25">
      <c r="O130" s="20"/>
      <c r="P130" s="20"/>
      <c r="Q130" s="20"/>
    </row>
    <row r="131" spans="15:17" x14ac:dyDescent="0.25">
      <c r="O131" s="20"/>
      <c r="P131" s="20"/>
      <c r="Q131" s="20"/>
    </row>
    <row r="132" spans="15:17" x14ac:dyDescent="0.25">
      <c r="O132" s="20"/>
      <c r="P132" s="20"/>
      <c r="Q132" s="20"/>
    </row>
    <row r="133" spans="15:17" x14ac:dyDescent="0.25">
      <c r="O133" s="20"/>
      <c r="P133" s="20"/>
      <c r="Q133" s="20"/>
    </row>
    <row r="134" spans="15:17" x14ac:dyDescent="0.25">
      <c r="O134" s="20"/>
      <c r="P134" s="20"/>
      <c r="Q134" s="20"/>
    </row>
    <row r="135" spans="15:17" x14ac:dyDescent="0.25">
      <c r="O135" s="20"/>
      <c r="P135" s="20"/>
      <c r="Q135" s="20"/>
    </row>
    <row r="136" spans="15:17" x14ac:dyDescent="0.25">
      <c r="O136" s="20"/>
      <c r="P136" s="20"/>
      <c r="Q136" s="20"/>
    </row>
    <row r="137" spans="15:17" x14ac:dyDescent="0.25">
      <c r="O137" s="20"/>
      <c r="P137" s="20"/>
      <c r="Q137" s="20"/>
    </row>
    <row r="138" spans="15:17" x14ac:dyDescent="0.25">
      <c r="O138" s="20"/>
      <c r="P138" s="20"/>
      <c r="Q138" s="20"/>
    </row>
    <row r="139" spans="15:17" x14ac:dyDescent="0.25">
      <c r="O139" s="20"/>
      <c r="P139" s="20"/>
      <c r="Q139" s="20"/>
    </row>
    <row r="140" spans="15:17" x14ac:dyDescent="0.25">
      <c r="O140" s="20"/>
      <c r="P140" s="20"/>
      <c r="Q140" s="20"/>
    </row>
    <row r="141" spans="15:17" x14ac:dyDescent="0.25">
      <c r="O141" s="20"/>
      <c r="P141" s="20"/>
      <c r="Q141" s="20"/>
    </row>
    <row r="142" spans="15:17" x14ac:dyDescent="0.25">
      <c r="O142" s="20"/>
      <c r="P142" s="20"/>
      <c r="Q142" s="20"/>
    </row>
    <row r="143" spans="15:17" x14ac:dyDescent="0.25">
      <c r="O143" s="20"/>
      <c r="P143" s="20"/>
      <c r="Q143" s="20"/>
    </row>
    <row r="144" spans="15:17" x14ac:dyDescent="0.25">
      <c r="O144" s="20"/>
      <c r="P144" s="20"/>
      <c r="Q144" s="20"/>
    </row>
    <row r="145" spans="15:17" x14ac:dyDescent="0.25">
      <c r="O145" s="20"/>
      <c r="P145" s="20"/>
      <c r="Q145" s="20"/>
    </row>
    <row r="146" spans="15:17" x14ac:dyDescent="0.25">
      <c r="O146" s="20"/>
      <c r="P146" s="20"/>
      <c r="Q146" s="20"/>
    </row>
    <row r="147" spans="15:17" x14ac:dyDescent="0.25">
      <c r="O147" s="20"/>
      <c r="P147" s="20"/>
      <c r="Q147" s="20"/>
    </row>
    <row r="148" spans="15:17" x14ac:dyDescent="0.25">
      <c r="O148" s="20"/>
      <c r="P148" s="20"/>
      <c r="Q148" s="20"/>
    </row>
    <row r="149" spans="15:17" x14ac:dyDescent="0.25">
      <c r="O149" s="20"/>
      <c r="P149" s="20"/>
      <c r="Q149" s="20"/>
    </row>
    <row r="150" spans="15:17" x14ac:dyDescent="0.25">
      <c r="O150" s="20"/>
      <c r="P150" s="20"/>
      <c r="Q150" s="20"/>
    </row>
    <row r="151" spans="15:17" x14ac:dyDescent="0.25">
      <c r="O151" s="20"/>
      <c r="P151" s="20"/>
      <c r="Q151" s="20"/>
    </row>
    <row r="152" spans="15:17" x14ac:dyDescent="0.25">
      <c r="O152" s="20"/>
      <c r="P152" s="20"/>
      <c r="Q152" s="20"/>
    </row>
    <row r="153" spans="15:17" x14ac:dyDescent="0.25">
      <c r="O153" s="20"/>
      <c r="P153" s="20"/>
      <c r="Q153" s="20"/>
    </row>
    <row r="154" spans="15:17" x14ac:dyDescent="0.25">
      <c r="O154" s="20"/>
      <c r="P154" s="20"/>
      <c r="Q154" s="20"/>
    </row>
    <row r="155" spans="15:17" x14ac:dyDescent="0.25">
      <c r="O155" s="20"/>
      <c r="P155" s="20"/>
      <c r="Q155" s="20"/>
    </row>
    <row r="156" spans="15:17" x14ac:dyDescent="0.25">
      <c r="O156" s="20"/>
      <c r="P156" s="20"/>
      <c r="Q156" s="20"/>
    </row>
    <row r="157" spans="15:17" x14ac:dyDescent="0.25">
      <c r="O157" s="20"/>
      <c r="P157" s="20"/>
      <c r="Q157" s="20"/>
    </row>
    <row r="158" spans="15:17" x14ac:dyDescent="0.25">
      <c r="O158" s="20"/>
      <c r="P158" s="20"/>
      <c r="Q158" s="20"/>
    </row>
    <row r="159" spans="15:17" x14ac:dyDescent="0.25">
      <c r="O159" s="20"/>
      <c r="P159" s="20"/>
      <c r="Q159" s="20"/>
    </row>
    <row r="160" spans="15:17" x14ac:dyDescent="0.25">
      <c r="O160" s="20"/>
      <c r="P160" s="20"/>
      <c r="Q160" s="20"/>
    </row>
    <row r="161" spans="15:17" x14ac:dyDescent="0.25">
      <c r="O161" s="20"/>
      <c r="P161" s="20"/>
      <c r="Q161" s="20"/>
    </row>
    <row r="162" spans="15:17" x14ac:dyDescent="0.25">
      <c r="O162" s="20"/>
      <c r="P162" s="20"/>
      <c r="Q162" s="20"/>
    </row>
    <row r="163" spans="15:17" x14ac:dyDescent="0.25">
      <c r="O163" s="20"/>
      <c r="P163" s="20"/>
      <c r="Q163" s="20"/>
    </row>
    <row r="164" spans="15:17" x14ac:dyDescent="0.25">
      <c r="O164" s="20"/>
      <c r="P164" s="20"/>
      <c r="Q164" s="20"/>
    </row>
    <row r="165" spans="15:17" x14ac:dyDescent="0.25">
      <c r="O165" s="20"/>
      <c r="P165" s="20"/>
      <c r="Q165" s="20"/>
    </row>
    <row r="166" spans="15:17" x14ac:dyDescent="0.25">
      <c r="O166" s="20"/>
      <c r="P166" s="20"/>
      <c r="Q166" s="20"/>
    </row>
    <row r="167" spans="15:17" x14ac:dyDescent="0.25">
      <c r="O167" s="20"/>
      <c r="P167" s="20"/>
      <c r="Q167" s="20"/>
    </row>
    <row r="168" spans="15:17" x14ac:dyDescent="0.25">
      <c r="O168" s="20"/>
      <c r="P168" s="20"/>
      <c r="Q168" s="20"/>
    </row>
    <row r="169" spans="15:17" x14ac:dyDescent="0.25">
      <c r="O169" s="20"/>
      <c r="P169" s="20"/>
      <c r="Q169" s="20"/>
    </row>
    <row r="170" spans="15:17" x14ac:dyDescent="0.25">
      <c r="O170" s="20"/>
      <c r="P170" s="20"/>
      <c r="Q170" s="20"/>
    </row>
    <row r="171" spans="15:17" x14ac:dyDescent="0.25">
      <c r="O171" s="20"/>
      <c r="P171" s="20"/>
      <c r="Q171" s="20"/>
    </row>
    <row r="172" spans="15:17" x14ac:dyDescent="0.25">
      <c r="O172" s="20"/>
      <c r="P172" s="20"/>
      <c r="Q172" s="20"/>
    </row>
    <row r="173" spans="15:17" x14ac:dyDescent="0.25">
      <c r="O173" s="20"/>
      <c r="P173" s="20"/>
      <c r="Q173" s="20"/>
    </row>
    <row r="174" spans="15:17" x14ac:dyDescent="0.25">
      <c r="O174" s="20"/>
      <c r="P174" s="20"/>
      <c r="Q174" s="20"/>
    </row>
    <row r="175" spans="15:17" x14ac:dyDescent="0.25">
      <c r="O175" s="20"/>
      <c r="P175" s="20"/>
      <c r="Q175" s="20"/>
    </row>
    <row r="176" spans="15:17" x14ac:dyDescent="0.25">
      <c r="O176" s="20"/>
      <c r="P176" s="20"/>
      <c r="Q176" s="20"/>
    </row>
    <row r="177" spans="15:17" x14ac:dyDescent="0.25">
      <c r="O177" s="20"/>
      <c r="P177" s="20"/>
      <c r="Q177" s="20"/>
    </row>
    <row r="178" spans="15:17" x14ac:dyDescent="0.25">
      <c r="O178" s="20"/>
      <c r="P178" s="20"/>
      <c r="Q178" s="20"/>
    </row>
    <row r="179" spans="15:17" x14ac:dyDescent="0.25">
      <c r="O179" s="20"/>
      <c r="P179" s="20"/>
      <c r="Q179" s="20"/>
    </row>
    <row r="180" spans="15:17" x14ac:dyDescent="0.25">
      <c r="O180" s="20"/>
      <c r="P180" s="20"/>
      <c r="Q180" s="20"/>
    </row>
    <row r="181" spans="15:17" x14ac:dyDescent="0.25">
      <c r="O181" s="20"/>
      <c r="P181" s="20"/>
      <c r="Q181" s="20"/>
    </row>
    <row r="182" spans="15:17" x14ac:dyDescent="0.25">
      <c r="O182" s="20"/>
      <c r="P182" s="20"/>
      <c r="Q182" s="20"/>
    </row>
    <row r="183" spans="15:17" x14ac:dyDescent="0.25">
      <c r="O183" s="20"/>
      <c r="P183" s="20"/>
      <c r="Q183" s="20"/>
    </row>
    <row r="184" spans="15:17" x14ac:dyDescent="0.25">
      <c r="O184" s="20"/>
      <c r="P184" s="20"/>
      <c r="Q184" s="20"/>
    </row>
    <row r="185" spans="15:17" x14ac:dyDescent="0.25">
      <c r="O185" s="20"/>
      <c r="P185" s="20"/>
      <c r="Q185" s="20"/>
    </row>
    <row r="186" spans="15:17" x14ac:dyDescent="0.25">
      <c r="O186" s="20"/>
      <c r="P186" s="20"/>
      <c r="Q186" s="20"/>
    </row>
    <row r="187" spans="15:17" x14ac:dyDescent="0.25">
      <c r="O187" s="20"/>
      <c r="P187" s="20"/>
      <c r="Q187" s="20"/>
    </row>
    <row r="188" spans="15:17" x14ac:dyDescent="0.25">
      <c r="O188" s="20"/>
      <c r="P188" s="20"/>
      <c r="Q188" s="20"/>
    </row>
    <row r="189" spans="15:17" x14ac:dyDescent="0.25">
      <c r="O189" s="20"/>
      <c r="P189" s="20"/>
      <c r="Q189" s="20"/>
    </row>
    <row r="190" spans="15:17" x14ac:dyDescent="0.25">
      <c r="O190" s="20"/>
      <c r="P190" s="20"/>
      <c r="Q190" s="20"/>
    </row>
  </sheetData>
  <sheetProtection formatCells="0" formatColumns="0" formatRows="0" insertColumns="0" insertRows="0" insertHyperlinks="0" deleteColumns="0" deleteRows="0" sort="0" autoFilter="0" pivotTables="0"/>
  <autoFilter ref="A1:R17" xr:uid="{E76ED07C-DAA3-4D41-A63E-9156D961F4A2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AlternarCongelamentoColunas">
                <anchor moveWithCells="1" sizeWithCells="1">
                  <from>
                    <xdr:col>1</xdr:col>
                    <xdr:colOff>295275</xdr:colOff>
                    <xdr:row>0</xdr:row>
                    <xdr:rowOff>171450</xdr:rowOff>
                  </from>
                  <to>
                    <xdr:col>1</xdr:col>
                    <xdr:colOff>4514850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GerarIDsComMemoria">
                <anchor moveWithCells="1" sizeWithCells="1">
                  <from>
                    <xdr:col>18</xdr:col>
                    <xdr:colOff>161925</xdr:colOff>
                    <xdr:row>0</xdr:row>
                    <xdr:rowOff>76200</xdr:rowOff>
                  </from>
                  <to>
                    <xdr:col>18</xdr:col>
                    <xdr:colOff>657225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BCC596A-8F6E-4002-8EE0-4DEF79BC6697}">
          <x14:formula1>
            <xm:f>DADOS!$C$2:$C$5</xm:f>
          </x14:formula1>
          <xm:sqref>E2:E1048576</xm:sqref>
        </x14:dataValidation>
        <x14:dataValidation type="list" allowBlank="1" showInputMessage="1" showErrorMessage="1" xr:uid="{84016561-14A1-481E-BE50-2C31D3C19206}">
          <x14:formula1>
            <xm:f>DADOS!$D$2:$D$17</xm:f>
          </x14:formula1>
          <xm:sqref>D2:D1048576</xm:sqref>
        </x14:dataValidation>
        <x14:dataValidation type="list" allowBlank="1" showInputMessage="1" showErrorMessage="1" xr:uid="{B028E6F7-88DE-47C1-BDF8-BAF8EAE8C97F}">
          <x14:formula1>
            <xm:f>DADOS!$E$2:$E$4</xm:f>
          </x14:formula1>
          <xm:sqref>O191:O1048576</xm:sqref>
        </x14:dataValidation>
        <x14:dataValidation type="list" allowBlank="1" showInputMessage="1" showErrorMessage="1" xr:uid="{19024746-CF9A-46F3-87C9-E1F672C24DF9}">
          <x14:formula1>
            <xm:f>DADOS!$F$2:$F$4</xm:f>
          </x14:formula1>
          <xm:sqref>P191:P1048576</xm:sqref>
        </x14:dataValidation>
        <x14:dataValidation type="list" allowBlank="1" showInputMessage="1" showErrorMessage="1" xr:uid="{D041FD33-2DE7-4BEC-A203-424574E6C6DB}">
          <x14:formula1>
            <xm:f>DADOS!$G$2:$G$4</xm:f>
          </x14:formula1>
          <xm:sqref>Q191:Q1048576</xm:sqref>
        </x14:dataValidation>
        <x14:dataValidation type="list" allowBlank="1" showInputMessage="1" showErrorMessage="1" xr:uid="{6301E476-8B0D-4FEC-83CC-54871B5A47EA}">
          <x14:formula1>
            <xm:f>DADOS!$B$2:$B$11</xm:f>
          </x14:formula1>
          <xm:sqref>J2:J1048576</xm:sqref>
        </x14:dataValidation>
        <x14:dataValidation type="list" allowBlank="1" showInputMessage="1" showErrorMessage="1" xr:uid="{9BBAFE6D-9BE1-4314-A179-F0E071556114}">
          <x14:formula1>
            <xm:f>DADOS!$H$2:$H$5</xm:f>
          </x14:formula1>
          <xm:sqref>G2:G1048576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1508-24D6-474A-B858-B2ECB094E59A}">
  <sheetPr codeName="Planilha4"/>
  <dimension ref="A1"/>
  <sheetViews>
    <sheetView workbookViewId="0"/>
  </sheetViews>
  <sheetFormatPr defaultRowHeight="15" x14ac:dyDescent="0.25"/>
  <sheetData>
    <row r="1" spans="1:1" x14ac:dyDescent="0.25">
      <c r="A1"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bcbc56-3d12-411a-a735-f36ec8e8bfd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220A11FEA46C4886D3604CC483AD6B" ma:contentTypeVersion="15" ma:contentTypeDescription="Crie um novo documento." ma:contentTypeScope="" ma:versionID="bb07fbe832bfbac930195f44faefcab7">
  <xsd:schema xmlns:xsd="http://www.w3.org/2001/XMLSchema" xmlns:xs="http://www.w3.org/2001/XMLSchema" xmlns:p="http://schemas.microsoft.com/office/2006/metadata/properties" xmlns:ns2="6dbcbc56-3d12-411a-a735-f36ec8e8bfd2" xmlns:ns3="8de5c96d-c68a-4bc1-8ca7-a6766c74fd4d" targetNamespace="http://schemas.microsoft.com/office/2006/metadata/properties" ma:root="true" ma:fieldsID="71ce47b93599878504e7d9a94c5299da" ns2:_="" ns3:_="">
    <xsd:import namespace="6dbcbc56-3d12-411a-a735-f36ec8e8bfd2"/>
    <xsd:import namespace="8de5c96d-c68a-4bc1-8ca7-a6766c74fd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OCR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bcbc56-3d12-411a-a735-f36ec8e8bf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df8bfc-69f5-472b-bcc3-14f5ad47a7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5c96d-c68a-4bc1-8ca7-a6766c74fd4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DA4EE2-72BB-4CD5-80FF-EAFC698EEA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843E7F-DCA1-4FBE-8AEE-F739F63FAD5F}">
  <ds:schemaRefs>
    <ds:schemaRef ds:uri="http://schemas.microsoft.com/office/2006/metadata/properties"/>
    <ds:schemaRef ds:uri="http://schemas.microsoft.com/office/infopath/2007/PartnerControls"/>
    <ds:schemaRef ds:uri="6dbcbc56-3d12-411a-a735-f36ec8e8bfd2"/>
  </ds:schemaRefs>
</ds:datastoreItem>
</file>

<file path=customXml/itemProps3.xml><?xml version="1.0" encoding="utf-8"?>
<ds:datastoreItem xmlns:ds="http://schemas.openxmlformats.org/officeDocument/2006/customXml" ds:itemID="{13C5C945-474E-4133-9AF8-55A4124AD5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bcbc56-3d12-411a-a735-f36ec8e8bfd2"/>
    <ds:schemaRef ds:uri="8de5c96d-c68a-4bc1-8ca7-a6766c74fd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DASHBOARD</vt:lpstr>
      <vt:lpstr>GASTOS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Adenilson</dc:creator>
  <cp:keywords/>
  <dc:description/>
  <cp:lastModifiedBy>José Adenilson</cp:lastModifiedBy>
  <cp:revision/>
  <dcterms:created xsi:type="dcterms:W3CDTF">2025-12-11T15:06:21Z</dcterms:created>
  <dcterms:modified xsi:type="dcterms:W3CDTF">2026-04-29T16:01:09Z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0x01010071220A11FEA46C4886D3604CC483AD6B</vt:lpwstr>
  </property>
  <property fmtid="{D5CDD505-2E9C-101B-9397-08002B2CF9AE}" pid="3" name="MediaServiceImageTags">
    <vt:lpwstr/>
  </property>
</Properties>
</file>